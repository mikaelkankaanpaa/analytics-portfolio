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Työt\Analytics Portfolio\analytics-portfolio\3-excel-VBA-dashboard\"/>
    </mc:Choice>
  </mc:AlternateContent>
  <xr:revisionPtr revIDLastSave="0" documentId="13_ncr:1_{7405C3E6-78B3-4505-BC9D-3719097490A7}" xr6:coauthVersionLast="47" xr6:coauthVersionMax="47" xr10:uidLastSave="{00000000-0000-0000-0000-000000000000}"/>
  <bookViews>
    <workbookView xWindow="-98" yWindow="-98" windowWidth="21795" windowHeight="12975" xr2:uid="{FBD6E443-A0D5-4544-A41B-F3E97B83BF19}"/>
  </bookViews>
  <sheets>
    <sheet name="Dashboard" sheetId="12" r:id="rId1"/>
    <sheet name="Pivots" sheetId="7" r:id="rId2"/>
    <sheet name="Raw data K1-2" sheetId="2" r:id="rId3"/>
  </sheets>
  <functionGroups builtInGroupCount="19"/>
  <definedNames>
    <definedName name="_xleta.ROW" hidden="1" xlm="1">#NAME?</definedName>
    <definedName name="CompetitorColors">Table2[]</definedName>
    <definedName name="CompKPIs">Dashboard!$G$5:$H$6,Dashboard!$J$5:$K$6,Dashboard!$M$5:$N$6,Dashboard!$P$5:$Q$6,Dashboard!$S$5:$T$6,Dashboard!$V$5:$W$6</definedName>
    <definedName name="CompSelector">Dashboard!$D$5</definedName>
    <definedName name="MarkSelector">Dashboard!$D$4</definedName>
    <definedName name="ProdSelector">Dashboard!$D$3</definedName>
  </definedNames>
  <calcPr calcId="191029"/>
  <pivotCaches>
    <pivotCache cacheId="16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2" l="1" a="1"/>
  <c r="Q3" i="2" s="1"/>
  <c r="V6" i="12"/>
  <c r="P6" i="12"/>
  <c r="S6" i="12" s="1"/>
  <c r="J6" i="12"/>
  <c r="M6" i="12" s="1"/>
  <c r="G6" i="12"/>
  <c r="J3" i="12"/>
  <c r="G3" i="12"/>
  <c r="V3" i="12"/>
  <c r="P3" i="12"/>
  <c r="S3" i="12" s="1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2119" i="2"/>
  <c r="P2120" i="2"/>
  <c r="P2121" i="2"/>
  <c r="P2122" i="2"/>
  <c r="P2123" i="2"/>
  <c r="P2124" i="2"/>
  <c r="P2125" i="2"/>
  <c r="P2126" i="2"/>
  <c r="P2127" i="2"/>
  <c r="P2128" i="2"/>
  <c r="P2129" i="2"/>
  <c r="P2130" i="2"/>
  <c r="P2131" i="2"/>
  <c r="P2132" i="2"/>
  <c r="P2133" i="2"/>
  <c r="P2134" i="2"/>
  <c r="P2135" i="2"/>
  <c r="P2136" i="2"/>
  <c r="P2137" i="2"/>
  <c r="P2138" i="2"/>
  <c r="P2139" i="2"/>
  <c r="P2140" i="2"/>
  <c r="P2141" i="2"/>
  <c r="P2142" i="2"/>
  <c r="P2143" i="2"/>
  <c r="P2144" i="2"/>
  <c r="P2145" i="2"/>
  <c r="P2146" i="2"/>
  <c r="P2147" i="2"/>
  <c r="P2148" i="2"/>
  <c r="P2149" i="2"/>
  <c r="P2150" i="2"/>
  <c r="P2151" i="2"/>
  <c r="P2152" i="2"/>
  <c r="P2153" i="2"/>
  <c r="P2154" i="2"/>
  <c r="P2155" i="2"/>
  <c r="P2156" i="2"/>
  <c r="P2157" i="2"/>
  <c r="P2158" i="2"/>
  <c r="P2159" i="2"/>
  <c r="P2160" i="2"/>
  <c r="P2161" i="2"/>
  <c r="P2162" i="2"/>
  <c r="P2163" i="2"/>
  <c r="P2164" i="2"/>
  <c r="P2165" i="2"/>
  <c r="P2166" i="2"/>
  <c r="P2167" i="2"/>
  <c r="P2168" i="2"/>
  <c r="P2169" i="2"/>
  <c r="P2170" i="2"/>
  <c r="P2171" i="2"/>
  <c r="P2172" i="2"/>
  <c r="P2173" i="2"/>
  <c r="P2174" i="2"/>
  <c r="P2175" i="2"/>
  <c r="P2176" i="2"/>
  <c r="P2177" i="2"/>
  <c r="P2178" i="2"/>
  <c r="P2179" i="2"/>
  <c r="P2180" i="2"/>
  <c r="P2181" i="2"/>
  <c r="P2182" i="2"/>
  <c r="P2183" i="2"/>
  <c r="P2184" i="2"/>
  <c r="P2185" i="2"/>
  <c r="P2186" i="2"/>
  <c r="P2187" i="2"/>
  <c r="P2188" i="2"/>
  <c r="P2189" i="2"/>
  <c r="P2190" i="2"/>
  <c r="P2191" i="2"/>
  <c r="P2192" i="2"/>
  <c r="P2193" i="2"/>
  <c r="P2194" i="2"/>
  <c r="P2195" i="2"/>
  <c r="P2196" i="2"/>
  <c r="P2197" i="2"/>
  <c r="P2198" i="2"/>
  <c r="P2199" i="2"/>
  <c r="P2200" i="2"/>
  <c r="P2201" i="2"/>
  <c r="P2202" i="2"/>
  <c r="P2203" i="2"/>
  <c r="P2204" i="2"/>
  <c r="P2205" i="2"/>
  <c r="P2206" i="2"/>
  <c r="P2207" i="2"/>
  <c r="P2208" i="2"/>
  <c r="P2209" i="2"/>
  <c r="P2210" i="2"/>
  <c r="P2211" i="2"/>
  <c r="P2212" i="2"/>
  <c r="P2213" i="2"/>
  <c r="P2214" i="2"/>
  <c r="P2215" i="2"/>
  <c r="P2216" i="2"/>
  <c r="P2217" i="2"/>
  <c r="P2218" i="2"/>
  <c r="P2219" i="2"/>
  <c r="P2220" i="2"/>
  <c r="P2221" i="2"/>
  <c r="P2222" i="2"/>
  <c r="P2223" i="2"/>
  <c r="P2224" i="2"/>
  <c r="P2225" i="2"/>
  <c r="P2226" i="2"/>
  <c r="P2227" i="2"/>
  <c r="P2228" i="2"/>
  <c r="P2229" i="2"/>
  <c r="P2230" i="2"/>
  <c r="P2231" i="2"/>
  <c r="P2232" i="2"/>
  <c r="P2233" i="2"/>
  <c r="P2234" i="2"/>
  <c r="P2235" i="2"/>
  <c r="P2236" i="2"/>
  <c r="P2237" i="2"/>
  <c r="P2238" i="2"/>
  <c r="P2239" i="2"/>
  <c r="P2240" i="2"/>
  <c r="P2241" i="2"/>
  <c r="P2242" i="2"/>
  <c r="P2243" i="2"/>
  <c r="P2244" i="2"/>
  <c r="P2245" i="2"/>
  <c r="P2246" i="2"/>
  <c r="P2247" i="2"/>
  <c r="P2248" i="2"/>
  <c r="P2249" i="2"/>
  <c r="P2250" i="2"/>
  <c r="P2251" i="2"/>
  <c r="P2252" i="2"/>
  <c r="P2253" i="2"/>
  <c r="P2254" i="2"/>
  <c r="P2255" i="2"/>
  <c r="P2256" i="2"/>
  <c r="P2257" i="2"/>
  <c r="P2258" i="2"/>
  <c r="P2259" i="2"/>
  <c r="P2260" i="2"/>
  <c r="P2261" i="2"/>
  <c r="P2262" i="2"/>
  <c r="P2263" i="2"/>
  <c r="P2264" i="2"/>
  <c r="P2265" i="2"/>
  <c r="P2266" i="2"/>
  <c r="P2267" i="2"/>
  <c r="P2268" i="2"/>
  <c r="P2269" i="2"/>
  <c r="P2270" i="2"/>
  <c r="P2271" i="2"/>
  <c r="P2272" i="2"/>
  <c r="P2273" i="2"/>
  <c r="P2274" i="2"/>
  <c r="P2275" i="2"/>
  <c r="P2276" i="2"/>
  <c r="P2277" i="2"/>
  <c r="P2278" i="2"/>
  <c r="P2279" i="2"/>
  <c r="P2280" i="2"/>
  <c r="P2281" i="2"/>
  <c r="P2282" i="2"/>
  <c r="P2283" i="2"/>
  <c r="P2284" i="2"/>
  <c r="P2285" i="2"/>
  <c r="P2286" i="2"/>
  <c r="P2287" i="2"/>
  <c r="P2288" i="2"/>
  <c r="P2289" i="2"/>
  <c r="P2290" i="2"/>
  <c r="P2291" i="2"/>
  <c r="P2292" i="2"/>
  <c r="P2293" i="2"/>
  <c r="P2294" i="2"/>
  <c r="P2295" i="2"/>
  <c r="P2296" i="2"/>
  <c r="P2297" i="2"/>
  <c r="P2298" i="2"/>
  <c r="P2299" i="2"/>
  <c r="P2300" i="2"/>
  <c r="P2301" i="2"/>
  <c r="P2302" i="2"/>
  <c r="P2303" i="2"/>
  <c r="P2304" i="2"/>
  <c r="P2305" i="2"/>
  <c r="P2306" i="2"/>
  <c r="P2307" i="2"/>
  <c r="P2308" i="2"/>
  <c r="P2309" i="2"/>
  <c r="P2310" i="2"/>
  <c r="P2311" i="2"/>
  <c r="P2312" i="2"/>
  <c r="P2313" i="2"/>
  <c r="P2314" i="2"/>
  <c r="P2315" i="2"/>
  <c r="P2316" i="2"/>
  <c r="P2317" i="2"/>
  <c r="P2318" i="2"/>
  <c r="P2319" i="2"/>
  <c r="P2320" i="2"/>
  <c r="P2321" i="2"/>
  <c r="P2322" i="2"/>
  <c r="P2323" i="2"/>
  <c r="P2324" i="2"/>
  <c r="P2325" i="2"/>
  <c r="P2326" i="2"/>
  <c r="P2327" i="2"/>
  <c r="P2328" i="2"/>
  <c r="P2329" i="2"/>
  <c r="P2330" i="2"/>
  <c r="P2331" i="2"/>
  <c r="P2332" i="2"/>
  <c r="P2333" i="2"/>
  <c r="P2334" i="2"/>
  <c r="P2335" i="2"/>
  <c r="P2336" i="2"/>
  <c r="P2337" i="2"/>
  <c r="P2338" i="2"/>
  <c r="P2339" i="2"/>
  <c r="P2340" i="2"/>
  <c r="P2341" i="2"/>
  <c r="P2342" i="2"/>
  <c r="P2343" i="2"/>
  <c r="P2344" i="2"/>
  <c r="P2345" i="2"/>
  <c r="P2346" i="2"/>
  <c r="P2347" i="2"/>
  <c r="P2348" i="2"/>
  <c r="P2349" i="2"/>
  <c r="P2350" i="2"/>
  <c r="P2351" i="2"/>
  <c r="P2352" i="2"/>
  <c r="P2353" i="2"/>
  <c r="P2354" i="2"/>
  <c r="P2355" i="2"/>
  <c r="P2356" i="2"/>
  <c r="P2357" i="2"/>
  <c r="P2358" i="2"/>
  <c r="P2359" i="2"/>
  <c r="P2360" i="2"/>
  <c r="P2361" i="2"/>
  <c r="P2362" i="2"/>
  <c r="P2363" i="2"/>
  <c r="P2364" i="2"/>
  <c r="P2365" i="2"/>
  <c r="P2366" i="2"/>
  <c r="P2367" i="2"/>
  <c r="P2368" i="2"/>
  <c r="P2369" i="2"/>
  <c r="P2370" i="2"/>
  <c r="P2371" i="2"/>
  <c r="P2372" i="2"/>
  <c r="P2373" i="2"/>
  <c r="P2374" i="2"/>
  <c r="P2375" i="2"/>
  <c r="P2376" i="2"/>
  <c r="P2377" i="2"/>
  <c r="P2378" i="2"/>
  <c r="P2379" i="2"/>
  <c r="P2380" i="2"/>
  <c r="P2381" i="2"/>
  <c r="P2382" i="2"/>
  <c r="P2383" i="2"/>
  <c r="P2384" i="2"/>
  <c r="P2385" i="2"/>
  <c r="P2386" i="2"/>
  <c r="P2387" i="2"/>
  <c r="P2388" i="2"/>
  <c r="P2389" i="2"/>
  <c r="P2390" i="2"/>
  <c r="P2391" i="2"/>
  <c r="P2392" i="2"/>
  <c r="P2393" i="2"/>
  <c r="P2394" i="2"/>
  <c r="P2395" i="2"/>
  <c r="P2396" i="2"/>
  <c r="P2397" i="2"/>
  <c r="P2398" i="2"/>
  <c r="P2399" i="2"/>
  <c r="P2400" i="2"/>
  <c r="P2401" i="2"/>
  <c r="P2402" i="2"/>
  <c r="P2403" i="2"/>
  <c r="P2404" i="2"/>
  <c r="P2405" i="2"/>
  <c r="P2406" i="2"/>
  <c r="P2407" i="2"/>
  <c r="P2408" i="2"/>
  <c r="P2409" i="2"/>
  <c r="P2410" i="2"/>
  <c r="P2411" i="2"/>
  <c r="P2412" i="2"/>
  <c r="P2413" i="2"/>
  <c r="P2414" i="2"/>
  <c r="P2415" i="2"/>
  <c r="P2416" i="2"/>
  <c r="P2417" i="2"/>
  <c r="P2418" i="2"/>
  <c r="P2419" i="2"/>
  <c r="P2420" i="2"/>
  <c r="P2421" i="2"/>
  <c r="P2422" i="2"/>
  <c r="P2423" i="2"/>
  <c r="P2424" i="2"/>
  <c r="P2425" i="2"/>
  <c r="P2426" i="2"/>
  <c r="P2427" i="2"/>
  <c r="P2428" i="2"/>
  <c r="P2429" i="2"/>
  <c r="P2430" i="2"/>
  <c r="P2431" i="2"/>
  <c r="P2432" i="2"/>
  <c r="P2433" i="2"/>
  <c r="P2434" i="2"/>
  <c r="P2435" i="2"/>
  <c r="P2436" i="2"/>
  <c r="P2437" i="2"/>
  <c r="P2438" i="2"/>
  <c r="P2439" i="2"/>
  <c r="P2440" i="2"/>
  <c r="P2441" i="2"/>
  <c r="P2442" i="2"/>
  <c r="P2443" i="2"/>
  <c r="P2444" i="2"/>
  <c r="P2445" i="2"/>
  <c r="P2446" i="2"/>
  <c r="P2447" i="2"/>
  <c r="P2448" i="2"/>
  <c r="P2449" i="2"/>
  <c r="P2450" i="2"/>
  <c r="P2451" i="2"/>
  <c r="P2452" i="2"/>
  <c r="P2453" i="2"/>
  <c r="P2454" i="2"/>
  <c r="P2455" i="2"/>
  <c r="P2456" i="2"/>
  <c r="P2457" i="2"/>
  <c r="P2458" i="2"/>
  <c r="P2459" i="2"/>
  <c r="P2460" i="2"/>
  <c r="P2461" i="2"/>
  <c r="P2462" i="2"/>
  <c r="P2463" i="2"/>
  <c r="P2464" i="2"/>
  <c r="P2465" i="2"/>
  <c r="P2466" i="2"/>
  <c r="P2467" i="2"/>
  <c r="P2468" i="2"/>
  <c r="P2469" i="2"/>
  <c r="P2470" i="2"/>
  <c r="P2471" i="2"/>
  <c r="P2472" i="2"/>
  <c r="P2473" i="2"/>
  <c r="P2474" i="2"/>
  <c r="P2475" i="2"/>
  <c r="P2476" i="2"/>
  <c r="P2477" i="2"/>
  <c r="P2478" i="2"/>
  <c r="P2479" i="2"/>
  <c r="P2480" i="2"/>
  <c r="P2481" i="2"/>
  <c r="P2482" i="2"/>
  <c r="P2483" i="2"/>
  <c r="P2484" i="2"/>
  <c r="P2485" i="2"/>
  <c r="P2486" i="2"/>
  <c r="P2487" i="2"/>
  <c r="P2488" i="2"/>
  <c r="P2489" i="2"/>
  <c r="P2490" i="2"/>
  <c r="P2491" i="2"/>
  <c r="P2492" i="2"/>
  <c r="P2493" i="2"/>
  <c r="P2494" i="2"/>
  <c r="P2495" i="2"/>
  <c r="P2496" i="2"/>
  <c r="P2497" i="2"/>
  <c r="P2498" i="2"/>
  <c r="P2499" i="2"/>
  <c r="P2500" i="2"/>
  <c r="P2501" i="2"/>
  <c r="P2502" i="2"/>
  <c r="P2503" i="2"/>
  <c r="P2504" i="2"/>
  <c r="P2505" i="2"/>
  <c r="P2506" i="2"/>
  <c r="P2507" i="2"/>
  <c r="P2508" i="2"/>
  <c r="P2509" i="2"/>
  <c r="P2510" i="2"/>
  <c r="P2511" i="2"/>
  <c r="P2512" i="2"/>
  <c r="P2513" i="2"/>
  <c r="P2514" i="2"/>
  <c r="P2515" i="2"/>
  <c r="P2516" i="2"/>
  <c r="P2517" i="2"/>
  <c r="P2518" i="2"/>
  <c r="P2519" i="2"/>
  <c r="P2520" i="2"/>
  <c r="P2521" i="2"/>
  <c r="P2522" i="2"/>
  <c r="P2523" i="2"/>
  <c r="P2524" i="2"/>
  <c r="P2525" i="2"/>
  <c r="P2526" i="2"/>
  <c r="P2527" i="2"/>
  <c r="P2528" i="2"/>
  <c r="P2529" i="2"/>
  <c r="P2530" i="2"/>
  <c r="P2531" i="2"/>
  <c r="P2532" i="2"/>
  <c r="P2533" i="2"/>
  <c r="P2534" i="2"/>
  <c r="P2535" i="2"/>
  <c r="P2536" i="2"/>
  <c r="P2537" i="2"/>
  <c r="P2538" i="2"/>
  <c r="P2539" i="2"/>
  <c r="P2540" i="2"/>
  <c r="P2541" i="2"/>
  <c r="P2542" i="2"/>
  <c r="P2543" i="2"/>
  <c r="P2544" i="2"/>
  <c r="P2545" i="2"/>
  <c r="P2546" i="2"/>
  <c r="P2547" i="2"/>
  <c r="P2548" i="2"/>
  <c r="P2549" i="2"/>
  <c r="P2550" i="2"/>
  <c r="P2551" i="2"/>
  <c r="P2552" i="2"/>
  <c r="P2553" i="2"/>
  <c r="P2554" i="2"/>
  <c r="P2555" i="2"/>
  <c r="P2556" i="2"/>
  <c r="P2557" i="2"/>
  <c r="P2558" i="2"/>
  <c r="P2559" i="2"/>
  <c r="P2560" i="2"/>
  <c r="P2561" i="2"/>
  <c r="P2562" i="2"/>
  <c r="P2563" i="2"/>
  <c r="P2564" i="2"/>
  <c r="P2565" i="2"/>
  <c r="P2566" i="2"/>
  <c r="P2567" i="2"/>
  <c r="P2568" i="2"/>
  <c r="P2569" i="2"/>
  <c r="P2570" i="2"/>
  <c r="P2571" i="2"/>
  <c r="P2572" i="2"/>
  <c r="P2573" i="2"/>
  <c r="P2574" i="2"/>
  <c r="P2575" i="2"/>
  <c r="P2576" i="2"/>
  <c r="P2577" i="2"/>
  <c r="P2578" i="2"/>
  <c r="P2579" i="2"/>
  <c r="P2580" i="2"/>
  <c r="P2581" i="2"/>
  <c r="P2582" i="2"/>
  <c r="P2583" i="2"/>
  <c r="P2584" i="2"/>
  <c r="P2585" i="2"/>
  <c r="P2586" i="2"/>
  <c r="P2587" i="2"/>
  <c r="P2588" i="2"/>
  <c r="P2589" i="2"/>
  <c r="P2590" i="2"/>
  <c r="P2591" i="2"/>
  <c r="P2592" i="2"/>
  <c r="P2593" i="2"/>
  <c r="P2594" i="2"/>
  <c r="P2595" i="2"/>
  <c r="P2596" i="2"/>
  <c r="P2597" i="2"/>
  <c r="P2598" i="2"/>
  <c r="P2599" i="2"/>
  <c r="P2600" i="2"/>
  <c r="P2601" i="2"/>
  <c r="P2602" i="2"/>
  <c r="P2603" i="2"/>
  <c r="P2604" i="2"/>
  <c r="P2605" i="2"/>
  <c r="P2606" i="2"/>
  <c r="P2607" i="2"/>
  <c r="P2608" i="2"/>
  <c r="P2609" i="2"/>
  <c r="P2610" i="2"/>
  <c r="P2611" i="2"/>
  <c r="P2612" i="2"/>
  <c r="P2613" i="2"/>
  <c r="P2614" i="2"/>
  <c r="P2615" i="2"/>
  <c r="P2616" i="2"/>
  <c r="P2617" i="2"/>
  <c r="P2618" i="2"/>
  <c r="P2619" i="2"/>
  <c r="P2620" i="2"/>
  <c r="P2621" i="2"/>
  <c r="P2622" i="2"/>
  <c r="P2623" i="2"/>
  <c r="P2624" i="2"/>
  <c r="P2625" i="2"/>
  <c r="P2626" i="2"/>
  <c r="P2627" i="2"/>
  <c r="P2628" i="2"/>
  <c r="P2629" i="2"/>
  <c r="P2630" i="2"/>
  <c r="P2631" i="2"/>
  <c r="P2632" i="2"/>
  <c r="P2633" i="2"/>
  <c r="P2634" i="2"/>
  <c r="P2635" i="2"/>
  <c r="P2636" i="2"/>
  <c r="P2637" i="2"/>
  <c r="P2638" i="2"/>
  <c r="P2639" i="2"/>
  <c r="P2640" i="2"/>
  <c r="P2641" i="2"/>
  <c r="P2642" i="2"/>
  <c r="P2643" i="2"/>
  <c r="P2644" i="2"/>
  <c r="P2645" i="2"/>
  <c r="P2646" i="2"/>
  <c r="P2647" i="2"/>
  <c r="P2648" i="2"/>
  <c r="P2649" i="2"/>
  <c r="P2650" i="2"/>
  <c r="P2651" i="2"/>
  <c r="P2652" i="2"/>
  <c r="P2653" i="2"/>
  <c r="P2654" i="2"/>
  <c r="P2655" i="2"/>
  <c r="P2656" i="2"/>
  <c r="P2657" i="2"/>
  <c r="P2658" i="2"/>
  <c r="P2659" i="2"/>
  <c r="P2660" i="2"/>
  <c r="P2661" i="2"/>
  <c r="P2662" i="2"/>
  <c r="P2663" i="2"/>
  <c r="P2664" i="2"/>
  <c r="P2665" i="2"/>
  <c r="P2666" i="2"/>
  <c r="P2667" i="2"/>
  <c r="P2668" i="2"/>
  <c r="P2669" i="2"/>
  <c r="P2670" i="2"/>
  <c r="P2671" i="2"/>
  <c r="P2672" i="2"/>
  <c r="P2673" i="2"/>
  <c r="P2674" i="2"/>
  <c r="P2675" i="2"/>
  <c r="P2676" i="2"/>
  <c r="P2677" i="2"/>
  <c r="P2678" i="2"/>
  <c r="P2679" i="2"/>
  <c r="P2680" i="2"/>
  <c r="P2681" i="2"/>
  <c r="P2682" i="2"/>
  <c r="P2683" i="2"/>
  <c r="P2684" i="2"/>
  <c r="P2685" i="2"/>
  <c r="P2686" i="2"/>
  <c r="P2687" i="2"/>
  <c r="P2688" i="2"/>
  <c r="P2689" i="2"/>
  <c r="P2690" i="2"/>
  <c r="P2691" i="2"/>
  <c r="P2692" i="2"/>
  <c r="P2693" i="2"/>
  <c r="P2694" i="2"/>
  <c r="P2695" i="2"/>
  <c r="P2696" i="2"/>
  <c r="P2697" i="2"/>
  <c r="P2698" i="2"/>
  <c r="P2699" i="2"/>
  <c r="P2700" i="2"/>
  <c r="P2701" i="2"/>
  <c r="P2702" i="2"/>
  <c r="P2703" i="2"/>
  <c r="P2704" i="2"/>
  <c r="P2705" i="2"/>
  <c r="P2706" i="2"/>
  <c r="P2707" i="2"/>
  <c r="P2708" i="2"/>
  <c r="P2709" i="2"/>
  <c r="P2710" i="2"/>
  <c r="P2711" i="2"/>
  <c r="P2712" i="2"/>
  <c r="P2713" i="2"/>
  <c r="P2714" i="2"/>
  <c r="P2715" i="2"/>
  <c r="P2716" i="2"/>
  <c r="P2717" i="2"/>
  <c r="P2718" i="2"/>
  <c r="P2719" i="2"/>
  <c r="P2720" i="2"/>
  <c r="P2721" i="2"/>
  <c r="P2722" i="2"/>
  <c r="P2723" i="2"/>
  <c r="P2724" i="2"/>
  <c r="P2725" i="2"/>
  <c r="P2726" i="2"/>
  <c r="P2727" i="2"/>
  <c r="P2728" i="2"/>
  <c r="P2729" i="2"/>
  <c r="P2730" i="2"/>
  <c r="P2731" i="2"/>
  <c r="P2732" i="2"/>
  <c r="P2733" i="2"/>
  <c r="P2734" i="2"/>
  <c r="P2735" i="2"/>
  <c r="P2736" i="2"/>
  <c r="P2737" i="2"/>
  <c r="P2738" i="2"/>
  <c r="P2739" i="2"/>
  <c r="P2740" i="2"/>
  <c r="P2741" i="2"/>
  <c r="P2742" i="2"/>
  <c r="P2743" i="2"/>
  <c r="P2744" i="2"/>
  <c r="P2745" i="2"/>
  <c r="P2746" i="2"/>
  <c r="P2747" i="2"/>
  <c r="P2748" i="2"/>
  <c r="P2749" i="2"/>
  <c r="P2750" i="2"/>
  <c r="P2751" i="2"/>
  <c r="P2752" i="2"/>
  <c r="P2753" i="2"/>
  <c r="P2754" i="2"/>
  <c r="P2755" i="2"/>
  <c r="P2756" i="2"/>
  <c r="P2757" i="2"/>
  <c r="P2758" i="2"/>
  <c r="P2759" i="2"/>
  <c r="P2760" i="2"/>
  <c r="P2761" i="2"/>
  <c r="P2762" i="2"/>
  <c r="P2763" i="2"/>
  <c r="P2764" i="2"/>
  <c r="P2765" i="2"/>
  <c r="P2766" i="2"/>
  <c r="P2767" i="2"/>
  <c r="P2768" i="2"/>
  <c r="P2769" i="2"/>
  <c r="P2770" i="2"/>
  <c r="P2771" i="2"/>
  <c r="P2772" i="2"/>
  <c r="P2773" i="2"/>
  <c r="P2774" i="2"/>
  <c r="P2775" i="2"/>
  <c r="P2776" i="2"/>
  <c r="P2777" i="2"/>
  <c r="P2778" i="2"/>
  <c r="P2779" i="2"/>
  <c r="P2780" i="2"/>
  <c r="P2781" i="2"/>
  <c r="P2782" i="2"/>
  <c r="P2783" i="2"/>
  <c r="P2784" i="2"/>
  <c r="P2785" i="2"/>
  <c r="P2786" i="2"/>
  <c r="P2787" i="2"/>
  <c r="P2788" i="2"/>
  <c r="P2789" i="2"/>
  <c r="P2790" i="2"/>
  <c r="P2791" i="2"/>
  <c r="P2792" i="2"/>
  <c r="P2793" i="2"/>
  <c r="P2794" i="2"/>
  <c r="P2795" i="2"/>
  <c r="P2796" i="2"/>
  <c r="P2797" i="2"/>
  <c r="P2798" i="2"/>
  <c r="P2799" i="2"/>
  <c r="P2800" i="2"/>
  <c r="P2801" i="2"/>
  <c r="P2802" i="2"/>
  <c r="P2803" i="2"/>
  <c r="P2804" i="2"/>
  <c r="P2805" i="2"/>
  <c r="P2806" i="2"/>
  <c r="P2807" i="2"/>
  <c r="P2808" i="2"/>
  <c r="P2809" i="2"/>
  <c r="P2810" i="2"/>
  <c r="P2811" i="2"/>
  <c r="P2812" i="2"/>
  <c r="P2813" i="2"/>
  <c r="P2814" i="2"/>
  <c r="P2815" i="2"/>
  <c r="P2816" i="2"/>
  <c r="P2817" i="2"/>
  <c r="P2818" i="2"/>
  <c r="P2819" i="2"/>
  <c r="P2820" i="2"/>
  <c r="P2821" i="2"/>
  <c r="P2822" i="2"/>
  <c r="P2823" i="2"/>
  <c r="P2824" i="2"/>
  <c r="P2825" i="2"/>
  <c r="P2826" i="2"/>
  <c r="P2827" i="2"/>
  <c r="P2828" i="2"/>
  <c r="P2829" i="2"/>
  <c r="P2830" i="2"/>
  <c r="P2831" i="2"/>
  <c r="P2832" i="2"/>
  <c r="P2833" i="2"/>
  <c r="P2834" i="2"/>
  <c r="P2835" i="2"/>
  <c r="P2836" i="2"/>
  <c r="P2837" i="2"/>
  <c r="P2838" i="2"/>
  <c r="P2839" i="2"/>
  <c r="P2840" i="2"/>
  <c r="P2841" i="2"/>
  <c r="P2842" i="2"/>
  <c r="P2843" i="2"/>
  <c r="P2844" i="2"/>
  <c r="P2845" i="2"/>
  <c r="P2846" i="2"/>
  <c r="P2847" i="2"/>
  <c r="P2848" i="2"/>
  <c r="P2849" i="2"/>
  <c r="P2850" i="2"/>
  <c r="P2851" i="2"/>
  <c r="P2852" i="2"/>
  <c r="P2853" i="2"/>
  <c r="P2854" i="2"/>
  <c r="P2855" i="2"/>
  <c r="P2856" i="2"/>
  <c r="P2857" i="2"/>
  <c r="P2858" i="2"/>
  <c r="P2859" i="2"/>
  <c r="P2860" i="2"/>
  <c r="P2861" i="2"/>
  <c r="P2862" i="2"/>
  <c r="P2863" i="2"/>
  <c r="P2864" i="2"/>
  <c r="P2865" i="2"/>
  <c r="P2866" i="2"/>
  <c r="P2867" i="2"/>
  <c r="P2868" i="2"/>
  <c r="P2869" i="2"/>
  <c r="P2870" i="2"/>
  <c r="P2871" i="2"/>
  <c r="P2872" i="2"/>
  <c r="P2873" i="2"/>
  <c r="P2874" i="2"/>
  <c r="P2875" i="2"/>
  <c r="P2876" i="2"/>
  <c r="P2877" i="2"/>
  <c r="P2878" i="2"/>
  <c r="P2879" i="2"/>
  <c r="P2880" i="2"/>
  <c r="P2881" i="2"/>
  <c r="P2882" i="2"/>
  <c r="P2883" i="2"/>
  <c r="P2884" i="2"/>
  <c r="P2885" i="2"/>
  <c r="P2886" i="2"/>
  <c r="P2887" i="2"/>
  <c r="P2888" i="2"/>
  <c r="P2889" i="2"/>
  <c r="P2890" i="2"/>
  <c r="P2891" i="2"/>
  <c r="P2892" i="2"/>
  <c r="P2893" i="2"/>
  <c r="P2894" i="2"/>
  <c r="P2895" i="2"/>
  <c r="P2896" i="2"/>
  <c r="P2897" i="2"/>
  <c r="P2898" i="2"/>
  <c r="P2899" i="2"/>
  <c r="P2900" i="2"/>
  <c r="P2901" i="2"/>
  <c r="P2902" i="2"/>
  <c r="P2903" i="2"/>
  <c r="P2904" i="2"/>
  <c r="P2905" i="2"/>
  <c r="P2906" i="2"/>
  <c r="P2907" i="2"/>
  <c r="P2908" i="2"/>
  <c r="P2909" i="2"/>
  <c r="P2910" i="2"/>
  <c r="P2911" i="2"/>
  <c r="P2912" i="2"/>
  <c r="P2913" i="2"/>
  <c r="P2914" i="2"/>
  <c r="P2915" i="2"/>
  <c r="P2916" i="2"/>
  <c r="P2917" i="2"/>
  <c r="P2918" i="2"/>
  <c r="P2919" i="2"/>
  <c r="P2920" i="2"/>
  <c r="P2921" i="2"/>
  <c r="P2922" i="2"/>
  <c r="P2923" i="2"/>
  <c r="P2924" i="2"/>
  <c r="P2925" i="2"/>
  <c r="P2926" i="2"/>
  <c r="P2927" i="2"/>
  <c r="P2928" i="2"/>
  <c r="P2929" i="2"/>
  <c r="P2930" i="2"/>
  <c r="P2931" i="2"/>
  <c r="P2932" i="2"/>
  <c r="P2933" i="2"/>
  <c r="P2934" i="2"/>
  <c r="P2935" i="2"/>
  <c r="P2936" i="2"/>
  <c r="P2937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O2502" i="2"/>
  <c r="O2503" i="2"/>
  <c r="O2504" i="2"/>
  <c r="O2505" i="2"/>
  <c r="O2506" i="2"/>
  <c r="O2507" i="2"/>
  <c r="O2508" i="2"/>
  <c r="O2509" i="2"/>
  <c r="O2510" i="2"/>
  <c r="O2511" i="2"/>
  <c r="O2512" i="2"/>
  <c r="O2513" i="2"/>
  <c r="O2514" i="2"/>
  <c r="O2515" i="2"/>
  <c r="O2516" i="2"/>
  <c r="O2517" i="2"/>
  <c r="O2518" i="2"/>
  <c r="O2519" i="2"/>
  <c r="O2520" i="2"/>
  <c r="O2521" i="2"/>
  <c r="O2522" i="2"/>
  <c r="O2523" i="2"/>
  <c r="O2524" i="2"/>
  <c r="O2525" i="2"/>
  <c r="O2526" i="2"/>
  <c r="O2527" i="2"/>
  <c r="O2528" i="2"/>
  <c r="O2529" i="2"/>
  <c r="O2530" i="2"/>
  <c r="O2531" i="2"/>
  <c r="O2532" i="2"/>
  <c r="O2533" i="2"/>
  <c r="O2534" i="2"/>
  <c r="O2535" i="2"/>
  <c r="O2536" i="2"/>
  <c r="O2537" i="2"/>
  <c r="O2538" i="2"/>
  <c r="O2539" i="2"/>
  <c r="O2540" i="2"/>
  <c r="O2541" i="2"/>
  <c r="O2542" i="2"/>
  <c r="O2543" i="2"/>
  <c r="O2544" i="2"/>
  <c r="O2545" i="2"/>
  <c r="O2546" i="2"/>
  <c r="O2547" i="2"/>
  <c r="O2548" i="2"/>
  <c r="O2549" i="2"/>
  <c r="O2550" i="2"/>
  <c r="O2551" i="2"/>
  <c r="O2552" i="2"/>
  <c r="O2553" i="2"/>
  <c r="O2554" i="2"/>
  <c r="O2555" i="2"/>
  <c r="O2556" i="2"/>
  <c r="O2557" i="2"/>
  <c r="O2558" i="2"/>
  <c r="O2559" i="2"/>
  <c r="O2560" i="2"/>
  <c r="O2561" i="2"/>
  <c r="O2562" i="2"/>
  <c r="O2563" i="2"/>
  <c r="O2564" i="2"/>
  <c r="O2565" i="2"/>
  <c r="O2566" i="2"/>
  <c r="O2567" i="2"/>
  <c r="O2568" i="2"/>
  <c r="O2569" i="2"/>
  <c r="O2570" i="2"/>
  <c r="O2571" i="2"/>
  <c r="O2572" i="2"/>
  <c r="O2573" i="2"/>
  <c r="O2574" i="2"/>
  <c r="O2575" i="2"/>
  <c r="O2576" i="2"/>
  <c r="O2577" i="2"/>
  <c r="O2578" i="2"/>
  <c r="O2579" i="2"/>
  <c r="O2580" i="2"/>
  <c r="O2581" i="2"/>
  <c r="O2582" i="2"/>
  <c r="O2583" i="2"/>
  <c r="O2584" i="2"/>
  <c r="O2585" i="2"/>
  <c r="O2586" i="2"/>
  <c r="O2587" i="2"/>
  <c r="O2588" i="2"/>
  <c r="O2589" i="2"/>
  <c r="O2590" i="2"/>
  <c r="O2591" i="2"/>
  <c r="O2592" i="2"/>
  <c r="O2593" i="2"/>
  <c r="O2594" i="2"/>
  <c r="O2595" i="2"/>
  <c r="O2596" i="2"/>
  <c r="O2597" i="2"/>
  <c r="O2598" i="2"/>
  <c r="O2599" i="2"/>
  <c r="O2600" i="2"/>
  <c r="O2601" i="2"/>
  <c r="O2602" i="2"/>
  <c r="O2603" i="2"/>
  <c r="O2604" i="2"/>
  <c r="O2605" i="2"/>
  <c r="O2606" i="2"/>
  <c r="O2607" i="2"/>
  <c r="O2608" i="2"/>
  <c r="O2609" i="2"/>
  <c r="O2610" i="2"/>
  <c r="O2611" i="2"/>
  <c r="O2612" i="2"/>
  <c r="O2613" i="2"/>
  <c r="O2614" i="2"/>
  <c r="O2615" i="2"/>
  <c r="O2616" i="2"/>
  <c r="O2617" i="2"/>
  <c r="O2618" i="2"/>
  <c r="O2619" i="2"/>
  <c r="O2620" i="2"/>
  <c r="O2621" i="2"/>
  <c r="O2622" i="2"/>
  <c r="O2623" i="2"/>
  <c r="O2624" i="2"/>
  <c r="O2625" i="2"/>
  <c r="O2626" i="2"/>
  <c r="O2627" i="2"/>
  <c r="O2628" i="2"/>
  <c r="O2629" i="2"/>
  <c r="O2630" i="2"/>
  <c r="O2631" i="2"/>
  <c r="O2632" i="2"/>
  <c r="O2633" i="2"/>
  <c r="O2634" i="2"/>
  <c r="O2635" i="2"/>
  <c r="O2636" i="2"/>
  <c r="O2637" i="2"/>
  <c r="O2638" i="2"/>
  <c r="O2639" i="2"/>
  <c r="O2640" i="2"/>
  <c r="O2641" i="2"/>
  <c r="O2642" i="2"/>
  <c r="O2643" i="2"/>
  <c r="O2644" i="2"/>
  <c r="O2645" i="2"/>
  <c r="O2646" i="2"/>
  <c r="O2647" i="2"/>
  <c r="O2648" i="2"/>
  <c r="O2649" i="2"/>
  <c r="O2650" i="2"/>
  <c r="O2651" i="2"/>
  <c r="O2652" i="2"/>
  <c r="O2653" i="2"/>
  <c r="O2654" i="2"/>
  <c r="O2655" i="2"/>
  <c r="O2656" i="2"/>
  <c r="O2657" i="2"/>
  <c r="O2658" i="2"/>
  <c r="O2659" i="2"/>
  <c r="O2660" i="2"/>
  <c r="O2661" i="2"/>
  <c r="O2662" i="2"/>
  <c r="O2663" i="2"/>
  <c r="O2664" i="2"/>
  <c r="O2665" i="2"/>
  <c r="O2666" i="2"/>
  <c r="O2667" i="2"/>
  <c r="O2668" i="2"/>
  <c r="O2669" i="2"/>
  <c r="O2670" i="2"/>
  <c r="O2671" i="2"/>
  <c r="O2672" i="2"/>
  <c r="O2673" i="2"/>
  <c r="O2674" i="2"/>
  <c r="O2675" i="2"/>
  <c r="O2676" i="2"/>
  <c r="O2677" i="2"/>
  <c r="O2678" i="2"/>
  <c r="O2679" i="2"/>
  <c r="O2680" i="2"/>
  <c r="O2681" i="2"/>
  <c r="O2682" i="2"/>
  <c r="O2683" i="2"/>
  <c r="O2684" i="2"/>
  <c r="O2685" i="2"/>
  <c r="O2686" i="2"/>
  <c r="O2687" i="2"/>
  <c r="O2688" i="2"/>
  <c r="O2689" i="2"/>
  <c r="O2690" i="2"/>
  <c r="O2691" i="2"/>
  <c r="O2692" i="2"/>
  <c r="O2693" i="2"/>
  <c r="O2694" i="2"/>
  <c r="O2695" i="2"/>
  <c r="O2696" i="2"/>
  <c r="O2697" i="2"/>
  <c r="O2698" i="2"/>
  <c r="O2699" i="2"/>
  <c r="O2700" i="2"/>
  <c r="O2701" i="2"/>
  <c r="O2702" i="2"/>
  <c r="O2703" i="2"/>
  <c r="O2704" i="2"/>
  <c r="O2705" i="2"/>
  <c r="O2706" i="2"/>
  <c r="O2707" i="2"/>
  <c r="O2708" i="2"/>
  <c r="O2709" i="2"/>
  <c r="O2710" i="2"/>
  <c r="O2711" i="2"/>
  <c r="O2712" i="2"/>
  <c r="O2713" i="2"/>
  <c r="O2714" i="2"/>
  <c r="O2715" i="2"/>
  <c r="O2716" i="2"/>
  <c r="O2717" i="2"/>
  <c r="O2718" i="2"/>
  <c r="O2719" i="2"/>
  <c r="O2720" i="2"/>
  <c r="O2721" i="2"/>
  <c r="O2722" i="2"/>
  <c r="O2723" i="2"/>
  <c r="O2724" i="2"/>
  <c r="O2725" i="2"/>
  <c r="O2726" i="2"/>
  <c r="O2727" i="2"/>
  <c r="O2728" i="2"/>
  <c r="O2729" i="2"/>
  <c r="O2730" i="2"/>
  <c r="O2731" i="2"/>
  <c r="O2732" i="2"/>
  <c r="O2733" i="2"/>
  <c r="O2734" i="2"/>
  <c r="O2735" i="2"/>
  <c r="O2736" i="2"/>
  <c r="O2737" i="2"/>
  <c r="O2738" i="2"/>
  <c r="O2739" i="2"/>
  <c r="O2740" i="2"/>
  <c r="O2741" i="2"/>
  <c r="O2742" i="2"/>
  <c r="O2743" i="2"/>
  <c r="O2744" i="2"/>
  <c r="O2745" i="2"/>
  <c r="O2746" i="2"/>
  <c r="O2747" i="2"/>
  <c r="O2748" i="2"/>
  <c r="O2749" i="2"/>
  <c r="O2750" i="2"/>
  <c r="O2751" i="2"/>
  <c r="O2752" i="2"/>
  <c r="O2753" i="2"/>
  <c r="O2754" i="2"/>
  <c r="O2755" i="2"/>
  <c r="O2756" i="2"/>
  <c r="O2757" i="2"/>
  <c r="O2758" i="2"/>
  <c r="O2759" i="2"/>
  <c r="O2760" i="2"/>
  <c r="O2761" i="2"/>
  <c r="O2762" i="2"/>
  <c r="O2763" i="2"/>
  <c r="O2764" i="2"/>
  <c r="O2765" i="2"/>
  <c r="O2766" i="2"/>
  <c r="O2767" i="2"/>
  <c r="O2768" i="2"/>
  <c r="O2769" i="2"/>
  <c r="O2770" i="2"/>
  <c r="O2771" i="2"/>
  <c r="O2772" i="2"/>
  <c r="O2773" i="2"/>
  <c r="O2774" i="2"/>
  <c r="O2775" i="2"/>
  <c r="O2776" i="2"/>
  <c r="O2777" i="2"/>
  <c r="O2778" i="2"/>
  <c r="O2779" i="2"/>
  <c r="O2780" i="2"/>
  <c r="O2781" i="2"/>
  <c r="O2782" i="2"/>
  <c r="O2783" i="2"/>
  <c r="O2784" i="2"/>
  <c r="O2785" i="2"/>
  <c r="O2786" i="2"/>
  <c r="O2787" i="2"/>
  <c r="O2788" i="2"/>
  <c r="O2789" i="2"/>
  <c r="O2790" i="2"/>
  <c r="O2791" i="2"/>
  <c r="O2792" i="2"/>
  <c r="O2793" i="2"/>
  <c r="O2794" i="2"/>
  <c r="O2795" i="2"/>
  <c r="O2796" i="2"/>
  <c r="O2797" i="2"/>
  <c r="O2798" i="2"/>
  <c r="O2799" i="2"/>
  <c r="O2800" i="2"/>
  <c r="O2801" i="2"/>
  <c r="O2802" i="2"/>
  <c r="O2803" i="2"/>
  <c r="O2804" i="2"/>
  <c r="O2805" i="2"/>
  <c r="O2806" i="2"/>
  <c r="O2807" i="2"/>
  <c r="O2808" i="2"/>
  <c r="O2809" i="2"/>
  <c r="O2810" i="2"/>
  <c r="O2811" i="2"/>
  <c r="O2812" i="2"/>
  <c r="O2813" i="2"/>
  <c r="O2814" i="2"/>
  <c r="O2815" i="2"/>
  <c r="O2816" i="2"/>
  <c r="O2817" i="2"/>
  <c r="O2818" i="2"/>
  <c r="O2819" i="2"/>
  <c r="O2820" i="2"/>
  <c r="O2821" i="2"/>
  <c r="O2822" i="2"/>
  <c r="O2823" i="2"/>
  <c r="O2824" i="2"/>
  <c r="O2825" i="2"/>
  <c r="O2826" i="2"/>
  <c r="O2827" i="2"/>
  <c r="O2828" i="2"/>
  <c r="O2829" i="2"/>
  <c r="O2830" i="2"/>
  <c r="O2831" i="2"/>
  <c r="O2832" i="2"/>
  <c r="O2833" i="2"/>
  <c r="O2834" i="2"/>
  <c r="O2835" i="2"/>
  <c r="O2836" i="2"/>
  <c r="O2837" i="2"/>
  <c r="O2838" i="2"/>
  <c r="O2839" i="2"/>
  <c r="O2840" i="2"/>
  <c r="O2841" i="2"/>
  <c r="O2842" i="2"/>
  <c r="O2843" i="2"/>
  <c r="O2844" i="2"/>
  <c r="O2845" i="2"/>
  <c r="O2846" i="2"/>
  <c r="O2847" i="2"/>
  <c r="O2848" i="2"/>
  <c r="O2849" i="2"/>
  <c r="O2850" i="2"/>
  <c r="O2851" i="2"/>
  <c r="O2852" i="2"/>
  <c r="O2853" i="2"/>
  <c r="O2854" i="2"/>
  <c r="O2855" i="2"/>
  <c r="O2856" i="2"/>
  <c r="O2857" i="2"/>
  <c r="O2858" i="2"/>
  <c r="O2859" i="2"/>
  <c r="O2860" i="2"/>
  <c r="O2861" i="2"/>
  <c r="O2862" i="2"/>
  <c r="O2863" i="2"/>
  <c r="O2864" i="2"/>
  <c r="O2865" i="2"/>
  <c r="O2866" i="2"/>
  <c r="O2867" i="2"/>
  <c r="O2868" i="2"/>
  <c r="O2869" i="2"/>
  <c r="O2870" i="2"/>
  <c r="O2871" i="2"/>
  <c r="O2872" i="2"/>
  <c r="O2873" i="2"/>
  <c r="O2874" i="2"/>
  <c r="O2875" i="2"/>
  <c r="O2876" i="2"/>
  <c r="O2877" i="2"/>
  <c r="O2878" i="2"/>
  <c r="O2879" i="2"/>
  <c r="O2880" i="2"/>
  <c r="O2881" i="2"/>
  <c r="O2882" i="2"/>
  <c r="O2883" i="2"/>
  <c r="O2884" i="2"/>
  <c r="O2885" i="2"/>
  <c r="O2886" i="2"/>
  <c r="O2887" i="2"/>
  <c r="O2888" i="2"/>
  <c r="O2889" i="2"/>
  <c r="O2890" i="2"/>
  <c r="O2891" i="2"/>
  <c r="O2892" i="2"/>
  <c r="O2893" i="2"/>
  <c r="O2894" i="2"/>
  <c r="O2895" i="2"/>
  <c r="O2896" i="2"/>
  <c r="O2897" i="2"/>
  <c r="O2898" i="2"/>
  <c r="O2899" i="2"/>
  <c r="O2900" i="2"/>
  <c r="O2901" i="2"/>
  <c r="O2902" i="2"/>
  <c r="O2903" i="2"/>
  <c r="O2904" i="2"/>
  <c r="O2905" i="2"/>
  <c r="O2906" i="2"/>
  <c r="O2907" i="2"/>
  <c r="O2908" i="2"/>
  <c r="O2909" i="2"/>
  <c r="O2910" i="2"/>
  <c r="O2911" i="2"/>
  <c r="O2912" i="2"/>
  <c r="O2913" i="2"/>
  <c r="O2914" i="2"/>
  <c r="O2915" i="2"/>
  <c r="O2916" i="2"/>
  <c r="O2917" i="2"/>
  <c r="O2918" i="2"/>
  <c r="O2919" i="2"/>
  <c r="O2920" i="2"/>
  <c r="O2921" i="2"/>
  <c r="O2922" i="2"/>
  <c r="O2923" i="2"/>
  <c r="O2924" i="2"/>
  <c r="O2925" i="2"/>
  <c r="O2926" i="2"/>
  <c r="O2927" i="2"/>
  <c r="O2928" i="2"/>
  <c r="O2929" i="2"/>
  <c r="O2930" i="2"/>
  <c r="O2931" i="2"/>
  <c r="O2932" i="2"/>
  <c r="O2933" i="2"/>
  <c r="O2934" i="2"/>
  <c r="O2935" i="2"/>
  <c r="O2936" i="2"/>
  <c r="O2937" i="2"/>
  <c r="O107" i="12"/>
  <c r="N87" i="12"/>
  <c r="M103" i="12"/>
  <c r="M94" i="12"/>
  <c r="M102" i="12"/>
  <c r="M52" i="12"/>
  <c r="L106" i="12"/>
  <c r="L57" i="12"/>
  <c r="L44" i="12"/>
  <c r="K35" i="12"/>
  <c r="K59" i="12"/>
  <c r="K104" i="12"/>
  <c r="K109" i="12"/>
  <c r="J43" i="12"/>
  <c r="J56" i="12"/>
  <c r="J61" i="12"/>
  <c r="J108" i="12"/>
  <c r="I101" i="12"/>
  <c r="I37" i="12"/>
  <c r="I46" i="12"/>
  <c r="I88" i="12"/>
  <c r="H38" i="12"/>
  <c r="H65" i="12"/>
  <c r="H70" i="12"/>
  <c r="H63" i="12"/>
  <c r="G59" i="12"/>
  <c r="G107" i="12"/>
  <c r="G73" i="12"/>
  <c r="F35" i="12"/>
  <c r="F40" i="12"/>
  <c r="F65" i="12"/>
  <c r="F70" i="12"/>
  <c r="O80" i="12"/>
  <c r="O68" i="12"/>
  <c r="N102" i="12"/>
  <c r="N107" i="12"/>
  <c r="N73" i="12"/>
  <c r="M64" i="12"/>
  <c r="M38" i="12"/>
  <c r="M43" i="12"/>
  <c r="M92" i="12"/>
  <c r="L67" i="12"/>
  <c r="L77" i="12"/>
  <c r="L84" i="12"/>
  <c r="K55" i="12"/>
  <c r="K79" i="12"/>
  <c r="K45" i="12"/>
  <c r="K50" i="12"/>
  <c r="J64" i="12"/>
  <c r="J76" i="12"/>
  <c r="J81" i="12"/>
  <c r="J69" i="12"/>
  <c r="I62" i="12"/>
  <c r="I57" i="12"/>
  <c r="I47" i="12"/>
  <c r="I69" i="12"/>
  <c r="H58" i="12"/>
  <c r="H85" i="12"/>
  <c r="H90" i="12"/>
  <c r="H103" i="12"/>
  <c r="G79" i="12"/>
  <c r="G48" i="12"/>
  <c r="G93" i="12"/>
  <c r="F55" i="12"/>
  <c r="F60" i="12"/>
  <c r="F85" i="12"/>
  <c r="F90" i="12"/>
  <c r="O76" i="12"/>
  <c r="O72" i="12"/>
  <c r="O100" i="12"/>
  <c r="O108" i="12"/>
  <c r="N77" i="12"/>
  <c r="N93" i="12"/>
  <c r="M45" i="12"/>
  <c r="M58" i="12"/>
  <c r="M63" i="12"/>
  <c r="M93" i="12"/>
  <c r="L107" i="12"/>
  <c r="L97" i="12"/>
  <c r="L45" i="12"/>
  <c r="K75" i="12"/>
  <c r="K99" i="12"/>
  <c r="K65" i="12"/>
  <c r="K70" i="12"/>
  <c r="J104" i="12"/>
  <c r="J96" i="12"/>
  <c r="J101" i="12"/>
  <c r="J109" i="12"/>
  <c r="I102" i="12"/>
  <c r="I77" i="12"/>
  <c r="I87" i="12"/>
  <c r="I70" i="12"/>
  <c r="H78" i="12"/>
  <c r="H105" i="12"/>
  <c r="H110" i="12"/>
  <c r="G60" i="12"/>
  <c r="G68" i="12"/>
  <c r="G54" i="12"/>
  <c r="F75" i="12"/>
  <c r="F80" i="12"/>
  <c r="F105" i="12"/>
  <c r="F110" i="12"/>
  <c r="K57" i="12"/>
  <c r="O91" i="12"/>
  <c r="H64" i="12"/>
  <c r="I80" i="12"/>
  <c r="F43" i="12"/>
  <c r="O96" i="12"/>
  <c r="O92" i="12"/>
  <c r="O69" i="12"/>
  <c r="N97" i="12"/>
  <c r="N68" i="12"/>
  <c r="M85" i="12"/>
  <c r="M78" i="12"/>
  <c r="M83" i="12"/>
  <c r="M54" i="12"/>
  <c r="L68" i="12"/>
  <c r="L38" i="12"/>
  <c r="L85" i="12"/>
  <c r="K95" i="12"/>
  <c r="K40" i="12"/>
  <c r="K85" i="12"/>
  <c r="K90" i="12"/>
  <c r="J65" i="12"/>
  <c r="J37" i="12"/>
  <c r="J42" i="12"/>
  <c r="J70" i="12"/>
  <c r="I84" i="12"/>
  <c r="I97" i="12"/>
  <c r="I48" i="12"/>
  <c r="I110" i="12"/>
  <c r="H98" i="12"/>
  <c r="H46" i="12"/>
  <c r="H51" i="12"/>
  <c r="H104" i="12"/>
  <c r="G100" i="12"/>
  <c r="G88" i="12"/>
  <c r="G74" i="12"/>
  <c r="F95" i="12"/>
  <c r="F100" i="12"/>
  <c r="F46" i="12"/>
  <c r="F51" i="12"/>
  <c r="O103" i="12"/>
  <c r="O74" i="12"/>
  <c r="O81" i="12"/>
  <c r="N81" i="12"/>
  <c r="N103" i="12"/>
  <c r="N94" i="12"/>
  <c r="M86" i="12"/>
  <c r="M84" i="12"/>
  <c r="L69" i="12"/>
  <c r="L86" i="12"/>
  <c r="K80" i="12"/>
  <c r="K51" i="12"/>
  <c r="J77" i="12"/>
  <c r="J51" i="12"/>
  <c r="I58" i="12"/>
  <c r="I92" i="12"/>
  <c r="H86" i="12"/>
  <c r="G40" i="12"/>
  <c r="G49" i="12"/>
  <c r="F56" i="12"/>
  <c r="F86" i="12"/>
  <c r="O93" i="12"/>
  <c r="O110" i="12"/>
  <c r="N101" i="12"/>
  <c r="M59" i="12"/>
  <c r="L75" i="12"/>
  <c r="L98" i="12"/>
  <c r="K76" i="12"/>
  <c r="K66" i="12"/>
  <c r="J106" i="12"/>
  <c r="J102" i="12"/>
  <c r="I78" i="12"/>
  <c r="I93" i="12"/>
  <c r="H106" i="12"/>
  <c r="G101" i="12"/>
  <c r="G69" i="12"/>
  <c r="F76" i="12"/>
  <c r="F106" i="12"/>
  <c r="J39" i="12"/>
  <c r="I43" i="12"/>
  <c r="H93" i="12"/>
  <c r="G56" i="12"/>
  <c r="F97" i="12"/>
  <c r="F93" i="12"/>
  <c r="L73" i="12"/>
  <c r="K73" i="12"/>
  <c r="I35" i="12"/>
  <c r="H68" i="12"/>
  <c r="G105" i="12"/>
  <c r="F68" i="12"/>
  <c r="O73" i="12"/>
  <c r="O109" i="12"/>
  <c r="N83" i="12"/>
  <c r="N88" i="12"/>
  <c r="N74" i="12"/>
  <c r="M46" i="12"/>
  <c r="M98" i="12"/>
  <c r="M44" i="12"/>
  <c r="L35" i="12"/>
  <c r="L108" i="12"/>
  <c r="L58" i="12"/>
  <c r="L46" i="12"/>
  <c r="K36" i="12"/>
  <c r="K60" i="12"/>
  <c r="K105" i="12"/>
  <c r="K110" i="12"/>
  <c r="J105" i="12"/>
  <c r="J57" i="12"/>
  <c r="J62" i="12"/>
  <c r="J90" i="12"/>
  <c r="I45" i="12"/>
  <c r="I38" i="12"/>
  <c r="I108" i="12"/>
  <c r="I91" i="12"/>
  <c r="H39" i="12"/>
  <c r="H66" i="12"/>
  <c r="H71" i="12"/>
  <c r="G35" i="12"/>
  <c r="G61" i="12"/>
  <c r="G108" i="12"/>
  <c r="G94" i="12"/>
  <c r="F36" i="12"/>
  <c r="F41" i="12"/>
  <c r="F66" i="12"/>
  <c r="F71" i="12"/>
  <c r="O70" i="12"/>
  <c r="N108" i="12"/>
  <c r="M39" i="12"/>
  <c r="L55" i="12"/>
  <c r="L78" i="12"/>
  <c r="K56" i="12"/>
  <c r="K46" i="12"/>
  <c r="J66" i="12"/>
  <c r="J82" i="12"/>
  <c r="I66" i="12"/>
  <c r="I89" i="12"/>
  <c r="H59" i="12"/>
  <c r="H91" i="12"/>
  <c r="G42" i="12"/>
  <c r="G55" i="12"/>
  <c r="F61" i="12"/>
  <c r="F91" i="12"/>
  <c r="O101" i="12"/>
  <c r="N82" i="12"/>
  <c r="M47" i="12"/>
  <c r="M104" i="12"/>
  <c r="L109" i="12"/>
  <c r="L47" i="12"/>
  <c r="K100" i="12"/>
  <c r="K71" i="12"/>
  <c r="J97" i="12"/>
  <c r="J91" i="12"/>
  <c r="I106" i="12"/>
  <c r="I50" i="12"/>
  <c r="H79" i="12"/>
  <c r="H52" i="12"/>
  <c r="G43" i="12"/>
  <c r="G75" i="12"/>
  <c r="F81" i="12"/>
  <c r="F52" i="12"/>
  <c r="J84" i="12"/>
  <c r="H48" i="12"/>
  <c r="G85" i="12"/>
  <c r="F102" i="12"/>
  <c r="O83" i="12"/>
  <c r="L82" i="12"/>
  <c r="K82" i="12"/>
  <c r="J59" i="12"/>
  <c r="I63" i="12"/>
  <c r="H54" i="12"/>
  <c r="G110" i="12"/>
  <c r="F54" i="12"/>
  <c r="O104" i="12"/>
  <c r="O71" i="12"/>
  <c r="N69" i="12"/>
  <c r="M87" i="12"/>
  <c r="M79" i="12"/>
  <c r="M65" i="12"/>
  <c r="L95" i="12"/>
  <c r="L70" i="12"/>
  <c r="L39" i="12"/>
  <c r="L87" i="12"/>
  <c r="K96" i="12"/>
  <c r="K41" i="12"/>
  <c r="K86" i="12"/>
  <c r="K91" i="12"/>
  <c r="J67" i="12"/>
  <c r="J38" i="12"/>
  <c r="J63" i="12"/>
  <c r="J72" i="12"/>
  <c r="I67" i="12"/>
  <c r="I98" i="12"/>
  <c r="I51" i="12"/>
  <c r="I94" i="12"/>
  <c r="H99" i="12"/>
  <c r="H47" i="12"/>
  <c r="H72" i="12"/>
  <c r="G82" i="12"/>
  <c r="G103" i="12"/>
  <c r="G89" i="12"/>
  <c r="G95" i="12"/>
  <c r="F96" i="12"/>
  <c r="F101" i="12"/>
  <c r="F47" i="12"/>
  <c r="F72" i="12"/>
  <c r="N84" i="12"/>
  <c r="N89" i="12"/>
  <c r="M35" i="12"/>
  <c r="M48" i="12"/>
  <c r="M99" i="12"/>
  <c r="M105" i="12"/>
  <c r="L100" i="12"/>
  <c r="L90" i="12"/>
  <c r="L59" i="12"/>
  <c r="L48" i="12"/>
  <c r="K42" i="12"/>
  <c r="K61" i="12"/>
  <c r="K106" i="12"/>
  <c r="K52" i="12"/>
  <c r="J107" i="12"/>
  <c r="J58" i="12"/>
  <c r="J83" i="12"/>
  <c r="J53" i="12"/>
  <c r="I68" i="12"/>
  <c r="I39" i="12"/>
  <c r="I52" i="12"/>
  <c r="H35" i="12"/>
  <c r="H40" i="12"/>
  <c r="H67" i="12"/>
  <c r="H92" i="12"/>
  <c r="G63" i="12"/>
  <c r="G84" i="12"/>
  <c r="G109" i="12"/>
  <c r="G38" i="12"/>
  <c r="F37" i="12"/>
  <c r="F42" i="12"/>
  <c r="F67" i="12"/>
  <c r="F92" i="12"/>
  <c r="G70" i="12"/>
  <c r="F77" i="12"/>
  <c r="F82" i="12"/>
  <c r="F73" i="12"/>
  <c r="L101" i="12"/>
  <c r="K37" i="12"/>
  <c r="K87" i="12"/>
  <c r="J89" i="12"/>
  <c r="I90" i="12"/>
  <c r="I99" i="12"/>
  <c r="H41" i="12"/>
  <c r="G90" i="12"/>
  <c r="F48" i="12"/>
  <c r="N90" i="12"/>
  <c r="L50" i="12"/>
  <c r="J50" i="12"/>
  <c r="I71" i="12"/>
  <c r="H81" i="12"/>
  <c r="G76" i="12"/>
  <c r="F38" i="12"/>
  <c r="O85" i="12"/>
  <c r="O77" i="12"/>
  <c r="O82" i="12"/>
  <c r="N78" i="12"/>
  <c r="N104" i="12"/>
  <c r="N109" i="12"/>
  <c r="M55" i="12"/>
  <c r="M88" i="12"/>
  <c r="M40" i="12"/>
  <c r="M66" i="12"/>
  <c r="L41" i="12"/>
  <c r="L51" i="12"/>
  <c r="L79" i="12"/>
  <c r="L88" i="12"/>
  <c r="K102" i="12"/>
  <c r="K81" i="12"/>
  <c r="K47" i="12"/>
  <c r="K72" i="12"/>
  <c r="J68" i="12"/>
  <c r="J78" i="12"/>
  <c r="J103" i="12"/>
  <c r="J93" i="12"/>
  <c r="I49" i="12"/>
  <c r="I59" i="12"/>
  <c r="I73" i="12"/>
  <c r="H55" i="12"/>
  <c r="H60" i="12"/>
  <c r="H87" i="12"/>
  <c r="H53" i="12"/>
  <c r="G64" i="12"/>
  <c r="G45" i="12"/>
  <c r="G50" i="12"/>
  <c r="G78" i="12"/>
  <c r="F57" i="12"/>
  <c r="F62" i="12"/>
  <c r="F87" i="12"/>
  <c r="F53" i="12"/>
  <c r="O97" i="12"/>
  <c r="O102" i="12"/>
  <c r="N98" i="12"/>
  <c r="M75" i="12"/>
  <c r="M49" i="12"/>
  <c r="M60" i="12"/>
  <c r="M106" i="12"/>
  <c r="L61" i="12"/>
  <c r="L52" i="12"/>
  <c r="L99" i="12"/>
  <c r="L49" i="12"/>
  <c r="K74" i="12"/>
  <c r="K101" i="12"/>
  <c r="K67" i="12"/>
  <c r="K92" i="12"/>
  <c r="J49" i="12"/>
  <c r="J98" i="12"/>
  <c r="J44" i="12"/>
  <c r="J54" i="12"/>
  <c r="I109" i="12"/>
  <c r="I79" i="12"/>
  <c r="I54" i="12"/>
  <c r="H75" i="12"/>
  <c r="H80" i="12"/>
  <c r="H107" i="12"/>
  <c r="H73" i="12"/>
  <c r="G36" i="12"/>
  <c r="G65" i="12"/>
  <c r="G39" i="12"/>
  <c r="F107" i="12"/>
  <c r="O86" i="12"/>
  <c r="O94" i="12"/>
  <c r="N70" i="12"/>
  <c r="M95" i="12"/>
  <c r="M89" i="12"/>
  <c r="M80" i="12"/>
  <c r="M67" i="12"/>
  <c r="L92" i="12"/>
  <c r="L40" i="12"/>
  <c r="L89" i="12"/>
  <c r="K62" i="12"/>
  <c r="K53" i="12"/>
  <c r="J94" i="12"/>
  <c r="H95" i="12"/>
  <c r="G99" i="12"/>
  <c r="N85" i="12"/>
  <c r="M36" i="12"/>
  <c r="M50" i="12"/>
  <c r="M100" i="12"/>
  <c r="M107" i="12"/>
  <c r="L60" i="12"/>
  <c r="K107" i="12"/>
  <c r="J45" i="12"/>
  <c r="H36" i="12"/>
  <c r="G80" i="12"/>
  <c r="O105" i="12"/>
  <c r="N86" i="12"/>
  <c r="N91" i="12"/>
  <c r="M37" i="12"/>
  <c r="M72" i="12"/>
  <c r="M101" i="12"/>
  <c r="M109" i="12"/>
  <c r="L104" i="12"/>
  <c r="L56" i="12"/>
  <c r="L62" i="12"/>
  <c r="L72" i="12"/>
  <c r="K58" i="12"/>
  <c r="K103" i="12"/>
  <c r="K108" i="12"/>
  <c r="J35" i="12"/>
  <c r="J92" i="12"/>
  <c r="J60" i="12"/>
  <c r="J47" i="12"/>
  <c r="I40" i="12"/>
  <c r="I36" i="12"/>
  <c r="I82" i="12"/>
  <c r="I65" i="12"/>
  <c r="H37" i="12"/>
  <c r="H83" i="12"/>
  <c r="H69" i="12"/>
  <c r="H61" i="12"/>
  <c r="G77" i="12"/>
  <c r="G106" i="12"/>
  <c r="G52" i="12"/>
  <c r="G102" i="12"/>
  <c r="F39" i="12"/>
  <c r="F44" i="12"/>
  <c r="F69" i="12"/>
  <c r="O89" i="12"/>
  <c r="O79" i="12"/>
  <c r="O66" i="12"/>
  <c r="N80" i="12"/>
  <c r="N106" i="12"/>
  <c r="M57" i="12"/>
  <c r="M53" i="12"/>
  <c r="M42" i="12"/>
  <c r="M70" i="12"/>
  <c r="L65" i="12"/>
  <c r="L76" i="12"/>
  <c r="L102" i="12"/>
  <c r="L53" i="12"/>
  <c r="K78" i="12"/>
  <c r="K44" i="12"/>
  <c r="K49" i="12"/>
  <c r="J55" i="12"/>
  <c r="J73" i="12"/>
  <c r="J80" i="12"/>
  <c r="J87" i="12"/>
  <c r="I60" i="12"/>
  <c r="I56" i="12"/>
  <c r="I64" i="12"/>
  <c r="I105" i="12"/>
  <c r="H57" i="12"/>
  <c r="H44" i="12"/>
  <c r="H89" i="12"/>
  <c r="H101" i="12"/>
  <c r="G97" i="12"/>
  <c r="G47" i="12"/>
  <c r="G72" i="12"/>
  <c r="G83" i="12"/>
  <c r="F59" i="12"/>
  <c r="F64" i="12"/>
  <c r="F89" i="12"/>
  <c r="O75" i="12"/>
  <c r="O99" i="12"/>
  <c r="O106" i="12"/>
  <c r="N76" i="12"/>
  <c r="N100" i="12"/>
  <c r="N72" i="12"/>
  <c r="M77" i="12"/>
  <c r="M73" i="12"/>
  <c r="M62" i="12"/>
  <c r="M110" i="12"/>
  <c r="L105" i="12"/>
  <c r="L96" i="12"/>
  <c r="L63" i="12"/>
  <c r="L93" i="12"/>
  <c r="K98" i="12"/>
  <c r="K64" i="12"/>
  <c r="K69" i="12"/>
  <c r="J75" i="12"/>
  <c r="J74" i="12"/>
  <c r="J100" i="12"/>
  <c r="J48" i="12"/>
  <c r="I100" i="12"/>
  <c r="I76" i="12"/>
  <c r="I104" i="12"/>
  <c r="I86" i="12"/>
  <c r="H77" i="12"/>
  <c r="H84" i="12"/>
  <c r="H109" i="12"/>
  <c r="H62" i="12"/>
  <c r="G58" i="12"/>
  <c r="G67" i="12"/>
  <c r="G92" i="12"/>
  <c r="G44" i="12"/>
  <c r="F79" i="12"/>
  <c r="F84" i="12"/>
  <c r="F109" i="12"/>
  <c r="O95" i="12"/>
  <c r="O90" i="12"/>
  <c r="O67" i="12"/>
  <c r="N96" i="12"/>
  <c r="N67" i="12"/>
  <c r="N92" i="12"/>
  <c r="M97" i="12"/>
  <c r="M74" i="12"/>
  <c r="M82" i="12"/>
  <c r="M71" i="12"/>
  <c r="L66" i="12"/>
  <c r="N66" i="12"/>
  <c r="L94" i="12"/>
  <c r="K68" i="12"/>
  <c r="I75" i="12"/>
  <c r="H82" i="12"/>
  <c r="G71" i="12"/>
  <c r="F45" i="12"/>
  <c r="H45" i="12"/>
  <c r="F103" i="12"/>
  <c r="H42" i="12"/>
  <c r="N110" i="12"/>
  <c r="L36" i="12"/>
  <c r="K88" i="12"/>
  <c r="I95" i="12"/>
  <c r="H43" i="12"/>
  <c r="G91" i="12"/>
  <c r="F74" i="12"/>
  <c r="L37" i="12"/>
  <c r="K89" i="12"/>
  <c r="I61" i="12"/>
  <c r="G53" i="12"/>
  <c r="O88" i="12"/>
  <c r="L42" i="12"/>
  <c r="K94" i="12"/>
  <c r="I74" i="12"/>
  <c r="O78" i="12"/>
  <c r="L83" i="12"/>
  <c r="I96" i="12"/>
  <c r="G104" i="12"/>
  <c r="G37" i="12"/>
  <c r="K38" i="12"/>
  <c r="M108" i="12"/>
  <c r="F104" i="12"/>
  <c r="N79" i="12"/>
  <c r="H56" i="12"/>
  <c r="F88" i="12"/>
  <c r="L43" i="12"/>
  <c r="G66" i="12"/>
  <c r="G86" i="12"/>
  <c r="F49" i="12"/>
  <c r="L64" i="12"/>
  <c r="G87" i="12"/>
  <c r="L54" i="12"/>
  <c r="G51" i="12"/>
  <c r="I44" i="12"/>
  <c r="K39" i="12"/>
  <c r="K43" i="12"/>
  <c r="J85" i="12"/>
  <c r="G46" i="12"/>
  <c r="N99" i="12"/>
  <c r="H76" i="12"/>
  <c r="L103" i="12"/>
  <c r="J86" i="12"/>
  <c r="N105" i="12"/>
  <c r="K84" i="12"/>
  <c r="F50" i="12"/>
  <c r="I55" i="12"/>
  <c r="F94" i="12"/>
  <c r="O87" i="12"/>
  <c r="N71" i="12"/>
  <c r="L80" i="12"/>
  <c r="K93" i="12"/>
  <c r="I72" i="12"/>
  <c r="H88" i="12"/>
  <c r="G41" i="12"/>
  <c r="G81" i="12"/>
  <c r="M76" i="12"/>
  <c r="G62" i="12"/>
  <c r="M96" i="12"/>
  <c r="J95" i="12"/>
  <c r="H50" i="12"/>
  <c r="M56" i="12"/>
  <c r="L81" i="12"/>
  <c r="K54" i="12"/>
  <c r="I53" i="12"/>
  <c r="H108" i="12"/>
  <c r="H49" i="12"/>
  <c r="M68" i="12"/>
  <c r="G98" i="12"/>
  <c r="K63" i="12"/>
  <c r="H97" i="12"/>
  <c r="K48" i="12"/>
  <c r="O98" i="12"/>
  <c r="M90" i="12"/>
  <c r="L110" i="12"/>
  <c r="J110" i="12"/>
  <c r="I41" i="12"/>
  <c r="H74" i="12"/>
  <c r="F58" i="12"/>
  <c r="M51" i="12"/>
  <c r="L71" i="12"/>
  <c r="J71" i="12"/>
  <c r="I81" i="12"/>
  <c r="H94" i="12"/>
  <c r="F78" i="12"/>
  <c r="J79" i="12"/>
  <c r="J99" i="12"/>
  <c r="J40" i="12"/>
  <c r="I107" i="12"/>
  <c r="M69" i="12"/>
  <c r="J46" i="12"/>
  <c r="H96" i="12"/>
  <c r="J88" i="12"/>
  <c r="M91" i="12"/>
  <c r="L91" i="12"/>
  <c r="J52" i="12"/>
  <c r="I42" i="12"/>
  <c r="H100" i="12"/>
  <c r="F98" i="12"/>
  <c r="O84" i="12"/>
  <c r="M41" i="12"/>
  <c r="L74" i="12"/>
  <c r="J36" i="12"/>
  <c r="I85" i="12"/>
  <c r="H102" i="12"/>
  <c r="F99" i="12"/>
  <c r="M61" i="12"/>
  <c r="K77" i="12"/>
  <c r="I83" i="12"/>
  <c r="G96" i="12"/>
  <c r="F63" i="12"/>
  <c r="M81" i="12"/>
  <c r="K97" i="12"/>
  <c r="I103" i="12"/>
  <c r="F83" i="12"/>
  <c r="N75" i="12"/>
  <c r="G57" i="12"/>
  <c r="N95" i="12"/>
  <c r="J41" i="12"/>
  <c r="F108" i="12"/>
  <c r="K83" i="12"/>
  <c r="M3" i="12" l="1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M58" i="2" s="1"/>
  <c r="L59" i="2"/>
  <c r="M59" i="2" s="1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M86" i="2" s="1"/>
  <c r="L87" i="2"/>
  <c r="L88" i="2"/>
  <c r="L89" i="2"/>
  <c r="M89" i="2" s="1"/>
  <c r="L90" i="2"/>
  <c r="M90" i="2" s="1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M103" i="2" s="1"/>
  <c r="L104" i="2"/>
  <c r="L105" i="2"/>
  <c r="L106" i="2"/>
  <c r="M106" i="2" s="1"/>
  <c r="L107" i="2"/>
  <c r="L108" i="2"/>
  <c r="L109" i="2"/>
  <c r="M109" i="2" s="1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M163" i="2" s="1"/>
  <c r="L164" i="2"/>
  <c r="L165" i="2"/>
  <c r="L166" i="2"/>
  <c r="L167" i="2"/>
  <c r="L168" i="2"/>
  <c r="L169" i="2"/>
  <c r="M169" i="2" s="1"/>
  <c r="L170" i="2"/>
  <c r="M170" i="2" s="1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M258" i="2" s="1"/>
  <c r="L259" i="2"/>
  <c r="M259" i="2" s="1"/>
  <c r="L260" i="2"/>
  <c r="M260" i="2" s="1"/>
  <c r="L261" i="2"/>
  <c r="M261" i="2" s="1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M318" i="2" s="1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M343" i="2" s="1"/>
  <c r="L344" i="2"/>
  <c r="L345" i="2"/>
  <c r="L346" i="2"/>
  <c r="M346" i="2" s="1"/>
  <c r="L347" i="2"/>
  <c r="L348" i="2"/>
  <c r="L349" i="2"/>
  <c r="M349" i="2" s="1"/>
  <c r="L350" i="2"/>
  <c r="M350" i="2" s="1"/>
  <c r="L351" i="2"/>
  <c r="L352" i="2"/>
  <c r="L353" i="2"/>
  <c r="L354" i="2"/>
  <c r="L355" i="2"/>
  <c r="L356" i="2"/>
  <c r="L357" i="2"/>
  <c r="L358" i="2"/>
  <c r="L359" i="2"/>
  <c r="L360" i="2"/>
  <c r="M360" i="2" s="1"/>
  <c r="L361" i="2"/>
  <c r="M361" i="2" s="1"/>
  <c r="L362" i="2"/>
  <c r="L363" i="2"/>
  <c r="M363" i="2" s="1"/>
  <c r="L364" i="2"/>
  <c r="L365" i="2"/>
  <c r="L366" i="2"/>
  <c r="L367" i="2"/>
  <c r="L368" i="2"/>
  <c r="L369" i="2"/>
  <c r="M369" i="2" s="1"/>
  <c r="L370" i="2"/>
  <c r="M370" i="2" s="1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M418" i="2" s="1"/>
  <c r="L419" i="2"/>
  <c r="M419" i="2" s="1"/>
  <c r="L420" i="2"/>
  <c r="M420" i="2" s="1"/>
  <c r="L421" i="2"/>
  <c r="L422" i="2"/>
  <c r="L423" i="2"/>
  <c r="M423" i="2" s="1"/>
  <c r="L424" i="2"/>
  <c r="L425" i="2"/>
  <c r="L426" i="2"/>
  <c r="M426" i="2" s="1"/>
  <c r="L427" i="2"/>
  <c r="L428" i="2"/>
  <c r="L429" i="2"/>
  <c r="M429" i="2" s="1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M458" i="2" s="1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M518" i="2" s="1"/>
  <c r="L519" i="2"/>
  <c r="M519" i="2" s="1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M550" i="2" s="1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M603" i="2" s="1"/>
  <c r="L604" i="2"/>
  <c r="L605" i="2"/>
  <c r="L606" i="2"/>
  <c r="M606" i="2" s="1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M623" i="2" s="1"/>
  <c r="L624" i="2"/>
  <c r="L625" i="2"/>
  <c r="L626" i="2"/>
  <c r="M626" i="2" s="1"/>
  <c r="L627" i="2"/>
  <c r="L628" i="2"/>
  <c r="L629" i="2"/>
  <c r="M629" i="2" s="1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M678" i="2" s="1"/>
  <c r="L679" i="2"/>
  <c r="L680" i="2"/>
  <c r="M680" i="2" s="1"/>
  <c r="L681" i="2"/>
  <c r="M681" i="2" s="1"/>
  <c r="L682" i="2"/>
  <c r="L683" i="2"/>
  <c r="M683" i="2" s="1"/>
  <c r="L684" i="2"/>
  <c r="L685" i="2"/>
  <c r="L686" i="2"/>
  <c r="M686" i="2" s="1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M818" i="2" s="1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M860" i="2" s="1"/>
  <c r="L861" i="2"/>
  <c r="M861" i="2" s="1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M878" i="2" s="1"/>
  <c r="L879" i="2"/>
  <c r="L880" i="2"/>
  <c r="M880" i="2" s="1"/>
  <c r="L881" i="2"/>
  <c r="L882" i="2"/>
  <c r="L883" i="2"/>
  <c r="M883" i="2" s="1"/>
  <c r="L884" i="2"/>
  <c r="L885" i="2"/>
  <c r="L886" i="2"/>
  <c r="M886" i="2" s="1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M943" i="2" s="1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M971" i="2" s="1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M1049" i="2" s="1"/>
  <c r="L1050" i="2"/>
  <c r="M1050" i="2" s="1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M1103" i="2" s="1"/>
  <c r="L1104" i="2"/>
  <c r="L1105" i="2"/>
  <c r="L1106" i="2"/>
  <c r="M1106" i="2" s="1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M1138" i="2" s="1"/>
  <c r="L1139" i="2"/>
  <c r="M1139" i="2" s="1"/>
  <c r="L1140" i="2"/>
  <c r="M1140" i="2" s="1"/>
  <c r="L1141" i="2"/>
  <c r="M1141" i="2" s="1"/>
  <c r="L1142" i="2"/>
  <c r="L1143" i="2"/>
  <c r="M1143" i="2" s="1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M1198" i="2" s="1"/>
  <c r="L1199" i="2"/>
  <c r="M1199" i="2" s="1"/>
  <c r="L1200" i="2"/>
  <c r="M1200" i="2" s="1"/>
  <c r="L1201" i="2"/>
  <c r="M1201" i="2" s="1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M1286" i="2" s="1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M1303" i="2" s="1"/>
  <c r="L1304" i="2"/>
  <c r="L1305" i="2"/>
  <c r="L1306" i="2"/>
  <c r="M1306" i="2" s="1"/>
  <c r="L1307" i="2"/>
  <c r="L1308" i="2"/>
  <c r="L1309" i="2"/>
  <c r="M1309" i="2" s="1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M1363" i="2" s="1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M1483" i="2" s="1"/>
  <c r="L1484" i="2"/>
  <c r="L1485" i="2"/>
  <c r="L1486" i="2"/>
  <c r="M1486" i="2" s="1"/>
  <c r="L1487" i="2"/>
  <c r="L1488" i="2"/>
  <c r="L1489" i="2"/>
  <c r="M1489" i="2" s="1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M1538" i="2" s="1"/>
  <c r="L1539" i="2"/>
  <c r="M1539" i="2" s="1"/>
  <c r="L1540" i="2"/>
  <c r="L1541" i="2"/>
  <c r="L1542" i="2"/>
  <c r="L1543" i="2"/>
  <c r="M1543" i="2" s="1"/>
  <c r="L1544" i="2"/>
  <c r="L1545" i="2"/>
  <c r="L1546" i="2"/>
  <c r="M1546" i="2" s="1"/>
  <c r="L1547" i="2"/>
  <c r="L1548" i="2"/>
  <c r="L1549" i="2"/>
  <c r="M1549" i="2" s="1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M1575" i="2" s="1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M1599" i="2" s="1"/>
  <c r="L1600" i="2"/>
  <c r="M1600" i="2" s="1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M1626" i="2" s="1"/>
  <c r="L1627" i="2"/>
  <c r="L1628" i="2"/>
  <c r="L1629" i="2"/>
  <c r="M1629" i="2" s="1"/>
  <c r="L1630" i="2"/>
  <c r="M1630" i="2" s="1"/>
  <c r="L1631" i="2"/>
  <c r="M1631" i="2" s="1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M1649" i="2" s="1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M1686" i="2" s="1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M1722" i="2" s="1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M1762" i="2" s="1"/>
  <c r="L1763" i="2"/>
  <c r="M1763" i="2" s="1"/>
  <c r="L1764" i="2"/>
  <c r="M1764" i="2" s="1"/>
  <c r="L1765" i="2"/>
  <c r="L1766" i="2"/>
  <c r="M1766" i="2" s="1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M1782" i="2" s="1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M1822" i="2" s="1"/>
  <c r="L1823" i="2"/>
  <c r="M1823" i="2" s="1"/>
  <c r="L1824" i="2"/>
  <c r="M1824" i="2" s="1"/>
  <c r="L1825" i="2"/>
  <c r="L1826" i="2"/>
  <c r="M1826" i="2" s="1"/>
  <c r="L1827" i="2"/>
  <c r="M1827" i="2" s="1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M1862" i="2" s="1"/>
  <c r="L1863" i="2"/>
  <c r="M1863" i="2" s="1"/>
  <c r="L1864" i="2"/>
  <c r="M1864" i="2" s="1"/>
  <c r="L1865" i="2"/>
  <c r="M1865" i="2" s="1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M1882" i="2" s="1"/>
  <c r="L1883" i="2"/>
  <c r="M1883" i="2" s="1"/>
  <c r="L1884" i="2"/>
  <c r="M1884" i="2" s="1"/>
  <c r="L1885" i="2"/>
  <c r="M1885" i="2" s="1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M1922" i="2" s="1"/>
  <c r="L1923" i="2"/>
  <c r="M1923" i="2" s="1"/>
  <c r="L1924" i="2"/>
  <c r="M1924" i="2" s="1"/>
  <c r="L1925" i="2"/>
  <c r="M1925" i="2" s="1"/>
  <c r="L1926" i="2"/>
  <c r="M1926" i="2" s="1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M1941" i="2" s="1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M1968" i="2" s="1"/>
  <c r="L1969" i="2"/>
  <c r="M1969" i="2" s="1"/>
  <c r="L1970" i="2"/>
  <c r="M1970" i="2" s="1"/>
  <c r="L1971" i="2"/>
  <c r="M1971" i="2" s="1"/>
  <c r="L1972" i="2"/>
  <c r="M1972" i="2" s="1"/>
  <c r="L1973" i="2"/>
  <c r="M1973" i="2" s="1"/>
  <c r="L1974" i="2"/>
  <c r="M1974" i="2" s="1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M2005" i="2" s="1"/>
  <c r="L2006" i="2"/>
  <c r="M2006" i="2" s="1"/>
  <c r="L2007" i="2"/>
  <c r="L2008" i="2"/>
  <c r="M2008" i="2" s="1"/>
  <c r="L2009" i="2"/>
  <c r="M2009" i="2" s="1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M2025" i="2" s="1"/>
  <c r="L2026" i="2"/>
  <c r="M2026" i="2" s="1"/>
  <c r="L2027" i="2"/>
  <c r="M2027" i="2" s="1"/>
  <c r="L2028" i="2"/>
  <c r="M2028" i="2" s="1"/>
  <c r="L2029" i="2"/>
  <c r="M2029" i="2" s="1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M2062" i="2" s="1"/>
  <c r="L2063" i="2"/>
  <c r="M2063" i="2" s="1"/>
  <c r="L2064" i="2"/>
  <c r="M2064" i="2" s="1"/>
  <c r="L2065" i="2"/>
  <c r="M2065" i="2" s="1"/>
  <c r="L2066" i="2"/>
  <c r="M2066" i="2" s="1"/>
  <c r="L2067" i="2"/>
  <c r="M2067" i="2" s="1"/>
  <c r="L2068" i="2"/>
  <c r="M2068" i="2" s="1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M2083" i="2" s="1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M2108" i="2" s="1"/>
  <c r="L2109" i="2"/>
  <c r="M2109" i="2" s="1"/>
  <c r="L2110" i="2"/>
  <c r="L2111" i="2"/>
  <c r="L2112" i="2"/>
  <c r="L2113" i="2"/>
  <c r="L2114" i="2"/>
  <c r="L2115" i="2"/>
  <c r="L2116" i="2"/>
  <c r="L2117" i="2"/>
  <c r="L2118" i="2"/>
  <c r="M2118" i="2" s="1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M2140" i="2" s="1"/>
  <c r="L2141" i="2"/>
  <c r="M2141" i="2" s="1"/>
  <c r="L2142" i="2"/>
  <c r="M2142" i="2" s="1"/>
  <c r="L2143" i="2"/>
  <c r="M2143" i="2" s="1"/>
  <c r="L2144" i="2"/>
  <c r="M2144" i="2" s="1"/>
  <c r="L2145" i="2"/>
  <c r="M2145" i="2" s="1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M2158" i="2" s="1"/>
  <c r="L2159" i="2"/>
  <c r="M2159" i="2" s="1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M2182" i="2" s="1"/>
  <c r="L2183" i="2"/>
  <c r="M2183" i="2" s="1"/>
  <c r="L2184" i="2"/>
  <c r="M2184" i="2" s="1"/>
  <c r="L2185" i="2"/>
  <c r="M2185" i="2" s="1"/>
  <c r="L2186" i="2"/>
  <c r="M2186" i="2" s="1"/>
  <c r="L2187" i="2"/>
  <c r="M2187" i="2" s="1"/>
  <c r="L2188" i="2"/>
  <c r="M2188" i="2" s="1"/>
  <c r="L2189" i="2"/>
  <c r="M2189" i="2" s="1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M2222" i="2" s="1"/>
  <c r="L2223" i="2"/>
  <c r="M2223" i="2" s="1"/>
  <c r="L2224" i="2"/>
  <c r="M2224" i="2" s="1"/>
  <c r="L2225" i="2"/>
  <c r="M2225" i="2" s="1"/>
  <c r="L2226" i="2"/>
  <c r="M2226" i="2" s="1"/>
  <c r="L2227" i="2"/>
  <c r="M2227" i="2" s="1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M2245" i="2" s="1"/>
  <c r="L2246" i="2"/>
  <c r="M2246" i="2" s="1"/>
  <c r="L2247" i="2"/>
  <c r="L2248" i="2"/>
  <c r="M2248" i="2" s="1"/>
  <c r="L2249" i="2"/>
  <c r="M2249" i="2" s="1"/>
  <c r="L2250" i="2"/>
  <c r="L2251" i="2"/>
  <c r="L2252" i="2"/>
  <c r="L2253" i="2"/>
  <c r="L2254" i="2"/>
  <c r="L2255" i="2"/>
  <c r="L2256" i="2"/>
  <c r="L2257" i="2"/>
  <c r="L2258" i="2"/>
  <c r="L2259" i="2"/>
  <c r="M2259" i="2" s="1"/>
  <c r="L2260" i="2"/>
  <c r="M2260" i="2" s="1"/>
  <c r="L2261" i="2"/>
  <c r="M2261" i="2" s="1"/>
  <c r="L2262" i="2"/>
  <c r="M2262" i="2" s="1"/>
  <c r="L2263" i="2"/>
  <c r="M2263" i="2" s="1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M2281" i="2" s="1"/>
  <c r="L2282" i="2"/>
  <c r="M2282" i="2" s="1"/>
  <c r="L2283" i="2"/>
  <c r="M2283" i="2" s="1"/>
  <c r="L2284" i="2"/>
  <c r="M2284" i="2" s="1"/>
  <c r="L2285" i="2"/>
  <c r="M2285" i="2" s="1"/>
  <c r="L2286" i="2"/>
  <c r="M2286" i="2" s="1"/>
  <c r="L2287" i="2"/>
  <c r="M2287" i="2" s="1"/>
  <c r="L2288" i="2"/>
  <c r="M2288" i="2" s="1"/>
  <c r="L2289" i="2"/>
  <c r="M2289" i="2" s="1"/>
  <c r="L2290" i="2"/>
  <c r="M2290" i="2" s="1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M2320" i="2" s="1"/>
  <c r="L2321" i="2"/>
  <c r="M2321" i="2" s="1"/>
  <c r="L2322" i="2"/>
  <c r="M2322" i="2" s="1"/>
  <c r="L2323" i="2"/>
  <c r="M2323" i="2" s="1"/>
  <c r="L2324" i="2"/>
  <c r="M2324" i="2" s="1"/>
  <c r="L2325" i="2"/>
  <c r="M2325" i="2" s="1"/>
  <c r="L2326" i="2"/>
  <c r="M2326" i="2" s="1"/>
  <c r="L2327" i="2"/>
  <c r="M2327" i="2" s="1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M2345" i="2" s="1"/>
  <c r="L2346" i="2"/>
  <c r="M2346" i="2" s="1"/>
  <c r="L2347" i="2"/>
  <c r="L2348" i="2"/>
  <c r="M2348" i="2" s="1"/>
  <c r="L2349" i="2"/>
  <c r="M2349" i="2" s="1"/>
  <c r="L2350" i="2"/>
  <c r="L2351" i="2"/>
  <c r="L2352" i="2"/>
  <c r="L2353" i="2"/>
  <c r="L2354" i="2"/>
  <c r="L2355" i="2"/>
  <c r="L2356" i="2"/>
  <c r="L2357" i="2"/>
  <c r="L2358" i="2"/>
  <c r="L2359" i="2"/>
  <c r="M2359" i="2" s="1"/>
  <c r="L2360" i="2"/>
  <c r="M2360" i="2" s="1"/>
  <c r="L2361" i="2"/>
  <c r="M2361" i="2" s="1"/>
  <c r="L2362" i="2"/>
  <c r="M2362" i="2" s="1"/>
  <c r="L2363" i="2"/>
  <c r="M2363" i="2" s="1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M2381" i="2" s="1"/>
  <c r="L2382" i="2"/>
  <c r="M2382" i="2" s="1"/>
  <c r="L2383" i="2"/>
  <c r="M2383" i="2" s="1"/>
  <c r="L2384" i="2"/>
  <c r="M2384" i="2" s="1"/>
  <c r="L2385" i="2"/>
  <c r="M2385" i="2" s="1"/>
  <c r="L2386" i="2"/>
  <c r="M2386" i="2" s="1"/>
  <c r="L2387" i="2"/>
  <c r="M2387" i="2" s="1"/>
  <c r="L2388" i="2"/>
  <c r="M2388" i="2" s="1"/>
  <c r="L2389" i="2"/>
  <c r="M2389" i="2" s="1"/>
  <c r="L2390" i="2"/>
  <c r="L2391" i="2"/>
  <c r="L2392" i="2"/>
  <c r="L2393" i="2"/>
  <c r="L2394" i="2"/>
  <c r="L2395" i="2"/>
  <c r="L2396" i="2"/>
  <c r="L2397" i="2"/>
  <c r="L2398" i="2"/>
  <c r="L2399" i="2"/>
  <c r="M2399" i="2" s="1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M2422" i="2" s="1"/>
  <c r="L2423" i="2"/>
  <c r="M2423" i="2" s="1"/>
  <c r="L2424" i="2"/>
  <c r="M2424" i="2" s="1"/>
  <c r="L2425" i="2"/>
  <c r="M2425" i="2" s="1"/>
  <c r="L2426" i="2"/>
  <c r="M2426" i="2" s="1"/>
  <c r="L2427" i="2"/>
  <c r="M2427" i="2" s="1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M2445" i="2" s="1"/>
  <c r="L2446" i="2"/>
  <c r="M2446" i="2" s="1"/>
  <c r="L2447" i="2"/>
  <c r="M2447" i="2" s="1"/>
  <c r="L2448" i="2"/>
  <c r="M2448" i="2" s="1"/>
  <c r="L2449" i="2"/>
  <c r="M2449" i="2" s="1"/>
  <c r="L2450" i="2"/>
  <c r="L2451" i="2"/>
  <c r="L2452" i="2"/>
  <c r="L2453" i="2"/>
  <c r="L2454" i="2"/>
  <c r="L2455" i="2"/>
  <c r="L2456" i="2"/>
  <c r="L2457" i="2"/>
  <c r="L2458" i="2"/>
  <c r="L2459" i="2"/>
  <c r="M2459" i="2" s="1"/>
  <c r="L2460" i="2"/>
  <c r="M2460" i="2" s="1"/>
  <c r="L2461" i="2"/>
  <c r="M2461" i="2" s="1"/>
  <c r="L2462" i="2"/>
  <c r="M2462" i="2" s="1"/>
  <c r="L2463" i="2"/>
  <c r="M2463" i="2" s="1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M2481" i="2" s="1"/>
  <c r="L2482" i="2"/>
  <c r="M2482" i="2" s="1"/>
  <c r="L2483" i="2"/>
  <c r="M2483" i="2" s="1"/>
  <c r="L2484" i="2"/>
  <c r="M2484" i="2" s="1"/>
  <c r="L2485" i="2"/>
  <c r="M2485" i="2" s="1"/>
  <c r="L2486" i="2"/>
  <c r="M2486" i="2" s="1"/>
  <c r="L2487" i="2"/>
  <c r="M2487" i="2" s="1"/>
  <c r="L2488" i="2"/>
  <c r="M2488" i="2" s="1"/>
  <c r="L2489" i="2"/>
  <c r="M2489" i="2" s="1"/>
  <c r="L2490" i="2"/>
  <c r="M2490" i="2" s="1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M2520" i="2" s="1"/>
  <c r="L2521" i="2"/>
  <c r="M2521" i="2" s="1"/>
  <c r="L2522" i="2"/>
  <c r="M2522" i="2" s="1"/>
  <c r="L2523" i="2"/>
  <c r="M2523" i="2" s="1"/>
  <c r="L2524" i="2"/>
  <c r="M2524" i="2" s="1"/>
  <c r="L2525" i="2"/>
  <c r="M2525" i="2" s="1"/>
  <c r="L2526" i="2"/>
  <c r="M2526" i="2" s="1"/>
  <c r="L2527" i="2"/>
  <c r="M2527" i="2" s="1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M2545" i="2" s="1"/>
  <c r="L2546" i="2"/>
  <c r="M2546" i="2" s="1"/>
  <c r="L2547" i="2"/>
  <c r="L2548" i="2"/>
  <c r="M2548" i="2" s="1"/>
  <c r="L2549" i="2"/>
  <c r="M2549" i="2" s="1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M2562" i="2" s="1"/>
  <c r="L2563" i="2"/>
  <c r="M2563" i="2" s="1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M2581" i="2" s="1"/>
  <c r="L2582" i="2"/>
  <c r="M2582" i="2" s="1"/>
  <c r="L2583" i="2"/>
  <c r="M2583" i="2" s="1"/>
  <c r="L2584" i="2"/>
  <c r="M2584" i="2" s="1"/>
  <c r="L2585" i="2"/>
  <c r="M2585" i="2" s="1"/>
  <c r="L2586" i="2"/>
  <c r="M2586" i="2" s="1"/>
  <c r="L2587" i="2"/>
  <c r="M2587" i="2" s="1"/>
  <c r="L2588" i="2"/>
  <c r="M2588" i="2" s="1"/>
  <c r="L2589" i="2"/>
  <c r="M2589" i="2" s="1"/>
  <c r="L2590" i="2"/>
  <c r="L2591" i="2"/>
  <c r="L2592" i="2"/>
  <c r="L2593" i="2"/>
  <c r="L2594" i="2"/>
  <c r="L2595" i="2"/>
  <c r="L2596" i="2"/>
  <c r="L2597" i="2"/>
  <c r="L2598" i="2"/>
  <c r="L2599" i="2"/>
  <c r="M2599" i="2" s="1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M2619" i="2" s="1"/>
  <c r="L2620" i="2"/>
  <c r="M2620" i="2" s="1"/>
  <c r="L2621" i="2"/>
  <c r="M2621" i="2" s="1"/>
  <c r="L2622" i="2"/>
  <c r="M2622" i="2" s="1"/>
  <c r="L2623" i="2"/>
  <c r="M2623" i="2" s="1"/>
  <c r="L2624" i="2"/>
  <c r="M2624" i="2" s="1"/>
  <c r="L2625" i="2"/>
  <c r="M2625" i="2" s="1"/>
  <c r="L2626" i="2"/>
  <c r="M2626" i="2" s="1"/>
  <c r="L2627" i="2"/>
  <c r="M2627" i="2" s="1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M2645" i="2" s="1"/>
  <c r="L2646" i="2"/>
  <c r="M2646" i="2" s="1"/>
  <c r="L2647" i="2"/>
  <c r="M2647" i="2" s="1"/>
  <c r="L2648" i="2"/>
  <c r="M2648" i="2" s="1"/>
  <c r="L2649" i="2"/>
  <c r="M2649" i="2" s="1"/>
  <c r="L2650" i="2"/>
  <c r="L2651" i="2"/>
  <c r="L2652" i="2"/>
  <c r="L2653" i="2"/>
  <c r="L2654" i="2"/>
  <c r="L2655" i="2"/>
  <c r="L2656" i="2"/>
  <c r="L2657" i="2"/>
  <c r="L2658" i="2"/>
  <c r="L2659" i="2"/>
  <c r="M2659" i="2" s="1"/>
  <c r="L2660" i="2"/>
  <c r="M2660" i="2" s="1"/>
  <c r="L2661" i="2"/>
  <c r="L2662" i="2"/>
  <c r="M2662" i="2" s="1"/>
  <c r="L2663" i="2"/>
  <c r="M2663" i="2" s="1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M2682" i="2" s="1"/>
  <c r="L2683" i="2"/>
  <c r="M2683" i="2" s="1"/>
  <c r="L2684" i="2"/>
  <c r="M2684" i="2" s="1"/>
  <c r="L2685" i="2"/>
  <c r="M2685" i="2" s="1"/>
  <c r="L2686" i="2"/>
  <c r="M2686" i="2" s="1"/>
  <c r="L2687" i="2"/>
  <c r="M2687" i="2" s="1"/>
  <c r="L2688" i="2"/>
  <c r="M2688" i="2" s="1"/>
  <c r="L2689" i="2"/>
  <c r="M2689" i="2" s="1"/>
  <c r="L2690" i="2"/>
  <c r="M2690" i="2" s="1"/>
  <c r="L2691" i="2"/>
  <c r="L2692" i="2"/>
  <c r="L2693" i="2"/>
  <c r="L2694" i="2"/>
  <c r="L2695" i="2"/>
  <c r="L2696" i="2"/>
  <c r="L2697" i="2"/>
  <c r="L2698" i="2"/>
  <c r="L2699" i="2"/>
  <c r="M2699" i="2" s="1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M2719" i="2" s="1"/>
  <c r="L2720" i="2"/>
  <c r="M2720" i="2" s="1"/>
  <c r="L2721" i="2"/>
  <c r="M2721" i="2" s="1"/>
  <c r="L2722" i="2"/>
  <c r="M2722" i="2" s="1"/>
  <c r="L2723" i="2"/>
  <c r="M2723" i="2" s="1"/>
  <c r="L2724" i="2"/>
  <c r="M2724" i="2" s="1"/>
  <c r="L2725" i="2"/>
  <c r="M2725" i="2" s="1"/>
  <c r="L2726" i="2"/>
  <c r="M2726" i="2" s="1"/>
  <c r="L2727" i="2"/>
  <c r="M2727" i="2" s="1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M2745" i="2" s="1"/>
  <c r="L2746" i="2"/>
  <c r="M2746" i="2" s="1"/>
  <c r="L2747" i="2"/>
  <c r="M2747" i="2" s="1"/>
  <c r="L2748" i="2"/>
  <c r="M2748" i="2" s="1"/>
  <c r="L2749" i="2"/>
  <c r="M2749" i="2" s="1"/>
  <c r="L2750" i="2"/>
  <c r="M2750" i="2" s="1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M2762" i="2" s="1"/>
  <c r="L2763" i="2"/>
  <c r="M2763" i="2" s="1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M2781" i="2" s="1"/>
  <c r="L2782" i="2"/>
  <c r="M2782" i="2" s="1"/>
  <c r="L2783" i="2"/>
  <c r="M2783" i="2" s="1"/>
  <c r="L2784" i="2"/>
  <c r="M2784" i="2" s="1"/>
  <c r="L2785" i="2"/>
  <c r="M2785" i="2" s="1"/>
  <c r="L2786" i="2"/>
  <c r="M2786" i="2" s="1"/>
  <c r="L2787" i="2"/>
  <c r="M2787" i="2" s="1"/>
  <c r="L2788" i="2"/>
  <c r="M2788" i="2" s="1"/>
  <c r="L2789" i="2"/>
  <c r="M2789" i="2" s="1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M2819" i="2" s="1"/>
  <c r="L2820" i="2"/>
  <c r="M2820" i="2" s="1"/>
  <c r="L2821" i="2"/>
  <c r="M2821" i="2" s="1"/>
  <c r="L2822" i="2"/>
  <c r="M2822" i="2" s="1"/>
  <c r="L2823" i="2"/>
  <c r="M2823" i="2" s="1"/>
  <c r="L2824" i="2"/>
  <c r="M2824" i="2" s="1"/>
  <c r="L2825" i="2"/>
  <c r="M2825" i="2" s="1"/>
  <c r="L2826" i="2"/>
  <c r="M2826" i="2" s="1"/>
  <c r="L2827" i="2"/>
  <c r="M2827" i="2" s="1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M2845" i="2" s="1"/>
  <c r="L2846" i="2"/>
  <c r="M2846" i="2" s="1"/>
  <c r="L2847" i="2"/>
  <c r="M2847" i="2" s="1"/>
  <c r="L2848" i="2"/>
  <c r="M2848" i="2" s="1"/>
  <c r="L2849" i="2"/>
  <c r="M2849" i="2" s="1"/>
  <c r="L2850" i="2"/>
  <c r="L2851" i="2"/>
  <c r="L2852" i="2"/>
  <c r="L2853" i="2"/>
  <c r="L2854" i="2"/>
  <c r="L2855" i="2"/>
  <c r="L2856" i="2"/>
  <c r="L2857" i="2"/>
  <c r="L2858" i="2"/>
  <c r="L2859" i="2"/>
  <c r="M2859" i="2" s="1"/>
  <c r="L2860" i="2"/>
  <c r="L2861" i="2"/>
  <c r="L2862" i="2"/>
  <c r="M2862" i="2" s="1"/>
  <c r="L2863" i="2"/>
  <c r="M2863" i="2" s="1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M2882" i="2" s="1"/>
  <c r="L2883" i="2"/>
  <c r="M2883" i="2" s="1"/>
  <c r="L2884" i="2"/>
  <c r="M2884" i="2" s="1"/>
  <c r="L2885" i="2"/>
  <c r="M2885" i="2" s="1"/>
  <c r="L2886" i="2"/>
  <c r="M2886" i="2" s="1"/>
  <c r="L2887" i="2"/>
  <c r="M2887" i="2" s="1"/>
  <c r="L2888" i="2"/>
  <c r="M2888" i="2" s="1"/>
  <c r="L2889" i="2"/>
  <c r="M2889" i="2" s="1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M2903" i="2" s="1"/>
  <c r="L2904" i="2"/>
  <c r="M2904" i="2" s="1"/>
  <c r="L2905" i="2"/>
  <c r="M2905" i="2" s="1"/>
  <c r="L2906" i="2"/>
  <c r="M2906" i="2" s="1"/>
  <c r="L2907" i="2"/>
  <c r="M2907" i="2" s="1"/>
  <c r="L2908" i="2"/>
  <c r="M2908" i="2" s="1"/>
  <c r="L2909" i="2"/>
  <c r="M2909" i="2" s="1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M2923" i="2" s="1"/>
  <c r="L2924" i="2"/>
  <c r="M2924" i="2" s="1"/>
  <c r="L2925" i="2"/>
  <c r="M2925" i="2" s="1"/>
  <c r="L2926" i="2"/>
  <c r="M2926" i="2" s="1"/>
  <c r="L2927" i="2"/>
  <c r="M2927" i="2" s="1"/>
  <c r="L2928" i="2"/>
  <c r="M2928" i="2" s="1"/>
  <c r="L2929" i="2"/>
  <c r="M2929" i="2" s="1"/>
  <c r="L2930" i="2"/>
  <c r="L2931" i="2"/>
  <c r="L2932" i="2"/>
  <c r="L2933" i="2"/>
  <c r="L2934" i="2"/>
  <c r="L2935" i="2"/>
  <c r="L2936" i="2"/>
  <c r="L2937" i="2"/>
  <c r="N2882" i="2" l="1"/>
  <c r="N2363" i="2"/>
  <c r="N2360" i="2"/>
  <c r="N2263" i="2"/>
  <c r="N2445" i="2"/>
  <c r="N2362" i="2"/>
  <c r="N2361" i="2"/>
  <c r="N2142" i="2"/>
  <c r="N2083" i="2"/>
  <c r="N1862" i="2"/>
  <c r="N1824" i="2"/>
  <c r="N2863" i="2"/>
  <c r="N1823" i="2"/>
  <c r="N1827" i="2"/>
  <c r="N2888" i="2"/>
  <c r="N2862" i="2"/>
  <c r="N1822" i="2"/>
  <c r="N2762" i="2"/>
  <c r="N1722" i="2"/>
  <c r="N1826" i="2"/>
  <c r="N2688" i="2"/>
  <c r="N1143" i="2"/>
  <c r="N2682" i="2"/>
  <c r="N1106" i="2"/>
  <c r="N2889" i="2"/>
  <c r="N2663" i="2"/>
  <c r="N1103" i="2"/>
  <c r="N2662" i="2"/>
  <c r="N943" i="2"/>
  <c r="N2545" i="2"/>
  <c r="N860" i="2"/>
  <c r="N2745" i="2"/>
  <c r="N2248" i="2"/>
  <c r="N1629" i="2"/>
  <c r="N2859" i="2"/>
  <c r="N2359" i="2"/>
  <c r="N2689" i="2"/>
  <c r="N2143" i="2"/>
  <c r="N1599" i="2"/>
  <c r="N2486" i="2"/>
  <c r="N2064" i="2"/>
  <c r="N2068" i="2"/>
  <c r="N2485" i="2"/>
  <c r="N2063" i="2"/>
  <c r="N818" i="2"/>
  <c r="N1198" i="2"/>
  <c r="N2484" i="2"/>
  <c r="N2062" i="2"/>
  <c r="N681" i="2"/>
  <c r="N2483" i="2"/>
  <c r="N1969" i="2"/>
  <c r="N678" i="2"/>
  <c r="N2924" i="2"/>
  <c r="N2482" i="2"/>
  <c r="N1968" i="2"/>
  <c r="N629" i="2"/>
  <c r="N2118" i="2"/>
  <c r="N2108" i="2"/>
  <c r="N2923" i="2"/>
  <c r="N2446" i="2"/>
  <c r="N1863" i="2"/>
  <c r="N623" i="2"/>
  <c r="N2884" i="2"/>
  <c r="N2684" i="2"/>
  <c r="N2462" i="2"/>
  <c r="N2246" i="2"/>
  <c r="N2066" i="2"/>
  <c r="N1782" i="2"/>
  <c r="N2887" i="2"/>
  <c r="N2687" i="2"/>
  <c r="N2886" i="2"/>
  <c r="N2686" i="2"/>
  <c r="N2885" i="2"/>
  <c r="N2685" i="2"/>
  <c r="N2463" i="2"/>
  <c r="N2067" i="2"/>
  <c r="N2883" i="2"/>
  <c r="N2683" i="2"/>
  <c r="N2447" i="2"/>
  <c r="N2245" i="2"/>
  <c r="N2065" i="2"/>
  <c r="N1762" i="2"/>
  <c r="N680" i="2"/>
  <c r="N2645" i="2"/>
  <c r="N2424" i="2"/>
  <c r="N2222" i="2"/>
  <c r="N1941" i="2"/>
  <c r="N1546" i="2"/>
  <c r="N603" i="2"/>
  <c r="N2227" i="2"/>
  <c r="N2427" i="2"/>
  <c r="N2425" i="2"/>
  <c r="N2826" i="2"/>
  <c r="N2623" i="2"/>
  <c r="N2929" i="2"/>
  <c r="N2825" i="2"/>
  <c r="N2622" i="2"/>
  <c r="N2423" i="2"/>
  <c r="N2182" i="2"/>
  <c r="N1926" i="2"/>
  <c r="N1543" i="2"/>
  <c r="N370" i="2"/>
  <c r="N1626" i="2"/>
  <c r="N2646" i="2"/>
  <c r="N606" i="2"/>
  <c r="N2928" i="2"/>
  <c r="N2824" i="2"/>
  <c r="N2582" i="2"/>
  <c r="N2422" i="2"/>
  <c r="N2159" i="2"/>
  <c r="N1925" i="2"/>
  <c r="N1363" i="2"/>
  <c r="N369" i="2"/>
  <c r="N2927" i="2"/>
  <c r="N2823" i="2"/>
  <c r="N2563" i="2"/>
  <c r="N2383" i="2"/>
  <c r="N2158" i="2"/>
  <c r="N1924" i="2"/>
  <c r="N1201" i="2"/>
  <c r="N363" i="2"/>
  <c r="N2226" i="2"/>
  <c r="N2225" i="2"/>
  <c r="N2426" i="2"/>
  <c r="N2224" i="2"/>
  <c r="N2827" i="2"/>
  <c r="N2223" i="2"/>
  <c r="N2926" i="2"/>
  <c r="N2822" i="2"/>
  <c r="N2562" i="2"/>
  <c r="N2382" i="2"/>
  <c r="N2145" i="2"/>
  <c r="N1923" i="2"/>
  <c r="N1200" i="2"/>
  <c r="N343" i="2"/>
  <c r="N626" i="2"/>
  <c r="N1575" i="2"/>
  <c r="N2925" i="2"/>
  <c r="N2763" i="2"/>
  <c r="N2546" i="2"/>
  <c r="N2381" i="2"/>
  <c r="N2144" i="2"/>
  <c r="N1922" i="2"/>
  <c r="N1199" i="2"/>
  <c r="N163" i="2"/>
  <c r="M2861" i="2"/>
  <c r="N2861" i="2"/>
  <c r="M2661" i="2"/>
  <c r="N2661" i="2"/>
  <c r="M2221" i="2"/>
  <c r="N2221" i="2"/>
  <c r="M2161" i="2"/>
  <c r="N2161" i="2"/>
  <c r="M2061" i="2"/>
  <c r="N2061" i="2"/>
  <c r="M1981" i="2"/>
  <c r="N1981" i="2"/>
  <c r="M1541" i="2"/>
  <c r="N1541" i="2"/>
  <c r="M1481" i="2"/>
  <c r="N1481" i="2"/>
  <c r="M1401" i="2"/>
  <c r="N1401" i="2"/>
  <c r="M1361" i="2"/>
  <c r="N1361" i="2"/>
  <c r="M941" i="2"/>
  <c r="N941" i="2"/>
  <c r="M881" i="2"/>
  <c r="N881" i="2"/>
  <c r="M601" i="2"/>
  <c r="N601" i="2"/>
  <c r="M161" i="2"/>
  <c r="N161" i="2"/>
  <c r="N2481" i="2"/>
  <c r="N2141" i="2"/>
  <c r="M2420" i="2"/>
  <c r="N2420" i="2"/>
  <c r="M2220" i="2"/>
  <c r="N2220" i="2"/>
  <c r="M2180" i="2"/>
  <c r="N2180" i="2"/>
  <c r="M2160" i="2"/>
  <c r="N2160" i="2"/>
  <c r="M1540" i="2"/>
  <c r="N1540" i="2"/>
  <c r="M620" i="2"/>
  <c r="N620" i="2"/>
  <c r="M560" i="2"/>
  <c r="N560" i="2"/>
  <c r="M140" i="2"/>
  <c r="N140" i="2"/>
  <c r="M2799" i="2"/>
  <c r="N2799" i="2"/>
  <c r="M2559" i="2"/>
  <c r="N2559" i="2"/>
  <c r="M2519" i="2"/>
  <c r="N2519" i="2"/>
  <c r="M2299" i="2"/>
  <c r="N2299" i="2"/>
  <c r="M2219" i="2"/>
  <c r="N2219" i="2"/>
  <c r="M1119" i="2"/>
  <c r="N1119" i="2"/>
  <c r="M939" i="2"/>
  <c r="N939" i="2"/>
  <c r="M619" i="2"/>
  <c r="N619" i="2"/>
  <c r="M1458" i="2"/>
  <c r="N1458" i="2"/>
  <c r="M198" i="2"/>
  <c r="N198" i="2"/>
  <c r="N2821" i="2"/>
  <c r="N1141" i="2"/>
  <c r="N420" i="2"/>
  <c r="N419" i="2"/>
  <c r="N2819" i="2"/>
  <c r="N2620" i="2"/>
  <c r="N418" i="2"/>
  <c r="N2619" i="2"/>
  <c r="N1138" i="2"/>
  <c r="N2699" i="2"/>
  <c r="N2581" i="2"/>
  <c r="N361" i="2"/>
  <c r="N360" i="2"/>
  <c r="N2399" i="2"/>
  <c r="N1974" i="2"/>
  <c r="N878" i="2"/>
  <c r="M2881" i="2"/>
  <c r="N2881" i="2"/>
  <c r="M2761" i="2"/>
  <c r="N2761" i="2"/>
  <c r="M2681" i="2"/>
  <c r="N2681" i="2"/>
  <c r="M2561" i="2"/>
  <c r="N2561" i="2"/>
  <c r="M2421" i="2"/>
  <c r="N2421" i="2"/>
  <c r="M2181" i="2"/>
  <c r="N2181" i="2"/>
  <c r="M2860" i="2"/>
  <c r="N2860" i="2"/>
  <c r="M2760" i="2"/>
  <c r="N2760" i="2"/>
  <c r="M2560" i="2"/>
  <c r="N2560" i="2"/>
  <c r="M1400" i="2"/>
  <c r="N1400" i="2"/>
  <c r="M940" i="2"/>
  <c r="N940" i="2"/>
  <c r="M200" i="2"/>
  <c r="N200" i="2"/>
  <c r="M160" i="2"/>
  <c r="N160" i="2"/>
  <c r="N2320" i="2"/>
  <c r="N2140" i="2"/>
  <c r="M2759" i="2"/>
  <c r="N2759" i="2"/>
  <c r="M2499" i="2"/>
  <c r="N2499" i="2"/>
  <c r="M2419" i="2"/>
  <c r="N2419" i="2"/>
  <c r="M2319" i="2"/>
  <c r="N2319" i="2"/>
  <c r="M2199" i="2"/>
  <c r="N2199" i="2"/>
  <c r="M1399" i="2"/>
  <c r="N1399" i="2"/>
  <c r="M199" i="2"/>
  <c r="N199" i="2"/>
  <c r="N2281" i="2"/>
  <c r="M1398" i="2"/>
  <c r="N1398" i="2"/>
  <c r="M938" i="2"/>
  <c r="N938" i="2"/>
  <c r="M618" i="2"/>
  <c r="N618" i="2"/>
  <c r="N2820" i="2"/>
  <c r="N2621" i="2"/>
  <c r="N1140" i="2"/>
  <c r="N1139" i="2"/>
  <c r="N2599" i="2"/>
  <c r="N880" i="2"/>
  <c r="N1600" i="2"/>
  <c r="N861" i="2"/>
  <c r="N2289" i="2"/>
  <c r="N170" i="2"/>
  <c r="N2288" i="2"/>
  <c r="N169" i="2"/>
  <c r="N2287" i="2"/>
  <c r="N2286" i="2"/>
  <c r="N2749" i="2"/>
  <c r="N2627" i="2"/>
  <c r="N2285" i="2"/>
  <c r="N2748" i="2"/>
  <c r="N2626" i="2"/>
  <c r="N2489" i="2"/>
  <c r="N2284" i="2"/>
  <c r="N1766" i="2"/>
  <c r="N886" i="2"/>
  <c r="N2747" i="2"/>
  <c r="N2625" i="2"/>
  <c r="N2488" i="2"/>
  <c r="N2283" i="2"/>
  <c r="N1764" i="2"/>
  <c r="N883" i="2"/>
  <c r="N426" i="2"/>
  <c r="N103" i="2"/>
  <c r="N2746" i="2"/>
  <c r="N2624" i="2"/>
  <c r="N2487" i="2"/>
  <c r="N2282" i="2"/>
  <c r="N1763" i="2"/>
  <c r="N1303" i="2"/>
  <c r="N423" i="2"/>
  <c r="N2831" i="2"/>
  <c r="M2831" i="2"/>
  <c r="N2591" i="2"/>
  <c r="M2591" i="2"/>
  <c r="N2411" i="2"/>
  <c r="M2411" i="2"/>
  <c r="N2211" i="2"/>
  <c r="M2211" i="2"/>
  <c r="N2071" i="2"/>
  <c r="M2071" i="2"/>
  <c r="N1931" i="2"/>
  <c r="M1931" i="2"/>
  <c r="N1751" i="2"/>
  <c r="M1751" i="2"/>
  <c r="N1571" i="2"/>
  <c r="M1571" i="2"/>
  <c r="N1431" i="2"/>
  <c r="M1431" i="2"/>
  <c r="N1191" i="2"/>
  <c r="M1191" i="2"/>
  <c r="N1011" i="2"/>
  <c r="M1011" i="2"/>
  <c r="N871" i="2"/>
  <c r="M871" i="2"/>
  <c r="N731" i="2"/>
  <c r="M731" i="2"/>
  <c r="N551" i="2"/>
  <c r="M551" i="2"/>
  <c r="M2890" i="2"/>
  <c r="N2890" i="2"/>
  <c r="N2710" i="2"/>
  <c r="M2710" i="2"/>
  <c r="M2590" i="2"/>
  <c r="N2590" i="2"/>
  <c r="N2330" i="2"/>
  <c r="M2330" i="2"/>
  <c r="N2190" i="2"/>
  <c r="M2190" i="2"/>
  <c r="N2090" i="2"/>
  <c r="M2090" i="2"/>
  <c r="N1950" i="2"/>
  <c r="M1950" i="2"/>
  <c r="N1730" i="2"/>
  <c r="M1730" i="2"/>
  <c r="N1310" i="2"/>
  <c r="M1310" i="2"/>
  <c r="N2290" i="2"/>
  <c r="N2750" i="2"/>
  <c r="N2891" i="2"/>
  <c r="M2891" i="2"/>
  <c r="N2771" i="2"/>
  <c r="M2771" i="2"/>
  <c r="N2691" i="2"/>
  <c r="M2691" i="2"/>
  <c r="N2571" i="2"/>
  <c r="M2571" i="2"/>
  <c r="N2431" i="2"/>
  <c r="M2431" i="2"/>
  <c r="N2291" i="2"/>
  <c r="M2291" i="2"/>
  <c r="N2131" i="2"/>
  <c r="M2131" i="2"/>
  <c r="N1911" i="2"/>
  <c r="M1911" i="2"/>
  <c r="N1391" i="2"/>
  <c r="M1391" i="2"/>
  <c r="N1131" i="2"/>
  <c r="M1131" i="2"/>
  <c r="N951" i="2"/>
  <c r="M951" i="2"/>
  <c r="N831" i="2"/>
  <c r="M831" i="2"/>
  <c r="N591" i="2"/>
  <c r="M591" i="2"/>
  <c r="M2930" i="2"/>
  <c r="N2930" i="2"/>
  <c r="N2630" i="2"/>
  <c r="M2630" i="2"/>
  <c r="N2430" i="2"/>
  <c r="M2430" i="2"/>
  <c r="N2130" i="2"/>
  <c r="M2130" i="2"/>
  <c r="M2010" i="2"/>
  <c r="N2010" i="2"/>
  <c r="N1890" i="2"/>
  <c r="M1890" i="2"/>
  <c r="N1710" i="2"/>
  <c r="M1710" i="2"/>
  <c r="N1390" i="2"/>
  <c r="M1390" i="2"/>
  <c r="N2937" i="2"/>
  <c r="M2937" i="2"/>
  <c r="N2897" i="2"/>
  <c r="M2897" i="2"/>
  <c r="N2817" i="2"/>
  <c r="M2817" i="2"/>
  <c r="N2697" i="2"/>
  <c r="M2697" i="2"/>
  <c r="N2617" i="2"/>
  <c r="M2617" i="2"/>
  <c r="N2537" i="2"/>
  <c r="M2537" i="2"/>
  <c r="N2437" i="2"/>
  <c r="M2437" i="2"/>
  <c r="N2337" i="2"/>
  <c r="M2337" i="2"/>
  <c r="N2237" i="2"/>
  <c r="M2237" i="2"/>
  <c r="N2177" i="2"/>
  <c r="M2177" i="2"/>
  <c r="N2057" i="2"/>
  <c r="M2057" i="2"/>
  <c r="N2017" i="2"/>
  <c r="M2017" i="2"/>
  <c r="N1917" i="2"/>
  <c r="M1917" i="2"/>
  <c r="N1817" i="2"/>
  <c r="M1817" i="2"/>
  <c r="N1717" i="2"/>
  <c r="M1717" i="2"/>
  <c r="N1557" i="2"/>
  <c r="M1557" i="2"/>
  <c r="N1417" i="2"/>
  <c r="M1417" i="2"/>
  <c r="N1277" i="2"/>
  <c r="M1277" i="2"/>
  <c r="N1157" i="2"/>
  <c r="M1157" i="2"/>
  <c r="N1017" i="2"/>
  <c r="M1017" i="2"/>
  <c r="N837" i="2"/>
  <c r="M837" i="2"/>
  <c r="N697" i="2"/>
  <c r="M697" i="2"/>
  <c r="N577" i="2"/>
  <c r="M577" i="2"/>
  <c r="N437" i="2"/>
  <c r="M437" i="2"/>
  <c r="N277" i="2"/>
  <c r="M277" i="2"/>
  <c r="N157" i="2"/>
  <c r="M157" i="2"/>
  <c r="N2876" i="2"/>
  <c r="M2876" i="2"/>
  <c r="N2816" i="2"/>
  <c r="M2816" i="2"/>
  <c r="N2776" i="2"/>
  <c r="M2776" i="2"/>
  <c r="N2696" i="2"/>
  <c r="M2696" i="2"/>
  <c r="N2616" i="2"/>
  <c r="M2616" i="2"/>
  <c r="N2516" i="2"/>
  <c r="M2516" i="2"/>
  <c r="N2456" i="2"/>
  <c r="M2456" i="2"/>
  <c r="N2356" i="2"/>
  <c r="M2356" i="2"/>
  <c r="N2316" i="2"/>
  <c r="M2316" i="2"/>
  <c r="N2296" i="2"/>
  <c r="M2296" i="2"/>
  <c r="N2196" i="2"/>
  <c r="M2196" i="2"/>
  <c r="N2176" i="2"/>
  <c r="M2176" i="2"/>
  <c r="N2156" i="2"/>
  <c r="M2156" i="2"/>
  <c r="N2136" i="2"/>
  <c r="M2136" i="2"/>
  <c r="N2116" i="2"/>
  <c r="M2116" i="2"/>
  <c r="N2096" i="2"/>
  <c r="M2096" i="2"/>
  <c r="N2076" i="2"/>
  <c r="M2076" i="2"/>
  <c r="N2056" i="2"/>
  <c r="M2056" i="2"/>
  <c r="N2036" i="2"/>
  <c r="M2036" i="2"/>
  <c r="N2016" i="2"/>
  <c r="M2016" i="2"/>
  <c r="N1996" i="2"/>
  <c r="M1996" i="2"/>
  <c r="N1976" i="2"/>
  <c r="M1976" i="2"/>
  <c r="N1956" i="2"/>
  <c r="M1956" i="2"/>
  <c r="N1936" i="2"/>
  <c r="M1936" i="2"/>
  <c r="N1916" i="2"/>
  <c r="M1916" i="2"/>
  <c r="N1896" i="2"/>
  <c r="M1896" i="2"/>
  <c r="N1876" i="2"/>
  <c r="M1876" i="2"/>
  <c r="N1856" i="2"/>
  <c r="M1856" i="2"/>
  <c r="N1836" i="2"/>
  <c r="M1836" i="2"/>
  <c r="N1816" i="2"/>
  <c r="M1816" i="2"/>
  <c r="N1796" i="2"/>
  <c r="M1796" i="2"/>
  <c r="N1776" i="2"/>
  <c r="M1776" i="2"/>
  <c r="N1756" i="2"/>
  <c r="M1756" i="2"/>
  <c r="N1736" i="2"/>
  <c r="M1736" i="2"/>
  <c r="N1716" i="2"/>
  <c r="M1716" i="2"/>
  <c r="N1696" i="2"/>
  <c r="M1696" i="2"/>
  <c r="N1676" i="2"/>
  <c r="M1676" i="2"/>
  <c r="N1656" i="2"/>
  <c r="M1656" i="2"/>
  <c r="N1636" i="2"/>
  <c r="M1636" i="2"/>
  <c r="N1616" i="2"/>
  <c r="M1616" i="2"/>
  <c r="N1596" i="2"/>
  <c r="M1596" i="2"/>
  <c r="N1576" i="2"/>
  <c r="M1576" i="2"/>
  <c r="N1556" i="2"/>
  <c r="M1556" i="2"/>
  <c r="N1536" i="2"/>
  <c r="M1536" i="2"/>
  <c r="N1516" i="2"/>
  <c r="M1516" i="2"/>
  <c r="N1496" i="2"/>
  <c r="M1496" i="2"/>
  <c r="N1476" i="2"/>
  <c r="M1476" i="2"/>
  <c r="N1456" i="2"/>
  <c r="M1456" i="2"/>
  <c r="N1436" i="2"/>
  <c r="M1436" i="2"/>
  <c r="N1416" i="2"/>
  <c r="M1416" i="2"/>
  <c r="N1396" i="2"/>
  <c r="M1396" i="2"/>
  <c r="N1376" i="2"/>
  <c r="M1376" i="2"/>
  <c r="N1356" i="2"/>
  <c r="M1356" i="2"/>
  <c r="M1336" i="2"/>
  <c r="N1336" i="2"/>
  <c r="N1316" i="2"/>
  <c r="M1316" i="2"/>
  <c r="N1296" i="2"/>
  <c r="M1296" i="2"/>
  <c r="N1276" i="2"/>
  <c r="M1276" i="2"/>
  <c r="N1256" i="2"/>
  <c r="M1256" i="2"/>
  <c r="N1236" i="2"/>
  <c r="M1236" i="2"/>
  <c r="N1216" i="2"/>
  <c r="M1216" i="2"/>
  <c r="N1196" i="2"/>
  <c r="M1196" i="2"/>
  <c r="N1176" i="2"/>
  <c r="M1176" i="2"/>
  <c r="N1156" i="2"/>
  <c r="M1156" i="2"/>
  <c r="N1136" i="2"/>
  <c r="M1136" i="2"/>
  <c r="N1116" i="2"/>
  <c r="M1116" i="2"/>
  <c r="N1096" i="2"/>
  <c r="M1096" i="2"/>
  <c r="N1076" i="2"/>
  <c r="M1076" i="2"/>
  <c r="N1056" i="2"/>
  <c r="M1056" i="2"/>
  <c r="N1036" i="2"/>
  <c r="M1036" i="2"/>
  <c r="N1016" i="2"/>
  <c r="M1016" i="2"/>
  <c r="N996" i="2"/>
  <c r="M996" i="2"/>
  <c r="M976" i="2"/>
  <c r="N976" i="2"/>
  <c r="N956" i="2"/>
  <c r="M956" i="2"/>
  <c r="N936" i="2"/>
  <c r="M936" i="2"/>
  <c r="N916" i="2"/>
  <c r="M916" i="2"/>
  <c r="N896" i="2"/>
  <c r="M896" i="2"/>
  <c r="N876" i="2"/>
  <c r="M876" i="2"/>
  <c r="N856" i="2"/>
  <c r="M856" i="2"/>
  <c r="N836" i="2"/>
  <c r="M836" i="2"/>
  <c r="N816" i="2"/>
  <c r="M816" i="2"/>
  <c r="N796" i="2"/>
  <c r="M796" i="2"/>
  <c r="N776" i="2"/>
  <c r="M776" i="2"/>
  <c r="N756" i="2"/>
  <c r="M756" i="2"/>
  <c r="N736" i="2"/>
  <c r="M736" i="2"/>
  <c r="N716" i="2"/>
  <c r="M716" i="2"/>
  <c r="N696" i="2"/>
  <c r="M696" i="2"/>
  <c r="N676" i="2"/>
  <c r="M676" i="2"/>
  <c r="N656" i="2"/>
  <c r="M656" i="2"/>
  <c r="N636" i="2"/>
  <c r="M636" i="2"/>
  <c r="N616" i="2"/>
  <c r="M616" i="2"/>
  <c r="N596" i="2"/>
  <c r="M596" i="2"/>
  <c r="N576" i="2"/>
  <c r="M576" i="2"/>
  <c r="N556" i="2"/>
  <c r="M556" i="2"/>
  <c r="N536" i="2"/>
  <c r="M536" i="2"/>
  <c r="N516" i="2"/>
  <c r="M516" i="2"/>
  <c r="N496" i="2"/>
  <c r="M496" i="2"/>
  <c r="N476" i="2"/>
  <c r="M476" i="2"/>
  <c r="N456" i="2"/>
  <c r="M456" i="2"/>
  <c r="N436" i="2"/>
  <c r="M436" i="2"/>
  <c r="N416" i="2"/>
  <c r="M416" i="2"/>
  <c r="N396" i="2"/>
  <c r="M396" i="2"/>
  <c r="N376" i="2"/>
  <c r="M376" i="2"/>
  <c r="N356" i="2"/>
  <c r="M356" i="2"/>
  <c r="N336" i="2"/>
  <c r="M336" i="2"/>
  <c r="N316" i="2"/>
  <c r="M316" i="2"/>
  <c r="N296" i="2"/>
  <c r="M296" i="2"/>
  <c r="N276" i="2"/>
  <c r="M276" i="2"/>
  <c r="N256" i="2"/>
  <c r="M256" i="2"/>
  <c r="N236" i="2"/>
  <c r="M236" i="2"/>
  <c r="N216" i="2"/>
  <c r="M216" i="2"/>
  <c r="N196" i="2"/>
  <c r="M196" i="2"/>
  <c r="N176" i="2"/>
  <c r="M176" i="2"/>
  <c r="N156" i="2"/>
  <c r="M156" i="2"/>
  <c r="N136" i="2"/>
  <c r="M136" i="2"/>
  <c r="N116" i="2"/>
  <c r="M116" i="2"/>
  <c r="N96" i="2"/>
  <c r="M96" i="2"/>
  <c r="N76" i="2"/>
  <c r="M76" i="2"/>
  <c r="N56" i="2"/>
  <c r="M56" i="2"/>
  <c r="N36" i="2"/>
  <c r="M36" i="2"/>
  <c r="N16" i="2"/>
  <c r="M16" i="2"/>
  <c r="N1973" i="2"/>
  <c r="M2911" i="2"/>
  <c r="N2911" i="2"/>
  <c r="N2811" i="2"/>
  <c r="M2811" i="2"/>
  <c r="N2731" i="2"/>
  <c r="M2731" i="2"/>
  <c r="N2651" i="2"/>
  <c r="M2651" i="2"/>
  <c r="N2531" i="2"/>
  <c r="M2531" i="2"/>
  <c r="N2471" i="2"/>
  <c r="M2471" i="2"/>
  <c r="N2391" i="2"/>
  <c r="M2391" i="2"/>
  <c r="N2331" i="2"/>
  <c r="M2331" i="2"/>
  <c r="N2251" i="2"/>
  <c r="M2251" i="2"/>
  <c r="N2151" i="2"/>
  <c r="M2151" i="2"/>
  <c r="N2091" i="2"/>
  <c r="M2091" i="2"/>
  <c r="N2011" i="2"/>
  <c r="M2011" i="2"/>
  <c r="N1951" i="2"/>
  <c r="M1951" i="2"/>
  <c r="N1871" i="2"/>
  <c r="M1871" i="2"/>
  <c r="N1831" i="2"/>
  <c r="M1831" i="2"/>
  <c r="N1731" i="2"/>
  <c r="M1731" i="2"/>
  <c r="M1711" i="2"/>
  <c r="N1711" i="2"/>
  <c r="N1651" i="2"/>
  <c r="M1651" i="2"/>
  <c r="N1591" i="2"/>
  <c r="M1591" i="2"/>
  <c r="N1511" i="2"/>
  <c r="M1511" i="2"/>
  <c r="N1451" i="2"/>
  <c r="M1451" i="2"/>
  <c r="N1351" i="2"/>
  <c r="M1351" i="2"/>
  <c r="M1311" i="2"/>
  <c r="N1311" i="2"/>
  <c r="M1231" i="2"/>
  <c r="N1231" i="2"/>
  <c r="N1211" i="2"/>
  <c r="M1211" i="2"/>
  <c r="N1151" i="2"/>
  <c r="M1151" i="2"/>
  <c r="N1091" i="2"/>
  <c r="M1091" i="2"/>
  <c r="M1051" i="2"/>
  <c r="N1051" i="2"/>
  <c r="N931" i="2"/>
  <c r="M931" i="2"/>
  <c r="N911" i="2"/>
  <c r="M911" i="2"/>
  <c r="N851" i="2"/>
  <c r="M851" i="2"/>
  <c r="N771" i="2"/>
  <c r="M771" i="2"/>
  <c r="N711" i="2"/>
  <c r="M711" i="2"/>
  <c r="N691" i="2"/>
  <c r="M691" i="2"/>
  <c r="N651" i="2"/>
  <c r="M651" i="2"/>
  <c r="N611" i="2"/>
  <c r="M611" i="2"/>
  <c r="N511" i="2"/>
  <c r="M511" i="2"/>
  <c r="N451" i="2"/>
  <c r="M451" i="2"/>
  <c r="N431" i="2"/>
  <c r="M431" i="2"/>
  <c r="N391" i="2"/>
  <c r="M391" i="2"/>
  <c r="N371" i="2"/>
  <c r="M371" i="2"/>
  <c r="N351" i="2"/>
  <c r="M351" i="2"/>
  <c r="N311" i="2"/>
  <c r="M311" i="2"/>
  <c r="M291" i="2"/>
  <c r="N291" i="2"/>
  <c r="N251" i="2"/>
  <c r="M251" i="2"/>
  <c r="N211" i="2"/>
  <c r="M211" i="2"/>
  <c r="N171" i="2"/>
  <c r="M171" i="2"/>
  <c r="N131" i="2"/>
  <c r="M131" i="2"/>
  <c r="M111" i="2"/>
  <c r="N111" i="2"/>
  <c r="M91" i="2"/>
  <c r="N91" i="2"/>
  <c r="N31" i="2"/>
  <c r="M31" i="2"/>
  <c r="M2910" i="2"/>
  <c r="N2910" i="2"/>
  <c r="M2850" i="2"/>
  <c r="N2850" i="2"/>
  <c r="N2770" i="2"/>
  <c r="M2770" i="2"/>
  <c r="N2670" i="2"/>
  <c r="M2670" i="2"/>
  <c r="N2570" i="2"/>
  <c r="M2570" i="2"/>
  <c r="N2530" i="2"/>
  <c r="M2530" i="2"/>
  <c r="N2410" i="2"/>
  <c r="M2410" i="2"/>
  <c r="M2350" i="2"/>
  <c r="N2350" i="2"/>
  <c r="N2230" i="2"/>
  <c r="M2230" i="2"/>
  <c r="N2170" i="2"/>
  <c r="M2170" i="2"/>
  <c r="M2110" i="2"/>
  <c r="N2110" i="2"/>
  <c r="N1990" i="2"/>
  <c r="M1990" i="2"/>
  <c r="N1850" i="2"/>
  <c r="M1850" i="2"/>
  <c r="N1690" i="2"/>
  <c r="M1690" i="2"/>
  <c r="N1590" i="2"/>
  <c r="M1590" i="2"/>
  <c r="N1510" i="2"/>
  <c r="M1510" i="2"/>
  <c r="M1490" i="2"/>
  <c r="N1490" i="2"/>
  <c r="N1470" i="2"/>
  <c r="M1470" i="2"/>
  <c r="N1370" i="2"/>
  <c r="M1370" i="2"/>
  <c r="N1290" i="2"/>
  <c r="M1290" i="2"/>
  <c r="N1250" i="2"/>
  <c r="M1250" i="2"/>
  <c r="N1190" i="2"/>
  <c r="M1190" i="2"/>
  <c r="N2490" i="2"/>
  <c r="N971" i="2"/>
  <c r="N2690" i="2"/>
  <c r="N2917" i="2"/>
  <c r="M2917" i="2"/>
  <c r="N2837" i="2"/>
  <c r="M2837" i="2"/>
  <c r="N2797" i="2"/>
  <c r="M2797" i="2"/>
  <c r="N2757" i="2"/>
  <c r="M2757" i="2"/>
  <c r="N2677" i="2"/>
  <c r="M2677" i="2"/>
  <c r="N2657" i="2"/>
  <c r="M2657" i="2"/>
  <c r="N2637" i="2"/>
  <c r="M2637" i="2"/>
  <c r="N2577" i="2"/>
  <c r="M2577" i="2"/>
  <c r="N2517" i="2"/>
  <c r="M2517" i="2"/>
  <c r="N2477" i="2"/>
  <c r="M2477" i="2"/>
  <c r="N2417" i="2"/>
  <c r="M2417" i="2"/>
  <c r="N2377" i="2"/>
  <c r="M2377" i="2"/>
  <c r="N2297" i="2"/>
  <c r="M2297" i="2"/>
  <c r="N2217" i="2"/>
  <c r="M2217" i="2"/>
  <c r="N2077" i="2"/>
  <c r="M2077" i="2"/>
  <c r="N1957" i="2"/>
  <c r="M1957" i="2"/>
  <c r="N1857" i="2"/>
  <c r="M1857" i="2"/>
  <c r="N1837" i="2"/>
  <c r="M1837" i="2"/>
  <c r="N1777" i="2"/>
  <c r="M1777" i="2"/>
  <c r="N1737" i="2"/>
  <c r="M1737" i="2"/>
  <c r="N1637" i="2"/>
  <c r="M1637" i="2"/>
  <c r="N1617" i="2"/>
  <c r="M1617" i="2"/>
  <c r="N1577" i="2"/>
  <c r="M1577" i="2"/>
  <c r="N1517" i="2"/>
  <c r="M1517" i="2"/>
  <c r="N1477" i="2"/>
  <c r="M1477" i="2"/>
  <c r="N1437" i="2"/>
  <c r="M1437" i="2"/>
  <c r="N1397" i="2"/>
  <c r="M1397" i="2"/>
  <c r="N1357" i="2"/>
  <c r="M1357" i="2"/>
  <c r="N1337" i="2"/>
  <c r="M1337" i="2"/>
  <c r="N1257" i="2"/>
  <c r="M1257" i="2"/>
  <c r="N1177" i="2"/>
  <c r="M1177" i="2"/>
  <c r="N1117" i="2"/>
  <c r="M1117" i="2"/>
  <c r="N1077" i="2"/>
  <c r="M1077" i="2"/>
  <c r="N1057" i="2"/>
  <c r="M1057" i="2"/>
  <c r="N1037" i="2"/>
  <c r="M1037" i="2"/>
  <c r="N997" i="2"/>
  <c r="M997" i="2"/>
  <c r="N977" i="2"/>
  <c r="M977" i="2"/>
  <c r="N917" i="2"/>
  <c r="M917" i="2"/>
  <c r="N897" i="2"/>
  <c r="M897" i="2"/>
  <c r="N877" i="2"/>
  <c r="M877" i="2"/>
  <c r="N857" i="2"/>
  <c r="M857" i="2"/>
  <c r="N817" i="2"/>
  <c r="M817" i="2"/>
  <c r="N777" i="2"/>
  <c r="M777" i="2"/>
  <c r="N757" i="2"/>
  <c r="M757" i="2"/>
  <c r="N737" i="2"/>
  <c r="M737" i="2"/>
  <c r="N677" i="2"/>
  <c r="M677" i="2"/>
  <c r="N637" i="2"/>
  <c r="M637" i="2"/>
  <c r="N597" i="2"/>
  <c r="M597" i="2"/>
  <c r="N537" i="2"/>
  <c r="M537" i="2"/>
  <c r="N477" i="2"/>
  <c r="M477" i="2"/>
  <c r="N417" i="2"/>
  <c r="M417" i="2"/>
  <c r="N377" i="2"/>
  <c r="M377" i="2"/>
  <c r="N357" i="2"/>
  <c r="M357" i="2"/>
  <c r="N297" i="2"/>
  <c r="M297" i="2"/>
  <c r="N257" i="2"/>
  <c r="M257" i="2"/>
  <c r="N217" i="2"/>
  <c r="M217" i="2"/>
  <c r="N177" i="2"/>
  <c r="M177" i="2"/>
  <c r="N117" i="2"/>
  <c r="M117" i="2"/>
  <c r="N77" i="2"/>
  <c r="M77" i="2"/>
  <c r="N57" i="2"/>
  <c r="M57" i="2"/>
  <c r="N37" i="2"/>
  <c r="M37" i="2"/>
  <c r="N17" i="2"/>
  <c r="M17" i="2"/>
  <c r="N2916" i="2"/>
  <c r="M2916" i="2"/>
  <c r="N2796" i="2"/>
  <c r="M2796" i="2"/>
  <c r="N2716" i="2"/>
  <c r="M2716" i="2"/>
  <c r="N2656" i="2"/>
  <c r="M2656" i="2"/>
  <c r="N2596" i="2"/>
  <c r="M2596" i="2"/>
  <c r="N2476" i="2"/>
  <c r="M2476" i="2"/>
  <c r="N2396" i="2"/>
  <c r="M2396" i="2"/>
  <c r="N2336" i="2"/>
  <c r="M2336" i="2"/>
  <c r="N2276" i="2"/>
  <c r="M2276" i="2"/>
  <c r="N2935" i="2"/>
  <c r="M2935" i="2"/>
  <c r="N2735" i="2"/>
  <c r="M2735" i="2"/>
  <c r="N2655" i="2"/>
  <c r="M2655" i="2"/>
  <c r="N2595" i="2"/>
  <c r="M2595" i="2"/>
  <c r="N2535" i="2"/>
  <c r="M2535" i="2"/>
  <c r="N2495" i="2"/>
  <c r="M2495" i="2"/>
  <c r="N2475" i="2"/>
  <c r="M2475" i="2"/>
  <c r="N2435" i="2"/>
  <c r="M2435" i="2"/>
  <c r="N2375" i="2"/>
  <c r="M2375" i="2"/>
  <c r="N2355" i="2"/>
  <c r="M2355" i="2"/>
  <c r="N2335" i="2"/>
  <c r="M2335" i="2"/>
  <c r="N2315" i="2"/>
  <c r="M2315" i="2"/>
  <c r="N2295" i="2"/>
  <c r="M2295" i="2"/>
  <c r="N2275" i="2"/>
  <c r="M2275" i="2"/>
  <c r="N2255" i="2"/>
  <c r="M2255" i="2"/>
  <c r="N2235" i="2"/>
  <c r="M2235" i="2"/>
  <c r="N2215" i="2"/>
  <c r="M2215" i="2"/>
  <c r="N2195" i="2"/>
  <c r="M2195" i="2"/>
  <c r="N2175" i="2"/>
  <c r="M2175" i="2"/>
  <c r="N2155" i="2"/>
  <c r="M2155" i="2"/>
  <c r="N2135" i="2"/>
  <c r="M2135" i="2"/>
  <c r="N2115" i="2"/>
  <c r="M2115" i="2"/>
  <c r="N2095" i="2"/>
  <c r="M2095" i="2"/>
  <c r="N2075" i="2"/>
  <c r="M2075" i="2"/>
  <c r="N2055" i="2"/>
  <c r="M2055" i="2"/>
  <c r="N2035" i="2"/>
  <c r="M2035" i="2"/>
  <c r="N2015" i="2"/>
  <c r="M2015" i="2"/>
  <c r="N1995" i="2"/>
  <c r="M1995" i="2"/>
  <c r="N1975" i="2"/>
  <c r="M1975" i="2"/>
  <c r="N1955" i="2"/>
  <c r="M1955" i="2"/>
  <c r="N1935" i="2"/>
  <c r="M1935" i="2"/>
  <c r="N1915" i="2"/>
  <c r="M1915" i="2"/>
  <c r="N1895" i="2"/>
  <c r="M1895" i="2"/>
  <c r="N1875" i="2"/>
  <c r="M1875" i="2"/>
  <c r="N1855" i="2"/>
  <c r="M1855" i="2"/>
  <c r="N1835" i="2"/>
  <c r="M1835" i="2"/>
  <c r="N1815" i="2"/>
  <c r="M1815" i="2"/>
  <c r="N1795" i="2"/>
  <c r="M1795" i="2"/>
  <c r="N1775" i="2"/>
  <c r="M1775" i="2"/>
  <c r="N1755" i="2"/>
  <c r="M1755" i="2"/>
  <c r="N1735" i="2"/>
  <c r="M1735" i="2"/>
  <c r="N1715" i="2"/>
  <c r="M1715" i="2"/>
  <c r="N1695" i="2"/>
  <c r="M1695" i="2"/>
  <c r="N1675" i="2"/>
  <c r="M1675" i="2"/>
  <c r="N1655" i="2"/>
  <c r="M1655" i="2"/>
  <c r="N1635" i="2"/>
  <c r="M1635" i="2"/>
  <c r="N1615" i="2"/>
  <c r="M1615" i="2"/>
  <c r="N1595" i="2"/>
  <c r="M1595" i="2"/>
  <c r="N1555" i="2"/>
  <c r="M1555" i="2"/>
  <c r="N1535" i="2"/>
  <c r="M1535" i="2"/>
  <c r="N1515" i="2"/>
  <c r="M1515" i="2"/>
  <c r="N1495" i="2"/>
  <c r="M1495" i="2"/>
  <c r="N1475" i="2"/>
  <c r="M1475" i="2"/>
  <c r="N1455" i="2"/>
  <c r="M1455" i="2"/>
  <c r="N1435" i="2"/>
  <c r="M1435" i="2"/>
  <c r="N1415" i="2"/>
  <c r="M1415" i="2"/>
  <c r="N1395" i="2"/>
  <c r="M1395" i="2"/>
  <c r="N1375" i="2"/>
  <c r="M1375" i="2"/>
  <c r="N1355" i="2"/>
  <c r="M1355" i="2"/>
  <c r="N1335" i="2"/>
  <c r="M1335" i="2"/>
  <c r="N1315" i="2"/>
  <c r="M1315" i="2"/>
  <c r="N1295" i="2"/>
  <c r="M1295" i="2"/>
  <c r="N1275" i="2"/>
  <c r="M1275" i="2"/>
  <c r="N1255" i="2"/>
  <c r="M1255" i="2"/>
  <c r="M1235" i="2"/>
  <c r="N1235" i="2"/>
  <c r="N1215" i="2"/>
  <c r="M1215" i="2"/>
  <c r="N1195" i="2"/>
  <c r="M1195" i="2"/>
  <c r="N1175" i="2"/>
  <c r="M1175" i="2"/>
  <c r="N1155" i="2"/>
  <c r="M1155" i="2"/>
  <c r="N1135" i="2"/>
  <c r="M1135" i="2"/>
  <c r="N1115" i="2"/>
  <c r="M1115" i="2"/>
  <c r="N1095" i="2"/>
  <c r="M1095" i="2"/>
  <c r="N1075" i="2"/>
  <c r="M1075" i="2"/>
  <c r="N1055" i="2"/>
  <c r="M1055" i="2"/>
  <c r="N1035" i="2"/>
  <c r="M1035" i="2"/>
  <c r="N1015" i="2"/>
  <c r="M1015" i="2"/>
  <c r="N995" i="2"/>
  <c r="M995" i="2"/>
  <c r="M975" i="2"/>
  <c r="N975" i="2"/>
  <c r="N955" i="2"/>
  <c r="M955" i="2"/>
  <c r="N935" i="2"/>
  <c r="M935" i="2"/>
  <c r="N915" i="2"/>
  <c r="M915" i="2"/>
  <c r="N895" i="2"/>
  <c r="M895" i="2"/>
  <c r="N875" i="2"/>
  <c r="M875" i="2"/>
  <c r="N855" i="2"/>
  <c r="M855" i="2"/>
  <c r="N835" i="2"/>
  <c r="M835" i="2"/>
  <c r="N815" i="2"/>
  <c r="M815" i="2"/>
  <c r="N795" i="2"/>
  <c r="M795" i="2"/>
  <c r="N775" i="2"/>
  <c r="M775" i="2"/>
  <c r="N755" i="2"/>
  <c r="M755" i="2"/>
  <c r="N735" i="2"/>
  <c r="M735" i="2"/>
  <c r="N715" i="2"/>
  <c r="M715" i="2"/>
  <c r="N695" i="2"/>
  <c r="M695" i="2"/>
  <c r="N675" i="2"/>
  <c r="M675" i="2"/>
  <c r="N655" i="2"/>
  <c r="M655" i="2"/>
  <c r="N635" i="2"/>
  <c r="M635" i="2"/>
  <c r="N615" i="2"/>
  <c r="M615" i="2"/>
  <c r="N595" i="2"/>
  <c r="M595" i="2"/>
  <c r="N575" i="2"/>
  <c r="M575" i="2"/>
  <c r="N555" i="2"/>
  <c r="M555" i="2"/>
  <c r="M535" i="2"/>
  <c r="N535" i="2"/>
  <c r="N515" i="2"/>
  <c r="M515" i="2"/>
  <c r="N495" i="2"/>
  <c r="M495" i="2"/>
  <c r="N475" i="2"/>
  <c r="M475" i="2"/>
  <c r="N455" i="2"/>
  <c r="M455" i="2"/>
  <c r="N435" i="2"/>
  <c r="M435" i="2"/>
  <c r="N415" i="2"/>
  <c r="M415" i="2"/>
  <c r="N395" i="2"/>
  <c r="M395" i="2"/>
  <c r="N375" i="2"/>
  <c r="M375" i="2"/>
  <c r="N355" i="2"/>
  <c r="M355" i="2"/>
  <c r="N335" i="2"/>
  <c r="M335" i="2"/>
  <c r="N315" i="2"/>
  <c r="M315" i="2"/>
  <c r="N295" i="2"/>
  <c r="M295" i="2"/>
  <c r="N275" i="2"/>
  <c r="M275" i="2"/>
  <c r="N255" i="2"/>
  <c r="M255" i="2"/>
  <c r="N235" i="2"/>
  <c r="M235" i="2"/>
  <c r="N215" i="2"/>
  <c r="M215" i="2"/>
  <c r="N195" i="2"/>
  <c r="M195" i="2"/>
  <c r="N175" i="2"/>
  <c r="M175" i="2"/>
  <c r="N155" i="2"/>
  <c r="M155" i="2"/>
  <c r="N135" i="2"/>
  <c r="M135" i="2"/>
  <c r="N115" i="2"/>
  <c r="M115" i="2"/>
  <c r="N95" i="2"/>
  <c r="M95" i="2"/>
  <c r="N75" i="2"/>
  <c r="M75" i="2"/>
  <c r="N55" i="2"/>
  <c r="M55" i="2"/>
  <c r="N35" i="2"/>
  <c r="M35" i="2"/>
  <c r="N15" i="2"/>
  <c r="M15" i="2"/>
  <c r="N1972" i="2"/>
  <c r="N2671" i="2"/>
  <c r="M2671" i="2"/>
  <c r="N2351" i="2"/>
  <c r="M2351" i="2"/>
  <c r="N2031" i="2"/>
  <c r="M2031" i="2"/>
  <c r="N1791" i="2"/>
  <c r="M1791" i="2"/>
  <c r="M1551" i="2"/>
  <c r="N1551" i="2"/>
  <c r="N1291" i="2"/>
  <c r="M1291" i="2"/>
  <c r="N1031" i="2"/>
  <c r="M1031" i="2"/>
  <c r="M791" i="2"/>
  <c r="N791" i="2"/>
  <c r="N631" i="2"/>
  <c r="M631" i="2"/>
  <c r="N471" i="2"/>
  <c r="M471" i="2"/>
  <c r="N2870" i="2"/>
  <c r="M2870" i="2"/>
  <c r="N2470" i="2"/>
  <c r="M2470" i="2"/>
  <c r="M2250" i="2"/>
  <c r="N2250" i="2"/>
  <c r="N2070" i="2"/>
  <c r="M2070" i="2"/>
  <c r="N1810" i="2"/>
  <c r="M1810" i="2"/>
  <c r="N1410" i="2"/>
  <c r="M1410" i="2"/>
  <c r="N1630" i="2"/>
  <c r="N2877" i="2"/>
  <c r="M2877" i="2"/>
  <c r="N2737" i="2"/>
  <c r="M2737" i="2"/>
  <c r="N2557" i="2"/>
  <c r="M2557" i="2"/>
  <c r="N2457" i="2"/>
  <c r="M2457" i="2"/>
  <c r="N2357" i="2"/>
  <c r="M2357" i="2"/>
  <c r="N2257" i="2"/>
  <c r="M2257" i="2"/>
  <c r="N2197" i="2"/>
  <c r="M2197" i="2"/>
  <c r="N2137" i="2"/>
  <c r="M2137" i="2"/>
  <c r="N2117" i="2"/>
  <c r="M2117" i="2"/>
  <c r="N2037" i="2"/>
  <c r="M2037" i="2"/>
  <c r="N1997" i="2"/>
  <c r="M1997" i="2"/>
  <c r="N1937" i="2"/>
  <c r="M1937" i="2"/>
  <c r="N1877" i="2"/>
  <c r="M1877" i="2"/>
  <c r="N1757" i="2"/>
  <c r="M1757" i="2"/>
  <c r="N1697" i="2"/>
  <c r="M1697" i="2"/>
  <c r="N1657" i="2"/>
  <c r="M1657" i="2"/>
  <c r="N1597" i="2"/>
  <c r="M1597" i="2"/>
  <c r="N1537" i="2"/>
  <c r="M1537" i="2"/>
  <c r="N1457" i="2"/>
  <c r="M1457" i="2"/>
  <c r="N1317" i="2"/>
  <c r="M1317" i="2"/>
  <c r="N1197" i="2"/>
  <c r="M1197" i="2"/>
  <c r="N1097" i="2"/>
  <c r="M1097" i="2"/>
  <c r="N937" i="2"/>
  <c r="M937" i="2"/>
  <c r="N717" i="2"/>
  <c r="M717" i="2"/>
  <c r="N617" i="2"/>
  <c r="M617" i="2"/>
  <c r="N497" i="2"/>
  <c r="M497" i="2"/>
  <c r="N317" i="2"/>
  <c r="M317" i="2"/>
  <c r="N237" i="2"/>
  <c r="M237" i="2"/>
  <c r="N197" i="2"/>
  <c r="M197" i="2"/>
  <c r="N97" i="2"/>
  <c r="M97" i="2"/>
  <c r="N2856" i="2"/>
  <c r="M2856" i="2"/>
  <c r="N2676" i="2"/>
  <c r="M2676" i="2"/>
  <c r="N2536" i="2"/>
  <c r="M2536" i="2"/>
  <c r="N2416" i="2"/>
  <c r="M2416" i="2"/>
  <c r="N2236" i="2"/>
  <c r="M2236" i="2"/>
  <c r="N2875" i="2"/>
  <c r="M2875" i="2"/>
  <c r="N2855" i="2"/>
  <c r="M2855" i="2"/>
  <c r="N2835" i="2"/>
  <c r="M2835" i="2"/>
  <c r="N2715" i="2"/>
  <c r="M2715" i="2"/>
  <c r="N2635" i="2"/>
  <c r="M2635" i="2"/>
  <c r="N2415" i="2"/>
  <c r="M2415" i="2"/>
  <c r="N2934" i="2"/>
  <c r="M2934" i="2"/>
  <c r="N2914" i="2"/>
  <c r="M2914" i="2"/>
  <c r="N2894" i="2"/>
  <c r="M2894" i="2"/>
  <c r="N2874" i="2"/>
  <c r="M2874" i="2"/>
  <c r="N2854" i="2"/>
  <c r="M2854" i="2"/>
  <c r="N2834" i="2"/>
  <c r="M2834" i="2"/>
  <c r="N2814" i="2"/>
  <c r="M2814" i="2"/>
  <c r="N2794" i="2"/>
  <c r="M2794" i="2"/>
  <c r="N2774" i="2"/>
  <c r="M2774" i="2"/>
  <c r="N2754" i="2"/>
  <c r="M2754" i="2"/>
  <c r="N2734" i="2"/>
  <c r="M2734" i="2"/>
  <c r="N2714" i="2"/>
  <c r="M2714" i="2"/>
  <c r="N2694" i="2"/>
  <c r="M2694" i="2"/>
  <c r="N2674" i="2"/>
  <c r="M2674" i="2"/>
  <c r="N2654" i="2"/>
  <c r="M2654" i="2"/>
  <c r="N2634" i="2"/>
  <c r="M2634" i="2"/>
  <c r="N2614" i="2"/>
  <c r="M2614" i="2"/>
  <c r="N2594" i="2"/>
  <c r="M2594" i="2"/>
  <c r="N2574" i="2"/>
  <c r="M2574" i="2"/>
  <c r="N2554" i="2"/>
  <c r="M2554" i="2"/>
  <c r="N2534" i="2"/>
  <c r="M2534" i="2"/>
  <c r="N2514" i="2"/>
  <c r="M2514" i="2"/>
  <c r="N2494" i="2"/>
  <c r="M2494" i="2"/>
  <c r="N2474" i="2"/>
  <c r="M2474" i="2"/>
  <c r="N2454" i="2"/>
  <c r="M2454" i="2"/>
  <c r="N2434" i="2"/>
  <c r="M2434" i="2"/>
  <c r="N2414" i="2"/>
  <c r="M2414" i="2"/>
  <c r="N2394" i="2"/>
  <c r="M2394" i="2"/>
  <c r="N2374" i="2"/>
  <c r="M2374" i="2"/>
  <c r="N2354" i="2"/>
  <c r="M2354" i="2"/>
  <c r="N2334" i="2"/>
  <c r="M2334" i="2"/>
  <c r="N2314" i="2"/>
  <c r="M2314" i="2"/>
  <c r="N2294" i="2"/>
  <c r="M2294" i="2"/>
  <c r="N2274" i="2"/>
  <c r="M2274" i="2"/>
  <c r="N2254" i="2"/>
  <c r="M2254" i="2"/>
  <c r="N2234" i="2"/>
  <c r="M2234" i="2"/>
  <c r="N2214" i="2"/>
  <c r="M2214" i="2"/>
  <c r="N2194" i="2"/>
  <c r="M2194" i="2"/>
  <c r="N2174" i="2"/>
  <c r="M2174" i="2"/>
  <c r="N2154" i="2"/>
  <c r="M2154" i="2"/>
  <c r="N2134" i="2"/>
  <c r="M2134" i="2"/>
  <c r="M2114" i="2"/>
  <c r="N2114" i="2"/>
  <c r="N2094" i="2"/>
  <c r="M2094" i="2"/>
  <c r="N2074" i="2"/>
  <c r="M2074" i="2"/>
  <c r="N2054" i="2"/>
  <c r="M2054" i="2"/>
  <c r="N2034" i="2"/>
  <c r="M2034" i="2"/>
  <c r="N2014" i="2"/>
  <c r="M2014" i="2"/>
  <c r="N1994" i="2"/>
  <c r="M1994" i="2"/>
  <c r="N1954" i="2"/>
  <c r="M1954" i="2"/>
  <c r="N1934" i="2"/>
  <c r="M1934" i="2"/>
  <c r="N1914" i="2"/>
  <c r="M1914" i="2"/>
  <c r="N1894" i="2"/>
  <c r="M1894" i="2"/>
  <c r="N1874" i="2"/>
  <c r="M1874" i="2"/>
  <c r="N1854" i="2"/>
  <c r="M1854" i="2"/>
  <c r="N1834" i="2"/>
  <c r="M1834" i="2"/>
  <c r="N1814" i="2"/>
  <c r="M1814" i="2"/>
  <c r="N1794" i="2"/>
  <c r="M1794" i="2"/>
  <c r="N1774" i="2"/>
  <c r="M1774" i="2"/>
  <c r="N1754" i="2"/>
  <c r="M1754" i="2"/>
  <c r="N1734" i="2"/>
  <c r="M1734" i="2"/>
  <c r="M1714" i="2"/>
  <c r="N1714" i="2"/>
  <c r="N1694" i="2"/>
  <c r="M1694" i="2"/>
  <c r="N1674" i="2"/>
  <c r="M1674" i="2"/>
  <c r="N1654" i="2"/>
  <c r="M1654" i="2"/>
  <c r="N1634" i="2"/>
  <c r="M1634" i="2"/>
  <c r="N1614" i="2"/>
  <c r="M1614" i="2"/>
  <c r="N1594" i="2"/>
  <c r="M1594" i="2"/>
  <c r="N1574" i="2"/>
  <c r="M1574" i="2"/>
  <c r="N1554" i="2"/>
  <c r="M1554" i="2"/>
  <c r="N1534" i="2"/>
  <c r="M1534" i="2"/>
  <c r="N1514" i="2"/>
  <c r="M1514" i="2"/>
  <c r="N1494" i="2"/>
  <c r="M1494" i="2"/>
  <c r="N1474" i="2"/>
  <c r="M1474" i="2"/>
  <c r="N1454" i="2"/>
  <c r="M1454" i="2"/>
  <c r="N1434" i="2"/>
  <c r="M1434" i="2"/>
  <c r="N1414" i="2"/>
  <c r="M1414" i="2"/>
  <c r="N1394" i="2"/>
  <c r="M1394" i="2"/>
  <c r="N1374" i="2"/>
  <c r="M1374" i="2"/>
  <c r="N1354" i="2"/>
  <c r="M1354" i="2"/>
  <c r="N1334" i="2"/>
  <c r="M1334" i="2"/>
  <c r="N1314" i="2"/>
  <c r="M1314" i="2"/>
  <c r="N1294" i="2"/>
  <c r="M1294" i="2"/>
  <c r="N1274" i="2"/>
  <c r="M1274" i="2"/>
  <c r="N1254" i="2"/>
  <c r="M1254" i="2"/>
  <c r="M1234" i="2"/>
  <c r="N1234" i="2"/>
  <c r="N1214" i="2"/>
  <c r="M1214" i="2"/>
  <c r="N1194" i="2"/>
  <c r="M1194" i="2"/>
  <c r="N1174" i="2"/>
  <c r="M1174" i="2"/>
  <c r="N1154" i="2"/>
  <c r="M1154" i="2"/>
  <c r="N1134" i="2"/>
  <c r="M1134" i="2"/>
  <c r="N1114" i="2"/>
  <c r="M1114" i="2"/>
  <c r="N1094" i="2"/>
  <c r="M1094" i="2"/>
  <c r="N1074" i="2"/>
  <c r="M1074" i="2"/>
  <c r="M1054" i="2"/>
  <c r="N1054" i="2"/>
  <c r="N1034" i="2"/>
  <c r="M1034" i="2"/>
  <c r="N1014" i="2"/>
  <c r="M1014" i="2"/>
  <c r="N994" i="2"/>
  <c r="M994" i="2"/>
  <c r="M974" i="2"/>
  <c r="N974" i="2"/>
  <c r="N954" i="2"/>
  <c r="M954" i="2"/>
  <c r="N934" i="2"/>
  <c r="M934" i="2"/>
  <c r="N914" i="2"/>
  <c r="M914" i="2"/>
  <c r="N894" i="2"/>
  <c r="M894" i="2"/>
  <c r="N874" i="2"/>
  <c r="M874" i="2"/>
  <c r="N854" i="2"/>
  <c r="M854" i="2"/>
  <c r="N834" i="2"/>
  <c r="M834" i="2"/>
  <c r="N814" i="2"/>
  <c r="M814" i="2"/>
  <c r="M794" i="2"/>
  <c r="N794" i="2"/>
  <c r="N774" i="2"/>
  <c r="M774" i="2"/>
  <c r="N754" i="2"/>
  <c r="M754" i="2"/>
  <c r="N734" i="2"/>
  <c r="M734" i="2"/>
  <c r="N714" i="2"/>
  <c r="M714" i="2"/>
  <c r="N694" i="2"/>
  <c r="M694" i="2"/>
  <c r="N674" i="2"/>
  <c r="M674" i="2"/>
  <c r="N654" i="2"/>
  <c r="M654" i="2"/>
  <c r="N634" i="2"/>
  <c r="M634" i="2"/>
  <c r="N614" i="2"/>
  <c r="M614" i="2"/>
  <c r="N594" i="2"/>
  <c r="M594" i="2"/>
  <c r="N574" i="2"/>
  <c r="M574" i="2"/>
  <c r="N554" i="2"/>
  <c r="M554" i="2"/>
  <c r="M534" i="2"/>
  <c r="N534" i="2"/>
  <c r="N514" i="2"/>
  <c r="M514" i="2"/>
  <c r="N494" i="2"/>
  <c r="M494" i="2"/>
  <c r="N474" i="2"/>
  <c r="M474" i="2"/>
  <c r="N454" i="2"/>
  <c r="M454" i="2"/>
  <c r="N434" i="2"/>
  <c r="M434" i="2"/>
  <c r="N414" i="2"/>
  <c r="M414" i="2"/>
  <c r="N394" i="2"/>
  <c r="M394" i="2"/>
  <c r="N374" i="2"/>
  <c r="M374" i="2"/>
  <c r="N354" i="2"/>
  <c r="M354" i="2"/>
  <c r="N334" i="2"/>
  <c r="M334" i="2"/>
  <c r="N314" i="2"/>
  <c r="M314" i="2"/>
  <c r="N294" i="2"/>
  <c r="M294" i="2"/>
  <c r="N274" i="2"/>
  <c r="M274" i="2"/>
  <c r="N254" i="2"/>
  <c r="M254" i="2"/>
  <c r="N234" i="2"/>
  <c r="M234" i="2"/>
  <c r="N214" i="2"/>
  <c r="M214" i="2"/>
  <c r="N194" i="2"/>
  <c r="M194" i="2"/>
  <c r="N174" i="2"/>
  <c r="M174" i="2"/>
  <c r="N154" i="2"/>
  <c r="M154" i="2"/>
  <c r="N134" i="2"/>
  <c r="M134" i="2"/>
  <c r="N114" i="2"/>
  <c r="M114" i="2"/>
  <c r="N94" i="2"/>
  <c r="M94" i="2"/>
  <c r="N74" i="2"/>
  <c r="M74" i="2"/>
  <c r="N54" i="2"/>
  <c r="M54" i="2"/>
  <c r="N34" i="2"/>
  <c r="M34" i="2"/>
  <c r="N14" i="2"/>
  <c r="M14" i="2"/>
  <c r="N1971" i="2"/>
  <c r="N2851" i="2"/>
  <c r="M2851" i="2"/>
  <c r="N2551" i="2"/>
  <c r="M2551" i="2"/>
  <c r="M2111" i="2"/>
  <c r="N2111" i="2"/>
  <c r="N1671" i="2"/>
  <c r="M1671" i="2"/>
  <c r="N1271" i="2"/>
  <c r="M1271" i="2"/>
  <c r="N991" i="2"/>
  <c r="M991" i="2"/>
  <c r="N751" i="2"/>
  <c r="M751" i="2"/>
  <c r="N531" i="2"/>
  <c r="M531" i="2"/>
  <c r="N1631" i="2"/>
  <c r="N2810" i="2"/>
  <c r="M2810" i="2"/>
  <c r="M2650" i="2"/>
  <c r="N2650" i="2"/>
  <c r="M2450" i="2"/>
  <c r="N2450" i="2"/>
  <c r="N2270" i="2"/>
  <c r="M2270" i="2"/>
  <c r="N2150" i="2"/>
  <c r="M2150" i="2"/>
  <c r="N2030" i="2"/>
  <c r="M2030" i="2"/>
  <c r="N1910" i="2"/>
  <c r="M1910" i="2"/>
  <c r="N1830" i="2"/>
  <c r="M1830" i="2"/>
  <c r="N1750" i="2"/>
  <c r="M1750" i="2"/>
  <c r="N1610" i="2"/>
  <c r="M1610" i="2"/>
  <c r="N1350" i="2"/>
  <c r="M1350" i="2"/>
  <c r="N2857" i="2"/>
  <c r="M2857" i="2"/>
  <c r="N2777" i="2"/>
  <c r="M2777" i="2"/>
  <c r="N2717" i="2"/>
  <c r="M2717" i="2"/>
  <c r="N2597" i="2"/>
  <c r="M2597" i="2"/>
  <c r="N2497" i="2"/>
  <c r="M2497" i="2"/>
  <c r="N2397" i="2"/>
  <c r="M2397" i="2"/>
  <c r="N2317" i="2"/>
  <c r="M2317" i="2"/>
  <c r="N2277" i="2"/>
  <c r="M2277" i="2"/>
  <c r="N2157" i="2"/>
  <c r="M2157" i="2"/>
  <c r="N2097" i="2"/>
  <c r="M2097" i="2"/>
  <c r="N1977" i="2"/>
  <c r="M1977" i="2"/>
  <c r="N1897" i="2"/>
  <c r="M1897" i="2"/>
  <c r="N1797" i="2"/>
  <c r="M1797" i="2"/>
  <c r="N1677" i="2"/>
  <c r="M1677" i="2"/>
  <c r="N1497" i="2"/>
  <c r="M1497" i="2"/>
  <c r="N1377" i="2"/>
  <c r="M1377" i="2"/>
  <c r="N1297" i="2"/>
  <c r="M1297" i="2"/>
  <c r="N1237" i="2"/>
  <c r="M1237" i="2"/>
  <c r="N1217" i="2"/>
  <c r="M1217" i="2"/>
  <c r="N1137" i="2"/>
  <c r="M1137" i="2"/>
  <c r="N957" i="2"/>
  <c r="M957" i="2"/>
  <c r="N797" i="2"/>
  <c r="M797" i="2"/>
  <c r="N657" i="2"/>
  <c r="M657" i="2"/>
  <c r="N557" i="2"/>
  <c r="M557" i="2"/>
  <c r="N517" i="2"/>
  <c r="M517" i="2"/>
  <c r="N457" i="2"/>
  <c r="M457" i="2"/>
  <c r="N397" i="2"/>
  <c r="M397" i="2"/>
  <c r="N337" i="2"/>
  <c r="M337" i="2"/>
  <c r="N137" i="2"/>
  <c r="M137" i="2"/>
  <c r="N2896" i="2"/>
  <c r="M2896" i="2"/>
  <c r="N2756" i="2"/>
  <c r="M2756" i="2"/>
  <c r="N2576" i="2"/>
  <c r="M2576" i="2"/>
  <c r="N2436" i="2"/>
  <c r="M2436" i="2"/>
  <c r="N2216" i="2"/>
  <c r="M2216" i="2"/>
  <c r="N2895" i="2"/>
  <c r="M2895" i="2"/>
  <c r="N2795" i="2"/>
  <c r="M2795" i="2"/>
  <c r="N2755" i="2"/>
  <c r="M2755" i="2"/>
  <c r="N2675" i="2"/>
  <c r="M2675" i="2"/>
  <c r="N2615" i="2"/>
  <c r="M2615" i="2"/>
  <c r="N2575" i="2"/>
  <c r="M2575" i="2"/>
  <c r="N2455" i="2"/>
  <c r="M2455" i="2"/>
  <c r="N2873" i="2"/>
  <c r="M2873" i="2"/>
  <c r="N2833" i="2"/>
  <c r="M2833" i="2"/>
  <c r="N2773" i="2"/>
  <c r="M2773" i="2"/>
  <c r="N2733" i="2"/>
  <c r="M2733" i="2"/>
  <c r="N2713" i="2"/>
  <c r="M2713" i="2"/>
  <c r="N2693" i="2"/>
  <c r="M2693" i="2"/>
  <c r="N2673" i="2"/>
  <c r="M2673" i="2"/>
  <c r="N2653" i="2"/>
  <c r="M2653" i="2"/>
  <c r="N2633" i="2"/>
  <c r="M2633" i="2"/>
  <c r="N2613" i="2"/>
  <c r="M2613" i="2"/>
  <c r="N2593" i="2"/>
  <c r="M2593" i="2"/>
  <c r="N2573" i="2"/>
  <c r="M2573" i="2"/>
  <c r="N2553" i="2"/>
  <c r="M2553" i="2"/>
  <c r="N2533" i="2"/>
  <c r="M2533" i="2"/>
  <c r="N2513" i="2"/>
  <c r="M2513" i="2"/>
  <c r="N2493" i="2"/>
  <c r="M2493" i="2"/>
  <c r="N2473" i="2"/>
  <c r="M2473" i="2"/>
  <c r="N2453" i="2"/>
  <c r="M2453" i="2"/>
  <c r="N2433" i="2"/>
  <c r="M2433" i="2"/>
  <c r="N2413" i="2"/>
  <c r="M2413" i="2"/>
  <c r="N2393" i="2"/>
  <c r="M2393" i="2"/>
  <c r="N2373" i="2"/>
  <c r="M2373" i="2"/>
  <c r="N2353" i="2"/>
  <c r="M2353" i="2"/>
  <c r="N2333" i="2"/>
  <c r="M2333" i="2"/>
  <c r="N2313" i="2"/>
  <c r="M2313" i="2"/>
  <c r="N2293" i="2"/>
  <c r="M2293" i="2"/>
  <c r="N2273" i="2"/>
  <c r="M2273" i="2"/>
  <c r="N2253" i="2"/>
  <c r="M2253" i="2"/>
  <c r="N2233" i="2"/>
  <c r="M2233" i="2"/>
  <c r="N2213" i="2"/>
  <c r="M2213" i="2"/>
  <c r="N2193" i="2"/>
  <c r="M2193" i="2"/>
  <c r="N2173" i="2"/>
  <c r="M2173" i="2"/>
  <c r="N2153" i="2"/>
  <c r="M2153" i="2"/>
  <c r="N2133" i="2"/>
  <c r="M2133" i="2"/>
  <c r="M2113" i="2"/>
  <c r="N2113" i="2"/>
  <c r="N2093" i="2"/>
  <c r="M2093" i="2"/>
  <c r="N2073" i="2"/>
  <c r="M2073" i="2"/>
  <c r="N2053" i="2"/>
  <c r="M2053" i="2"/>
  <c r="N2033" i="2"/>
  <c r="M2033" i="2"/>
  <c r="N2013" i="2"/>
  <c r="M2013" i="2"/>
  <c r="N1993" i="2"/>
  <c r="M1993" i="2"/>
  <c r="N1953" i="2"/>
  <c r="M1953" i="2"/>
  <c r="N1933" i="2"/>
  <c r="M1933" i="2"/>
  <c r="N1913" i="2"/>
  <c r="M1913" i="2"/>
  <c r="N1893" i="2"/>
  <c r="M1893" i="2"/>
  <c r="N1873" i="2"/>
  <c r="M1873" i="2"/>
  <c r="N1853" i="2"/>
  <c r="M1853" i="2"/>
  <c r="N1833" i="2"/>
  <c r="M1833" i="2"/>
  <c r="N1813" i="2"/>
  <c r="M1813" i="2"/>
  <c r="N1793" i="2"/>
  <c r="M1793" i="2"/>
  <c r="N1773" i="2"/>
  <c r="M1773" i="2"/>
  <c r="N1753" i="2"/>
  <c r="M1753" i="2"/>
  <c r="N1733" i="2"/>
  <c r="M1733" i="2"/>
  <c r="M1713" i="2"/>
  <c r="N1713" i="2"/>
  <c r="N1693" i="2"/>
  <c r="M1693" i="2"/>
  <c r="N1673" i="2"/>
  <c r="M1673" i="2"/>
  <c r="N1653" i="2"/>
  <c r="M1653" i="2"/>
  <c r="N1633" i="2"/>
  <c r="M1633" i="2"/>
  <c r="N1613" i="2"/>
  <c r="M1613" i="2"/>
  <c r="N1593" i="2"/>
  <c r="M1593" i="2"/>
  <c r="N1573" i="2"/>
  <c r="M1573" i="2"/>
  <c r="N1553" i="2"/>
  <c r="M1553" i="2"/>
  <c r="N1533" i="2"/>
  <c r="M1533" i="2"/>
  <c r="N1513" i="2"/>
  <c r="M1513" i="2"/>
  <c r="N1493" i="2"/>
  <c r="M1493" i="2"/>
  <c r="N1473" i="2"/>
  <c r="M1473" i="2"/>
  <c r="N1453" i="2"/>
  <c r="M1453" i="2"/>
  <c r="N1433" i="2"/>
  <c r="M1433" i="2"/>
  <c r="N1413" i="2"/>
  <c r="M1413" i="2"/>
  <c r="N1393" i="2"/>
  <c r="M1393" i="2"/>
  <c r="N1373" i="2"/>
  <c r="M1373" i="2"/>
  <c r="N1353" i="2"/>
  <c r="M1353" i="2"/>
  <c r="N1333" i="2"/>
  <c r="M1333" i="2"/>
  <c r="N1313" i="2"/>
  <c r="M1313" i="2"/>
  <c r="N1293" i="2"/>
  <c r="M1293" i="2"/>
  <c r="N1273" i="2"/>
  <c r="M1273" i="2"/>
  <c r="N1253" i="2"/>
  <c r="M1253" i="2"/>
  <c r="N1233" i="2"/>
  <c r="M1233" i="2"/>
  <c r="N1213" i="2"/>
  <c r="M1213" i="2"/>
  <c r="N1193" i="2"/>
  <c r="M1193" i="2"/>
  <c r="N1173" i="2"/>
  <c r="M1173" i="2"/>
  <c r="N1153" i="2"/>
  <c r="M1153" i="2"/>
  <c r="N1133" i="2"/>
  <c r="M1133" i="2"/>
  <c r="N1113" i="2"/>
  <c r="M1113" i="2"/>
  <c r="N1093" i="2"/>
  <c r="M1093" i="2"/>
  <c r="N1073" i="2"/>
  <c r="M1073" i="2"/>
  <c r="N1053" i="2"/>
  <c r="M1053" i="2"/>
  <c r="N1033" i="2"/>
  <c r="M1033" i="2"/>
  <c r="N1013" i="2"/>
  <c r="M1013" i="2"/>
  <c r="N993" i="2"/>
  <c r="M993" i="2"/>
  <c r="N973" i="2"/>
  <c r="M973" i="2"/>
  <c r="N953" i="2"/>
  <c r="M953" i="2"/>
  <c r="N933" i="2"/>
  <c r="M933" i="2"/>
  <c r="N913" i="2"/>
  <c r="M913" i="2"/>
  <c r="N893" i="2"/>
  <c r="M893" i="2"/>
  <c r="N873" i="2"/>
  <c r="M873" i="2"/>
  <c r="N853" i="2"/>
  <c r="M853" i="2"/>
  <c r="N833" i="2"/>
  <c r="M833" i="2"/>
  <c r="N813" i="2"/>
  <c r="M813" i="2"/>
  <c r="N793" i="2"/>
  <c r="M793" i="2"/>
  <c r="N773" i="2"/>
  <c r="M773" i="2"/>
  <c r="N753" i="2"/>
  <c r="M753" i="2"/>
  <c r="N733" i="2"/>
  <c r="M733" i="2"/>
  <c r="N713" i="2"/>
  <c r="M713" i="2"/>
  <c r="N693" i="2"/>
  <c r="M693" i="2"/>
  <c r="N673" i="2"/>
  <c r="M673" i="2"/>
  <c r="N653" i="2"/>
  <c r="M653" i="2"/>
  <c r="N633" i="2"/>
  <c r="M633" i="2"/>
  <c r="N613" i="2"/>
  <c r="M613" i="2"/>
  <c r="N593" i="2"/>
  <c r="M593" i="2"/>
  <c r="N573" i="2"/>
  <c r="M573" i="2"/>
  <c r="N553" i="2"/>
  <c r="M553" i="2"/>
  <c r="N533" i="2"/>
  <c r="M533" i="2"/>
  <c r="N513" i="2"/>
  <c r="M513" i="2"/>
  <c r="N493" i="2"/>
  <c r="M493" i="2"/>
  <c r="N473" i="2"/>
  <c r="M473" i="2"/>
  <c r="N453" i="2"/>
  <c r="M453" i="2"/>
  <c r="N433" i="2"/>
  <c r="M433" i="2"/>
  <c r="N413" i="2"/>
  <c r="M413" i="2"/>
  <c r="N393" i="2"/>
  <c r="M393" i="2"/>
  <c r="N373" i="2"/>
  <c r="M373" i="2"/>
  <c r="N353" i="2"/>
  <c r="M353" i="2"/>
  <c r="N333" i="2"/>
  <c r="M333" i="2"/>
  <c r="N313" i="2"/>
  <c r="M313" i="2"/>
  <c r="N293" i="2"/>
  <c r="M293" i="2"/>
  <c r="N273" i="2"/>
  <c r="M273" i="2"/>
  <c r="N253" i="2"/>
  <c r="M253" i="2"/>
  <c r="N233" i="2"/>
  <c r="M233" i="2"/>
  <c r="N213" i="2"/>
  <c r="M213" i="2"/>
  <c r="N193" i="2"/>
  <c r="M193" i="2"/>
  <c r="N173" i="2"/>
  <c r="M173" i="2"/>
  <c r="N153" i="2"/>
  <c r="M153" i="2"/>
  <c r="N133" i="2"/>
  <c r="M133" i="2"/>
  <c r="N113" i="2"/>
  <c r="M113" i="2"/>
  <c r="N93" i="2"/>
  <c r="M93" i="2"/>
  <c r="N73" i="2"/>
  <c r="M73" i="2"/>
  <c r="N53" i="2"/>
  <c r="M53" i="2"/>
  <c r="N33" i="2"/>
  <c r="M33" i="2"/>
  <c r="N13" i="2"/>
  <c r="M13" i="2"/>
  <c r="N1970" i="2"/>
  <c r="M2931" i="2"/>
  <c r="N2931" i="2"/>
  <c r="N2871" i="2"/>
  <c r="M2871" i="2"/>
  <c r="N2791" i="2"/>
  <c r="M2791" i="2"/>
  <c r="N2751" i="2"/>
  <c r="M2751" i="2"/>
  <c r="N2711" i="2"/>
  <c r="M2711" i="2"/>
  <c r="N2631" i="2"/>
  <c r="M2631" i="2"/>
  <c r="N2611" i="2"/>
  <c r="M2611" i="2"/>
  <c r="N2511" i="2"/>
  <c r="M2511" i="2"/>
  <c r="N2491" i="2"/>
  <c r="M2491" i="2"/>
  <c r="N2451" i="2"/>
  <c r="M2451" i="2"/>
  <c r="N2371" i="2"/>
  <c r="M2371" i="2"/>
  <c r="N2311" i="2"/>
  <c r="M2311" i="2"/>
  <c r="N2271" i="2"/>
  <c r="M2271" i="2"/>
  <c r="N2231" i="2"/>
  <c r="M2231" i="2"/>
  <c r="N2191" i="2"/>
  <c r="M2191" i="2"/>
  <c r="N2171" i="2"/>
  <c r="M2171" i="2"/>
  <c r="N2051" i="2"/>
  <c r="M2051" i="2"/>
  <c r="N1991" i="2"/>
  <c r="M1991" i="2"/>
  <c r="N1891" i="2"/>
  <c r="M1891" i="2"/>
  <c r="N1851" i="2"/>
  <c r="M1851" i="2"/>
  <c r="N1811" i="2"/>
  <c r="M1811" i="2"/>
  <c r="N1771" i="2"/>
  <c r="M1771" i="2"/>
  <c r="N1691" i="2"/>
  <c r="M1691" i="2"/>
  <c r="N1611" i="2"/>
  <c r="M1611" i="2"/>
  <c r="N1531" i="2"/>
  <c r="M1531" i="2"/>
  <c r="N1491" i="2"/>
  <c r="M1491" i="2"/>
  <c r="N1471" i="2"/>
  <c r="M1471" i="2"/>
  <c r="N1411" i="2"/>
  <c r="M1411" i="2"/>
  <c r="N1371" i="2"/>
  <c r="M1371" i="2"/>
  <c r="N1331" i="2"/>
  <c r="M1331" i="2"/>
  <c r="N1251" i="2"/>
  <c r="M1251" i="2"/>
  <c r="N1171" i="2"/>
  <c r="M1171" i="2"/>
  <c r="N1111" i="2"/>
  <c r="M1111" i="2"/>
  <c r="N1071" i="2"/>
  <c r="M1071" i="2"/>
  <c r="N891" i="2"/>
  <c r="M891" i="2"/>
  <c r="N811" i="2"/>
  <c r="M811" i="2"/>
  <c r="N671" i="2"/>
  <c r="M671" i="2"/>
  <c r="N571" i="2"/>
  <c r="M571" i="2"/>
  <c r="N491" i="2"/>
  <c r="M491" i="2"/>
  <c r="N411" i="2"/>
  <c r="M411" i="2"/>
  <c r="N331" i="2"/>
  <c r="M331" i="2"/>
  <c r="N271" i="2"/>
  <c r="M271" i="2"/>
  <c r="N231" i="2"/>
  <c r="M231" i="2"/>
  <c r="N191" i="2"/>
  <c r="M191" i="2"/>
  <c r="N151" i="2"/>
  <c r="M151" i="2"/>
  <c r="N71" i="2"/>
  <c r="M71" i="2"/>
  <c r="N51" i="2"/>
  <c r="M51" i="2"/>
  <c r="N11" i="2"/>
  <c r="M11" i="2"/>
  <c r="N2830" i="2"/>
  <c r="M2830" i="2"/>
  <c r="M2790" i="2"/>
  <c r="N2790" i="2"/>
  <c r="N2730" i="2"/>
  <c r="M2730" i="2"/>
  <c r="N2610" i="2"/>
  <c r="M2610" i="2"/>
  <c r="M2550" i="2"/>
  <c r="N2550" i="2"/>
  <c r="N2510" i="2"/>
  <c r="M2510" i="2"/>
  <c r="M2390" i="2"/>
  <c r="N2390" i="2"/>
  <c r="N2370" i="2"/>
  <c r="M2370" i="2"/>
  <c r="N2310" i="2"/>
  <c r="M2310" i="2"/>
  <c r="N2210" i="2"/>
  <c r="M2210" i="2"/>
  <c r="N2050" i="2"/>
  <c r="M2050" i="2"/>
  <c r="N1930" i="2"/>
  <c r="M1930" i="2"/>
  <c r="N1870" i="2"/>
  <c r="M1870" i="2"/>
  <c r="N1790" i="2"/>
  <c r="M1790" i="2"/>
  <c r="N1770" i="2"/>
  <c r="M1770" i="2"/>
  <c r="N1670" i="2"/>
  <c r="M1670" i="2"/>
  <c r="N1650" i="2"/>
  <c r="M1650" i="2"/>
  <c r="N1570" i="2"/>
  <c r="M1570" i="2"/>
  <c r="M1550" i="2"/>
  <c r="N1550" i="2"/>
  <c r="N1530" i="2"/>
  <c r="M1530" i="2"/>
  <c r="N1450" i="2"/>
  <c r="M1450" i="2"/>
  <c r="N1430" i="2"/>
  <c r="M1430" i="2"/>
  <c r="N1330" i="2"/>
  <c r="M1330" i="2"/>
  <c r="N1270" i="2"/>
  <c r="M1270" i="2"/>
  <c r="M1230" i="2"/>
  <c r="N1230" i="2"/>
  <c r="N1210" i="2"/>
  <c r="M1210" i="2"/>
  <c r="N2936" i="2"/>
  <c r="M2936" i="2"/>
  <c r="N2836" i="2"/>
  <c r="M2836" i="2"/>
  <c r="N2736" i="2"/>
  <c r="M2736" i="2"/>
  <c r="N2636" i="2"/>
  <c r="M2636" i="2"/>
  <c r="N2556" i="2"/>
  <c r="M2556" i="2"/>
  <c r="N2496" i="2"/>
  <c r="M2496" i="2"/>
  <c r="N2376" i="2"/>
  <c r="M2376" i="2"/>
  <c r="N2256" i="2"/>
  <c r="M2256" i="2"/>
  <c r="N2915" i="2"/>
  <c r="M2915" i="2"/>
  <c r="N2815" i="2"/>
  <c r="M2815" i="2"/>
  <c r="N2775" i="2"/>
  <c r="M2775" i="2"/>
  <c r="N2695" i="2"/>
  <c r="M2695" i="2"/>
  <c r="N2555" i="2"/>
  <c r="M2555" i="2"/>
  <c r="N2515" i="2"/>
  <c r="M2515" i="2"/>
  <c r="N2395" i="2"/>
  <c r="M2395" i="2"/>
  <c r="M2933" i="2"/>
  <c r="N2933" i="2"/>
  <c r="M2913" i="2"/>
  <c r="N2913" i="2"/>
  <c r="M2893" i="2"/>
  <c r="N2893" i="2"/>
  <c r="N2853" i="2"/>
  <c r="M2853" i="2"/>
  <c r="N2813" i="2"/>
  <c r="M2813" i="2"/>
  <c r="N2793" i="2"/>
  <c r="M2793" i="2"/>
  <c r="N2753" i="2"/>
  <c r="M2753" i="2"/>
  <c r="M2932" i="2"/>
  <c r="N2932" i="2"/>
  <c r="M2912" i="2"/>
  <c r="N2912" i="2"/>
  <c r="N2892" i="2"/>
  <c r="M2892" i="2"/>
  <c r="N2872" i="2"/>
  <c r="M2872" i="2"/>
  <c r="N2852" i="2"/>
  <c r="M2852" i="2"/>
  <c r="N2832" i="2"/>
  <c r="M2832" i="2"/>
  <c r="N2812" i="2"/>
  <c r="M2812" i="2"/>
  <c r="N2792" i="2"/>
  <c r="M2792" i="2"/>
  <c r="N2772" i="2"/>
  <c r="M2772" i="2"/>
  <c r="N2752" i="2"/>
  <c r="M2752" i="2"/>
  <c r="N2732" i="2"/>
  <c r="M2732" i="2"/>
  <c r="N2712" i="2"/>
  <c r="M2712" i="2"/>
  <c r="N2692" i="2"/>
  <c r="M2692" i="2"/>
  <c r="N2672" i="2"/>
  <c r="M2672" i="2"/>
  <c r="N2652" i="2"/>
  <c r="M2652" i="2"/>
  <c r="N2632" i="2"/>
  <c r="M2632" i="2"/>
  <c r="N2612" i="2"/>
  <c r="M2612" i="2"/>
  <c r="N2592" i="2"/>
  <c r="M2592" i="2"/>
  <c r="N2572" i="2"/>
  <c r="M2572" i="2"/>
  <c r="N2552" i="2"/>
  <c r="M2552" i="2"/>
  <c r="N2532" i="2"/>
  <c r="M2532" i="2"/>
  <c r="N2512" i="2"/>
  <c r="M2512" i="2"/>
  <c r="N2492" i="2"/>
  <c r="M2492" i="2"/>
  <c r="N2472" i="2"/>
  <c r="M2472" i="2"/>
  <c r="N2452" i="2"/>
  <c r="M2452" i="2"/>
  <c r="N2432" i="2"/>
  <c r="M2432" i="2"/>
  <c r="N2412" i="2"/>
  <c r="M2412" i="2"/>
  <c r="N2392" i="2"/>
  <c r="M2392" i="2"/>
  <c r="N2372" i="2"/>
  <c r="M2372" i="2"/>
  <c r="N2352" i="2"/>
  <c r="M2352" i="2"/>
  <c r="N2332" i="2"/>
  <c r="M2332" i="2"/>
  <c r="N2312" i="2"/>
  <c r="M2312" i="2"/>
  <c r="N2292" i="2"/>
  <c r="M2292" i="2"/>
  <c r="N2272" i="2"/>
  <c r="M2272" i="2"/>
  <c r="N2252" i="2"/>
  <c r="M2252" i="2"/>
  <c r="N2232" i="2"/>
  <c r="M2232" i="2"/>
  <c r="N2212" i="2"/>
  <c r="M2212" i="2"/>
  <c r="N2192" i="2"/>
  <c r="M2192" i="2"/>
  <c r="N2172" i="2"/>
  <c r="M2172" i="2"/>
  <c r="N2152" i="2"/>
  <c r="M2152" i="2"/>
  <c r="N2132" i="2"/>
  <c r="M2132" i="2"/>
  <c r="M2112" i="2"/>
  <c r="N2112" i="2"/>
  <c r="N2092" i="2"/>
  <c r="M2092" i="2"/>
  <c r="N2072" i="2"/>
  <c r="M2072" i="2"/>
  <c r="N2052" i="2"/>
  <c r="M2052" i="2"/>
  <c r="N2032" i="2"/>
  <c r="M2032" i="2"/>
  <c r="N2012" i="2"/>
  <c r="M2012" i="2"/>
  <c r="N1992" i="2"/>
  <c r="M1992" i="2"/>
  <c r="N1952" i="2"/>
  <c r="M1952" i="2"/>
  <c r="N1932" i="2"/>
  <c r="M1932" i="2"/>
  <c r="N1912" i="2"/>
  <c r="M1912" i="2"/>
  <c r="N1892" i="2"/>
  <c r="M1892" i="2"/>
  <c r="N1872" i="2"/>
  <c r="M1872" i="2"/>
  <c r="N1852" i="2"/>
  <c r="M1852" i="2"/>
  <c r="N1832" i="2"/>
  <c r="M1832" i="2"/>
  <c r="N1812" i="2"/>
  <c r="M1812" i="2"/>
  <c r="N1792" i="2"/>
  <c r="M1792" i="2"/>
  <c r="N1772" i="2"/>
  <c r="M1772" i="2"/>
  <c r="N1752" i="2"/>
  <c r="M1752" i="2"/>
  <c r="N1732" i="2"/>
  <c r="M1732" i="2"/>
  <c r="M1712" i="2"/>
  <c r="N1712" i="2"/>
  <c r="N1692" i="2"/>
  <c r="M1692" i="2"/>
  <c r="N1672" i="2"/>
  <c r="M1672" i="2"/>
  <c r="N1652" i="2"/>
  <c r="M1652" i="2"/>
  <c r="M1632" i="2"/>
  <c r="N1632" i="2"/>
  <c r="N1612" i="2"/>
  <c r="M1612" i="2"/>
  <c r="N1592" i="2"/>
  <c r="M1592" i="2"/>
  <c r="N1572" i="2"/>
  <c r="M1572" i="2"/>
  <c r="N1552" i="2"/>
  <c r="M1552" i="2"/>
  <c r="N1532" i="2"/>
  <c r="M1532" i="2"/>
  <c r="N1512" i="2"/>
  <c r="M1512" i="2"/>
  <c r="N1492" i="2"/>
  <c r="M1492" i="2"/>
  <c r="N1472" i="2"/>
  <c r="M1472" i="2"/>
  <c r="N1452" i="2"/>
  <c r="M1452" i="2"/>
  <c r="N1432" i="2"/>
  <c r="M1432" i="2"/>
  <c r="N1412" i="2"/>
  <c r="M1412" i="2"/>
  <c r="N1392" i="2"/>
  <c r="M1392" i="2"/>
  <c r="N1372" i="2"/>
  <c r="M1372" i="2"/>
  <c r="N1352" i="2"/>
  <c r="M1352" i="2"/>
  <c r="N1332" i="2"/>
  <c r="M1332" i="2"/>
  <c r="M1312" i="2"/>
  <c r="N1312" i="2"/>
  <c r="N1292" i="2"/>
  <c r="M1292" i="2"/>
  <c r="N1272" i="2"/>
  <c r="M1272" i="2"/>
  <c r="N1252" i="2"/>
  <c r="M1252" i="2"/>
  <c r="M1232" i="2"/>
  <c r="N1232" i="2"/>
  <c r="N1212" i="2"/>
  <c r="M1212" i="2"/>
  <c r="N1192" i="2"/>
  <c r="M1192" i="2"/>
  <c r="N1172" i="2"/>
  <c r="M1172" i="2"/>
  <c r="N1152" i="2"/>
  <c r="M1152" i="2"/>
  <c r="N1132" i="2"/>
  <c r="M1132" i="2"/>
  <c r="N1112" i="2"/>
  <c r="M1112" i="2"/>
  <c r="N1092" i="2"/>
  <c r="M1092" i="2"/>
  <c r="N1072" i="2"/>
  <c r="M1072" i="2"/>
  <c r="N1052" i="2"/>
  <c r="M1052" i="2"/>
  <c r="N1032" i="2"/>
  <c r="M1032" i="2"/>
  <c r="N1012" i="2"/>
  <c r="M1012" i="2"/>
  <c r="N992" i="2"/>
  <c r="M992" i="2"/>
  <c r="M972" i="2"/>
  <c r="N972" i="2"/>
  <c r="N952" i="2"/>
  <c r="M952" i="2"/>
  <c r="N932" i="2"/>
  <c r="M932" i="2"/>
  <c r="N912" i="2"/>
  <c r="M912" i="2"/>
  <c r="N892" i="2"/>
  <c r="M892" i="2"/>
  <c r="N872" i="2"/>
  <c r="M872" i="2"/>
  <c r="N852" i="2"/>
  <c r="M852" i="2"/>
  <c r="N832" i="2"/>
  <c r="M832" i="2"/>
  <c r="N812" i="2"/>
  <c r="M812" i="2"/>
  <c r="M792" i="2"/>
  <c r="N792" i="2"/>
  <c r="N772" i="2"/>
  <c r="M772" i="2"/>
  <c r="N752" i="2"/>
  <c r="M752" i="2"/>
  <c r="N732" i="2"/>
  <c r="M732" i="2"/>
  <c r="M712" i="2"/>
  <c r="N712" i="2"/>
  <c r="N692" i="2"/>
  <c r="M692" i="2"/>
  <c r="N672" i="2"/>
  <c r="M672" i="2"/>
  <c r="N652" i="2"/>
  <c r="M652" i="2"/>
  <c r="N632" i="2"/>
  <c r="M632" i="2"/>
  <c r="N612" i="2"/>
  <c r="M612" i="2"/>
  <c r="N592" i="2"/>
  <c r="M592" i="2"/>
  <c r="N572" i="2"/>
  <c r="M572" i="2"/>
  <c r="N552" i="2"/>
  <c r="M552" i="2"/>
  <c r="N532" i="2"/>
  <c r="M532" i="2"/>
  <c r="N512" i="2"/>
  <c r="M512" i="2"/>
  <c r="N492" i="2"/>
  <c r="M492" i="2"/>
  <c r="N472" i="2"/>
  <c r="M472" i="2"/>
  <c r="N452" i="2"/>
  <c r="M452" i="2"/>
  <c r="N432" i="2"/>
  <c r="M432" i="2"/>
  <c r="N412" i="2"/>
  <c r="M412" i="2"/>
  <c r="N392" i="2"/>
  <c r="M392" i="2"/>
  <c r="N372" i="2"/>
  <c r="M372" i="2"/>
  <c r="N352" i="2"/>
  <c r="M352" i="2"/>
  <c r="N332" i="2"/>
  <c r="M332" i="2"/>
  <c r="N312" i="2"/>
  <c r="M312" i="2"/>
  <c r="N292" i="2"/>
  <c r="M292" i="2"/>
  <c r="N272" i="2"/>
  <c r="M272" i="2"/>
  <c r="N252" i="2"/>
  <c r="M252" i="2"/>
  <c r="N232" i="2"/>
  <c r="M232" i="2"/>
  <c r="N212" i="2"/>
  <c r="M212" i="2"/>
  <c r="N192" i="2"/>
  <c r="M192" i="2"/>
  <c r="N172" i="2"/>
  <c r="M172" i="2"/>
  <c r="N152" i="2"/>
  <c r="M152" i="2"/>
  <c r="N132" i="2"/>
  <c r="M132" i="2"/>
  <c r="N112" i="2"/>
  <c r="M112" i="2"/>
  <c r="M92" i="2"/>
  <c r="N92" i="2"/>
  <c r="N72" i="2"/>
  <c r="M72" i="2"/>
  <c r="N52" i="2"/>
  <c r="M52" i="2"/>
  <c r="N32" i="2"/>
  <c r="M32" i="2"/>
  <c r="N12" i="2"/>
  <c r="M12" i="2"/>
  <c r="N1170" i="2"/>
  <c r="M1170" i="2"/>
  <c r="N930" i="2"/>
  <c r="M930" i="2"/>
  <c r="N830" i="2"/>
  <c r="M830" i="2"/>
  <c r="N770" i="2"/>
  <c r="M770" i="2"/>
  <c r="N690" i="2"/>
  <c r="M690" i="2"/>
  <c r="N590" i="2"/>
  <c r="M590" i="2"/>
  <c r="N530" i="2"/>
  <c r="M530" i="2"/>
  <c r="N390" i="2"/>
  <c r="M390" i="2"/>
  <c r="N290" i="2"/>
  <c r="M290" i="2"/>
  <c r="N130" i="2"/>
  <c r="M130" i="2"/>
  <c r="N2769" i="2"/>
  <c r="M2769" i="2"/>
  <c r="N2149" i="2"/>
  <c r="M2149" i="2"/>
  <c r="N1909" i="2"/>
  <c r="M1909" i="2"/>
  <c r="N1729" i="2"/>
  <c r="M1729" i="2"/>
  <c r="N1429" i="2"/>
  <c r="M1429" i="2"/>
  <c r="N1189" i="2"/>
  <c r="M1189" i="2"/>
  <c r="N949" i="2"/>
  <c r="M949" i="2"/>
  <c r="N749" i="2"/>
  <c r="M749" i="2"/>
  <c r="N589" i="2"/>
  <c r="M589" i="2"/>
  <c r="N469" i="2"/>
  <c r="M469" i="2"/>
  <c r="N249" i="2"/>
  <c r="M249" i="2"/>
  <c r="N2368" i="2"/>
  <c r="M2368" i="2"/>
  <c r="N2168" i="2"/>
  <c r="M2168" i="2"/>
  <c r="N1928" i="2"/>
  <c r="M1928" i="2"/>
  <c r="N1688" i="2"/>
  <c r="M1688" i="2"/>
  <c r="N1468" i="2"/>
  <c r="M1468" i="2"/>
  <c r="N1328" i="2"/>
  <c r="M1328" i="2"/>
  <c r="N1148" i="2"/>
  <c r="M1148" i="2"/>
  <c r="N908" i="2"/>
  <c r="M908" i="2"/>
  <c r="N728" i="2"/>
  <c r="M728" i="2"/>
  <c r="N548" i="2"/>
  <c r="M548" i="2"/>
  <c r="N288" i="2"/>
  <c r="M288" i="2"/>
  <c r="N2807" i="2"/>
  <c r="M2807" i="2"/>
  <c r="N1967" i="2"/>
  <c r="M1967" i="2"/>
  <c r="N1627" i="2"/>
  <c r="M1627" i="2"/>
  <c r="N1267" i="2"/>
  <c r="M1267" i="2"/>
  <c r="N987" i="2"/>
  <c r="M987" i="2"/>
  <c r="N747" i="2"/>
  <c r="M747" i="2"/>
  <c r="N547" i="2"/>
  <c r="M547" i="2"/>
  <c r="N327" i="2"/>
  <c r="M327" i="2"/>
  <c r="N2146" i="2"/>
  <c r="M2146" i="2"/>
  <c r="N1946" i="2"/>
  <c r="M1946" i="2"/>
  <c r="N1806" i="2"/>
  <c r="M1806" i="2"/>
  <c r="N1566" i="2"/>
  <c r="M1566" i="2"/>
  <c r="N1446" i="2"/>
  <c r="M1446" i="2"/>
  <c r="N1326" i="2"/>
  <c r="M1326" i="2"/>
  <c r="N1226" i="2"/>
  <c r="M1226" i="2"/>
  <c r="N1126" i="2"/>
  <c r="M1126" i="2"/>
  <c r="N986" i="2"/>
  <c r="M986" i="2"/>
  <c r="N846" i="2"/>
  <c r="M846" i="2"/>
  <c r="N706" i="2"/>
  <c r="M706" i="2"/>
  <c r="N486" i="2"/>
  <c r="M486" i="2"/>
  <c r="N306" i="2"/>
  <c r="M306" i="2"/>
  <c r="N2565" i="2"/>
  <c r="M2565" i="2"/>
  <c r="N1965" i="2"/>
  <c r="M1965" i="2"/>
  <c r="N1765" i="2"/>
  <c r="M1765" i="2"/>
  <c r="N1565" i="2"/>
  <c r="M1565" i="2"/>
  <c r="N1385" i="2"/>
  <c r="M1385" i="2"/>
  <c r="N1145" i="2"/>
  <c r="M1145" i="2"/>
  <c r="N925" i="2"/>
  <c r="M925" i="2"/>
  <c r="N705" i="2"/>
  <c r="M705" i="2"/>
  <c r="N525" i="2"/>
  <c r="M525" i="2"/>
  <c r="N325" i="2"/>
  <c r="M325" i="2"/>
  <c r="N2864" i="2"/>
  <c r="M2864" i="2"/>
  <c r="N2604" i="2"/>
  <c r="M2604" i="2"/>
  <c r="N2464" i="2"/>
  <c r="M2464" i="2"/>
  <c r="N2344" i="2"/>
  <c r="M2344" i="2"/>
  <c r="N2204" i="2"/>
  <c r="M2204" i="2"/>
  <c r="N2104" i="2"/>
  <c r="M2104" i="2"/>
  <c r="N1984" i="2"/>
  <c r="M1984" i="2"/>
  <c r="N1844" i="2"/>
  <c r="M1844" i="2"/>
  <c r="N1704" i="2"/>
  <c r="M1704" i="2"/>
  <c r="N1484" i="2"/>
  <c r="M1484" i="2"/>
  <c r="N1324" i="2"/>
  <c r="M1324" i="2"/>
  <c r="N1024" i="2"/>
  <c r="M1024" i="2"/>
  <c r="N724" i="2"/>
  <c r="M724" i="2"/>
  <c r="N444" i="2"/>
  <c r="M444" i="2"/>
  <c r="N2843" i="2"/>
  <c r="M2843" i="2"/>
  <c r="N2803" i="2"/>
  <c r="M2803" i="2"/>
  <c r="N2743" i="2"/>
  <c r="M2743" i="2"/>
  <c r="N2703" i="2"/>
  <c r="M2703" i="2"/>
  <c r="N2603" i="2"/>
  <c r="M2603" i="2"/>
  <c r="N2543" i="2"/>
  <c r="M2543" i="2"/>
  <c r="N2503" i="2"/>
  <c r="M2503" i="2"/>
  <c r="N2403" i="2"/>
  <c r="M2403" i="2"/>
  <c r="N2343" i="2"/>
  <c r="M2343" i="2"/>
  <c r="N2303" i="2"/>
  <c r="M2303" i="2"/>
  <c r="N2243" i="2"/>
  <c r="M2243" i="2"/>
  <c r="N2203" i="2"/>
  <c r="M2203" i="2"/>
  <c r="N2163" i="2"/>
  <c r="M2163" i="2"/>
  <c r="N2123" i="2"/>
  <c r="M2123" i="2"/>
  <c r="N2103" i="2"/>
  <c r="M2103" i="2"/>
  <c r="N2043" i="2"/>
  <c r="M2043" i="2"/>
  <c r="N2023" i="2"/>
  <c r="M2023" i="2"/>
  <c r="N2003" i="2"/>
  <c r="M2003" i="2"/>
  <c r="N1983" i="2"/>
  <c r="M1983" i="2"/>
  <c r="N1963" i="2"/>
  <c r="M1963" i="2"/>
  <c r="N1943" i="2"/>
  <c r="M1943" i="2"/>
  <c r="N1903" i="2"/>
  <c r="M1903" i="2"/>
  <c r="N1843" i="2"/>
  <c r="M1843" i="2"/>
  <c r="N1803" i="2"/>
  <c r="M1803" i="2"/>
  <c r="N1783" i="2"/>
  <c r="M1783" i="2"/>
  <c r="N1743" i="2"/>
  <c r="M1743" i="2"/>
  <c r="N1723" i="2"/>
  <c r="M1723" i="2"/>
  <c r="N1703" i="2"/>
  <c r="M1703" i="2"/>
  <c r="N1683" i="2"/>
  <c r="M1683" i="2"/>
  <c r="N1663" i="2"/>
  <c r="M1663" i="2"/>
  <c r="N1643" i="2"/>
  <c r="M1643" i="2"/>
  <c r="N1623" i="2"/>
  <c r="M1623" i="2"/>
  <c r="N1603" i="2"/>
  <c r="M1603" i="2"/>
  <c r="N1583" i="2"/>
  <c r="M1583" i="2"/>
  <c r="N1563" i="2"/>
  <c r="M1563" i="2"/>
  <c r="N1523" i="2"/>
  <c r="M1523" i="2"/>
  <c r="N1503" i="2"/>
  <c r="M1503" i="2"/>
  <c r="N1463" i="2"/>
  <c r="M1463" i="2"/>
  <c r="N1443" i="2"/>
  <c r="M1443" i="2"/>
  <c r="N1423" i="2"/>
  <c r="M1423" i="2"/>
  <c r="N1403" i="2"/>
  <c r="M1403" i="2"/>
  <c r="N1383" i="2"/>
  <c r="M1383" i="2"/>
  <c r="N1343" i="2"/>
  <c r="M1343" i="2"/>
  <c r="N1323" i="2"/>
  <c r="M1323" i="2"/>
  <c r="N1283" i="2"/>
  <c r="M1283" i="2"/>
  <c r="N1263" i="2"/>
  <c r="M1263" i="2"/>
  <c r="N1243" i="2"/>
  <c r="M1243" i="2"/>
  <c r="N1223" i="2"/>
  <c r="M1223" i="2"/>
  <c r="N1203" i="2"/>
  <c r="M1203" i="2"/>
  <c r="N1183" i="2"/>
  <c r="M1183" i="2"/>
  <c r="N1163" i="2"/>
  <c r="M1163" i="2"/>
  <c r="N1123" i="2"/>
  <c r="M1123" i="2"/>
  <c r="N1083" i="2"/>
  <c r="M1083" i="2"/>
  <c r="N1063" i="2"/>
  <c r="M1063" i="2"/>
  <c r="N1043" i="2"/>
  <c r="M1043" i="2"/>
  <c r="N1023" i="2"/>
  <c r="M1023" i="2"/>
  <c r="N1003" i="2"/>
  <c r="M1003" i="2"/>
  <c r="N983" i="2"/>
  <c r="M983" i="2"/>
  <c r="N963" i="2"/>
  <c r="M963" i="2"/>
  <c r="N923" i="2"/>
  <c r="M923" i="2"/>
  <c r="N903" i="2"/>
  <c r="M903" i="2"/>
  <c r="N863" i="2"/>
  <c r="M863" i="2"/>
  <c r="N843" i="2"/>
  <c r="M843" i="2"/>
  <c r="N823" i="2"/>
  <c r="M823" i="2"/>
  <c r="N803" i="2"/>
  <c r="M803" i="2"/>
  <c r="N783" i="2"/>
  <c r="M783" i="2"/>
  <c r="N763" i="2"/>
  <c r="M763" i="2"/>
  <c r="N743" i="2"/>
  <c r="M743" i="2"/>
  <c r="N723" i="2"/>
  <c r="M723" i="2"/>
  <c r="N703" i="2"/>
  <c r="M703" i="2"/>
  <c r="N663" i="2"/>
  <c r="M663" i="2"/>
  <c r="N643" i="2"/>
  <c r="M643" i="2"/>
  <c r="N583" i="2"/>
  <c r="M583" i="2"/>
  <c r="N563" i="2"/>
  <c r="M563" i="2"/>
  <c r="N543" i="2"/>
  <c r="M543" i="2"/>
  <c r="N523" i="2"/>
  <c r="M523" i="2"/>
  <c r="N503" i="2"/>
  <c r="M503" i="2"/>
  <c r="N483" i="2"/>
  <c r="M483" i="2"/>
  <c r="N463" i="2"/>
  <c r="M463" i="2"/>
  <c r="N443" i="2"/>
  <c r="M443" i="2"/>
  <c r="N403" i="2"/>
  <c r="M403" i="2"/>
  <c r="N383" i="2"/>
  <c r="M383" i="2"/>
  <c r="N323" i="2"/>
  <c r="M323" i="2"/>
  <c r="N303" i="2"/>
  <c r="M303" i="2"/>
  <c r="N283" i="2"/>
  <c r="M283" i="2"/>
  <c r="N263" i="2"/>
  <c r="M263" i="2"/>
  <c r="N243" i="2"/>
  <c r="M243" i="2"/>
  <c r="N223" i="2"/>
  <c r="M223" i="2"/>
  <c r="N203" i="2"/>
  <c r="M203" i="2"/>
  <c r="N183" i="2"/>
  <c r="M183" i="2"/>
  <c r="N143" i="2"/>
  <c r="M143" i="2"/>
  <c r="N123" i="2"/>
  <c r="M123" i="2"/>
  <c r="N83" i="2"/>
  <c r="M83" i="2"/>
  <c r="N63" i="2"/>
  <c r="M63" i="2"/>
  <c r="N43" i="2"/>
  <c r="M43" i="2"/>
  <c r="N23" i="2"/>
  <c r="M23" i="2"/>
  <c r="N3" i="2"/>
  <c r="M3" i="2"/>
  <c r="N2906" i="2"/>
  <c r="N2786" i="2"/>
  <c r="N2724" i="2"/>
  <c r="N2660" i="2"/>
  <c r="N2588" i="2"/>
  <c r="N2525" i="2"/>
  <c r="N2461" i="2"/>
  <c r="N2389" i="2"/>
  <c r="N2326" i="2"/>
  <c r="N2262" i="2"/>
  <c r="N2188" i="2"/>
  <c r="N2025" i="2"/>
  <c r="N1885" i="2"/>
  <c r="N1539" i="2"/>
  <c r="N1286" i="2"/>
  <c r="N1050" i="2"/>
  <c r="N318" i="2"/>
  <c r="N1110" i="2"/>
  <c r="M1110" i="2"/>
  <c r="N990" i="2"/>
  <c r="M990" i="2"/>
  <c r="N850" i="2"/>
  <c r="M850" i="2"/>
  <c r="N730" i="2"/>
  <c r="M730" i="2"/>
  <c r="N490" i="2"/>
  <c r="M490" i="2"/>
  <c r="N430" i="2"/>
  <c r="M430" i="2"/>
  <c r="N330" i="2"/>
  <c r="M330" i="2"/>
  <c r="N270" i="2"/>
  <c r="M270" i="2"/>
  <c r="N230" i="2"/>
  <c r="M230" i="2"/>
  <c r="N150" i="2"/>
  <c r="M150" i="2"/>
  <c r="N110" i="2"/>
  <c r="M110" i="2"/>
  <c r="N50" i="2"/>
  <c r="M50" i="2"/>
  <c r="N10" i="2"/>
  <c r="M10" i="2"/>
  <c r="N2609" i="2"/>
  <c r="M2609" i="2"/>
  <c r="N2509" i="2"/>
  <c r="M2509" i="2"/>
  <c r="N2329" i="2"/>
  <c r="M2329" i="2"/>
  <c r="N2229" i="2"/>
  <c r="M2229" i="2"/>
  <c r="N2069" i="2"/>
  <c r="M2069" i="2"/>
  <c r="N1989" i="2"/>
  <c r="M1989" i="2"/>
  <c r="N1889" i="2"/>
  <c r="M1889" i="2"/>
  <c r="N1829" i="2"/>
  <c r="M1829" i="2"/>
  <c r="N1789" i="2"/>
  <c r="M1789" i="2"/>
  <c r="N1749" i="2"/>
  <c r="M1749" i="2"/>
  <c r="N1589" i="2"/>
  <c r="M1589" i="2"/>
  <c r="N1529" i="2"/>
  <c r="M1529" i="2"/>
  <c r="N1349" i="2"/>
  <c r="M1349" i="2"/>
  <c r="N1289" i="2"/>
  <c r="M1289" i="2"/>
  <c r="N1209" i="2"/>
  <c r="M1209" i="2"/>
  <c r="N1169" i="2"/>
  <c r="M1169" i="2"/>
  <c r="N1109" i="2"/>
  <c r="M1109" i="2"/>
  <c r="N929" i="2"/>
  <c r="M929" i="2"/>
  <c r="N829" i="2"/>
  <c r="M829" i="2"/>
  <c r="N729" i="2"/>
  <c r="M729" i="2"/>
  <c r="N649" i="2"/>
  <c r="M649" i="2"/>
  <c r="N569" i="2"/>
  <c r="M569" i="2"/>
  <c r="N529" i="2"/>
  <c r="M529" i="2"/>
  <c r="N449" i="2"/>
  <c r="M449" i="2"/>
  <c r="N409" i="2"/>
  <c r="M409" i="2"/>
  <c r="N329" i="2"/>
  <c r="M329" i="2"/>
  <c r="N209" i="2"/>
  <c r="M209" i="2"/>
  <c r="N69" i="2"/>
  <c r="M69" i="2"/>
  <c r="N29" i="2"/>
  <c r="M29" i="2"/>
  <c r="N2549" i="2"/>
  <c r="N1987" i="2"/>
  <c r="M1987" i="2"/>
  <c r="N1927" i="2"/>
  <c r="M1927" i="2"/>
  <c r="N1887" i="2"/>
  <c r="M1887" i="2"/>
  <c r="N1847" i="2"/>
  <c r="M1847" i="2"/>
  <c r="N1767" i="2"/>
  <c r="M1767" i="2"/>
  <c r="N1727" i="2"/>
  <c r="M1727" i="2"/>
  <c r="N1687" i="2"/>
  <c r="M1687" i="2"/>
  <c r="N1647" i="2"/>
  <c r="M1647" i="2"/>
  <c r="N1587" i="2"/>
  <c r="M1587" i="2"/>
  <c r="N1547" i="2"/>
  <c r="M1547" i="2"/>
  <c r="N1467" i="2"/>
  <c r="M1467" i="2"/>
  <c r="N1427" i="2"/>
  <c r="M1427" i="2"/>
  <c r="N1387" i="2"/>
  <c r="M1387" i="2"/>
  <c r="N1347" i="2"/>
  <c r="M1347" i="2"/>
  <c r="N1327" i="2"/>
  <c r="M1327" i="2"/>
  <c r="N1287" i="2"/>
  <c r="M1287" i="2"/>
  <c r="N1227" i="2"/>
  <c r="M1227" i="2"/>
  <c r="N1167" i="2"/>
  <c r="M1167" i="2"/>
  <c r="N1087" i="2"/>
  <c r="M1087" i="2"/>
  <c r="N1047" i="2"/>
  <c r="M1047" i="2"/>
  <c r="N1007" i="2"/>
  <c r="M1007" i="2"/>
  <c r="N947" i="2"/>
  <c r="M947" i="2"/>
  <c r="N867" i="2"/>
  <c r="M867" i="2"/>
  <c r="N847" i="2"/>
  <c r="M847" i="2"/>
  <c r="N787" i="2"/>
  <c r="M787" i="2"/>
  <c r="N727" i="2"/>
  <c r="M727" i="2"/>
  <c r="N667" i="2"/>
  <c r="M667" i="2"/>
  <c r="N627" i="2"/>
  <c r="M627" i="2"/>
  <c r="N607" i="2"/>
  <c r="M607" i="2"/>
  <c r="N527" i="2"/>
  <c r="M527" i="2"/>
  <c r="N467" i="2"/>
  <c r="M467" i="2"/>
  <c r="N407" i="2"/>
  <c r="M407" i="2"/>
  <c r="N367" i="2"/>
  <c r="M367" i="2"/>
  <c r="N307" i="2"/>
  <c r="M307" i="2"/>
  <c r="N227" i="2"/>
  <c r="M227" i="2"/>
  <c r="N187" i="2"/>
  <c r="M187" i="2"/>
  <c r="N147" i="2"/>
  <c r="M147" i="2"/>
  <c r="N107" i="2"/>
  <c r="M107" i="2"/>
  <c r="N67" i="2"/>
  <c r="M67" i="2"/>
  <c r="N47" i="2"/>
  <c r="M47" i="2"/>
  <c r="N7" i="2"/>
  <c r="M7" i="2"/>
  <c r="N2348" i="2"/>
  <c r="N2029" i="2"/>
  <c r="N109" i="2"/>
  <c r="N2706" i="2"/>
  <c r="M2706" i="2"/>
  <c r="N2606" i="2"/>
  <c r="M2606" i="2"/>
  <c r="N2166" i="2"/>
  <c r="M2166" i="2"/>
  <c r="N2126" i="2"/>
  <c r="M2126" i="2"/>
  <c r="N2106" i="2"/>
  <c r="M2106" i="2"/>
  <c r="N2046" i="2"/>
  <c r="M2046" i="2"/>
  <c r="N1966" i="2"/>
  <c r="M1966" i="2"/>
  <c r="N1906" i="2"/>
  <c r="M1906" i="2"/>
  <c r="N1846" i="2"/>
  <c r="M1846" i="2"/>
  <c r="N1786" i="2"/>
  <c r="M1786" i="2"/>
  <c r="N1726" i="2"/>
  <c r="M1726" i="2"/>
  <c r="N1706" i="2"/>
  <c r="M1706" i="2"/>
  <c r="N1646" i="2"/>
  <c r="M1646" i="2"/>
  <c r="N1606" i="2"/>
  <c r="M1606" i="2"/>
  <c r="N1586" i="2"/>
  <c r="M1586" i="2"/>
  <c r="N1506" i="2"/>
  <c r="M1506" i="2"/>
  <c r="N1466" i="2"/>
  <c r="M1466" i="2"/>
  <c r="N1386" i="2"/>
  <c r="M1386" i="2"/>
  <c r="N1366" i="2"/>
  <c r="M1366" i="2"/>
  <c r="N1266" i="2"/>
  <c r="M1266" i="2"/>
  <c r="N1186" i="2"/>
  <c r="M1186" i="2"/>
  <c r="N1046" i="2"/>
  <c r="M1046" i="2"/>
  <c r="N1006" i="2"/>
  <c r="M1006" i="2"/>
  <c r="N966" i="2"/>
  <c r="M966" i="2"/>
  <c r="N866" i="2"/>
  <c r="M866" i="2"/>
  <c r="N826" i="2"/>
  <c r="M826" i="2"/>
  <c r="N766" i="2"/>
  <c r="M766" i="2"/>
  <c r="N726" i="2"/>
  <c r="M726" i="2"/>
  <c r="N526" i="2"/>
  <c r="M526" i="2"/>
  <c r="N406" i="2"/>
  <c r="M406" i="2"/>
  <c r="N266" i="2"/>
  <c r="M266" i="2"/>
  <c r="N246" i="2"/>
  <c r="M246" i="2"/>
  <c r="N206" i="2"/>
  <c r="M206" i="2"/>
  <c r="N186" i="2"/>
  <c r="M186" i="2"/>
  <c r="N146" i="2"/>
  <c r="M146" i="2"/>
  <c r="N66" i="2"/>
  <c r="M66" i="2"/>
  <c r="N46" i="2"/>
  <c r="M46" i="2"/>
  <c r="N26" i="2"/>
  <c r="M26" i="2"/>
  <c r="N6" i="2"/>
  <c r="M6" i="2"/>
  <c r="N2909" i="2"/>
  <c r="N2789" i="2"/>
  <c r="N2727" i="2"/>
  <c r="N2346" i="2"/>
  <c r="N2028" i="2"/>
  <c r="N106" i="2"/>
  <c r="N2765" i="2"/>
  <c r="M2765" i="2"/>
  <c r="N2605" i="2"/>
  <c r="M2605" i="2"/>
  <c r="N2205" i="2"/>
  <c r="M2205" i="2"/>
  <c r="N2125" i="2"/>
  <c r="M2125" i="2"/>
  <c r="N1985" i="2"/>
  <c r="M1985" i="2"/>
  <c r="N1825" i="2"/>
  <c r="M1825" i="2"/>
  <c r="N1805" i="2"/>
  <c r="M1805" i="2"/>
  <c r="N1745" i="2"/>
  <c r="M1745" i="2"/>
  <c r="N1725" i="2"/>
  <c r="M1725" i="2"/>
  <c r="N1665" i="2"/>
  <c r="M1665" i="2"/>
  <c r="N1605" i="2"/>
  <c r="M1605" i="2"/>
  <c r="N1545" i="2"/>
  <c r="M1545" i="2"/>
  <c r="N1485" i="2"/>
  <c r="M1485" i="2"/>
  <c r="N1445" i="2"/>
  <c r="M1445" i="2"/>
  <c r="N1365" i="2"/>
  <c r="M1365" i="2"/>
  <c r="N1345" i="2"/>
  <c r="M1345" i="2"/>
  <c r="N1285" i="2"/>
  <c r="M1285" i="2"/>
  <c r="N1245" i="2"/>
  <c r="M1245" i="2"/>
  <c r="N1165" i="2"/>
  <c r="M1165" i="2"/>
  <c r="N1125" i="2"/>
  <c r="M1125" i="2"/>
  <c r="N1085" i="2"/>
  <c r="M1085" i="2"/>
  <c r="N1045" i="2"/>
  <c r="M1045" i="2"/>
  <c r="N985" i="2"/>
  <c r="M985" i="2"/>
  <c r="N945" i="2"/>
  <c r="M945" i="2"/>
  <c r="N885" i="2"/>
  <c r="M885" i="2"/>
  <c r="N845" i="2"/>
  <c r="M845" i="2"/>
  <c r="N785" i="2"/>
  <c r="M785" i="2"/>
  <c r="N745" i="2"/>
  <c r="M745" i="2"/>
  <c r="N725" i="2"/>
  <c r="M725" i="2"/>
  <c r="N645" i="2"/>
  <c r="M645" i="2"/>
  <c r="N605" i="2"/>
  <c r="M605" i="2"/>
  <c r="N565" i="2"/>
  <c r="M565" i="2"/>
  <c r="N505" i="2"/>
  <c r="M505" i="2"/>
  <c r="N445" i="2"/>
  <c r="M445" i="2"/>
  <c r="N385" i="2"/>
  <c r="M385" i="2"/>
  <c r="N345" i="2"/>
  <c r="M345" i="2"/>
  <c r="N285" i="2"/>
  <c r="M285" i="2"/>
  <c r="N225" i="2"/>
  <c r="M225" i="2"/>
  <c r="N185" i="2"/>
  <c r="M185" i="2"/>
  <c r="N165" i="2"/>
  <c r="M165" i="2"/>
  <c r="N105" i="2"/>
  <c r="M105" i="2"/>
  <c r="N85" i="2"/>
  <c r="M85" i="2"/>
  <c r="N65" i="2"/>
  <c r="M65" i="2"/>
  <c r="N45" i="2"/>
  <c r="M45" i="2"/>
  <c r="N25" i="2"/>
  <c r="M25" i="2"/>
  <c r="N5" i="2"/>
  <c r="M5" i="2"/>
  <c r="N2908" i="2"/>
  <c r="N2788" i="2"/>
  <c r="N2726" i="2"/>
  <c r="N2527" i="2"/>
  <c r="N2345" i="2"/>
  <c r="N2027" i="2"/>
  <c r="N346" i="2"/>
  <c r="N2744" i="2"/>
  <c r="M2744" i="2"/>
  <c r="N2644" i="2"/>
  <c r="M2644" i="2"/>
  <c r="N2564" i="2"/>
  <c r="M2564" i="2"/>
  <c r="N2504" i="2"/>
  <c r="M2504" i="2"/>
  <c r="N2444" i="2"/>
  <c r="M2444" i="2"/>
  <c r="N2364" i="2"/>
  <c r="M2364" i="2"/>
  <c r="N2304" i="2"/>
  <c r="M2304" i="2"/>
  <c r="N2264" i="2"/>
  <c r="M2264" i="2"/>
  <c r="N2164" i="2"/>
  <c r="M2164" i="2"/>
  <c r="N2124" i="2"/>
  <c r="M2124" i="2"/>
  <c r="N2084" i="2"/>
  <c r="M2084" i="2"/>
  <c r="N2024" i="2"/>
  <c r="M2024" i="2"/>
  <c r="N1964" i="2"/>
  <c r="M1964" i="2"/>
  <c r="N1904" i="2"/>
  <c r="M1904" i="2"/>
  <c r="N1684" i="2"/>
  <c r="M1684" i="2"/>
  <c r="N1604" i="2"/>
  <c r="M1604" i="2"/>
  <c r="N1564" i="2"/>
  <c r="M1564" i="2"/>
  <c r="N1524" i="2"/>
  <c r="M1524" i="2"/>
  <c r="N1444" i="2"/>
  <c r="M1444" i="2"/>
  <c r="N1404" i="2"/>
  <c r="M1404" i="2"/>
  <c r="N1364" i="2"/>
  <c r="M1364" i="2"/>
  <c r="N1304" i="2"/>
  <c r="M1304" i="2"/>
  <c r="N1264" i="2"/>
  <c r="M1264" i="2"/>
  <c r="N1224" i="2"/>
  <c r="M1224" i="2"/>
  <c r="N1184" i="2"/>
  <c r="M1184" i="2"/>
  <c r="N1124" i="2"/>
  <c r="M1124" i="2"/>
  <c r="N1084" i="2"/>
  <c r="M1084" i="2"/>
  <c r="N1044" i="2"/>
  <c r="M1044" i="2"/>
  <c r="N1004" i="2"/>
  <c r="M1004" i="2"/>
  <c r="N964" i="2"/>
  <c r="M964" i="2"/>
  <c r="N944" i="2"/>
  <c r="M944" i="2"/>
  <c r="N864" i="2"/>
  <c r="M864" i="2"/>
  <c r="N824" i="2"/>
  <c r="M824" i="2"/>
  <c r="N804" i="2"/>
  <c r="M804" i="2"/>
  <c r="N764" i="2"/>
  <c r="M764" i="2"/>
  <c r="N744" i="2"/>
  <c r="M744" i="2"/>
  <c r="N704" i="2"/>
  <c r="M704" i="2"/>
  <c r="N644" i="2"/>
  <c r="M644" i="2"/>
  <c r="N604" i="2"/>
  <c r="M604" i="2"/>
  <c r="N564" i="2"/>
  <c r="M564" i="2"/>
  <c r="N524" i="2"/>
  <c r="M524" i="2"/>
  <c r="N504" i="2"/>
  <c r="M504" i="2"/>
  <c r="N484" i="2"/>
  <c r="M484" i="2"/>
  <c r="N464" i="2"/>
  <c r="M464" i="2"/>
  <c r="N384" i="2"/>
  <c r="M384" i="2"/>
  <c r="N324" i="2"/>
  <c r="M324" i="2"/>
  <c r="N304" i="2"/>
  <c r="M304" i="2"/>
  <c r="N284" i="2"/>
  <c r="M284" i="2"/>
  <c r="N264" i="2"/>
  <c r="M264" i="2"/>
  <c r="N244" i="2"/>
  <c r="M244" i="2"/>
  <c r="N224" i="2"/>
  <c r="M224" i="2"/>
  <c r="N204" i="2"/>
  <c r="M204" i="2"/>
  <c r="N184" i="2"/>
  <c r="M184" i="2"/>
  <c r="N164" i="2"/>
  <c r="M164" i="2"/>
  <c r="N144" i="2"/>
  <c r="M144" i="2"/>
  <c r="N124" i="2"/>
  <c r="M124" i="2"/>
  <c r="N104" i="2"/>
  <c r="M104" i="2"/>
  <c r="N84" i="2"/>
  <c r="M84" i="2"/>
  <c r="N64" i="2"/>
  <c r="M64" i="2"/>
  <c r="N44" i="2"/>
  <c r="M44" i="2"/>
  <c r="N24" i="2"/>
  <c r="M24" i="2"/>
  <c r="N4" i="2"/>
  <c r="M4" i="2"/>
  <c r="N2907" i="2"/>
  <c r="N2787" i="2"/>
  <c r="N2725" i="2"/>
  <c r="N2589" i="2"/>
  <c r="N2526" i="2"/>
  <c r="N2327" i="2"/>
  <c r="N2189" i="2"/>
  <c r="N2026" i="2"/>
  <c r="N2643" i="2"/>
  <c r="M2643" i="2"/>
  <c r="N2443" i="2"/>
  <c r="M2443" i="2"/>
  <c r="N2922" i="2"/>
  <c r="M2922" i="2"/>
  <c r="N2902" i="2"/>
  <c r="M2902" i="2"/>
  <c r="N2842" i="2"/>
  <c r="M2842" i="2"/>
  <c r="N2802" i="2"/>
  <c r="M2802" i="2"/>
  <c r="N2742" i="2"/>
  <c r="M2742" i="2"/>
  <c r="N2702" i="2"/>
  <c r="M2702" i="2"/>
  <c r="N2642" i="2"/>
  <c r="M2642" i="2"/>
  <c r="N2602" i="2"/>
  <c r="M2602" i="2"/>
  <c r="N2542" i="2"/>
  <c r="M2542" i="2"/>
  <c r="N2502" i="2"/>
  <c r="M2502" i="2"/>
  <c r="N2442" i="2"/>
  <c r="M2442" i="2"/>
  <c r="N2402" i="2"/>
  <c r="M2402" i="2"/>
  <c r="N2342" i="2"/>
  <c r="M2342" i="2"/>
  <c r="N2302" i="2"/>
  <c r="M2302" i="2"/>
  <c r="N2242" i="2"/>
  <c r="M2242" i="2"/>
  <c r="N2202" i="2"/>
  <c r="M2202" i="2"/>
  <c r="N2162" i="2"/>
  <c r="M2162" i="2"/>
  <c r="N2122" i="2"/>
  <c r="M2122" i="2"/>
  <c r="N2102" i="2"/>
  <c r="M2102" i="2"/>
  <c r="N2082" i="2"/>
  <c r="M2082" i="2"/>
  <c r="N2042" i="2"/>
  <c r="M2042" i="2"/>
  <c r="N2022" i="2"/>
  <c r="M2022" i="2"/>
  <c r="N2002" i="2"/>
  <c r="M2002" i="2"/>
  <c r="N1982" i="2"/>
  <c r="M1982" i="2"/>
  <c r="N1962" i="2"/>
  <c r="M1962" i="2"/>
  <c r="N1942" i="2"/>
  <c r="M1942" i="2"/>
  <c r="N1902" i="2"/>
  <c r="M1902" i="2"/>
  <c r="N1842" i="2"/>
  <c r="M1842" i="2"/>
  <c r="N1802" i="2"/>
  <c r="M1802" i="2"/>
  <c r="N1742" i="2"/>
  <c r="M1742" i="2"/>
  <c r="N1702" i="2"/>
  <c r="M1702" i="2"/>
  <c r="N1682" i="2"/>
  <c r="M1682" i="2"/>
  <c r="N1662" i="2"/>
  <c r="M1662" i="2"/>
  <c r="N1642" i="2"/>
  <c r="M1642" i="2"/>
  <c r="N1622" i="2"/>
  <c r="M1622" i="2"/>
  <c r="N1602" i="2"/>
  <c r="M1602" i="2"/>
  <c r="N1582" i="2"/>
  <c r="M1582" i="2"/>
  <c r="N1562" i="2"/>
  <c r="M1562" i="2"/>
  <c r="N1542" i="2"/>
  <c r="M1542" i="2"/>
  <c r="N1522" i="2"/>
  <c r="M1522" i="2"/>
  <c r="N1502" i="2"/>
  <c r="M1502" i="2"/>
  <c r="N1482" i="2"/>
  <c r="M1482" i="2"/>
  <c r="N1462" i="2"/>
  <c r="M1462" i="2"/>
  <c r="N1442" i="2"/>
  <c r="M1442" i="2"/>
  <c r="N1422" i="2"/>
  <c r="M1422" i="2"/>
  <c r="N1402" i="2"/>
  <c r="M1402" i="2"/>
  <c r="N1382" i="2"/>
  <c r="M1382" i="2"/>
  <c r="N1362" i="2"/>
  <c r="M1362" i="2"/>
  <c r="N1342" i="2"/>
  <c r="M1342" i="2"/>
  <c r="N1322" i="2"/>
  <c r="M1322" i="2"/>
  <c r="N1302" i="2"/>
  <c r="M1302" i="2"/>
  <c r="N1282" i="2"/>
  <c r="M1282" i="2"/>
  <c r="N1262" i="2"/>
  <c r="M1262" i="2"/>
  <c r="N1242" i="2"/>
  <c r="M1242" i="2"/>
  <c r="N1222" i="2"/>
  <c r="M1222" i="2"/>
  <c r="N1202" i="2"/>
  <c r="M1202" i="2"/>
  <c r="N1182" i="2"/>
  <c r="M1182" i="2"/>
  <c r="N1162" i="2"/>
  <c r="M1162" i="2"/>
  <c r="N1142" i="2"/>
  <c r="M1142" i="2"/>
  <c r="N1122" i="2"/>
  <c r="M1122" i="2"/>
  <c r="N1102" i="2"/>
  <c r="M1102" i="2"/>
  <c r="N1082" i="2"/>
  <c r="M1082" i="2"/>
  <c r="N1062" i="2"/>
  <c r="M1062" i="2"/>
  <c r="N1042" i="2"/>
  <c r="M1042" i="2"/>
  <c r="N1022" i="2"/>
  <c r="M1022" i="2"/>
  <c r="N1002" i="2"/>
  <c r="M1002" i="2"/>
  <c r="N982" i="2"/>
  <c r="M982" i="2"/>
  <c r="N962" i="2"/>
  <c r="M962" i="2"/>
  <c r="N942" i="2"/>
  <c r="M942" i="2"/>
  <c r="N922" i="2"/>
  <c r="M922" i="2"/>
  <c r="N902" i="2"/>
  <c r="M902" i="2"/>
  <c r="N882" i="2"/>
  <c r="M882" i="2"/>
  <c r="N862" i="2"/>
  <c r="M862" i="2"/>
  <c r="N842" i="2"/>
  <c r="M842" i="2"/>
  <c r="N822" i="2"/>
  <c r="M822" i="2"/>
  <c r="N802" i="2"/>
  <c r="M802" i="2"/>
  <c r="N782" i="2"/>
  <c r="M782" i="2"/>
  <c r="N762" i="2"/>
  <c r="M762" i="2"/>
  <c r="N742" i="2"/>
  <c r="M742" i="2"/>
  <c r="N722" i="2"/>
  <c r="M722" i="2"/>
  <c r="N702" i="2"/>
  <c r="M702" i="2"/>
  <c r="N682" i="2"/>
  <c r="M682" i="2"/>
  <c r="N662" i="2"/>
  <c r="M662" i="2"/>
  <c r="N642" i="2"/>
  <c r="M642" i="2"/>
  <c r="N622" i="2"/>
  <c r="M622" i="2"/>
  <c r="N602" i="2"/>
  <c r="M602" i="2"/>
  <c r="N582" i="2"/>
  <c r="M582" i="2"/>
  <c r="N562" i="2"/>
  <c r="M562" i="2"/>
  <c r="N542" i="2"/>
  <c r="M542" i="2"/>
  <c r="N522" i="2"/>
  <c r="M522" i="2"/>
  <c r="N502" i="2"/>
  <c r="M502" i="2"/>
  <c r="N482" i="2"/>
  <c r="M482" i="2"/>
  <c r="N462" i="2"/>
  <c r="M462" i="2"/>
  <c r="N442" i="2"/>
  <c r="M442" i="2"/>
  <c r="N422" i="2"/>
  <c r="M422" i="2"/>
  <c r="N402" i="2"/>
  <c r="M402" i="2"/>
  <c r="N382" i="2"/>
  <c r="M382" i="2"/>
  <c r="N362" i="2"/>
  <c r="M362" i="2"/>
  <c r="N342" i="2"/>
  <c r="M342" i="2"/>
  <c r="N322" i="2"/>
  <c r="M322" i="2"/>
  <c r="N302" i="2"/>
  <c r="M302" i="2"/>
  <c r="N282" i="2"/>
  <c r="M282" i="2"/>
  <c r="N262" i="2"/>
  <c r="M262" i="2"/>
  <c r="N242" i="2"/>
  <c r="M242" i="2"/>
  <c r="N222" i="2"/>
  <c r="M222" i="2"/>
  <c r="N202" i="2"/>
  <c r="M202" i="2"/>
  <c r="N182" i="2"/>
  <c r="M182" i="2"/>
  <c r="N162" i="2"/>
  <c r="M162" i="2"/>
  <c r="N142" i="2"/>
  <c r="M142" i="2"/>
  <c r="N122" i="2"/>
  <c r="M122" i="2"/>
  <c r="N102" i="2"/>
  <c r="M102" i="2"/>
  <c r="N82" i="2"/>
  <c r="M82" i="2"/>
  <c r="N62" i="2"/>
  <c r="M62" i="2"/>
  <c r="N42" i="2"/>
  <c r="M42" i="2"/>
  <c r="N22" i="2"/>
  <c r="M22" i="2"/>
  <c r="N2" i="2"/>
  <c r="M2" i="2"/>
  <c r="N2905" i="2"/>
  <c r="N2849" i="2"/>
  <c r="N2785" i="2"/>
  <c r="N2723" i="2"/>
  <c r="N2659" i="2"/>
  <c r="N2587" i="2"/>
  <c r="N2524" i="2"/>
  <c r="N2460" i="2"/>
  <c r="N2388" i="2"/>
  <c r="N2325" i="2"/>
  <c r="N2261" i="2"/>
  <c r="N2187" i="2"/>
  <c r="N1884" i="2"/>
  <c r="N1538" i="2"/>
  <c r="N1049" i="2"/>
  <c r="N90" i="2"/>
  <c r="N1030" i="2"/>
  <c r="M1030" i="2"/>
  <c r="N790" i="2"/>
  <c r="M790" i="2"/>
  <c r="N650" i="2"/>
  <c r="M650" i="2"/>
  <c r="N470" i="2"/>
  <c r="M470" i="2"/>
  <c r="N210" i="2"/>
  <c r="M210" i="2"/>
  <c r="N2629" i="2"/>
  <c r="M2629" i="2"/>
  <c r="N2469" i="2"/>
  <c r="M2469" i="2"/>
  <c r="N2369" i="2"/>
  <c r="M2369" i="2"/>
  <c r="N2169" i="2"/>
  <c r="M2169" i="2"/>
  <c r="N1949" i="2"/>
  <c r="M1949" i="2"/>
  <c r="N1769" i="2"/>
  <c r="M1769" i="2"/>
  <c r="N1469" i="2"/>
  <c r="M1469" i="2"/>
  <c r="N1249" i="2"/>
  <c r="M1249" i="2"/>
  <c r="N1029" i="2"/>
  <c r="M1029" i="2"/>
  <c r="N769" i="2"/>
  <c r="M769" i="2"/>
  <c r="N549" i="2"/>
  <c r="M549" i="2"/>
  <c r="N309" i="2"/>
  <c r="M309" i="2"/>
  <c r="N2808" i="2"/>
  <c r="M2808" i="2"/>
  <c r="N1868" i="2"/>
  <c r="M1868" i="2"/>
  <c r="N1668" i="2"/>
  <c r="M1668" i="2"/>
  <c r="N1448" i="2"/>
  <c r="M1448" i="2"/>
  <c r="N1268" i="2"/>
  <c r="M1268" i="2"/>
  <c r="N1088" i="2"/>
  <c r="M1088" i="2"/>
  <c r="N868" i="2"/>
  <c r="M868" i="2"/>
  <c r="N688" i="2"/>
  <c r="M688" i="2"/>
  <c r="N508" i="2"/>
  <c r="M508" i="2"/>
  <c r="N368" i="2"/>
  <c r="M368" i="2"/>
  <c r="N168" i="2"/>
  <c r="M168" i="2"/>
  <c r="N2607" i="2"/>
  <c r="M2607" i="2"/>
  <c r="N2267" i="2"/>
  <c r="M2267" i="2"/>
  <c r="N2107" i="2"/>
  <c r="M2107" i="2"/>
  <c r="N1507" i="2"/>
  <c r="M1507" i="2"/>
  <c r="N1187" i="2"/>
  <c r="M1187" i="2"/>
  <c r="N887" i="2"/>
  <c r="M887" i="2"/>
  <c r="N647" i="2"/>
  <c r="M647" i="2"/>
  <c r="N487" i="2"/>
  <c r="M487" i="2"/>
  <c r="N267" i="2"/>
  <c r="M267" i="2"/>
  <c r="N2666" i="2"/>
  <c r="M2666" i="2"/>
  <c r="N1526" i="2"/>
  <c r="M1526" i="2"/>
  <c r="N1346" i="2"/>
  <c r="M1346" i="2"/>
  <c r="N1146" i="2"/>
  <c r="M1146" i="2"/>
  <c r="N906" i="2"/>
  <c r="M906" i="2"/>
  <c r="N666" i="2"/>
  <c r="M666" i="2"/>
  <c r="N366" i="2"/>
  <c r="M366" i="2"/>
  <c r="N349" i="2"/>
  <c r="N2405" i="2"/>
  <c r="M2405" i="2"/>
  <c r="N2305" i="2"/>
  <c r="M2305" i="2"/>
  <c r="N2085" i="2"/>
  <c r="M2085" i="2"/>
  <c r="N1785" i="2"/>
  <c r="M1785" i="2"/>
  <c r="N1685" i="2"/>
  <c r="M1685" i="2"/>
  <c r="N1525" i="2"/>
  <c r="M1525" i="2"/>
  <c r="N1405" i="2"/>
  <c r="M1405" i="2"/>
  <c r="N1265" i="2"/>
  <c r="M1265" i="2"/>
  <c r="N1185" i="2"/>
  <c r="M1185" i="2"/>
  <c r="N1105" i="2"/>
  <c r="M1105" i="2"/>
  <c r="N1025" i="2"/>
  <c r="M1025" i="2"/>
  <c r="N905" i="2"/>
  <c r="M905" i="2"/>
  <c r="N805" i="2"/>
  <c r="M805" i="2"/>
  <c r="N685" i="2"/>
  <c r="M685" i="2"/>
  <c r="N545" i="2"/>
  <c r="M545" i="2"/>
  <c r="N405" i="2"/>
  <c r="M405" i="2"/>
  <c r="N305" i="2"/>
  <c r="M305" i="2"/>
  <c r="N145" i="2"/>
  <c r="M145" i="2"/>
  <c r="N2004" i="2"/>
  <c r="M2004" i="2"/>
  <c r="N1624" i="2"/>
  <c r="M1624" i="2"/>
  <c r="N1164" i="2"/>
  <c r="M1164" i="2"/>
  <c r="N844" i="2"/>
  <c r="M844" i="2"/>
  <c r="N584" i="2"/>
  <c r="M584" i="2"/>
  <c r="N344" i="2"/>
  <c r="M344" i="2"/>
  <c r="N2921" i="2"/>
  <c r="M2921" i="2"/>
  <c r="N2901" i="2"/>
  <c r="M2901" i="2"/>
  <c r="N2841" i="2"/>
  <c r="M2841" i="2"/>
  <c r="N2801" i="2"/>
  <c r="M2801" i="2"/>
  <c r="N2741" i="2"/>
  <c r="M2741" i="2"/>
  <c r="N2701" i="2"/>
  <c r="M2701" i="2"/>
  <c r="N2641" i="2"/>
  <c r="M2641" i="2"/>
  <c r="N2601" i="2"/>
  <c r="M2601" i="2"/>
  <c r="N2541" i="2"/>
  <c r="M2541" i="2"/>
  <c r="N2501" i="2"/>
  <c r="M2501" i="2"/>
  <c r="N2441" i="2"/>
  <c r="M2441" i="2"/>
  <c r="N2401" i="2"/>
  <c r="M2401" i="2"/>
  <c r="N2341" i="2"/>
  <c r="M2341" i="2"/>
  <c r="N2301" i="2"/>
  <c r="M2301" i="2"/>
  <c r="N2241" i="2"/>
  <c r="M2241" i="2"/>
  <c r="N2201" i="2"/>
  <c r="M2201" i="2"/>
  <c r="N2121" i="2"/>
  <c r="M2121" i="2"/>
  <c r="N2101" i="2"/>
  <c r="M2101" i="2"/>
  <c r="N2081" i="2"/>
  <c r="M2081" i="2"/>
  <c r="N2041" i="2"/>
  <c r="M2041" i="2"/>
  <c r="N2021" i="2"/>
  <c r="M2021" i="2"/>
  <c r="N2001" i="2"/>
  <c r="M2001" i="2"/>
  <c r="N1961" i="2"/>
  <c r="M1961" i="2"/>
  <c r="N1921" i="2"/>
  <c r="M1921" i="2"/>
  <c r="N1901" i="2"/>
  <c r="M1901" i="2"/>
  <c r="N1881" i="2"/>
  <c r="M1881" i="2"/>
  <c r="N1861" i="2"/>
  <c r="M1861" i="2"/>
  <c r="N1841" i="2"/>
  <c r="M1841" i="2"/>
  <c r="N1821" i="2"/>
  <c r="M1821" i="2"/>
  <c r="N1801" i="2"/>
  <c r="M1801" i="2"/>
  <c r="N1781" i="2"/>
  <c r="M1781" i="2"/>
  <c r="N1761" i="2"/>
  <c r="M1761" i="2"/>
  <c r="N1741" i="2"/>
  <c r="M1741" i="2"/>
  <c r="N1721" i="2"/>
  <c r="M1721" i="2"/>
  <c r="N1701" i="2"/>
  <c r="M1701" i="2"/>
  <c r="N1681" i="2"/>
  <c r="M1681" i="2"/>
  <c r="N1661" i="2"/>
  <c r="M1661" i="2"/>
  <c r="N1641" i="2"/>
  <c r="M1641" i="2"/>
  <c r="N1621" i="2"/>
  <c r="M1621" i="2"/>
  <c r="N1601" i="2"/>
  <c r="M1601" i="2"/>
  <c r="N1581" i="2"/>
  <c r="M1581" i="2"/>
  <c r="N1561" i="2"/>
  <c r="M1561" i="2"/>
  <c r="N1521" i="2"/>
  <c r="M1521" i="2"/>
  <c r="N1501" i="2"/>
  <c r="M1501" i="2"/>
  <c r="N1461" i="2"/>
  <c r="M1461" i="2"/>
  <c r="N1441" i="2"/>
  <c r="M1441" i="2"/>
  <c r="N1421" i="2"/>
  <c r="M1421" i="2"/>
  <c r="N1381" i="2"/>
  <c r="M1381" i="2"/>
  <c r="N1341" i="2"/>
  <c r="M1341" i="2"/>
  <c r="N1321" i="2"/>
  <c r="M1321" i="2"/>
  <c r="N1301" i="2"/>
  <c r="M1301" i="2"/>
  <c r="N1281" i="2"/>
  <c r="M1281" i="2"/>
  <c r="N1261" i="2"/>
  <c r="M1261" i="2"/>
  <c r="N1241" i="2"/>
  <c r="M1241" i="2"/>
  <c r="N1221" i="2"/>
  <c r="M1221" i="2"/>
  <c r="N1181" i="2"/>
  <c r="M1181" i="2"/>
  <c r="N1161" i="2"/>
  <c r="M1161" i="2"/>
  <c r="N1121" i="2"/>
  <c r="M1121" i="2"/>
  <c r="N1101" i="2"/>
  <c r="M1101" i="2"/>
  <c r="N1081" i="2"/>
  <c r="M1081" i="2"/>
  <c r="N1061" i="2"/>
  <c r="M1061" i="2"/>
  <c r="N1041" i="2"/>
  <c r="M1041" i="2"/>
  <c r="N1021" i="2"/>
  <c r="M1021" i="2"/>
  <c r="N1001" i="2"/>
  <c r="M1001" i="2"/>
  <c r="N981" i="2"/>
  <c r="M981" i="2"/>
  <c r="N961" i="2"/>
  <c r="M961" i="2"/>
  <c r="N921" i="2"/>
  <c r="M921" i="2"/>
  <c r="N901" i="2"/>
  <c r="M901" i="2"/>
  <c r="N841" i="2"/>
  <c r="M841" i="2"/>
  <c r="N821" i="2"/>
  <c r="M821" i="2"/>
  <c r="N801" i="2"/>
  <c r="M801" i="2"/>
  <c r="N781" i="2"/>
  <c r="M781" i="2"/>
  <c r="N761" i="2"/>
  <c r="M761" i="2"/>
  <c r="N741" i="2"/>
  <c r="M741" i="2"/>
  <c r="N721" i="2"/>
  <c r="M721" i="2"/>
  <c r="N701" i="2"/>
  <c r="M701" i="2"/>
  <c r="N661" i="2"/>
  <c r="M661" i="2"/>
  <c r="N641" i="2"/>
  <c r="M641" i="2"/>
  <c r="N621" i="2"/>
  <c r="M621" i="2"/>
  <c r="N581" i="2"/>
  <c r="M581" i="2"/>
  <c r="N561" i="2"/>
  <c r="M561" i="2"/>
  <c r="N541" i="2"/>
  <c r="M541" i="2"/>
  <c r="N521" i="2"/>
  <c r="M521" i="2"/>
  <c r="N501" i="2"/>
  <c r="M501" i="2"/>
  <c r="N481" i="2"/>
  <c r="M481" i="2"/>
  <c r="N461" i="2"/>
  <c r="M461" i="2"/>
  <c r="N441" i="2"/>
  <c r="M441" i="2"/>
  <c r="N421" i="2"/>
  <c r="M421" i="2"/>
  <c r="N401" i="2"/>
  <c r="M401" i="2"/>
  <c r="N381" i="2"/>
  <c r="M381" i="2"/>
  <c r="N341" i="2"/>
  <c r="M341" i="2"/>
  <c r="N321" i="2"/>
  <c r="M321" i="2"/>
  <c r="N301" i="2"/>
  <c r="M301" i="2"/>
  <c r="N281" i="2"/>
  <c r="M281" i="2"/>
  <c r="N241" i="2"/>
  <c r="M241" i="2"/>
  <c r="N221" i="2"/>
  <c r="M221" i="2"/>
  <c r="N201" i="2"/>
  <c r="M201" i="2"/>
  <c r="N181" i="2"/>
  <c r="M181" i="2"/>
  <c r="N141" i="2"/>
  <c r="M141" i="2"/>
  <c r="N121" i="2"/>
  <c r="M121" i="2"/>
  <c r="N101" i="2"/>
  <c r="M101" i="2"/>
  <c r="N81" i="2"/>
  <c r="M81" i="2"/>
  <c r="N61" i="2"/>
  <c r="M61" i="2"/>
  <c r="N41" i="2"/>
  <c r="M41" i="2"/>
  <c r="N21" i="2"/>
  <c r="M21" i="2"/>
  <c r="N2904" i="2"/>
  <c r="N2848" i="2"/>
  <c r="N2784" i="2"/>
  <c r="N2722" i="2"/>
  <c r="N2586" i="2"/>
  <c r="N2523" i="2"/>
  <c r="N2459" i="2"/>
  <c r="N2387" i="2"/>
  <c r="N2324" i="2"/>
  <c r="N2260" i="2"/>
  <c r="N2186" i="2"/>
  <c r="N2009" i="2"/>
  <c r="N1883" i="2"/>
  <c r="N519" i="2"/>
  <c r="N261" i="2"/>
  <c r="N89" i="2"/>
  <c r="N1070" i="2"/>
  <c r="M1070" i="2"/>
  <c r="N910" i="2"/>
  <c r="M910" i="2"/>
  <c r="N750" i="2"/>
  <c r="M750" i="2"/>
  <c r="N610" i="2"/>
  <c r="M610" i="2"/>
  <c r="N410" i="2"/>
  <c r="M410" i="2"/>
  <c r="N2829" i="2"/>
  <c r="M2829" i="2"/>
  <c r="N2669" i="2"/>
  <c r="M2669" i="2"/>
  <c r="N2209" i="2"/>
  <c r="M2209" i="2"/>
  <c r="N2089" i="2"/>
  <c r="M2089" i="2"/>
  <c r="N1849" i="2"/>
  <c r="M1849" i="2"/>
  <c r="N1669" i="2"/>
  <c r="M1669" i="2"/>
  <c r="N1569" i="2"/>
  <c r="M1569" i="2"/>
  <c r="N1409" i="2"/>
  <c r="M1409" i="2"/>
  <c r="N1389" i="2"/>
  <c r="M1389" i="2"/>
  <c r="N1149" i="2"/>
  <c r="M1149" i="2"/>
  <c r="N989" i="2"/>
  <c r="M989" i="2"/>
  <c r="N889" i="2"/>
  <c r="M889" i="2"/>
  <c r="N809" i="2"/>
  <c r="M809" i="2"/>
  <c r="N689" i="2"/>
  <c r="M689" i="2"/>
  <c r="N609" i="2"/>
  <c r="M609" i="2"/>
  <c r="N289" i="2"/>
  <c r="M289" i="2"/>
  <c r="N189" i="2"/>
  <c r="M189" i="2"/>
  <c r="N2628" i="2"/>
  <c r="M2628" i="2"/>
  <c r="N2308" i="2"/>
  <c r="M2308" i="2"/>
  <c r="N1988" i="2"/>
  <c r="M1988" i="2"/>
  <c r="N1708" i="2"/>
  <c r="M1708" i="2"/>
  <c r="N1488" i="2"/>
  <c r="M1488" i="2"/>
  <c r="N1228" i="2"/>
  <c r="M1228" i="2"/>
  <c r="N968" i="2"/>
  <c r="M968" i="2"/>
  <c r="N648" i="2"/>
  <c r="M648" i="2"/>
  <c r="N308" i="2"/>
  <c r="M308" i="2"/>
  <c r="N2767" i="2"/>
  <c r="M2767" i="2"/>
  <c r="N2567" i="2"/>
  <c r="M2567" i="2"/>
  <c r="N2347" i="2"/>
  <c r="M2347" i="2"/>
  <c r="N2147" i="2"/>
  <c r="M2147" i="2"/>
  <c r="N1807" i="2"/>
  <c r="M1807" i="2"/>
  <c r="N1527" i="2"/>
  <c r="M1527" i="2"/>
  <c r="N1207" i="2"/>
  <c r="M1207" i="2"/>
  <c r="N907" i="2"/>
  <c r="M907" i="2"/>
  <c r="N707" i="2"/>
  <c r="M707" i="2"/>
  <c r="N567" i="2"/>
  <c r="M567" i="2"/>
  <c r="N427" i="2"/>
  <c r="M427" i="2"/>
  <c r="N247" i="2"/>
  <c r="M247" i="2"/>
  <c r="N2806" i="2"/>
  <c r="M2806" i="2"/>
  <c r="N2406" i="2"/>
  <c r="M2406" i="2"/>
  <c r="N2206" i="2"/>
  <c r="M2206" i="2"/>
  <c r="N1986" i="2"/>
  <c r="M1986" i="2"/>
  <c r="N1246" i="2"/>
  <c r="M1246" i="2"/>
  <c r="N1026" i="2"/>
  <c r="M1026" i="2"/>
  <c r="N806" i="2"/>
  <c r="M806" i="2"/>
  <c r="N546" i="2"/>
  <c r="M546" i="2"/>
  <c r="N326" i="2"/>
  <c r="M326" i="2"/>
  <c r="N2805" i="2"/>
  <c r="M2805" i="2"/>
  <c r="N2665" i="2"/>
  <c r="M2665" i="2"/>
  <c r="N2465" i="2"/>
  <c r="M2465" i="2"/>
  <c r="N2265" i="2"/>
  <c r="M2265" i="2"/>
  <c r="N2045" i="2"/>
  <c r="M2045" i="2"/>
  <c r="N1845" i="2"/>
  <c r="M1845" i="2"/>
  <c r="N1705" i="2"/>
  <c r="M1705" i="2"/>
  <c r="N1585" i="2"/>
  <c r="M1585" i="2"/>
  <c r="N1505" i="2"/>
  <c r="M1505" i="2"/>
  <c r="N1465" i="2"/>
  <c r="M1465" i="2"/>
  <c r="N1425" i="2"/>
  <c r="M1425" i="2"/>
  <c r="N1325" i="2"/>
  <c r="M1325" i="2"/>
  <c r="N1205" i="2"/>
  <c r="M1205" i="2"/>
  <c r="N1005" i="2"/>
  <c r="M1005" i="2"/>
  <c r="N825" i="2"/>
  <c r="M825" i="2"/>
  <c r="N625" i="2"/>
  <c r="M625" i="2"/>
  <c r="N465" i="2"/>
  <c r="M465" i="2"/>
  <c r="N365" i="2"/>
  <c r="M365" i="2"/>
  <c r="N265" i="2"/>
  <c r="M265" i="2"/>
  <c r="N125" i="2"/>
  <c r="M125" i="2"/>
  <c r="N1306" i="2"/>
  <c r="N2244" i="2"/>
  <c r="M2244" i="2"/>
  <c r="N1784" i="2"/>
  <c r="M1784" i="2"/>
  <c r="N1204" i="2"/>
  <c r="M1204" i="2"/>
  <c r="N884" i="2"/>
  <c r="M884" i="2"/>
  <c r="N624" i="2"/>
  <c r="M624" i="2"/>
  <c r="N364" i="2"/>
  <c r="M364" i="2"/>
  <c r="N2920" i="2"/>
  <c r="M2920" i="2"/>
  <c r="N2840" i="2"/>
  <c r="M2840" i="2"/>
  <c r="N2800" i="2"/>
  <c r="M2800" i="2"/>
  <c r="N2780" i="2"/>
  <c r="M2780" i="2"/>
  <c r="N2740" i="2"/>
  <c r="M2740" i="2"/>
  <c r="N2700" i="2"/>
  <c r="M2700" i="2"/>
  <c r="N2680" i="2"/>
  <c r="M2680" i="2"/>
  <c r="N2640" i="2"/>
  <c r="M2640" i="2"/>
  <c r="N2600" i="2"/>
  <c r="M2600" i="2"/>
  <c r="N2580" i="2"/>
  <c r="M2580" i="2"/>
  <c r="N2540" i="2"/>
  <c r="M2540" i="2"/>
  <c r="N2500" i="2"/>
  <c r="M2500" i="2"/>
  <c r="N2480" i="2"/>
  <c r="M2480" i="2"/>
  <c r="N2440" i="2"/>
  <c r="M2440" i="2"/>
  <c r="N2400" i="2"/>
  <c r="M2400" i="2"/>
  <c r="N2380" i="2"/>
  <c r="M2380" i="2"/>
  <c r="N2340" i="2"/>
  <c r="M2340" i="2"/>
  <c r="N2300" i="2"/>
  <c r="M2300" i="2"/>
  <c r="N2280" i="2"/>
  <c r="M2280" i="2"/>
  <c r="N2240" i="2"/>
  <c r="M2240" i="2"/>
  <c r="N2200" i="2"/>
  <c r="M2200" i="2"/>
  <c r="N2120" i="2"/>
  <c r="M2120" i="2"/>
  <c r="N2100" i="2"/>
  <c r="M2100" i="2"/>
  <c r="N2080" i="2"/>
  <c r="M2080" i="2"/>
  <c r="N2060" i="2"/>
  <c r="M2060" i="2"/>
  <c r="N2040" i="2"/>
  <c r="M2040" i="2"/>
  <c r="N2020" i="2"/>
  <c r="M2020" i="2"/>
  <c r="N2000" i="2"/>
  <c r="M2000" i="2"/>
  <c r="N1980" i="2"/>
  <c r="M1980" i="2"/>
  <c r="N1960" i="2"/>
  <c r="M1960" i="2"/>
  <c r="N1940" i="2"/>
  <c r="M1940" i="2"/>
  <c r="N1920" i="2"/>
  <c r="M1920" i="2"/>
  <c r="N1900" i="2"/>
  <c r="M1900" i="2"/>
  <c r="N1880" i="2"/>
  <c r="M1880" i="2"/>
  <c r="N1860" i="2"/>
  <c r="M1860" i="2"/>
  <c r="N1840" i="2"/>
  <c r="M1840" i="2"/>
  <c r="N1820" i="2"/>
  <c r="M1820" i="2"/>
  <c r="N1800" i="2"/>
  <c r="M1800" i="2"/>
  <c r="N1780" i="2"/>
  <c r="M1780" i="2"/>
  <c r="N1760" i="2"/>
  <c r="M1760" i="2"/>
  <c r="N1740" i="2"/>
  <c r="M1740" i="2"/>
  <c r="N1720" i="2"/>
  <c r="M1720" i="2"/>
  <c r="N1700" i="2"/>
  <c r="M1700" i="2"/>
  <c r="N1680" i="2"/>
  <c r="M1680" i="2"/>
  <c r="N1660" i="2"/>
  <c r="M1660" i="2"/>
  <c r="N1640" i="2"/>
  <c r="M1640" i="2"/>
  <c r="N1620" i="2"/>
  <c r="M1620" i="2"/>
  <c r="N1580" i="2"/>
  <c r="M1580" i="2"/>
  <c r="N1560" i="2"/>
  <c r="M1560" i="2"/>
  <c r="N1520" i="2"/>
  <c r="M1520" i="2"/>
  <c r="N1500" i="2"/>
  <c r="M1500" i="2"/>
  <c r="N1480" i="2"/>
  <c r="M1480" i="2"/>
  <c r="N1460" i="2"/>
  <c r="M1460" i="2"/>
  <c r="N1440" i="2"/>
  <c r="M1440" i="2"/>
  <c r="N1420" i="2"/>
  <c r="M1420" i="2"/>
  <c r="N1380" i="2"/>
  <c r="M1380" i="2"/>
  <c r="N1360" i="2"/>
  <c r="M1360" i="2"/>
  <c r="N1340" i="2"/>
  <c r="M1340" i="2"/>
  <c r="N1320" i="2"/>
  <c r="M1320" i="2"/>
  <c r="N1300" i="2"/>
  <c r="M1300" i="2"/>
  <c r="N1280" i="2"/>
  <c r="M1280" i="2"/>
  <c r="N1260" i="2"/>
  <c r="M1260" i="2"/>
  <c r="N1240" i="2"/>
  <c r="M1240" i="2"/>
  <c r="N1220" i="2"/>
  <c r="M1220" i="2"/>
  <c r="N1180" i="2"/>
  <c r="M1180" i="2"/>
  <c r="N1160" i="2"/>
  <c r="M1160" i="2"/>
  <c r="N1120" i="2"/>
  <c r="M1120" i="2"/>
  <c r="N1100" i="2"/>
  <c r="M1100" i="2"/>
  <c r="N1080" i="2"/>
  <c r="M1080" i="2"/>
  <c r="N1060" i="2"/>
  <c r="M1060" i="2"/>
  <c r="N1040" i="2"/>
  <c r="M1040" i="2"/>
  <c r="N1020" i="2"/>
  <c r="M1020" i="2"/>
  <c r="N1000" i="2"/>
  <c r="M1000" i="2"/>
  <c r="N980" i="2"/>
  <c r="M980" i="2"/>
  <c r="N960" i="2"/>
  <c r="M960" i="2"/>
  <c r="N920" i="2"/>
  <c r="M920" i="2"/>
  <c r="N900" i="2"/>
  <c r="M900" i="2"/>
  <c r="N840" i="2"/>
  <c r="M840" i="2"/>
  <c r="N820" i="2"/>
  <c r="M820" i="2"/>
  <c r="N800" i="2"/>
  <c r="M800" i="2"/>
  <c r="N780" i="2"/>
  <c r="M780" i="2"/>
  <c r="N760" i="2"/>
  <c r="M760" i="2"/>
  <c r="N740" i="2"/>
  <c r="M740" i="2"/>
  <c r="N720" i="2"/>
  <c r="M720" i="2"/>
  <c r="N700" i="2"/>
  <c r="M700" i="2"/>
  <c r="N660" i="2"/>
  <c r="M660" i="2"/>
  <c r="N640" i="2"/>
  <c r="M640" i="2"/>
  <c r="N600" i="2"/>
  <c r="M600" i="2"/>
  <c r="N580" i="2"/>
  <c r="M580" i="2"/>
  <c r="N540" i="2"/>
  <c r="M540" i="2"/>
  <c r="N520" i="2"/>
  <c r="M520" i="2"/>
  <c r="N500" i="2"/>
  <c r="M500" i="2"/>
  <c r="N480" i="2"/>
  <c r="M480" i="2"/>
  <c r="N460" i="2"/>
  <c r="M460" i="2"/>
  <c r="N440" i="2"/>
  <c r="M440" i="2"/>
  <c r="N400" i="2"/>
  <c r="M400" i="2"/>
  <c r="N380" i="2"/>
  <c r="M380" i="2"/>
  <c r="N340" i="2"/>
  <c r="M340" i="2"/>
  <c r="N320" i="2"/>
  <c r="M320" i="2"/>
  <c r="N300" i="2"/>
  <c r="M300" i="2"/>
  <c r="N280" i="2"/>
  <c r="M280" i="2"/>
  <c r="N240" i="2"/>
  <c r="M240" i="2"/>
  <c r="N220" i="2"/>
  <c r="M220" i="2"/>
  <c r="N180" i="2"/>
  <c r="M180" i="2"/>
  <c r="N120" i="2"/>
  <c r="M120" i="2"/>
  <c r="N100" i="2"/>
  <c r="M100" i="2"/>
  <c r="N80" i="2"/>
  <c r="M80" i="2"/>
  <c r="N60" i="2"/>
  <c r="M60" i="2"/>
  <c r="N40" i="2"/>
  <c r="M40" i="2"/>
  <c r="N20" i="2"/>
  <c r="M20" i="2"/>
  <c r="N2903" i="2"/>
  <c r="N2847" i="2"/>
  <c r="N2783" i="2"/>
  <c r="N2721" i="2"/>
  <c r="N2649" i="2"/>
  <c r="N2585" i="2"/>
  <c r="N2522" i="2"/>
  <c r="N2386" i="2"/>
  <c r="N2323" i="2"/>
  <c r="N2259" i="2"/>
  <c r="N2185" i="2"/>
  <c r="N2008" i="2"/>
  <c r="N1882" i="2"/>
  <c r="N1686" i="2"/>
  <c r="N1489" i="2"/>
  <c r="N518" i="2"/>
  <c r="N260" i="2"/>
  <c r="N86" i="2"/>
  <c r="N1150" i="2"/>
  <c r="M1150" i="2"/>
  <c r="N970" i="2"/>
  <c r="M970" i="2"/>
  <c r="N870" i="2"/>
  <c r="M870" i="2"/>
  <c r="N670" i="2"/>
  <c r="M670" i="2"/>
  <c r="N570" i="2"/>
  <c r="M570" i="2"/>
  <c r="N450" i="2"/>
  <c r="M450" i="2"/>
  <c r="N2729" i="2"/>
  <c r="M2729" i="2"/>
  <c r="N2529" i="2"/>
  <c r="M2529" i="2"/>
  <c r="N2309" i="2"/>
  <c r="M2309" i="2"/>
  <c r="N2049" i="2"/>
  <c r="M2049" i="2"/>
  <c r="N1869" i="2"/>
  <c r="M1869" i="2"/>
  <c r="N1709" i="2"/>
  <c r="M1709" i="2"/>
  <c r="N1509" i="2"/>
  <c r="M1509" i="2"/>
  <c r="N1269" i="2"/>
  <c r="M1269" i="2"/>
  <c r="N969" i="2"/>
  <c r="M969" i="2"/>
  <c r="N669" i="2"/>
  <c r="M669" i="2"/>
  <c r="N2868" i="2"/>
  <c r="M2868" i="2"/>
  <c r="N2728" i="2"/>
  <c r="M2728" i="2"/>
  <c r="N2528" i="2"/>
  <c r="M2528" i="2"/>
  <c r="N2328" i="2"/>
  <c r="M2328" i="2"/>
  <c r="N2268" i="2"/>
  <c r="M2268" i="2"/>
  <c r="N2208" i="2"/>
  <c r="M2208" i="2"/>
  <c r="N2128" i="2"/>
  <c r="M2128" i="2"/>
  <c r="N1888" i="2"/>
  <c r="M1888" i="2"/>
  <c r="N1748" i="2"/>
  <c r="M1748" i="2"/>
  <c r="N1528" i="2"/>
  <c r="M1528" i="2"/>
  <c r="N1308" i="2"/>
  <c r="M1308" i="2"/>
  <c r="N1128" i="2"/>
  <c r="M1128" i="2"/>
  <c r="N948" i="2"/>
  <c r="M948" i="2"/>
  <c r="N788" i="2"/>
  <c r="M788" i="2"/>
  <c r="N608" i="2"/>
  <c r="M608" i="2"/>
  <c r="N488" i="2"/>
  <c r="M488" i="2"/>
  <c r="N428" i="2"/>
  <c r="M428" i="2"/>
  <c r="N348" i="2"/>
  <c r="M348" i="2"/>
  <c r="N248" i="2"/>
  <c r="M248" i="2"/>
  <c r="N188" i="2"/>
  <c r="M188" i="2"/>
  <c r="N88" i="2"/>
  <c r="M88" i="2"/>
  <c r="N2047" i="2"/>
  <c r="M2047" i="2"/>
  <c r="N1787" i="2"/>
  <c r="M1787" i="2"/>
  <c r="N1447" i="2"/>
  <c r="M1447" i="2"/>
  <c r="N1147" i="2"/>
  <c r="M1147" i="2"/>
  <c r="N807" i="2"/>
  <c r="M807" i="2"/>
  <c r="N447" i="2"/>
  <c r="M447" i="2"/>
  <c r="N350" i="2"/>
  <c r="N2766" i="2"/>
  <c r="M2766" i="2"/>
  <c r="N2566" i="2"/>
  <c r="M2566" i="2"/>
  <c r="N2506" i="2"/>
  <c r="M2506" i="2"/>
  <c r="N2366" i="2"/>
  <c r="M2366" i="2"/>
  <c r="N2306" i="2"/>
  <c r="M2306" i="2"/>
  <c r="N1866" i="2"/>
  <c r="M1866" i="2"/>
  <c r="N1746" i="2"/>
  <c r="M1746" i="2"/>
  <c r="N1666" i="2"/>
  <c r="M1666" i="2"/>
  <c r="N1426" i="2"/>
  <c r="M1426" i="2"/>
  <c r="N1166" i="2"/>
  <c r="M1166" i="2"/>
  <c r="N1066" i="2"/>
  <c r="M1066" i="2"/>
  <c r="N946" i="2"/>
  <c r="M946" i="2"/>
  <c r="N786" i="2"/>
  <c r="M786" i="2"/>
  <c r="N646" i="2"/>
  <c r="M646" i="2"/>
  <c r="N566" i="2"/>
  <c r="M566" i="2"/>
  <c r="N506" i="2"/>
  <c r="M506" i="2"/>
  <c r="N466" i="2"/>
  <c r="M466" i="2"/>
  <c r="N386" i="2"/>
  <c r="M386" i="2"/>
  <c r="N226" i="2"/>
  <c r="M226" i="2"/>
  <c r="N126" i="2"/>
  <c r="M126" i="2"/>
  <c r="N2365" i="2"/>
  <c r="M2365" i="2"/>
  <c r="N2165" i="2"/>
  <c r="M2165" i="2"/>
  <c r="N1945" i="2"/>
  <c r="M1945" i="2"/>
  <c r="N1645" i="2"/>
  <c r="M1645" i="2"/>
  <c r="N1305" i="2"/>
  <c r="M1305" i="2"/>
  <c r="N1065" i="2"/>
  <c r="M1065" i="2"/>
  <c r="N865" i="2"/>
  <c r="M865" i="2"/>
  <c r="N665" i="2"/>
  <c r="M665" i="2"/>
  <c r="N485" i="2"/>
  <c r="M485" i="2"/>
  <c r="N245" i="2"/>
  <c r="M245" i="2"/>
  <c r="N2804" i="2"/>
  <c r="M2804" i="2"/>
  <c r="N2764" i="2"/>
  <c r="M2764" i="2"/>
  <c r="N2704" i="2"/>
  <c r="M2704" i="2"/>
  <c r="N2664" i="2"/>
  <c r="M2664" i="2"/>
  <c r="N2544" i="2"/>
  <c r="M2544" i="2"/>
  <c r="N2404" i="2"/>
  <c r="M2404" i="2"/>
  <c r="N1944" i="2"/>
  <c r="M1944" i="2"/>
  <c r="N1804" i="2"/>
  <c r="M1804" i="2"/>
  <c r="N1724" i="2"/>
  <c r="M1724" i="2"/>
  <c r="N1644" i="2"/>
  <c r="M1644" i="2"/>
  <c r="N1584" i="2"/>
  <c r="M1584" i="2"/>
  <c r="N1464" i="2"/>
  <c r="M1464" i="2"/>
  <c r="N1344" i="2"/>
  <c r="M1344" i="2"/>
  <c r="N1104" i="2"/>
  <c r="M1104" i="2"/>
  <c r="N924" i="2"/>
  <c r="M924" i="2"/>
  <c r="N684" i="2"/>
  <c r="M684" i="2"/>
  <c r="N424" i="2"/>
  <c r="M424" i="2"/>
  <c r="N550" i="2"/>
  <c r="N2900" i="2"/>
  <c r="M2900" i="2"/>
  <c r="N2919" i="2"/>
  <c r="M2919" i="2"/>
  <c r="N2899" i="2"/>
  <c r="M2899" i="2"/>
  <c r="N2879" i="2"/>
  <c r="M2879" i="2"/>
  <c r="N2839" i="2"/>
  <c r="M2839" i="2"/>
  <c r="N2779" i="2"/>
  <c r="M2779" i="2"/>
  <c r="N2739" i="2"/>
  <c r="M2739" i="2"/>
  <c r="N2679" i="2"/>
  <c r="M2679" i="2"/>
  <c r="N2639" i="2"/>
  <c r="M2639" i="2"/>
  <c r="N2579" i="2"/>
  <c r="M2579" i="2"/>
  <c r="N2539" i="2"/>
  <c r="M2539" i="2"/>
  <c r="N2479" i="2"/>
  <c r="M2479" i="2"/>
  <c r="N2439" i="2"/>
  <c r="M2439" i="2"/>
  <c r="N2379" i="2"/>
  <c r="M2379" i="2"/>
  <c r="N2339" i="2"/>
  <c r="M2339" i="2"/>
  <c r="N2279" i="2"/>
  <c r="M2279" i="2"/>
  <c r="N2239" i="2"/>
  <c r="M2239" i="2"/>
  <c r="N2179" i="2"/>
  <c r="M2179" i="2"/>
  <c r="N2139" i="2"/>
  <c r="M2139" i="2"/>
  <c r="N2119" i="2"/>
  <c r="M2119" i="2"/>
  <c r="N2099" i="2"/>
  <c r="M2099" i="2"/>
  <c r="N2079" i="2"/>
  <c r="M2079" i="2"/>
  <c r="N2059" i="2"/>
  <c r="M2059" i="2"/>
  <c r="N2039" i="2"/>
  <c r="M2039" i="2"/>
  <c r="N2019" i="2"/>
  <c r="M2019" i="2"/>
  <c r="N1999" i="2"/>
  <c r="M1999" i="2"/>
  <c r="N1979" i="2"/>
  <c r="M1979" i="2"/>
  <c r="N1959" i="2"/>
  <c r="M1959" i="2"/>
  <c r="N1939" i="2"/>
  <c r="M1939" i="2"/>
  <c r="N1919" i="2"/>
  <c r="M1919" i="2"/>
  <c r="N1899" i="2"/>
  <c r="M1899" i="2"/>
  <c r="N1879" i="2"/>
  <c r="M1879" i="2"/>
  <c r="N1859" i="2"/>
  <c r="M1859" i="2"/>
  <c r="N1839" i="2"/>
  <c r="M1839" i="2"/>
  <c r="N1819" i="2"/>
  <c r="M1819" i="2"/>
  <c r="N1799" i="2"/>
  <c r="M1799" i="2"/>
  <c r="N1779" i="2"/>
  <c r="M1779" i="2"/>
  <c r="N1759" i="2"/>
  <c r="M1759" i="2"/>
  <c r="N1739" i="2"/>
  <c r="M1739" i="2"/>
  <c r="N1719" i="2"/>
  <c r="M1719" i="2"/>
  <c r="N1699" i="2"/>
  <c r="M1699" i="2"/>
  <c r="N1679" i="2"/>
  <c r="M1679" i="2"/>
  <c r="N1659" i="2"/>
  <c r="M1659" i="2"/>
  <c r="N1639" i="2"/>
  <c r="M1639" i="2"/>
  <c r="N1619" i="2"/>
  <c r="M1619" i="2"/>
  <c r="N1579" i="2"/>
  <c r="M1579" i="2"/>
  <c r="N1559" i="2"/>
  <c r="M1559" i="2"/>
  <c r="N1519" i="2"/>
  <c r="M1519" i="2"/>
  <c r="N1499" i="2"/>
  <c r="M1499" i="2"/>
  <c r="N1479" i="2"/>
  <c r="M1479" i="2"/>
  <c r="N1459" i="2"/>
  <c r="M1459" i="2"/>
  <c r="N1439" i="2"/>
  <c r="M1439" i="2"/>
  <c r="N1419" i="2"/>
  <c r="M1419" i="2"/>
  <c r="N1379" i="2"/>
  <c r="M1379" i="2"/>
  <c r="N1359" i="2"/>
  <c r="M1359" i="2"/>
  <c r="N1339" i="2"/>
  <c r="M1339" i="2"/>
  <c r="N1319" i="2"/>
  <c r="M1319" i="2"/>
  <c r="N1299" i="2"/>
  <c r="M1299" i="2"/>
  <c r="N1279" i="2"/>
  <c r="M1279" i="2"/>
  <c r="N1259" i="2"/>
  <c r="M1259" i="2"/>
  <c r="N1239" i="2"/>
  <c r="M1239" i="2"/>
  <c r="N1219" i="2"/>
  <c r="M1219" i="2"/>
  <c r="N1179" i="2"/>
  <c r="M1179" i="2"/>
  <c r="N1159" i="2"/>
  <c r="M1159" i="2"/>
  <c r="N1099" i="2"/>
  <c r="M1099" i="2"/>
  <c r="N1079" i="2"/>
  <c r="M1079" i="2"/>
  <c r="N1059" i="2"/>
  <c r="M1059" i="2"/>
  <c r="N1039" i="2"/>
  <c r="M1039" i="2"/>
  <c r="N1019" i="2"/>
  <c r="M1019" i="2"/>
  <c r="N999" i="2"/>
  <c r="M999" i="2"/>
  <c r="N979" i="2"/>
  <c r="M979" i="2"/>
  <c r="N959" i="2"/>
  <c r="M959" i="2"/>
  <c r="N919" i="2"/>
  <c r="M919" i="2"/>
  <c r="N899" i="2"/>
  <c r="M899" i="2"/>
  <c r="N879" i="2"/>
  <c r="M879" i="2"/>
  <c r="N859" i="2"/>
  <c r="M859" i="2"/>
  <c r="N839" i="2"/>
  <c r="M839" i="2"/>
  <c r="N819" i="2"/>
  <c r="M819" i="2"/>
  <c r="N799" i="2"/>
  <c r="M799" i="2"/>
  <c r="N779" i="2"/>
  <c r="M779" i="2"/>
  <c r="N759" i="2"/>
  <c r="M759" i="2"/>
  <c r="N739" i="2"/>
  <c r="M739" i="2"/>
  <c r="N719" i="2"/>
  <c r="M719" i="2"/>
  <c r="N699" i="2"/>
  <c r="M699" i="2"/>
  <c r="N679" i="2"/>
  <c r="M679" i="2"/>
  <c r="N659" i="2"/>
  <c r="M659" i="2"/>
  <c r="N639" i="2"/>
  <c r="M639" i="2"/>
  <c r="N599" i="2"/>
  <c r="M599" i="2"/>
  <c r="N579" i="2"/>
  <c r="M579" i="2"/>
  <c r="N559" i="2"/>
  <c r="M559" i="2"/>
  <c r="N539" i="2"/>
  <c r="M539" i="2"/>
  <c r="N499" i="2"/>
  <c r="M499" i="2"/>
  <c r="N479" i="2"/>
  <c r="M479" i="2"/>
  <c r="N459" i="2"/>
  <c r="M459" i="2"/>
  <c r="N439" i="2"/>
  <c r="M439" i="2"/>
  <c r="N399" i="2"/>
  <c r="M399" i="2"/>
  <c r="N379" i="2"/>
  <c r="M379" i="2"/>
  <c r="N359" i="2"/>
  <c r="M359" i="2"/>
  <c r="N339" i="2"/>
  <c r="M339" i="2"/>
  <c r="N319" i="2"/>
  <c r="M319" i="2"/>
  <c r="N299" i="2"/>
  <c r="M299" i="2"/>
  <c r="N279" i="2"/>
  <c r="M279" i="2"/>
  <c r="N239" i="2"/>
  <c r="M239" i="2"/>
  <c r="N219" i="2"/>
  <c r="M219" i="2"/>
  <c r="N179" i="2"/>
  <c r="M179" i="2"/>
  <c r="N159" i="2"/>
  <c r="M159" i="2"/>
  <c r="N139" i="2"/>
  <c r="M139" i="2"/>
  <c r="N119" i="2"/>
  <c r="M119" i="2"/>
  <c r="N99" i="2"/>
  <c r="M99" i="2"/>
  <c r="N79" i="2"/>
  <c r="M79" i="2"/>
  <c r="N39" i="2"/>
  <c r="M39" i="2"/>
  <c r="N19" i="2"/>
  <c r="M19" i="2"/>
  <c r="N2846" i="2"/>
  <c r="N2782" i="2"/>
  <c r="N2720" i="2"/>
  <c r="N2648" i="2"/>
  <c r="N2584" i="2"/>
  <c r="N2521" i="2"/>
  <c r="N2449" i="2"/>
  <c r="N2385" i="2"/>
  <c r="N2322" i="2"/>
  <c r="N2184" i="2"/>
  <c r="N2006" i="2"/>
  <c r="N1865" i="2"/>
  <c r="N1649" i="2"/>
  <c r="N1486" i="2"/>
  <c r="N686" i="2"/>
  <c r="N458" i="2"/>
  <c r="N259" i="2"/>
  <c r="N59" i="2"/>
  <c r="N1130" i="2"/>
  <c r="M1130" i="2"/>
  <c r="N1090" i="2"/>
  <c r="M1090" i="2"/>
  <c r="N1010" i="2"/>
  <c r="M1010" i="2"/>
  <c r="N950" i="2"/>
  <c r="M950" i="2"/>
  <c r="N890" i="2"/>
  <c r="M890" i="2"/>
  <c r="N810" i="2"/>
  <c r="M810" i="2"/>
  <c r="N710" i="2"/>
  <c r="M710" i="2"/>
  <c r="N630" i="2"/>
  <c r="M630" i="2"/>
  <c r="N510" i="2"/>
  <c r="M510" i="2"/>
  <c r="N310" i="2"/>
  <c r="M310" i="2"/>
  <c r="N250" i="2"/>
  <c r="M250" i="2"/>
  <c r="N190" i="2"/>
  <c r="M190" i="2"/>
  <c r="N70" i="2"/>
  <c r="M70" i="2"/>
  <c r="N30" i="2"/>
  <c r="M30" i="2"/>
  <c r="N2869" i="2"/>
  <c r="M2869" i="2"/>
  <c r="N2809" i="2"/>
  <c r="M2809" i="2"/>
  <c r="N2709" i="2"/>
  <c r="M2709" i="2"/>
  <c r="N2569" i="2"/>
  <c r="M2569" i="2"/>
  <c r="N2429" i="2"/>
  <c r="M2429" i="2"/>
  <c r="N2409" i="2"/>
  <c r="M2409" i="2"/>
  <c r="N2269" i="2"/>
  <c r="M2269" i="2"/>
  <c r="N2129" i="2"/>
  <c r="M2129" i="2"/>
  <c r="N1929" i="2"/>
  <c r="M1929" i="2"/>
  <c r="N1809" i="2"/>
  <c r="M1809" i="2"/>
  <c r="N1689" i="2"/>
  <c r="M1689" i="2"/>
  <c r="N1609" i="2"/>
  <c r="M1609" i="2"/>
  <c r="N1449" i="2"/>
  <c r="M1449" i="2"/>
  <c r="N1369" i="2"/>
  <c r="M1369" i="2"/>
  <c r="N1329" i="2"/>
  <c r="M1329" i="2"/>
  <c r="N1229" i="2"/>
  <c r="M1229" i="2"/>
  <c r="N1129" i="2"/>
  <c r="M1129" i="2"/>
  <c r="N1089" i="2"/>
  <c r="M1089" i="2"/>
  <c r="N1069" i="2"/>
  <c r="M1069" i="2"/>
  <c r="N1009" i="2"/>
  <c r="M1009" i="2"/>
  <c r="N909" i="2"/>
  <c r="M909" i="2"/>
  <c r="N869" i="2"/>
  <c r="M869" i="2"/>
  <c r="N849" i="2"/>
  <c r="M849" i="2"/>
  <c r="N789" i="2"/>
  <c r="M789" i="2"/>
  <c r="N709" i="2"/>
  <c r="M709" i="2"/>
  <c r="N509" i="2"/>
  <c r="M509" i="2"/>
  <c r="N489" i="2"/>
  <c r="M489" i="2"/>
  <c r="N389" i="2"/>
  <c r="M389" i="2"/>
  <c r="N269" i="2"/>
  <c r="M269" i="2"/>
  <c r="N229" i="2"/>
  <c r="M229" i="2"/>
  <c r="N149" i="2"/>
  <c r="M149" i="2"/>
  <c r="N129" i="2"/>
  <c r="M129" i="2"/>
  <c r="N49" i="2"/>
  <c r="M49" i="2"/>
  <c r="N9" i="2"/>
  <c r="M9" i="2"/>
  <c r="N2828" i="2"/>
  <c r="M2828" i="2"/>
  <c r="N2768" i="2"/>
  <c r="M2768" i="2"/>
  <c r="N2708" i="2"/>
  <c r="M2708" i="2"/>
  <c r="N2668" i="2"/>
  <c r="M2668" i="2"/>
  <c r="N2608" i="2"/>
  <c r="M2608" i="2"/>
  <c r="N2568" i="2"/>
  <c r="M2568" i="2"/>
  <c r="N2508" i="2"/>
  <c r="M2508" i="2"/>
  <c r="N2468" i="2"/>
  <c r="M2468" i="2"/>
  <c r="N2428" i="2"/>
  <c r="M2428" i="2"/>
  <c r="N2408" i="2"/>
  <c r="M2408" i="2"/>
  <c r="N2228" i="2"/>
  <c r="M2228" i="2"/>
  <c r="N2148" i="2"/>
  <c r="M2148" i="2"/>
  <c r="N2088" i="2"/>
  <c r="M2088" i="2"/>
  <c r="N2048" i="2"/>
  <c r="M2048" i="2"/>
  <c r="N1948" i="2"/>
  <c r="M1948" i="2"/>
  <c r="N1908" i="2"/>
  <c r="M1908" i="2"/>
  <c r="N1848" i="2"/>
  <c r="M1848" i="2"/>
  <c r="N1828" i="2"/>
  <c r="M1828" i="2"/>
  <c r="N1808" i="2"/>
  <c r="M1808" i="2"/>
  <c r="N1788" i="2"/>
  <c r="M1788" i="2"/>
  <c r="N1768" i="2"/>
  <c r="M1768" i="2"/>
  <c r="N1728" i="2"/>
  <c r="M1728" i="2"/>
  <c r="N1648" i="2"/>
  <c r="M1648" i="2"/>
  <c r="N1628" i="2"/>
  <c r="M1628" i="2"/>
  <c r="N1608" i="2"/>
  <c r="M1608" i="2"/>
  <c r="N1588" i="2"/>
  <c r="M1588" i="2"/>
  <c r="N1568" i="2"/>
  <c r="M1568" i="2"/>
  <c r="N1548" i="2"/>
  <c r="M1548" i="2"/>
  <c r="N1508" i="2"/>
  <c r="M1508" i="2"/>
  <c r="N1428" i="2"/>
  <c r="M1428" i="2"/>
  <c r="N1408" i="2"/>
  <c r="M1408" i="2"/>
  <c r="N1388" i="2"/>
  <c r="M1388" i="2"/>
  <c r="N1368" i="2"/>
  <c r="M1368" i="2"/>
  <c r="N1348" i="2"/>
  <c r="M1348" i="2"/>
  <c r="N1288" i="2"/>
  <c r="M1288" i="2"/>
  <c r="N1248" i="2"/>
  <c r="M1248" i="2"/>
  <c r="N1208" i="2"/>
  <c r="M1208" i="2"/>
  <c r="N1188" i="2"/>
  <c r="M1188" i="2"/>
  <c r="N1168" i="2"/>
  <c r="M1168" i="2"/>
  <c r="N1108" i="2"/>
  <c r="M1108" i="2"/>
  <c r="N1068" i="2"/>
  <c r="M1068" i="2"/>
  <c r="N1048" i="2"/>
  <c r="M1048" i="2"/>
  <c r="N1028" i="2"/>
  <c r="M1028" i="2"/>
  <c r="N1008" i="2"/>
  <c r="M1008" i="2"/>
  <c r="N988" i="2"/>
  <c r="M988" i="2"/>
  <c r="N928" i="2"/>
  <c r="M928" i="2"/>
  <c r="N888" i="2"/>
  <c r="M888" i="2"/>
  <c r="N848" i="2"/>
  <c r="M848" i="2"/>
  <c r="N828" i="2"/>
  <c r="M828" i="2"/>
  <c r="N808" i="2"/>
  <c r="M808" i="2"/>
  <c r="N768" i="2"/>
  <c r="M768" i="2"/>
  <c r="N748" i="2"/>
  <c r="M748" i="2"/>
  <c r="N708" i="2"/>
  <c r="M708" i="2"/>
  <c r="N668" i="2"/>
  <c r="M668" i="2"/>
  <c r="N628" i="2"/>
  <c r="M628" i="2"/>
  <c r="N588" i="2"/>
  <c r="M588" i="2"/>
  <c r="N568" i="2"/>
  <c r="M568" i="2"/>
  <c r="N528" i="2"/>
  <c r="M528" i="2"/>
  <c r="N468" i="2"/>
  <c r="M468" i="2"/>
  <c r="N448" i="2"/>
  <c r="M448" i="2"/>
  <c r="N408" i="2"/>
  <c r="M408" i="2"/>
  <c r="N388" i="2"/>
  <c r="M388" i="2"/>
  <c r="N328" i="2"/>
  <c r="M328" i="2"/>
  <c r="N268" i="2"/>
  <c r="M268" i="2"/>
  <c r="N228" i="2"/>
  <c r="M228" i="2"/>
  <c r="N208" i="2"/>
  <c r="M208" i="2"/>
  <c r="N148" i="2"/>
  <c r="M148" i="2"/>
  <c r="N128" i="2"/>
  <c r="M128" i="2"/>
  <c r="N108" i="2"/>
  <c r="M108" i="2"/>
  <c r="N68" i="2"/>
  <c r="M68" i="2"/>
  <c r="N48" i="2"/>
  <c r="M48" i="2"/>
  <c r="N28" i="2"/>
  <c r="M28" i="2"/>
  <c r="N8" i="2"/>
  <c r="M8" i="2"/>
  <c r="N2548" i="2"/>
  <c r="N2349" i="2"/>
  <c r="N1549" i="2"/>
  <c r="N2867" i="2"/>
  <c r="M2867" i="2"/>
  <c r="N2707" i="2"/>
  <c r="M2707" i="2"/>
  <c r="N2667" i="2"/>
  <c r="M2667" i="2"/>
  <c r="N2547" i="2"/>
  <c r="M2547" i="2"/>
  <c r="N2507" i="2"/>
  <c r="M2507" i="2"/>
  <c r="N2467" i="2"/>
  <c r="M2467" i="2"/>
  <c r="N2407" i="2"/>
  <c r="M2407" i="2"/>
  <c r="N2367" i="2"/>
  <c r="M2367" i="2"/>
  <c r="N2307" i="2"/>
  <c r="M2307" i="2"/>
  <c r="N2247" i="2"/>
  <c r="M2247" i="2"/>
  <c r="N2207" i="2"/>
  <c r="M2207" i="2"/>
  <c r="N2167" i="2"/>
  <c r="M2167" i="2"/>
  <c r="N2127" i="2"/>
  <c r="M2127" i="2"/>
  <c r="N2087" i="2"/>
  <c r="M2087" i="2"/>
  <c r="N2007" i="2"/>
  <c r="M2007" i="2"/>
  <c r="N1947" i="2"/>
  <c r="M1947" i="2"/>
  <c r="N1907" i="2"/>
  <c r="M1907" i="2"/>
  <c r="N1867" i="2"/>
  <c r="M1867" i="2"/>
  <c r="N1747" i="2"/>
  <c r="M1747" i="2"/>
  <c r="N1707" i="2"/>
  <c r="M1707" i="2"/>
  <c r="N1667" i="2"/>
  <c r="M1667" i="2"/>
  <c r="N1607" i="2"/>
  <c r="M1607" i="2"/>
  <c r="N1567" i="2"/>
  <c r="M1567" i="2"/>
  <c r="N1487" i="2"/>
  <c r="M1487" i="2"/>
  <c r="N1407" i="2"/>
  <c r="M1407" i="2"/>
  <c r="N1367" i="2"/>
  <c r="M1367" i="2"/>
  <c r="N1307" i="2"/>
  <c r="M1307" i="2"/>
  <c r="N1247" i="2"/>
  <c r="M1247" i="2"/>
  <c r="N1127" i="2"/>
  <c r="M1127" i="2"/>
  <c r="N1107" i="2"/>
  <c r="M1107" i="2"/>
  <c r="N1067" i="2"/>
  <c r="M1067" i="2"/>
  <c r="N1027" i="2"/>
  <c r="M1027" i="2"/>
  <c r="N967" i="2"/>
  <c r="M967" i="2"/>
  <c r="N927" i="2"/>
  <c r="M927" i="2"/>
  <c r="N827" i="2"/>
  <c r="M827" i="2"/>
  <c r="N767" i="2"/>
  <c r="M767" i="2"/>
  <c r="N687" i="2"/>
  <c r="M687" i="2"/>
  <c r="N587" i="2"/>
  <c r="M587" i="2"/>
  <c r="N507" i="2"/>
  <c r="M507" i="2"/>
  <c r="N387" i="2"/>
  <c r="M387" i="2"/>
  <c r="N347" i="2"/>
  <c r="M347" i="2"/>
  <c r="N287" i="2"/>
  <c r="M287" i="2"/>
  <c r="N207" i="2"/>
  <c r="M207" i="2"/>
  <c r="N167" i="2"/>
  <c r="M167" i="2"/>
  <c r="N127" i="2"/>
  <c r="M127" i="2"/>
  <c r="N87" i="2"/>
  <c r="M87" i="2"/>
  <c r="N27" i="2"/>
  <c r="M27" i="2"/>
  <c r="N2866" i="2"/>
  <c r="M2866" i="2"/>
  <c r="N2466" i="2"/>
  <c r="M2466" i="2"/>
  <c r="N2266" i="2"/>
  <c r="M2266" i="2"/>
  <c r="N2086" i="2"/>
  <c r="M2086" i="2"/>
  <c r="N1886" i="2"/>
  <c r="M1886" i="2"/>
  <c r="N1406" i="2"/>
  <c r="M1406" i="2"/>
  <c r="N1206" i="2"/>
  <c r="M1206" i="2"/>
  <c r="N1086" i="2"/>
  <c r="M1086" i="2"/>
  <c r="N926" i="2"/>
  <c r="M926" i="2"/>
  <c r="N746" i="2"/>
  <c r="M746" i="2"/>
  <c r="N586" i="2"/>
  <c r="M586" i="2"/>
  <c r="N446" i="2"/>
  <c r="M446" i="2"/>
  <c r="N286" i="2"/>
  <c r="M286" i="2"/>
  <c r="N166" i="2"/>
  <c r="M166" i="2"/>
  <c r="N1309" i="2"/>
  <c r="N2865" i="2"/>
  <c r="M2865" i="2"/>
  <c r="N2705" i="2"/>
  <c r="M2705" i="2"/>
  <c r="N2505" i="2"/>
  <c r="M2505" i="2"/>
  <c r="N2105" i="2"/>
  <c r="M2105" i="2"/>
  <c r="N1905" i="2"/>
  <c r="M1905" i="2"/>
  <c r="N1625" i="2"/>
  <c r="M1625" i="2"/>
  <c r="N1225" i="2"/>
  <c r="M1225" i="2"/>
  <c r="N965" i="2"/>
  <c r="M965" i="2"/>
  <c r="N765" i="2"/>
  <c r="M765" i="2"/>
  <c r="N585" i="2"/>
  <c r="M585" i="2"/>
  <c r="N425" i="2"/>
  <c r="M425" i="2"/>
  <c r="N205" i="2"/>
  <c r="M205" i="2"/>
  <c r="N2844" i="2"/>
  <c r="M2844" i="2"/>
  <c r="N2044" i="2"/>
  <c r="M2044" i="2"/>
  <c r="N1744" i="2"/>
  <c r="M1744" i="2"/>
  <c r="N1664" i="2"/>
  <c r="M1664" i="2"/>
  <c r="N1544" i="2"/>
  <c r="M1544" i="2"/>
  <c r="N1504" i="2"/>
  <c r="M1504" i="2"/>
  <c r="N1424" i="2"/>
  <c r="M1424" i="2"/>
  <c r="N1384" i="2"/>
  <c r="M1384" i="2"/>
  <c r="N1284" i="2"/>
  <c r="M1284" i="2"/>
  <c r="N1244" i="2"/>
  <c r="M1244" i="2"/>
  <c r="N1144" i="2"/>
  <c r="M1144" i="2"/>
  <c r="N1064" i="2"/>
  <c r="M1064" i="2"/>
  <c r="N984" i="2"/>
  <c r="M984" i="2"/>
  <c r="N904" i="2"/>
  <c r="M904" i="2"/>
  <c r="N784" i="2"/>
  <c r="M784" i="2"/>
  <c r="N664" i="2"/>
  <c r="M664" i="2"/>
  <c r="N544" i="2"/>
  <c r="M544" i="2"/>
  <c r="N404" i="2"/>
  <c r="M404" i="2"/>
  <c r="N2880" i="2"/>
  <c r="M2880" i="2"/>
  <c r="N2918" i="2"/>
  <c r="M2918" i="2"/>
  <c r="N2898" i="2"/>
  <c r="M2898" i="2"/>
  <c r="N2878" i="2"/>
  <c r="M2878" i="2"/>
  <c r="N2858" i="2"/>
  <c r="M2858" i="2"/>
  <c r="N2838" i="2"/>
  <c r="M2838" i="2"/>
  <c r="N2818" i="2"/>
  <c r="M2818" i="2"/>
  <c r="N2798" i="2"/>
  <c r="M2798" i="2"/>
  <c r="N2778" i="2"/>
  <c r="M2778" i="2"/>
  <c r="N2758" i="2"/>
  <c r="M2758" i="2"/>
  <c r="N2738" i="2"/>
  <c r="M2738" i="2"/>
  <c r="N2718" i="2"/>
  <c r="M2718" i="2"/>
  <c r="N2698" i="2"/>
  <c r="M2698" i="2"/>
  <c r="N2678" i="2"/>
  <c r="M2678" i="2"/>
  <c r="N2658" i="2"/>
  <c r="M2658" i="2"/>
  <c r="N2638" i="2"/>
  <c r="M2638" i="2"/>
  <c r="N2618" i="2"/>
  <c r="M2618" i="2"/>
  <c r="N2598" i="2"/>
  <c r="M2598" i="2"/>
  <c r="N2578" i="2"/>
  <c r="M2578" i="2"/>
  <c r="N2558" i="2"/>
  <c r="M2558" i="2"/>
  <c r="N2538" i="2"/>
  <c r="M2538" i="2"/>
  <c r="N2518" i="2"/>
  <c r="M2518" i="2"/>
  <c r="N2498" i="2"/>
  <c r="M2498" i="2"/>
  <c r="N2478" i="2"/>
  <c r="M2478" i="2"/>
  <c r="N2458" i="2"/>
  <c r="M2458" i="2"/>
  <c r="N2438" i="2"/>
  <c r="M2438" i="2"/>
  <c r="N2418" i="2"/>
  <c r="M2418" i="2"/>
  <c r="N2398" i="2"/>
  <c r="M2398" i="2"/>
  <c r="N2378" i="2"/>
  <c r="M2378" i="2"/>
  <c r="N2358" i="2"/>
  <c r="M2358" i="2"/>
  <c r="N2338" i="2"/>
  <c r="M2338" i="2"/>
  <c r="N2318" i="2"/>
  <c r="M2318" i="2"/>
  <c r="N2298" i="2"/>
  <c r="M2298" i="2"/>
  <c r="N2278" i="2"/>
  <c r="M2278" i="2"/>
  <c r="N2258" i="2"/>
  <c r="M2258" i="2"/>
  <c r="N2238" i="2"/>
  <c r="M2238" i="2"/>
  <c r="N2218" i="2"/>
  <c r="M2218" i="2"/>
  <c r="N2198" i="2"/>
  <c r="M2198" i="2"/>
  <c r="N2178" i="2"/>
  <c r="M2178" i="2"/>
  <c r="N2138" i="2"/>
  <c r="M2138" i="2"/>
  <c r="N2098" i="2"/>
  <c r="M2098" i="2"/>
  <c r="N2078" i="2"/>
  <c r="M2078" i="2"/>
  <c r="N2058" i="2"/>
  <c r="M2058" i="2"/>
  <c r="N2038" i="2"/>
  <c r="M2038" i="2"/>
  <c r="N2018" i="2"/>
  <c r="M2018" i="2"/>
  <c r="N1998" i="2"/>
  <c r="M1998" i="2"/>
  <c r="N1978" i="2"/>
  <c r="M1978" i="2"/>
  <c r="N1958" i="2"/>
  <c r="M1958" i="2"/>
  <c r="N1938" i="2"/>
  <c r="M1938" i="2"/>
  <c r="N1918" i="2"/>
  <c r="M1918" i="2"/>
  <c r="N1898" i="2"/>
  <c r="M1898" i="2"/>
  <c r="N1878" i="2"/>
  <c r="M1878" i="2"/>
  <c r="N1858" i="2"/>
  <c r="M1858" i="2"/>
  <c r="N1838" i="2"/>
  <c r="M1838" i="2"/>
  <c r="N1818" i="2"/>
  <c r="M1818" i="2"/>
  <c r="N1798" i="2"/>
  <c r="M1798" i="2"/>
  <c r="N1778" i="2"/>
  <c r="M1778" i="2"/>
  <c r="N1758" i="2"/>
  <c r="M1758" i="2"/>
  <c r="N1738" i="2"/>
  <c r="M1738" i="2"/>
  <c r="N1718" i="2"/>
  <c r="M1718" i="2"/>
  <c r="N1698" i="2"/>
  <c r="M1698" i="2"/>
  <c r="N1678" i="2"/>
  <c r="M1678" i="2"/>
  <c r="N1658" i="2"/>
  <c r="M1658" i="2"/>
  <c r="N1638" i="2"/>
  <c r="M1638" i="2"/>
  <c r="N1618" i="2"/>
  <c r="M1618" i="2"/>
  <c r="N1598" i="2"/>
  <c r="M1598" i="2"/>
  <c r="N1578" i="2"/>
  <c r="M1578" i="2"/>
  <c r="N1558" i="2"/>
  <c r="M1558" i="2"/>
  <c r="N1518" i="2"/>
  <c r="M1518" i="2"/>
  <c r="N1498" i="2"/>
  <c r="M1498" i="2"/>
  <c r="N1478" i="2"/>
  <c r="M1478" i="2"/>
  <c r="N1438" i="2"/>
  <c r="M1438" i="2"/>
  <c r="N1418" i="2"/>
  <c r="M1418" i="2"/>
  <c r="N1378" i="2"/>
  <c r="M1378" i="2"/>
  <c r="N1358" i="2"/>
  <c r="M1358" i="2"/>
  <c r="N1338" i="2"/>
  <c r="M1338" i="2"/>
  <c r="N1318" i="2"/>
  <c r="M1318" i="2"/>
  <c r="N1298" i="2"/>
  <c r="M1298" i="2"/>
  <c r="N1278" i="2"/>
  <c r="M1278" i="2"/>
  <c r="N1258" i="2"/>
  <c r="M1258" i="2"/>
  <c r="N1238" i="2"/>
  <c r="M1238" i="2"/>
  <c r="N1218" i="2"/>
  <c r="M1218" i="2"/>
  <c r="N1178" i="2"/>
  <c r="M1178" i="2"/>
  <c r="N1158" i="2"/>
  <c r="M1158" i="2"/>
  <c r="N1118" i="2"/>
  <c r="M1118" i="2"/>
  <c r="N1098" i="2"/>
  <c r="M1098" i="2"/>
  <c r="N1078" i="2"/>
  <c r="M1078" i="2"/>
  <c r="N1058" i="2"/>
  <c r="M1058" i="2"/>
  <c r="N1038" i="2"/>
  <c r="M1038" i="2"/>
  <c r="N1018" i="2"/>
  <c r="M1018" i="2"/>
  <c r="N998" i="2"/>
  <c r="M998" i="2"/>
  <c r="N978" i="2"/>
  <c r="M978" i="2"/>
  <c r="N958" i="2"/>
  <c r="M958" i="2"/>
  <c r="N918" i="2"/>
  <c r="M918" i="2"/>
  <c r="N898" i="2"/>
  <c r="M898" i="2"/>
  <c r="N858" i="2"/>
  <c r="M858" i="2"/>
  <c r="N838" i="2"/>
  <c r="M838" i="2"/>
  <c r="N798" i="2"/>
  <c r="M798" i="2"/>
  <c r="N778" i="2"/>
  <c r="M778" i="2"/>
  <c r="N758" i="2"/>
  <c r="M758" i="2"/>
  <c r="N738" i="2"/>
  <c r="M738" i="2"/>
  <c r="N718" i="2"/>
  <c r="M718" i="2"/>
  <c r="N698" i="2"/>
  <c r="M698" i="2"/>
  <c r="N658" i="2"/>
  <c r="M658" i="2"/>
  <c r="N638" i="2"/>
  <c r="M638" i="2"/>
  <c r="N598" i="2"/>
  <c r="M598" i="2"/>
  <c r="N578" i="2"/>
  <c r="M578" i="2"/>
  <c r="N558" i="2"/>
  <c r="M558" i="2"/>
  <c r="N538" i="2"/>
  <c r="M538" i="2"/>
  <c r="N498" i="2"/>
  <c r="M498" i="2"/>
  <c r="N478" i="2"/>
  <c r="M478" i="2"/>
  <c r="N438" i="2"/>
  <c r="M438" i="2"/>
  <c r="N398" i="2"/>
  <c r="M398" i="2"/>
  <c r="N378" i="2"/>
  <c r="M378" i="2"/>
  <c r="N358" i="2"/>
  <c r="M358" i="2"/>
  <c r="N338" i="2"/>
  <c r="M338" i="2"/>
  <c r="N298" i="2"/>
  <c r="M298" i="2"/>
  <c r="N278" i="2"/>
  <c r="M278" i="2"/>
  <c r="N238" i="2"/>
  <c r="M238" i="2"/>
  <c r="N218" i="2"/>
  <c r="M218" i="2"/>
  <c r="N178" i="2"/>
  <c r="M178" i="2"/>
  <c r="N158" i="2"/>
  <c r="M158" i="2"/>
  <c r="N138" i="2"/>
  <c r="M138" i="2"/>
  <c r="N118" i="2"/>
  <c r="M118" i="2"/>
  <c r="N98" i="2"/>
  <c r="M98" i="2"/>
  <c r="N78" i="2"/>
  <c r="M78" i="2"/>
  <c r="N38" i="2"/>
  <c r="M38" i="2"/>
  <c r="N18" i="2"/>
  <c r="M18" i="2"/>
  <c r="N2845" i="2"/>
  <c r="N2781" i="2"/>
  <c r="N2719" i="2"/>
  <c r="N2647" i="2"/>
  <c r="N2583" i="2"/>
  <c r="N2520" i="2"/>
  <c r="N2448" i="2"/>
  <c r="N2384" i="2"/>
  <c r="N2321" i="2"/>
  <c r="N2249" i="2"/>
  <c r="N2183" i="2"/>
  <c r="N2109" i="2"/>
  <c r="N2005" i="2"/>
  <c r="N1864" i="2"/>
  <c r="N1483" i="2"/>
  <c r="N683" i="2"/>
  <c r="N429" i="2"/>
  <c r="N258" i="2"/>
  <c r="N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<sst xmlns="http://schemas.openxmlformats.org/spreadsheetml/2006/main" count="6066" uniqueCount="85">
  <si>
    <t>Europe</t>
  </si>
  <si>
    <t>Delivery</t>
  </si>
  <si>
    <t>Ordered</t>
  </si>
  <si>
    <t>Market</t>
  </si>
  <si>
    <t>Company</t>
  </si>
  <si>
    <t>Customer</t>
  </si>
  <si>
    <t>Product</t>
  </si>
  <si>
    <t>Pcs</t>
  </si>
  <si>
    <t>Price</t>
  </si>
  <si>
    <t>Value</t>
  </si>
  <si>
    <t>Promised</t>
  </si>
  <si>
    <t>Arrived</t>
  </si>
  <si>
    <t>Markets.Subcontract</t>
  </si>
  <si>
    <t>Electronics</t>
  </si>
  <si>
    <t>Nordic</t>
  </si>
  <si>
    <t>Bio counter DLX</t>
  </si>
  <si>
    <t>Bio counter</t>
  </si>
  <si>
    <t>Processor</t>
  </si>
  <si>
    <t>Sensor</t>
  </si>
  <si>
    <t>North America</t>
  </si>
  <si>
    <t>Recyclable Silicon</t>
  </si>
  <si>
    <t xml:space="preserve">Date </t>
  </si>
  <si>
    <t>Time</t>
  </si>
  <si>
    <t>Grand Total</t>
  </si>
  <si>
    <t>Avg. Price</t>
  </si>
  <si>
    <t>Market(s)</t>
  </si>
  <si>
    <t>Europe Total</t>
  </si>
  <si>
    <t>Nordic Total</t>
  </si>
  <si>
    <t>North America Total</t>
  </si>
  <si>
    <t>Date(s)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</si>
  <si>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</si>
  <si>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</si>
  <si>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</si>
  <si>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</si>
  <si>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</si>
  <si>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</si>
  <si>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</si>
  <si>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</si>
  <si>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</si>
  <si>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</si>
  <si>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Bio Counter Ltd:</t>
  </si>
  <si>
    <t>Bio counter XL</t>
  </si>
  <si>
    <t>Date2</t>
  </si>
  <si>
    <t>Company2</t>
  </si>
  <si>
    <t>Total Revenue</t>
  </si>
  <si>
    <t>Total Units Sold</t>
  </si>
  <si>
    <t>No. of Orders</t>
  </si>
  <si>
    <t>Avg Delay (hrs)</t>
  </si>
  <si>
    <t>Delay</t>
  </si>
  <si>
    <t>Sum of Company</t>
  </si>
  <si>
    <t>Row Labels</t>
  </si>
  <si>
    <t>Sum of Pcs</t>
  </si>
  <si>
    <t>Sum of Value</t>
  </si>
  <si>
    <t>Column Labels</t>
  </si>
  <si>
    <t>Total Sum of Pcs</t>
  </si>
  <si>
    <t>Total Sum of Value</t>
  </si>
  <si>
    <t>On-time delivery rate</t>
  </si>
  <si>
    <t>Choose product:</t>
  </si>
  <si>
    <t>Choose market:</t>
  </si>
  <si>
    <t>BioCounter 9 Sales KPIs on Selected Product/Market Segment</t>
  </si>
  <si>
    <t>Average    Price/Unit</t>
  </si>
  <si>
    <t>9 Sum of Pcs</t>
  </si>
  <si>
    <t>9 Sum of Value</t>
  </si>
  <si>
    <t>10 Sum of Pcs</t>
  </si>
  <si>
    <t>10 Sum of Value</t>
  </si>
  <si>
    <t>11 Sum of Pcs</t>
  </si>
  <si>
    <t>11 Sum of Value</t>
  </si>
  <si>
    <t>12 Sum of Pcs</t>
  </si>
  <si>
    <t>12 Sum of Value</t>
  </si>
  <si>
    <t>13 Sum of Pcs</t>
  </si>
  <si>
    <t>13 Sum of Value</t>
  </si>
  <si>
    <t>14 Sum of Pcs</t>
  </si>
  <si>
    <t>14 Sum of Value</t>
  </si>
  <si>
    <t>15 Sum of Pcs</t>
  </si>
  <si>
    <t>15 Sum of Value</t>
  </si>
  <si>
    <t>16 Sum of Pcs</t>
  </si>
  <si>
    <t>16 Sum of Value</t>
  </si>
  <si>
    <t>Compare KPIs to BioCounter Ltd:</t>
  </si>
  <si>
    <t>7 Sum of Pcs</t>
  </si>
  <si>
    <t>7 Sum of Value</t>
  </si>
  <si>
    <t>8 Sum of Pcs</t>
  </si>
  <si>
    <t>8 Sum of Value</t>
  </si>
  <si>
    <t>Competitor's Sales KPIs on Selected Product/Market Segment</t>
  </si>
  <si>
    <t>Competitor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</si>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</sst>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CF3F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D966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2" fontId="0" fillId="0" borderId="0" xfId="0" applyNumberFormat="1"/>
    <xf numFmtId="22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0" fillId="0" borderId="1" xfId="0" applyBorder="1"/>
    <xf numFmtId="14" fontId="0" fillId="0" borderId="0" xfId="0" applyNumberFormat="1" applyAlignment="1">
      <alignment horizontal="center"/>
    </xf>
    <xf numFmtId="1" fontId="0" fillId="0" borderId="0" xfId="0" applyNumberFormat="1"/>
    <xf numFmtId="14" fontId="0" fillId="2" borderId="0" xfId="0" applyNumberFormat="1" applyFill="1"/>
    <xf numFmtId="164" fontId="0" fillId="2" borderId="0" xfId="0" applyNumberForma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/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2" xfId="0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/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6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 wrapText="1"/>
    </xf>
    <xf numFmtId="0" fontId="13" fillId="5" borderId="0" xfId="0" applyFont="1" applyFill="1" applyAlignment="1">
      <alignment horizontal="center" vertical="center" wrapText="1"/>
    </xf>
    <xf numFmtId="4" fontId="14" fillId="5" borderId="0" xfId="0" applyNumberFormat="1" applyFont="1" applyFill="1" applyAlignment="1">
      <alignment horizontal="center" vertical="center"/>
    </xf>
    <xf numFmtId="3" fontId="14" fillId="5" borderId="0" xfId="0" applyNumberFormat="1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9" fontId="14" fillId="5" borderId="0" xfId="1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7" fillId="3" borderId="0" xfId="0" applyFont="1" applyFill="1" applyAlignment="1">
      <alignment horizontal="center" vertical="center"/>
    </xf>
    <xf numFmtId="9" fontId="7" fillId="3" borderId="0" xfId="1" applyFont="1" applyFill="1" applyAlignment="1">
      <alignment horizontal="center" vertical="center"/>
    </xf>
    <xf numFmtId="4" fontId="7" fillId="3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3" fontId="7" fillId="3" borderId="0" xfId="0" applyNumberFormat="1" applyFont="1" applyFill="1" applyAlignment="1">
      <alignment horizontal="center" vertical="center"/>
    </xf>
    <xf numFmtId="0" fontId="6" fillId="0" borderId="0" xfId="0" applyFont="1" applyAlignment="1"/>
    <xf numFmtId="0" fontId="0" fillId="0" borderId="0" xfId="0" applyNumberFormat="1"/>
  </cellXfs>
  <cellStyles count="2">
    <cellStyle name="Normal" xfId="0" builtinId="0"/>
    <cellStyle name="Percent" xfId="1" builtinId="5"/>
  </cellStyles>
  <dxfs count="85">
    <dxf>
      <fill>
        <patternFill>
          <bgColor rgb="FFFF0000"/>
        </patternFill>
      </fill>
    </dxf>
    <dxf>
      <numFmt numFmtId="0" formatCode="General"/>
    </dxf>
    <dxf>
      <numFmt numFmtId="164" formatCode="[$-F400]h:mm:ss\ AM/PM"/>
    </dxf>
    <dxf>
      <numFmt numFmtId="164" formatCode="[$-F400]h:mm:ss\ AM/PM"/>
    </dxf>
    <dxf>
      <numFmt numFmtId="19" formatCode="d/m/yyyy"/>
    </dxf>
    <dxf>
      <numFmt numFmtId="19" formatCode="d/m/yyyy"/>
    </dxf>
    <dxf>
      <numFmt numFmtId="27" formatCode="d/m/yyyy\ h:mm"/>
    </dxf>
    <dxf>
      <numFmt numFmtId="27" formatCode="d/m/yyyy\ h:mm"/>
    </dxf>
    <dxf>
      <numFmt numFmtId="27" formatCode="d/m/yyyy\ h:mm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969696"/>
      <color rgb="FFB27E5E"/>
      <color rgb="FF0FD2E7"/>
      <color rgb="FFAEB51D"/>
      <color rgb="FF808080"/>
      <color rgb="FFACF3FA"/>
      <color rgb="FFD8E0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i-FI" baseline="0"/>
              <a:t> </a:t>
            </a:r>
            <a:r>
              <a:rPr lang="fi-FI"/>
              <a:t>Pricing</a:t>
            </a:r>
            <a:r>
              <a:rPr lang="fi-FI" baseline="0"/>
              <a:t> per Firm on Selected Product/Market Segment </a:t>
            </a:r>
            <a:endParaRPr lang="fi-FI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Dashboard!$F$34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5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Dashboard!$F$35:$F$61</c:f>
              <c:numCache>
                <c:formatCode>0.00</c:formatCode>
                <c:ptCount val="27"/>
                <c:pt idx="0">
                  <c:v>6650</c:v>
                </c:pt>
                <c:pt idx="1">
                  <c:v>6650</c:v>
                </c:pt>
                <c:pt idx="2">
                  <c:v>6650</c:v>
                </c:pt>
                <c:pt idx="3">
                  <c:v>6650</c:v>
                </c:pt>
                <c:pt idx="4">
                  <c:v>6650</c:v>
                </c:pt>
                <c:pt idx="5">
                  <c:v>6650</c:v>
                </c:pt>
                <c:pt idx="6">
                  <c:v>6650</c:v>
                </c:pt>
                <c:pt idx="7">
                  <c:v>6650</c:v>
                </c:pt>
                <c:pt idx="8">
                  <c:v>6650</c:v>
                </c:pt>
                <c:pt idx="9">
                  <c:v>6650</c:v>
                </c:pt>
                <c:pt idx="10">
                  <c:v>6683.333333333333</c:v>
                </c:pt>
                <c:pt idx="11">
                  <c:v>6700</c:v>
                </c:pt>
                <c:pt idx="12">
                  <c:v>6850</c:v>
                </c:pt>
                <c:pt idx="13">
                  <c:v>6850</c:v>
                </c:pt>
                <c:pt idx="14">
                  <c:v>6850</c:v>
                </c:pt>
                <c:pt idx="15">
                  <c:v>6850</c:v>
                </c:pt>
                <c:pt idx="16">
                  <c:v>6890</c:v>
                </c:pt>
                <c:pt idx="17">
                  <c:v>7050</c:v>
                </c:pt>
                <c:pt idx="18">
                  <c:v>7050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7050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2-4204-B07A-40AAA21A585D}"/>
            </c:ext>
          </c:extLst>
        </c:ser>
        <c:ser>
          <c:idx val="1"/>
          <c:order val="1"/>
          <c:tx>
            <c:strRef>
              <c:f>Dashboard!$G$34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rgbClr val="AEB51D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AEB51D"/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Dashboard!$G$35:$G$61</c:f>
              <c:numCache>
                <c:formatCode>0.00</c:formatCode>
                <c:ptCount val="27"/>
                <c:pt idx="0">
                  <c:v>6650</c:v>
                </c:pt>
                <c:pt idx="1">
                  <c:v>7150</c:v>
                </c:pt>
                <c:pt idx="2">
                  <c:v>7300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5350</c:v>
                </c:pt>
                <c:pt idx="7">
                  <c:v>5350</c:v>
                </c:pt>
                <c:pt idx="8">
                  <c:v>5450</c:v>
                </c:pt>
                <c:pt idx="9">
                  <c:v>5450</c:v>
                </c:pt>
                <c:pt idx="10">
                  <c:v>5450</c:v>
                </c:pt>
                <c:pt idx="11">
                  <c:v>5450</c:v>
                </c:pt>
                <c:pt idx="12">
                  <c:v>5800</c:v>
                </c:pt>
                <c:pt idx="13">
                  <c:v>5800</c:v>
                </c:pt>
                <c:pt idx="14">
                  <c:v>#N/A</c:v>
                </c:pt>
                <c:pt idx="15">
                  <c:v>#N/A</c:v>
                </c:pt>
                <c:pt idx="16">
                  <c:v>6379.5</c:v>
                </c:pt>
                <c:pt idx="17">
                  <c:v>#N/A</c:v>
                </c:pt>
                <c:pt idx="18">
                  <c:v>#N/A</c:v>
                </c:pt>
                <c:pt idx="19">
                  <c:v>6379.5</c:v>
                </c:pt>
                <c:pt idx="20">
                  <c:v>#N/A</c:v>
                </c:pt>
                <c:pt idx="21">
                  <c:v>6911</c:v>
                </c:pt>
                <c:pt idx="22">
                  <c:v>6310</c:v>
                </c:pt>
                <c:pt idx="23">
                  <c:v>#N/A</c:v>
                </c:pt>
                <c:pt idx="24">
                  <c:v>6911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2-4204-B07A-40AAA21A585D}"/>
            </c:ext>
          </c:extLst>
        </c:ser>
        <c:ser>
          <c:idx val="2"/>
          <c:order val="2"/>
          <c:tx>
            <c:strRef>
              <c:f>Dashboard!$H$34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rgbClr val="0FD2E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FD2E7"/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Dashboard!$H$35:$H$61</c:f>
              <c:numCache>
                <c:formatCode>0.00</c:formatCode>
                <c:ptCount val="27"/>
                <c:pt idx="0">
                  <c:v>6650</c:v>
                </c:pt>
                <c:pt idx="1">
                  <c:v>6650</c:v>
                </c:pt>
                <c:pt idx="2">
                  <c:v>6650</c:v>
                </c:pt>
                <c:pt idx="3">
                  <c:v>6650</c:v>
                </c:pt>
                <c:pt idx="4">
                  <c:v>6650</c:v>
                </c:pt>
                <c:pt idx="5">
                  <c:v>6650</c:v>
                </c:pt>
                <c:pt idx="6">
                  <c:v>6650</c:v>
                </c:pt>
                <c:pt idx="7">
                  <c:v>6650</c:v>
                </c:pt>
                <c:pt idx="8">
                  <c:v>6650</c:v>
                </c:pt>
                <c:pt idx="9">
                  <c:v>6675</c:v>
                </c:pt>
                <c:pt idx="10">
                  <c:v>6700</c:v>
                </c:pt>
                <c:pt idx="11">
                  <c:v>6700</c:v>
                </c:pt>
                <c:pt idx="12">
                  <c:v>6650</c:v>
                </c:pt>
                <c:pt idx="13">
                  <c:v>6575</c:v>
                </c:pt>
                <c:pt idx="14">
                  <c:v>6699</c:v>
                </c:pt>
                <c:pt idx="15">
                  <c:v>#N/A</c:v>
                </c:pt>
                <c:pt idx="16">
                  <c:v>6699</c:v>
                </c:pt>
                <c:pt idx="17">
                  <c:v>#N/A</c:v>
                </c:pt>
                <c:pt idx="18">
                  <c:v>6599</c:v>
                </c:pt>
                <c:pt idx="19">
                  <c:v>6699</c:v>
                </c:pt>
                <c:pt idx="20">
                  <c:v>#N/A</c:v>
                </c:pt>
                <c:pt idx="21">
                  <c:v>6632.333333333333</c:v>
                </c:pt>
                <c:pt idx="22">
                  <c:v>#N/A</c:v>
                </c:pt>
                <c:pt idx="23">
                  <c:v>6360</c:v>
                </c:pt>
                <c:pt idx="24">
                  <c:v>6360</c:v>
                </c:pt>
                <c:pt idx="25">
                  <c:v>6170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52-4204-B07A-40AAA21A585D}"/>
            </c:ext>
          </c:extLst>
        </c:ser>
        <c:ser>
          <c:idx val="3"/>
          <c:order val="3"/>
          <c:tx>
            <c:strRef>
              <c:f>Dashboard!$I$34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rgbClr val="0070C0">
                  <a:alpha val="95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Dashboard!$I$35:$I$61</c:f>
              <c:numCache>
                <c:formatCode>0.00</c:formatCode>
                <c:ptCount val="27"/>
                <c:pt idx="0">
                  <c:v>6650</c:v>
                </c:pt>
                <c:pt idx="1">
                  <c:v>6800</c:v>
                </c:pt>
                <c:pt idx="2">
                  <c:v>6800</c:v>
                </c:pt>
                <c:pt idx="3">
                  <c:v>6800</c:v>
                </c:pt>
                <c:pt idx="4">
                  <c:v>6800</c:v>
                </c:pt>
                <c:pt idx="5">
                  <c:v>6800</c:v>
                </c:pt>
                <c:pt idx="6">
                  <c:v>6800</c:v>
                </c:pt>
                <c:pt idx="7">
                  <c:v>#N/A</c:v>
                </c:pt>
                <c:pt idx="8">
                  <c:v>#N/A</c:v>
                </c:pt>
                <c:pt idx="9">
                  <c:v>6600</c:v>
                </c:pt>
                <c:pt idx="10">
                  <c:v>6600</c:v>
                </c:pt>
                <c:pt idx="11">
                  <c:v>6600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6300</c:v>
                </c:pt>
                <c:pt idx="22">
                  <c:v>6300</c:v>
                </c:pt>
                <c:pt idx="23">
                  <c:v>6100</c:v>
                </c:pt>
                <c:pt idx="24">
                  <c:v>6000</c:v>
                </c:pt>
                <c:pt idx="25">
                  <c:v>6000</c:v>
                </c:pt>
                <c:pt idx="26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52-4204-B07A-40AAA21A585D}"/>
            </c:ext>
          </c:extLst>
        </c:ser>
        <c:ser>
          <c:idx val="4"/>
          <c:order val="4"/>
          <c:tx>
            <c:strRef>
              <c:f>Dashboard!$J$34</c:f>
              <c:strCache>
                <c:ptCount val="1"/>
                <c:pt idx="0">
                  <c:v>11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Dashboard!$J$35:$J$61</c:f>
              <c:numCache>
                <c:formatCode>0.00</c:formatCode>
                <c:ptCount val="27"/>
                <c:pt idx="0">
                  <c:v>6650</c:v>
                </c:pt>
                <c:pt idx="1">
                  <c:v>6650</c:v>
                </c:pt>
                <c:pt idx="2">
                  <c:v>6650</c:v>
                </c:pt>
                <c:pt idx="3">
                  <c:v>6650</c:v>
                </c:pt>
                <c:pt idx="4">
                  <c:v>#N/A</c:v>
                </c:pt>
                <c:pt idx="5">
                  <c:v>#N/A</c:v>
                </c:pt>
                <c:pt idx="6">
                  <c:v>6600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6400</c:v>
                </c:pt>
                <c:pt idx="19">
                  <c:v>6400</c:v>
                </c:pt>
                <c:pt idx="20">
                  <c:v>6400</c:v>
                </c:pt>
                <c:pt idx="21">
                  <c:v>6400</c:v>
                </c:pt>
                <c:pt idx="22">
                  <c:v>6400</c:v>
                </c:pt>
                <c:pt idx="23">
                  <c:v>6400</c:v>
                </c:pt>
                <c:pt idx="24">
                  <c:v>6333.333333333333</c:v>
                </c:pt>
                <c:pt idx="25">
                  <c:v>6440</c:v>
                </c:pt>
                <c:pt idx="26">
                  <c:v>6500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52-4204-B07A-40AAA21A585D}"/>
            </c:ext>
          </c:extLst>
        </c:ser>
        <c:ser>
          <c:idx val="5"/>
          <c:order val="5"/>
          <c:tx>
            <c:strRef>
              <c:f>Dashboard!$K$34</c:f>
              <c:strCache>
                <c:ptCount val="1"/>
                <c:pt idx="0">
                  <c:v>12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Dashboard!$K$35:$K$61</c:f>
              <c:numCache>
                <c:formatCode>0.00</c:formatCode>
                <c:ptCount val="27"/>
                <c:pt idx="0">
                  <c:v>6650</c:v>
                </c:pt>
                <c:pt idx="1">
                  <c:v>6650</c:v>
                </c:pt>
                <c:pt idx="2">
                  <c:v>6737.5</c:v>
                </c:pt>
                <c:pt idx="3">
                  <c:v>6762.5</c:v>
                </c:pt>
                <c:pt idx="4">
                  <c:v>6766.666666666667</c:v>
                </c:pt>
                <c:pt idx="5">
                  <c:v>6850</c:v>
                </c:pt>
                <c:pt idx="6">
                  <c:v>6775</c:v>
                </c:pt>
                <c:pt idx="7">
                  <c:v>6766.666666666667</c:v>
                </c:pt>
                <c:pt idx="8">
                  <c:v>6833.333333333333</c:v>
                </c:pt>
                <c:pt idx="9">
                  <c:v>6766.666666666667</c:v>
                </c:pt>
                <c:pt idx="10">
                  <c:v>6833.333333333333</c:v>
                </c:pt>
                <c:pt idx="11">
                  <c:v>6780</c:v>
                </c:pt>
                <c:pt idx="12">
                  <c:v>6900</c:v>
                </c:pt>
                <c:pt idx="13">
                  <c:v>6900</c:v>
                </c:pt>
                <c:pt idx="14">
                  <c:v>6766.666666666667</c:v>
                </c:pt>
                <c:pt idx="15">
                  <c:v>#N/A</c:v>
                </c:pt>
                <c:pt idx="16">
                  <c:v>6700</c:v>
                </c:pt>
                <c:pt idx="17">
                  <c:v>6700</c:v>
                </c:pt>
                <c:pt idx="18">
                  <c:v>6700</c:v>
                </c:pt>
                <c:pt idx="19">
                  <c:v>6750</c:v>
                </c:pt>
                <c:pt idx="20">
                  <c:v>6750</c:v>
                </c:pt>
                <c:pt idx="21">
                  <c:v>6750</c:v>
                </c:pt>
                <c:pt idx="22">
                  <c:v>6750</c:v>
                </c:pt>
                <c:pt idx="23">
                  <c:v>6750</c:v>
                </c:pt>
                <c:pt idx="24">
                  <c:v>6733.333333333333</c:v>
                </c:pt>
                <c:pt idx="25">
                  <c:v>6750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52-4204-B07A-40AAA21A585D}"/>
            </c:ext>
          </c:extLst>
        </c:ser>
        <c:ser>
          <c:idx val="6"/>
          <c:order val="6"/>
          <c:tx>
            <c:strRef>
              <c:f>Dashboard!$L$34</c:f>
              <c:strCache>
                <c:ptCount val="1"/>
                <c:pt idx="0">
                  <c:v>13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Dashboard!$L$35:$L$61</c:f>
              <c:numCache>
                <c:formatCode>0.00</c:formatCode>
                <c:ptCount val="27"/>
                <c:pt idx="0">
                  <c:v>6650</c:v>
                </c:pt>
                <c:pt idx="1">
                  <c:v>6650</c:v>
                </c:pt>
                <c:pt idx="2">
                  <c:v>6650</c:v>
                </c:pt>
                <c:pt idx="3">
                  <c:v>6650</c:v>
                </c:pt>
                <c:pt idx="4">
                  <c:v>6650</c:v>
                </c:pt>
                <c:pt idx="5">
                  <c:v>6450</c:v>
                </c:pt>
                <c:pt idx="6">
                  <c:v>6400</c:v>
                </c:pt>
                <c:pt idx="7">
                  <c:v>6400</c:v>
                </c:pt>
                <c:pt idx="8">
                  <c:v>6400</c:v>
                </c:pt>
                <c:pt idx="9">
                  <c:v>6400</c:v>
                </c:pt>
                <c:pt idx="10">
                  <c:v>6333.333333333333</c:v>
                </c:pt>
                <c:pt idx="11">
                  <c:v>6300</c:v>
                </c:pt>
                <c:pt idx="12">
                  <c:v>6300</c:v>
                </c:pt>
                <c:pt idx="13">
                  <c:v>6300</c:v>
                </c:pt>
                <c:pt idx="14">
                  <c:v>6300</c:v>
                </c:pt>
                <c:pt idx="15">
                  <c:v>6300</c:v>
                </c:pt>
                <c:pt idx="16">
                  <c:v>6300</c:v>
                </c:pt>
                <c:pt idx="17">
                  <c:v>6250</c:v>
                </c:pt>
                <c:pt idx="18">
                  <c:v>6300</c:v>
                </c:pt>
                <c:pt idx="19">
                  <c:v>6075</c:v>
                </c:pt>
                <c:pt idx="20">
                  <c:v>5950</c:v>
                </c:pt>
                <c:pt idx="21">
                  <c:v>6000</c:v>
                </c:pt>
                <c:pt idx="22">
                  <c:v>6000</c:v>
                </c:pt>
                <c:pt idx="23">
                  <c:v>6000</c:v>
                </c:pt>
                <c:pt idx="24">
                  <c:v>5975</c:v>
                </c:pt>
                <c:pt idx="25">
                  <c:v>6000</c:v>
                </c:pt>
                <c:pt idx="26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752-4204-B07A-40AAA21A585D}"/>
            </c:ext>
          </c:extLst>
        </c:ser>
        <c:ser>
          <c:idx val="7"/>
          <c:order val="7"/>
          <c:tx>
            <c:strRef>
              <c:f>Dashboard!$M$34</c:f>
              <c:strCache>
                <c:ptCount val="1"/>
                <c:pt idx="0">
                  <c:v>14</c:v>
                </c:pt>
              </c:strCache>
            </c:strRef>
          </c:tx>
          <c:spPr>
            <a:ln w="28575" cap="rnd">
              <a:solidFill>
                <a:srgbClr val="B27E5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27E5E"/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Dashboard!$M$35:$M$61</c:f>
              <c:numCache>
                <c:formatCode>0.00</c:formatCode>
                <c:ptCount val="27"/>
                <c:pt idx="0">
                  <c:v>6650</c:v>
                </c:pt>
                <c:pt idx="1">
                  <c:v>6650</c:v>
                </c:pt>
                <c:pt idx="2">
                  <c:v>6650</c:v>
                </c:pt>
                <c:pt idx="3">
                  <c:v>6650</c:v>
                </c:pt>
                <c:pt idx="4">
                  <c:v>6650</c:v>
                </c:pt>
                <c:pt idx="5">
                  <c:v>6650</c:v>
                </c:pt>
                <c:pt idx="6">
                  <c:v>6650</c:v>
                </c:pt>
                <c:pt idx="7">
                  <c:v>6650</c:v>
                </c:pt>
                <c:pt idx="8">
                  <c:v>6650</c:v>
                </c:pt>
                <c:pt idx="9">
                  <c:v>6650</c:v>
                </c:pt>
                <c:pt idx="10">
                  <c:v>6650</c:v>
                </c:pt>
                <c:pt idx="11">
                  <c:v>6650</c:v>
                </c:pt>
                <c:pt idx="12">
                  <c:v>6650</c:v>
                </c:pt>
                <c:pt idx="13">
                  <c:v>6650</c:v>
                </c:pt>
                <c:pt idx="14">
                  <c:v>6650</c:v>
                </c:pt>
                <c:pt idx="15">
                  <c:v>6650</c:v>
                </c:pt>
                <c:pt idx="16">
                  <c:v>6650</c:v>
                </c:pt>
                <c:pt idx="17">
                  <c:v>#N/A</c:v>
                </c:pt>
                <c:pt idx="18">
                  <c:v>6650</c:v>
                </c:pt>
                <c:pt idx="19">
                  <c:v>6650</c:v>
                </c:pt>
                <c:pt idx="20">
                  <c:v>6650</c:v>
                </c:pt>
                <c:pt idx="21">
                  <c:v>6650</c:v>
                </c:pt>
                <c:pt idx="22">
                  <c:v>6650</c:v>
                </c:pt>
                <c:pt idx="23">
                  <c:v>6650</c:v>
                </c:pt>
                <c:pt idx="24">
                  <c:v>6650</c:v>
                </c:pt>
                <c:pt idx="25">
                  <c:v>6650</c:v>
                </c:pt>
                <c:pt idx="26">
                  <c:v>6650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52-4204-B07A-40AAA21A585D}"/>
            </c:ext>
          </c:extLst>
        </c:ser>
        <c:ser>
          <c:idx val="8"/>
          <c:order val="8"/>
          <c:tx>
            <c:strRef>
              <c:f>Dashboard!$N$34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Dashboard!$N$35:$N$61</c:f>
              <c:numCache>
                <c:formatCode>0.00</c:formatCode>
                <c:ptCount val="27"/>
                <c:pt idx="0">
                  <c:v>6650</c:v>
                </c:pt>
                <c:pt idx="1">
                  <c:v>6650</c:v>
                </c:pt>
                <c:pt idx="2">
                  <c:v>6650</c:v>
                </c:pt>
                <c:pt idx="3">
                  <c:v>6650</c:v>
                </c:pt>
                <c:pt idx="4">
                  <c:v>6650</c:v>
                </c:pt>
                <c:pt idx="5">
                  <c:v>6650</c:v>
                </c:pt>
                <c:pt idx="6">
                  <c:v>6650</c:v>
                </c:pt>
                <c:pt idx="7">
                  <c:v>6650</c:v>
                </c:pt>
                <c:pt idx="8">
                  <c:v>6650</c:v>
                </c:pt>
                <c:pt idx="9">
                  <c:v>6500</c:v>
                </c:pt>
                <c:pt idx="10">
                  <c:v>6000</c:v>
                </c:pt>
                <c:pt idx="11">
                  <c:v>6000</c:v>
                </c:pt>
                <c:pt idx="12">
                  <c:v>6000</c:v>
                </c:pt>
                <c:pt idx="13">
                  <c:v>6000</c:v>
                </c:pt>
                <c:pt idx="14">
                  <c:v>6350</c:v>
                </c:pt>
                <c:pt idx="15">
                  <c:v>6350</c:v>
                </c:pt>
                <c:pt idx="16">
                  <c:v>6350</c:v>
                </c:pt>
                <c:pt idx="17">
                  <c:v>6300</c:v>
                </c:pt>
                <c:pt idx="18">
                  <c:v>6370</c:v>
                </c:pt>
                <c:pt idx="19">
                  <c:v>6400</c:v>
                </c:pt>
                <c:pt idx="20">
                  <c:v>6350</c:v>
                </c:pt>
                <c:pt idx="21">
                  <c:v>6400</c:v>
                </c:pt>
                <c:pt idx="22">
                  <c:v>6400</c:v>
                </c:pt>
                <c:pt idx="23">
                  <c:v>6450</c:v>
                </c:pt>
                <c:pt idx="24">
                  <c:v>6425</c:v>
                </c:pt>
                <c:pt idx="25">
                  <c:v>6490</c:v>
                </c:pt>
                <c:pt idx="26">
                  <c:v>6500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752-4204-B07A-40AAA21A585D}"/>
            </c:ext>
          </c:extLst>
        </c:ser>
        <c:ser>
          <c:idx val="9"/>
          <c:order val="9"/>
          <c:tx>
            <c:strRef>
              <c:f>Dashboard!$O$34</c:f>
              <c:strCache>
                <c:ptCount val="1"/>
                <c:pt idx="0">
                  <c:v>16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Dashboard!$O$35:$O$61</c:f>
              <c:numCache>
                <c:formatCode>0.00</c:formatCode>
                <c:ptCount val="27"/>
                <c:pt idx="0">
                  <c:v>6650</c:v>
                </c:pt>
                <c:pt idx="1">
                  <c:v>6650</c:v>
                </c:pt>
                <c:pt idx="2">
                  <c:v>6650</c:v>
                </c:pt>
                <c:pt idx="3">
                  <c:v>6650</c:v>
                </c:pt>
                <c:pt idx="4">
                  <c:v>6650</c:v>
                </c:pt>
                <c:pt idx="5">
                  <c:v>6650</c:v>
                </c:pt>
                <c:pt idx="6">
                  <c:v>6650</c:v>
                </c:pt>
                <c:pt idx="7">
                  <c:v>6650</c:v>
                </c:pt>
                <c:pt idx="8">
                  <c:v>6650</c:v>
                </c:pt>
                <c:pt idx="9">
                  <c:v>6630</c:v>
                </c:pt>
                <c:pt idx="10">
                  <c:v>6650</c:v>
                </c:pt>
                <c:pt idx="11">
                  <c:v>6650</c:v>
                </c:pt>
                <c:pt idx="12">
                  <c:v>6650</c:v>
                </c:pt>
                <c:pt idx="13">
                  <c:v>6650</c:v>
                </c:pt>
                <c:pt idx="14">
                  <c:v>6650</c:v>
                </c:pt>
                <c:pt idx="15">
                  <c:v>6650</c:v>
                </c:pt>
                <c:pt idx="16">
                  <c:v>6650</c:v>
                </c:pt>
                <c:pt idx="17">
                  <c:v>6650</c:v>
                </c:pt>
                <c:pt idx="18">
                  <c:v>6050</c:v>
                </c:pt>
                <c:pt idx="19">
                  <c:v>6050</c:v>
                </c:pt>
                <c:pt idx="20">
                  <c:v>6000</c:v>
                </c:pt>
                <c:pt idx="21">
                  <c:v>6050</c:v>
                </c:pt>
                <c:pt idx="22">
                  <c:v>6050</c:v>
                </c:pt>
                <c:pt idx="23">
                  <c:v>6050</c:v>
                </c:pt>
                <c:pt idx="24">
                  <c:v>6016.666666666667</c:v>
                </c:pt>
                <c:pt idx="25">
                  <c:v>6050</c:v>
                </c:pt>
                <c:pt idx="26">
                  <c:v>6050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D-4DEC-96F5-46C59004B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73648"/>
        <c:axId val="194718720"/>
      </c:lineChart>
      <c:dateAx>
        <c:axId val="32787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94718720"/>
        <c:crosses val="autoZero"/>
        <c:auto val="1"/>
        <c:lblOffset val="100"/>
        <c:baseTimeUnit val="days"/>
      </c:dateAx>
      <c:valAx>
        <c:axId val="194718720"/>
        <c:scaling>
          <c:orientation val="minMax"/>
          <c:max val="7500"/>
          <c:min val="5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32787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[custom-vba-example.xlsm]Pivots!PivotTable4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Revenue on Selected Product / Market Segment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80808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AEB51D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FD2E7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B27E5E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bg2">
              <a:lumMod val="9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B27E5E"/>
          </a:solidFill>
          <a:ln>
            <a:noFill/>
          </a:ln>
          <a:effectLst/>
        </c:spPr>
      </c:pivotFmt>
      <c:pivotFmt>
        <c:idx val="32"/>
      </c:pivotFmt>
      <c:pivotFmt>
        <c:idx val="33"/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96969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Pivots!$O$37:$O$38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 DLX</c:v>
                  </c:pt>
                </c:lvl>
                <c:lvl>
                  <c:pt idx="0">
                    <c:v>Nordic</c:v>
                  </c:pt>
                </c:lvl>
              </c:multiLvlStrCache>
            </c:multiLvlStrRef>
          </c:cat>
          <c:val>
            <c:numRef>
              <c:f>Pivots!$O$39:$O$41</c:f>
              <c:numCache>
                <c:formatCode>General</c:formatCode>
                <c:ptCount val="1"/>
                <c:pt idx="0">
                  <c:v>2120650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D-4AEA-B59D-E407F5FA94EC}"/>
            </c:ext>
          </c:extLst>
        </c:ser>
        <c:ser>
          <c:idx val="1"/>
          <c:order val="1"/>
          <c:tx>
            <c:strRef>
              <c:f>Pivots!$P$37:$P$38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rgbClr val="AEB51D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 DLX</c:v>
                  </c:pt>
                </c:lvl>
                <c:lvl>
                  <c:pt idx="0">
                    <c:v>Nordic</c:v>
                  </c:pt>
                </c:lvl>
              </c:multiLvlStrCache>
            </c:multiLvlStrRef>
          </c:cat>
          <c:val>
            <c:numRef>
              <c:f>Pivots!$P$39:$P$41</c:f>
              <c:numCache>
                <c:formatCode>General</c:formatCode>
                <c:ptCount val="1"/>
                <c:pt idx="0">
                  <c:v>2841221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B31D-4AEA-B59D-E407F5FA94EC}"/>
            </c:ext>
          </c:extLst>
        </c:ser>
        <c:ser>
          <c:idx val="2"/>
          <c:order val="2"/>
          <c:tx>
            <c:strRef>
              <c:f>Pivots!$Q$37:$Q$38</c:f>
              <c:strCache>
                <c:ptCount val="1"/>
                <c:pt idx="0">
                  <c:v>9</c:v>
                </c:pt>
              </c:strCache>
            </c:strRef>
          </c:tx>
          <c:spPr>
            <a:solidFill>
              <a:srgbClr val="0FD2E7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 DLX</c:v>
                  </c:pt>
                </c:lvl>
                <c:lvl>
                  <c:pt idx="0">
                    <c:v>Nordic</c:v>
                  </c:pt>
                </c:lvl>
              </c:multiLvlStrCache>
            </c:multiLvlStrRef>
          </c:cat>
          <c:val>
            <c:numRef>
              <c:f>Pivots!$Q$39:$Q$41</c:f>
              <c:numCache>
                <c:formatCode>General</c:formatCode>
                <c:ptCount val="1"/>
                <c:pt idx="0">
                  <c:v>2543793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B31D-4AEA-B59D-E407F5FA94EC}"/>
            </c:ext>
          </c:extLst>
        </c:ser>
        <c:ser>
          <c:idx val="3"/>
          <c:order val="3"/>
          <c:tx>
            <c:strRef>
              <c:f>Pivots!$R$37:$R$38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 DLX</c:v>
                  </c:pt>
                </c:lvl>
                <c:lvl>
                  <c:pt idx="0">
                    <c:v>Nordic</c:v>
                  </c:pt>
                </c:lvl>
              </c:multiLvlStrCache>
            </c:multiLvlStrRef>
          </c:cat>
          <c:val>
            <c:numRef>
              <c:f>Pivots!$R$39:$R$41</c:f>
              <c:numCache>
                <c:formatCode>General</c:formatCode>
                <c:ptCount val="1"/>
                <c:pt idx="0">
                  <c:v>2208600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B31D-4AEA-B59D-E407F5FA94EC}"/>
            </c:ext>
          </c:extLst>
        </c:ser>
        <c:ser>
          <c:idx val="4"/>
          <c:order val="4"/>
          <c:tx>
            <c:strRef>
              <c:f>Pivots!$S$37:$S$38</c:f>
              <c:strCache>
                <c:ptCount val="1"/>
                <c:pt idx="0">
                  <c:v>11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 DLX</c:v>
                  </c:pt>
                </c:lvl>
                <c:lvl>
                  <c:pt idx="0">
                    <c:v>Nordic</c:v>
                  </c:pt>
                </c:lvl>
              </c:multiLvlStrCache>
            </c:multiLvlStrRef>
          </c:cat>
          <c:val>
            <c:numRef>
              <c:f>Pivots!$S$39:$S$41</c:f>
              <c:numCache>
                <c:formatCode>General</c:formatCode>
                <c:ptCount val="1"/>
                <c:pt idx="0">
                  <c:v>2670300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B31D-4AEA-B59D-E407F5FA94EC}"/>
            </c:ext>
          </c:extLst>
        </c:ser>
        <c:ser>
          <c:idx val="5"/>
          <c:order val="5"/>
          <c:tx>
            <c:strRef>
              <c:f>Pivots!$T$37:$T$38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 DLX</c:v>
                  </c:pt>
                </c:lvl>
                <c:lvl>
                  <c:pt idx="0">
                    <c:v>Nordic</c:v>
                  </c:pt>
                </c:lvl>
              </c:multiLvlStrCache>
            </c:multiLvlStrRef>
          </c:cat>
          <c:val>
            <c:numRef>
              <c:f>Pivots!$T$39:$T$41</c:f>
              <c:numCache>
                <c:formatCode>General</c:formatCode>
                <c:ptCount val="1"/>
                <c:pt idx="0">
                  <c:v>4406200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B31D-4AEA-B59D-E407F5FA94EC}"/>
            </c:ext>
          </c:extLst>
        </c:ser>
        <c:ser>
          <c:idx val="6"/>
          <c:order val="6"/>
          <c:tx>
            <c:strRef>
              <c:f>Pivots!$U$37:$U$38</c:f>
              <c:strCache>
                <c:ptCount val="1"/>
                <c:pt idx="0">
                  <c:v>13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 DLX</c:v>
                  </c:pt>
                </c:lvl>
                <c:lvl>
                  <c:pt idx="0">
                    <c:v>Nordic</c:v>
                  </c:pt>
                </c:lvl>
              </c:multiLvlStrCache>
            </c:multiLvlStrRef>
          </c:cat>
          <c:val>
            <c:numRef>
              <c:f>Pivots!$U$39:$U$41</c:f>
              <c:numCache>
                <c:formatCode>General</c:formatCode>
                <c:ptCount val="1"/>
                <c:pt idx="0">
                  <c:v>5635250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B31D-4AEA-B59D-E407F5FA94EC}"/>
            </c:ext>
          </c:extLst>
        </c:ser>
        <c:ser>
          <c:idx val="7"/>
          <c:order val="7"/>
          <c:tx>
            <c:strRef>
              <c:f>Pivots!$V$37:$V$38</c:f>
              <c:strCache>
                <c:ptCount val="1"/>
                <c:pt idx="0">
                  <c:v>14</c:v>
                </c:pt>
              </c:strCache>
            </c:strRef>
          </c:tx>
          <c:spPr>
            <a:solidFill>
              <a:srgbClr val="B27E5E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 DLX</c:v>
                  </c:pt>
                </c:lvl>
                <c:lvl>
                  <c:pt idx="0">
                    <c:v>Nordic</c:v>
                  </c:pt>
                </c:lvl>
              </c:multiLvlStrCache>
            </c:multiLvlStrRef>
          </c:cat>
          <c:val>
            <c:numRef>
              <c:f>Pivots!$V$39:$V$41</c:f>
              <c:numCache>
                <c:formatCode>General</c:formatCode>
                <c:ptCount val="1"/>
                <c:pt idx="0">
                  <c:v>2500400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B31D-4AEA-B59D-E407F5FA94EC}"/>
            </c:ext>
          </c:extLst>
        </c:ser>
        <c:ser>
          <c:idx val="8"/>
          <c:order val="8"/>
          <c:tx>
            <c:strRef>
              <c:f>Pivots!$W$37:$W$38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 DLX</c:v>
                  </c:pt>
                </c:lvl>
                <c:lvl>
                  <c:pt idx="0">
                    <c:v>Nordic</c:v>
                  </c:pt>
                </c:lvl>
              </c:multiLvlStrCache>
            </c:multiLvlStrRef>
          </c:cat>
          <c:val>
            <c:numRef>
              <c:f>Pivots!$W$39:$W$41</c:f>
              <c:numCache>
                <c:formatCode>General</c:formatCode>
                <c:ptCount val="1"/>
                <c:pt idx="0">
                  <c:v>7191750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B31D-4AEA-B59D-E407F5FA94EC}"/>
            </c:ext>
          </c:extLst>
        </c:ser>
        <c:ser>
          <c:idx val="9"/>
          <c:order val="9"/>
          <c:tx>
            <c:strRef>
              <c:f>Pivots!$X$37:$X$38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 DLX</c:v>
                  </c:pt>
                </c:lvl>
                <c:lvl>
                  <c:pt idx="0">
                    <c:v>Nordic</c:v>
                  </c:pt>
                </c:lvl>
              </c:multiLvlStrCache>
            </c:multiLvlStrRef>
          </c:cat>
          <c:val>
            <c:numRef>
              <c:f>Pivots!$X$39:$X$41</c:f>
              <c:numCache>
                <c:formatCode>General</c:formatCode>
                <c:ptCount val="1"/>
                <c:pt idx="0">
                  <c:v>5700000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B31D-4AEA-B59D-E407F5FA94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39624784"/>
        <c:axId val="639625744"/>
      </c:barChart>
      <c:catAx>
        <c:axId val="63962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625744"/>
        <c:crosses val="autoZero"/>
        <c:auto val="1"/>
        <c:lblAlgn val="ctr"/>
        <c:lblOffset val="100"/>
        <c:noMultiLvlLbl val="0"/>
      </c:catAx>
      <c:valAx>
        <c:axId val="63962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62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580158</xdr:colOff>
      <xdr:row>7</xdr:row>
      <xdr:rowOff>8658</xdr:rowOff>
    </xdr:from>
    <xdr:to>
      <xdr:col>14</xdr:col>
      <xdr:colOff>726929</xdr:colOff>
      <xdr:row>32</xdr:row>
      <xdr:rowOff>114307</xdr:rowOff>
    </xdr:to>
    <xdr:graphicFrame macro="">
      <xdr:nvGraphicFramePr>
        <xdr:cNvPr id="2" name="Prices">
          <a:extLst>
            <a:ext uri="{FF2B5EF4-FFF2-40B4-BE49-F238E27FC236}">
              <a16:creationId xmlns:a16="http://schemas.microsoft.com/office/drawing/2014/main" id="{FD882E72-2650-C6E5-0B27-32A57F85F3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614777</xdr:colOff>
      <xdr:row>6</xdr:row>
      <xdr:rowOff>233794</xdr:rowOff>
    </xdr:from>
    <xdr:to>
      <xdr:col>28</xdr:col>
      <xdr:colOff>326637</xdr:colOff>
      <xdr:row>32</xdr:row>
      <xdr:rowOff>2</xdr:rowOff>
    </xdr:to>
    <xdr:graphicFrame macro="">
      <xdr:nvGraphicFramePr>
        <xdr:cNvPr id="4" name="Revenues">
          <a:extLst>
            <a:ext uri="{FF2B5EF4-FFF2-40B4-BE49-F238E27FC236}">
              <a16:creationId xmlns:a16="http://schemas.microsoft.com/office/drawing/2014/main" id="{D199376C-D4DB-4ACB-9749-6CBB631360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ael Kankaanpää" refreshedDate="46064.224198148149" createdVersion="8" refreshedVersion="8" minRefreshableVersion="3" recordCount="2936" xr:uid="{1E7B9806-BF95-48D2-BA5F-33F39A46A4EC}">
  <cacheSource type="worksheet">
    <worksheetSource name="Table1"/>
  </cacheSource>
  <cacheFields count="22">
    <cacheField name="Ordered" numFmtId="22">
      <sharedItems containsSemiMixedTypes="0" containsNonDate="0" containsDate="1" containsString="0" minDate="2024-01-01T00:00:00" maxDate="2024-01-30T00:00:00"/>
    </cacheField>
    <cacheField name="Market" numFmtId="0">
      <sharedItems count="4">
        <s v="Markets.Subcontract"/>
        <s v="Nordic"/>
        <s v="Europe"/>
        <s v="North America"/>
      </sharedItems>
    </cacheField>
    <cacheField name="Company" numFmtId="0">
      <sharedItems containsSemiMixedTypes="0" containsString="0" containsNumber="1" containsInteger="1" minValue="1" maxValue="16" count="16">
        <n v="4"/>
        <n v="13"/>
        <n v="9"/>
        <n v="11"/>
        <n v="10"/>
        <n v="8"/>
        <n v="15"/>
        <n v="12"/>
        <n v="7"/>
        <n v="14"/>
        <n v="16"/>
        <n v="6"/>
        <n v="5"/>
        <n v="2"/>
        <n v="3"/>
        <n v="1"/>
      </sharedItems>
    </cacheField>
    <cacheField name="Customer" numFmtId="0">
      <sharedItems containsSemiMixedTypes="0" containsString="0" containsNumber="1" containsInteger="1" minValue="1" maxValue="3010"/>
    </cacheField>
    <cacheField name="Product" numFmtId="0">
      <sharedItems count="6">
        <s v="Electronics"/>
        <s v="Bio counter"/>
        <s v="Bio counter DLX"/>
        <s v="Processor"/>
        <s v="Sensor"/>
        <s v="Recyclable Silicon"/>
      </sharedItems>
    </cacheField>
    <cacheField name="Pcs" numFmtId="0">
      <sharedItems containsSemiMixedTypes="0" containsString="0" containsNumber="1" containsInteger="1" minValue="1" maxValue="7000"/>
    </cacheField>
    <cacheField name="Price" numFmtId="0">
      <sharedItems containsSemiMixedTypes="0" containsString="0" containsNumber="1" containsInteger="1" minValue="5" maxValue="7500"/>
    </cacheField>
    <cacheField name="Value" numFmtId="0">
      <sharedItems containsSemiMixedTypes="0" containsString="0" containsNumber="1" containsInteger="1" minValue="250" maxValue="1228800"/>
    </cacheField>
    <cacheField name="Delivery" numFmtId="22">
      <sharedItems containsSemiMixedTypes="0" containsNonDate="0" containsDate="1" containsString="0" minDate="2024-01-01T00:00:00" maxDate="2024-01-29T22:00:00" count="644">
        <d v="2024-01-01T00:00:00"/>
        <d v="2024-01-01T23:00:00"/>
        <d v="2024-01-02T01:00:00"/>
        <d v="2024-01-01T17:00:00"/>
        <d v="2024-01-01T01:00:00"/>
        <d v="2024-01-02T00:00:00"/>
        <d v="2024-01-01T14:00:00"/>
        <d v="2024-01-02T07:00:00"/>
        <d v="2024-01-01T18:00:00"/>
        <d v="2024-01-01T19:00:00"/>
        <d v="2024-01-01T07:00:00"/>
        <d v="2024-01-01T03:00:00"/>
        <d v="2024-01-01T02:00:00"/>
        <d v="2024-01-01T20:00:00"/>
        <d v="2024-01-01T22:00:00"/>
        <d v="2024-01-01T16:00:00"/>
        <d v="2024-01-01T13:00:00"/>
        <d v="2024-01-01T11:00:00"/>
        <d v="2024-01-01T10:00:00"/>
        <d v="2024-01-01T09:00:00"/>
        <d v="2024-01-01T12:00:00"/>
        <d v="2024-01-01T08:00:00"/>
        <d v="2024-01-01T05:00:00"/>
        <d v="2024-01-01T04:00:00"/>
        <d v="2024-01-02T03:00:00"/>
        <d v="2024-01-01T21:00:00"/>
        <d v="2024-01-02T13:00:00"/>
        <d v="2024-01-03T16:00:00"/>
        <d v="2024-01-01T15:00:00"/>
        <d v="2024-01-02T08:00:00"/>
        <d v="2024-01-02T12:00:00"/>
        <d v="2024-01-02T11:00:00"/>
        <d v="2024-01-02T14:00:00"/>
        <d v="2024-01-02T02:00:00"/>
        <d v="2024-01-03T00:00:00"/>
        <d v="2024-01-02T16:00:00"/>
        <d v="2024-01-02T17:00:00"/>
        <d v="2024-01-02T05:00:00"/>
        <d v="2024-01-02T18:00:00"/>
        <d v="2024-01-03T01:00:00"/>
        <d v="2024-01-02T04:00:00"/>
        <d v="2024-01-02T21:00:00"/>
        <d v="2024-01-02T09:00:00"/>
        <d v="2024-01-02T06:00:00"/>
        <d v="2024-01-04T00:00:00"/>
        <d v="2024-01-03T18:00:00"/>
        <d v="2024-01-03T14:00:00"/>
        <d v="2024-01-03T07:00:00"/>
        <d v="2024-01-03T17:00:00"/>
        <d v="2024-01-03T08:00:00"/>
        <d v="2024-01-03T10:00:00"/>
        <d v="2024-01-03T04:00:00"/>
        <d v="2024-01-03T13:00:00"/>
        <d v="2024-01-03T06:00:00"/>
        <d v="2024-01-02T22:00:00"/>
        <d v="2024-01-03T03:00:00"/>
        <d v="2024-01-03T12:00:00"/>
        <d v="2024-01-03T15:00:00"/>
        <d v="2024-01-03T11:00:00"/>
        <d v="2024-01-03T05:00:00"/>
        <d v="2024-01-03T02:00:00"/>
        <d v="2024-01-03T09:00:00"/>
        <d v="2024-01-03T19:00:00"/>
        <d v="2024-01-03T21:00:00"/>
        <d v="2024-01-04T07:00:00"/>
        <d v="2024-01-04T13:00:00"/>
        <d v="2024-01-03T22:00:00"/>
        <d v="2024-01-03T20:00:00"/>
        <d v="2024-01-04T05:00:00"/>
        <d v="2024-01-04T10:00:00"/>
        <d v="2024-01-04T03:00:00"/>
        <d v="2024-01-04T02:00:00"/>
        <d v="2024-01-05T16:00:00"/>
        <d v="2024-01-04T06:00:00"/>
        <d v="2024-01-04T08:00:00"/>
        <d v="2024-01-04T12:00:00"/>
        <d v="2024-01-04T11:00:00"/>
        <d v="2024-01-03T23:00:00"/>
        <d v="2024-01-04T01:00:00"/>
        <d v="2024-01-04T15:00:00"/>
        <d v="2024-01-04T14:00:00"/>
        <d v="2024-01-04T17:00:00"/>
        <d v="2024-01-05T00:00:00"/>
        <d v="2024-01-04T21:00:00"/>
        <d v="2024-01-05T19:00:00"/>
        <d v="2024-01-04T22:00:00"/>
        <d v="2024-01-05T01:00:00"/>
        <d v="2024-01-04T23:00:00"/>
        <d v="2024-01-04T09:00:00"/>
        <d v="2024-01-04T04:00:00"/>
        <d v="2024-01-05T03:00:00"/>
        <d v="2024-01-05T02:00:00"/>
        <d v="2024-01-05T09:00:00"/>
        <d v="2024-01-05T04:00:00"/>
        <d v="2024-01-04T16:00:00"/>
        <d v="2024-01-04T18:00:00"/>
        <d v="2024-01-06T17:00:00"/>
        <d v="2024-01-05T06:00:00"/>
        <d v="2024-01-05T05:00:00"/>
        <d v="2024-01-05T10:00:00"/>
        <d v="2024-01-04T19:00:00"/>
        <d v="2024-01-05T08:00:00"/>
        <d v="2024-01-04T20:00:00"/>
        <d v="2024-01-07T01:00:00"/>
        <d v="2024-01-05T14:00:00"/>
        <d v="2024-01-05T13:00:00"/>
        <d v="2024-01-05T11:00:00"/>
        <d v="2024-01-05T18:00:00"/>
        <d v="2024-01-05T17:00:00"/>
        <d v="2024-01-06T18:00:00"/>
        <d v="2024-01-08T20:00:00"/>
        <d v="2024-01-05T07:00:00"/>
        <d v="2024-01-06T00:00:00"/>
        <d v="2024-01-06T02:00:00"/>
        <d v="2024-01-05T21:00:00"/>
        <d v="2024-01-07T10:00:00"/>
        <d v="2024-01-05T12:00:00"/>
        <d v="2024-01-06T08:00:00"/>
        <d v="2024-01-06T04:00:00"/>
        <d v="2024-01-05T15:00:00"/>
        <d v="2024-01-06T09:00:00"/>
        <d v="2024-01-05T23:00:00"/>
        <d v="2024-01-06T13:00:00"/>
        <d v="2024-01-06T14:00:00"/>
        <d v="2024-01-06T07:00:00"/>
        <d v="2024-01-06T10:00:00"/>
        <d v="2024-01-06T12:00:00"/>
        <d v="2024-01-06T16:00:00"/>
        <d v="2024-01-06T11:00:00"/>
        <d v="2024-01-06T20:00:00"/>
        <d v="2024-01-06T03:00:00"/>
        <d v="2024-01-05T20:00:00"/>
        <d v="2024-01-06T01:00:00"/>
        <d v="2024-01-07T00:00:00"/>
        <d v="2024-01-07T06:00:00"/>
        <d v="2024-01-07T16:00:00"/>
        <d v="2024-01-07T13:00:00"/>
        <d v="2024-01-07T18:00:00"/>
        <d v="2024-01-06T06:00:00"/>
        <d v="2024-01-07T19:00:00"/>
        <d v="2024-01-07T04:00:00"/>
        <d v="2024-01-06T23:00:00"/>
        <d v="2024-01-06T19:00:00"/>
        <d v="2024-01-07T02:00:00"/>
        <d v="2024-01-09T00:00:00"/>
        <d v="2024-01-07T05:00:00"/>
        <d v="2024-01-06T22:00:00"/>
        <d v="2024-01-07T07:00:00"/>
        <d v="2024-01-07T11:00:00"/>
        <d v="2024-01-07T08:00:00"/>
        <d v="2024-01-06T15:00:00"/>
        <d v="2024-01-07T12:00:00"/>
        <d v="2024-01-07T09:00:00"/>
        <d v="2024-01-07T17:00:00"/>
        <d v="2024-01-06T21:00:00"/>
        <d v="2024-01-07T20:00:00"/>
        <d v="2024-01-07T15:00:00"/>
        <d v="2024-01-08T00:00:00"/>
        <d v="2024-01-08T19:00:00"/>
        <d v="2024-01-07T23:00:00"/>
        <d v="2024-01-07T21:00:00"/>
        <d v="2024-01-08T03:00:00"/>
        <d v="2024-01-09T09:00:00"/>
        <d v="2024-01-08T02:00:00"/>
        <d v="2024-01-08T04:00:00"/>
        <d v="2024-01-07T22:00:00"/>
        <d v="2024-01-08T05:00:00"/>
        <d v="2024-01-07T14:00:00"/>
        <d v="2024-01-09T22:00:00"/>
        <d v="2024-01-08T07:00:00"/>
        <d v="2024-01-08T06:00:00"/>
        <d v="2024-01-08T10:00:00"/>
        <d v="2024-01-08T14:00:00"/>
        <d v="2024-01-08T01:00:00"/>
        <d v="2024-01-08T11:00:00"/>
        <d v="2024-01-09T14:00:00"/>
        <d v="2024-01-08T13:00:00"/>
        <d v="2024-01-08T17:00:00"/>
        <d v="2024-01-09T21:00:00"/>
        <d v="2024-01-08T08:00:00"/>
        <d v="2024-01-09T02:00:00"/>
        <d v="2024-01-08T12:00:00"/>
        <d v="2024-01-08T15:00:00"/>
        <d v="2024-01-08T16:00:00"/>
        <d v="2024-01-08T18:00:00"/>
        <d v="2024-01-08T09:00:00"/>
        <d v="2024-01-09T19:00:00"/>
        <d v="2024-01-09T16:00:00"/>
        <d v="2024-01-09T01:00:00"/>
        <d v="2024-01-09T23:00:00"/>
        <d v="2024-01-09T06:00:00"/>
        <d v="2024-01-08T21:00:00"/>
        <d v="2024-01-09T11:00:00"/>
        <d v="2024-01-09T08:00:00"/>
        <d v="2024-01-08T23:00:00"/>
        <d v="2024-01-09T05:00:00"/>
        <d v="2024-01-09T15:00:00"/>
        <d v="2024-01-09T04:00:00"/>
        <d v="2024-01-09T13:00:00"/>
        <d v="2024-01-09T17:00:00"/>
        <d v="2024-01-09T10:00:00"/>
        <d v="2024-01-09T03:00:00"/>
        <d v="2024-01-10T06:00:00"/>
        <d v="2024-01-09T18:00:00"/>
        <d v="2024-01-10T12:00:00"/>
        <d v="2024-01-10T01:00:00"/>
        <d v="2024-01-10T03:00:00"/>
        <d v="2024-01-09T07:00:00"/>
        <d v="2024-01-10T08:00:00"/>
        <d v="2024-01-10T16:00:00"/>
        <d v="2024-01-11T12:00:00"/>
        <d v="2024-01-09T12:00:00"/>
        <d v="2024-01-10T05:00:00"/>
        <d v="2024-01-10T04:00:00"/>
        <d v="2024-01-10T18:00:00"/>
        <d v="2024-01-10T09:00:00"/>
        <d v="2024-01-10T13:00:00"/>
        <d v="2024-01-10T14:00:00"/>
        <d v="2024-01-10T15:00:00"/>
        <d v="2024-01-10T22:00:00"/>
        <d v="2024-01-11T09:00:00"/>
        <d v="2024-01-12T10:00:00"/>
        <d v="2024-01-11T02:00:00"/>
        <d v="2024-01-11T15:00:00"/>
        <d v="2024-01-12T09:00:00"/>
        <d v="2024-01-11T11:00:00"/>
        <d v="2024-01-11T01:00:00"/>
        <d v="2024-01-10T02:00:00"/>
        <d v="2024-01-12T13:00:00"/>
        <d v="2024-01-10T23:00:00"/>
        <d v="2024-01-10T11:00:00"/>
        <d v="2024-01-10T19:00:00"/>
        <d v="2024-01-11T00:00:00"/>
        <d v="2024-01-10T10:00:00"/>
        <d v="2024-01-10T17:00:00"/>
        <d v="2024-01-11T05:00:00"/>
        <d v="2024-01-10T21:00:00"/>
        <d v="2024-01-10T07:00:00"/>
        <d v="2024-01-10T20:00:00"/>
        <d v="2024-01-12T08:00:00"/>
        <d v="2024-01-11T10:00:00"/>
        <d v="2024-01-11T04:00:00"/>
        <d v="2024-01-11T07:00:00"/>
        <d v="2024-01-11T13:00:00"/>
        <d v="2024-01-11T06:00:00"/>
        <d v="2024-01-11T08:00:00"/>
        <d v="2024-01-12T11:00:00"/>
        <d v="2024-01-11T21:00:00"/>
        <d v="2024-01-12T14:00:00"/>
        <d v="2024-01-11T23:00:00"/>
        <d v="2024-01-11T19:00:00"/>
        <d v="2024-01-13T12:00:00"/>
        <d v="2024-01-12T17:00:00"/>
        <d v="2024-01-12T06:00:00"/>
        <d v="2024-01-12T04:00:00"/>
        <d v="2024-01-12T02:00:00"/>
        <d v="2024-01-12T00:00:00"/>
        <d v="2024-01-11T16:00:00"/>
        <d v="2024-01-12T03:00:00"/>
        <d v="2024-01-11T14:00:00"/>
        <d v="2024-01-13T04:00:00"/>
        <d v="2024-01-11T17:00:00"/>
        <d v="2024-01-12T16:00:00"/>
        <d v="2024-01-12T19:00:00"/>
        <d v="2024-01-12T15:00:00"/>
        <d v="2024-01-12T12:00:00"/>
        <d v="2024-01-22T14:00:00"/>
        <d v="2024-01-13T09:00:00"/>
        <d v="2024-01-11T22:00:00"/>
        <d v="2024-01-12T07:00:00"/>
        <d v="2024-01-12T18:00:00"/>
        <d v="2024-01-12T05:00:00"/>
        <d v="2024-01-12T20:00:00"/>
        <d v="2024-01-12T22:00:00"/>
        <d v="2024-01-13T01:00:00"/>
        <d v="2024-01-13T02:00:00"/>
        <d v="2024-01-12T21:00:00"/>
        <d v="2024-01-13T03:00:00"/>
        <d v="2024-01-12T23:00:00"/>
        <d v="2024-01-13T11:00:00"/>
        <d v="2024-01-13T00:00:00"/>
        <d v="2024-01-13T07:00:00"/>
        <d v="2024-01-16T03:00:00"/>
        <d v="2024-01-13T08:00:00"/>
        <d v="2024-01-13T10:00:00"/>
        <d v="2024-01-14T16:00:00"/>
        <d v="2024-01-16T17:00:00"/>
        <d v="2024-01-14T10:00:00"/>
        <d v="2024-01-13T13:00:00"/>
        <d v="2024-01-16T18:00:00"/>
        <d v="2024-01-15T09:00:00"/>
        <d v="2024-01-13T15:00:00"/>
        <d v="2024-01-19T07:00:00"/>
        <d v="2024-01-13T14:00:00"/>
        <d v="2024-01-19T06:00:00"/>
        <d v="2024-01-13T18:00:00"/>
        <d v="2024-01-13T19:00:00"/>
        <d v="2024-01-13T22:00:00"/>
        <d v="2024-01-15T16:00:00"/>
        <d v="2024-01-13T17:00:00"/>
        <d v="2024-01-13T06:00:00"/>
        <d v="2024-01-15T20:00:00"/>
        <d v="2024-01-15T15:00:00"/>
        <d v="2024-01-14T19:00:00"/>
        <d v="2024-01-13T21:00:00"/>
        <d v="2024-01-16T19:00:00"/>
        <d v="2024-01-14T02:00:00"/>
        <d v="2024-01-16T20:00:00"/>
        <d v="2024-01-15T17:00:00"/>
        <d v="2024-01-13T16:00:00"/>
        <d v="2024-01-13T20:00:00"/>
        <d v="2024-01-14T06:00:00"/>
        <d v="2024-01-14T12:00:00"/>
        <d v="2024-01-17T09:00:00"/>
        <d v="2024-01-21T08:00:00"/>
        <d v="2024-01-22T12:00:00"/>
        <d v="2024-01-14T18:00:00"/>
        <d v="2024-01-16T00:00:00"/>
        <d v="2024-01-15T08:00:00"/>
        <d v="2024-01-14T20:00:00"/>
        <d v="2024-01-14T14:00:00"/>
        <d v="2024-01-15T00:00:00"/>
        <d v="2024-01-14T07:00:00"/>
        <d v="2024-01-14T08:00:00"/>
        <d v="2024-01-14T05:00:00"/>
        <d v="2024-01-15T19:00:00"/>
        <d v="2024-01-14T17:00:00"/>
        <d v="2024-01-16T13:00:00"/>
        <d v="2024-01-14T03:00:00"/>
        <d v="2024-01-16T09:00:00"/>
        <d v="2024-01-14T09:00:00"/>
        <d v="2024-01-14T15:00:00"/>
        <d v="2024-01-16T21:00:00"/>
        <d v="2024-01-14T11:00:00"/>
        <d v="2024-01-16T12:00:00"/>
        <d v="2024-01-14T22:00:00"/>
        <d v="2024-01-14T23:00:00"/>
        <d v="2024-01-17T07:00:00"/>
        <d v="2024-01-15T12:00:00"/>
        <d v="2024-01-17T11:00:00"/>
        <d v="2024-01-15T02:00:00"/>
        <d v="2024-01-16T16:00:00"/>
        <d v="2024-01-16T22:00:00"/>
        <d v="2024-01-15T10:00:00"/>
        <d v="2024-01-15T11:00:00"/>
        <d v="2024-01-14T13:00:00"/>
        <d v="2024-01-15T13:00:00"/>
        <d v="2024-01-15T07:00:00"/>
        <d v="2024-01-17T00:00:00"/>
        <d v="2024-01-15T04:00:00"/>
        <d v="2024-01-16T23:00:00"/>
        <d v="2024-01-18T12:00:00"/>
        <d v="2024-01-18T15:00:00"/>
        <d v="2024-01-14T21:00:00"/>
        <d v="2024-01-15T14:00:00"/>
        <d v="2024-01-17T01:00:00"/>
        <d v="2024-01-15T22:00:00"/>
        <d v="2024-01-24T07:00:00"/>
        <d v="2024-01-21T20:00:00"/>
        <d v="2024-01-24T00:00:00"/>
        <d v="2024-01-21T22:00:00"/>
        <d v="2024-01-21T19:00:00"/>
        <d v="2024-01-21T15:00:00"/>
        <d v="2024-01-23T22:00:00"/>
        <d v="2024-01-23T23:00:00"/>
        <d v="2024-01-17T13:00:00"/>
        <d v="2024-01-15T18:00:00"/>
        <d v="2024-01-17T14:00:00"/>
        <d v="2024-01-15T01:00:00"/>
        <d v="2024-01-15T06:00:00"/>
        <d v="2024-01-17T17:00:00"/>
        <d v="2024-01-17T05:00:00"/>
        <d v="2024-01-16T05:00:00"/>
        <d v="2024-01-18T01:00:00"/>
        <d v="2024-01-17T20:00:00"/>
        <d v="2024-01-18T03:00:00"/>
        <d v="2024-01-19T10:00:00"/>
        <d v="2024-01-18T13:00:00"/>
        <d v="2024-01-15T21:00:00"/>
        <d v="2024-01-19T09:00:00"/>
        <d v="2024-01-17T16:00:00"/>
        <d v="2024-01-16T06:00:00"/>
        <d v="2024-01-18T20:00:00"/>
        <d v="2024-01-16T10:00:00"/>
        <d v="2024-01-19T14:00:00"/>
        <d v="2024-01-18T21:00:00"/>
        <d v="2024-01-18T04:00:00"/>
        <d v="2024-01-20T08:00:00"/>
        <d v="2024-01-16T14:00:00"/>
        <d v="2024-01-16T01:00:00"/>
        <d v="2024-01-16T08:00:00"/>
        <d v="2024-01-16T02:00:00"/>
        <d v="2024-01-18T16:00:00"/>
        <d v="2024-01-19T11:00:00"/>
        <d v="2024-01-19T15:00:00"/>
        <d v="2024-01-19T04:00:00"/>
        <d v="2024-01-16T11:00:00"/>
        <d v="2024-01-18T10:00:00"/>
        <d v="2024-01-15T23:00:00"/>
        <d v="2024-01-17T15:00:00"/>
        <d v="2024-01-18T22:00:00"/>
        <d v="2024-01-16T07:00:00"/>
        <d v="2024-01-23T21:00:00"/>
        <d v="2024-01-23T01:00:00"/>
        <d v="2024-01-16T15:00:00"/>
        <d v="2024-01-17T12:00:00"/>
        <d v="2024-01-17T04:00:00"/>
        <d v="2024-01-18T23:00:00"/>
        <d v="2024-01-19T17:00:00"/>
        <d v="2024-01-19T18:00:00"/>
        <d v="2024-01-19T01:00:00"/>
        <d v="2024-01-19T13:00:00"/>
        <d v="2024-01-23T00:00:00"/>
        <d v="2024-01-18T05:00:00"/>
        <d v="2024-01-22T23:00:00"/>
        <d v="2024-01-17T08:00:00"/>
        <d v="2024-01-19T19:00:00"/>
        <d v="2024-01-17T03:00:00"/>
        <d v="2024-01-17T21:00:00"/>
        <d v="2024-01-17T18:00:00"/>
        <d v="2024-01-19T22:00:00"/>
        <d v="2024-01-20T03:00:00"/>
        <d v="2024-01-22T00:00:00"/>
        <d v="2024-01-17T06:00:00"/>
        <d v="2024-01-20T00:00:00"/>
        <d v="2024-01-18T00:00:00"/>
        <d v="2024-01-18T09:00:00"/>
        <d v="2024-01-19T12:00:00"/>
        <d v="2024-01-17T10:00:00"/>
        <d v="2024-01-18T18:00:00"/>
        <d v="2024-01-19T21:00:00"/>
        <d v="2024-01-21T05:00:00"/>
        <d v="2024-01-17T19:00:00"/>
        <d v="2024-01-18T11:00:00"/>
        <d v="2024-01-20T12:00:00"/>
        <d v="2024-01-19T08:00:00"/>
        <d v="2024-01-17T22:00:00"/>
        <d v="2024-01-20T16:00:00"/>
        <d v="2024-01-18T02:00:00"/>
        <d v="2024-01-18T07:00:00"/>
        <d v="2024-01-18T08:00:00"/>
        <d v="2024-01-19T23:00:00"/>
        <d v="2024-01-20T17:00:00"/>
        <d v="2024-01-18T14:00:00"/>
        <d v="2024-01-18T06:00:00"/>
        <d v="2024-01-18T19:00:00"/>
        <d v="2024-01-20T02:00:00"/>
        <d v="2024-01-20T04:00:00"/>
        <d v="2024-01-20T06:00:00"/>
        <d v="2024-01-25T07:00:00"/>
        <d v="2024-01-25T06:00:00"/>
        <d v="2024-01-25T08:00:00"/>
        <d v="2024-01-25T09:00:00"/>
        <d v="2024-01-25T04:00:00"/>
        <d v="2024-01-21T17:00:00"/>
        <d v="2024-01-26T14:00:00"/>
        <d v="2024-01-24T10:00:00"/>
        <d v="2024-01-18T17:00:00"/>
        <d v="2024-01-20T18:00:00"/>
        <d v="2024-01-20T21:00:00"/>
        <d v="2024-01-20T13:00:00"/>
        <d v="2024-01-20T11:00:00"/>
        <d v="2024-01-20T09:00:00"/>
        <d v="2024-01-21T10:00:00"/>
        <d v="2024-01-19T00:00:00"/>
        <d v="2024-01-19T02:00:00"/>
        <d v="2024-01-19T05:00:00"/>
        <d v="2024-01-20T05:00:00"/>
        <d v="2024-01-19T03:00:00"/>
        <d v="2024-01-21T09:00:00"/>
        <d v="2024-01-20T23:00:00"/>
        <d v="2024-01-20T07:00:00"/>
        <d v="2024-01-21T12:00:00"/>
        <d v="2024-01-24T01:00:00"/>
        <d v="2024-01-21T01:00:00"/>
        <d v="2024-01-20T15:00:00"/>
        <d v="2024-01-21T16:00:00"/>
        <d v="2024-01-20T10:00:00"/>
        <d v="2024-01-22T22:00:00"/>
        <d v="2024-01-21T13:00:00"/>
        <d v="2024-01-21T04:00:00"/>
        <d v="2024-01-24T03:00:00"/>
        <d v="2024-01-23T04:00:00"/>
        <d v="2024-01-19T16:00:00"/>
        <d v="2024-01-22T18:00:00"/>
        <d v="2024-01-20T19:00:00"/>
        <d v="2024-01-21T14:00:00"/>
        <d v="2024-01-19T20:00:00"/>
        <d v="2024-01-20T01:00:00"/>
        <d v="2024-01-23T07:00:00"/>
        <d v="2024-01-23T06:00:00"/>
        <d v="2024-01-20T14:00:00"/>
        <d v="2024-01-22T05:00:00"/>
        <d v="2024-01-22T13:00:00"/>
        <d v="2024-01-23T11:00:00"/>
        <d v="2024-01-23T13:00:00"/>
        <d v="2024-01-23T14:00:00"/>
        <d v="2024-01-22T02:00:00"/>
        <d v="2024-01-21T11:00:00"/>
        <d v="2024-01-22T06:00:00"/>
        <d v="2024-01-20T20:00:00"/>
        <d v="2024-01-21T00:00:00"/>
        <d v="2024-01-22T15:00:00"/>
        <d v="2024-01-21T03:00:00"/>
        <d v="2024-01-21T02:00:00"/>
        <d v="2024-01-21T18:00:00"/>
        <d v="2024-01-22T11:00:00"/>
        <d v="2024-01-21T06:00:00"/>
        <d v="2024-01-23T15:00:00"/>
        <d v="2024-01-24T09:00:00"/>
        <d v="2024-01-22T04:00:00"/>
        <d v="2024-01-21T07:00:00"/>
        <d v="2024-01-24T12:00:00"/>
        <d v="2024-01-22T21:00:00"/>
        <d v="2024-01-22T16:00:00"/>
        <d v="2024-01-21T21:00:00"/>
        <d v="2024-01-23T09:00:00"/>
        <d v="2024-01-22T01:00:00"/>
        <d v="2024-01-23T12:00:00"/>
        <d v="2024-01-23T08:00:00"/>
        <d v="2024-01-22T03:00:00"/>
        <d v="2024-01-23T20:00:00"/>
        <d v="2024-01-21T23:00:00"/>
        <d v="2024-01-22T10:00:00"/>
        <d v="2024-01-23T17:00:00"/>
        <d v="2024-01-22T07:00:00"/>
        <d v="2024-01-23T03:00:00"/>
        <d v="2024-01-23T18:00:00"/>
        <d v="2024-01-22T09:00:00"/>
        <d v="2024-01-25T14:00:00"/>
        <d v="2024-01-22T08:00:00"/>
        <d v="2024-01-22T20:00:00"/>
        <d v="2024-01-24T13:00:00"/>
        <d v="2024-01-24T19:00:00"/>
        <d v="2024-01-22T17:00:00"/>
        <d v="2024-01-22T19:00:00"/>
        <d v="2024-01-26T15:00:00"/>
        <d v="2024-01-24T16:00:00"/>
        <d v="2024-01-26T11:00:00"/>
        <d v="2024-01-25T00:00:00"/>
        <d v="2024-01-23T19:00:00"/>
        <d v="2024-01-23T16:00:00"/>
        <d v="2024-01-23T02:00:00"/>
        <d v="2024-01-23T10:00:00"/>
        <d v="2024-01-23T05:00:00"/>
        <d v="2024-01-24T22:00:00"/>
        <d v="2024-01-25T01:00:00"/>
        <d v="2024-01-24T17:00:00"/>
        <d v="2024-01-24T14:00:00"/>
        <d v="2024-01-24T02:00:00"/>
        <d v="2024-01-25T10:00:00"/>
        <d v="2024-01-25T20:00:00"/>
        <d v="2024-01-24T08:00:00"/>
        <d v="2024-01-25T02:00:00"/>
        <d v="2024-01-24T18:00:00"/>
        <d v="2024-01-24T20:00:00"/>
        <d v="2024-01-24T05:00:00"/>
        <d v="2024-01-24T04:00:00"/>
        <d v="2024-01-26T17:00:00"/>
        <d v="2024-01-24T21:00:00"/>
        <d v="2024-01-24T06:00:00"/>
        <d v="2024-01-25T11:00:00"/>
        <d v="2024-01-24T11:00:00"/>
        <d v="2024-01-27T15:00:00"/>
        <d v="2024-01-26T20:00:00"/>
        <d v="2024-01-26T03:00:00"/>
        <d v="2024-01-24T15:00:00"/>
        <d v="2024-01-26T09:00:00"/>
        <d v="2024-01-25T05:00:00"/>
        <d v="2024-01-27T09:00:00"/>
        <d v="2024-01-26T16:00:00"/>
        <d v="2024-01-27T00:00:00"/>
        <d v="2024-01-25T12:00:00"/>
        <d v="2024-01-26T22:00:00"/>
        <d v="2024-01-25T03:00:00"/>
        <d v="2024-01-27T11:00:00"/>
        <d v="2024-01-25T19:00:00"/>
        <d v="2024-01-26T18:00:00"/>
        <d v="2024-01-28T17:00:00"/>
        <d v="2024-01-25T15:00:00"/>
        <d v="2024-01-25T16:00:00"/>
        <d v="2024-01-27T01:00:00"/>
        <d v="2024-01-27T12:00:00"/>
        <d v="2024-01-25T21:00:00"/>
        <d v="2024-01-29T01:00:00"/>
        <d v="2024-01-26T10:00:00"/>
        <d v="2024-01-27T04:00:00"/>
        <d v="2024-01-25T17:00:00"/>
        <d v="2024-01-25T18:00:00"/>
        <d v="2024-01-26T06:00:00"/>
        <d v="2024-01-27T22:00:00"/>
        <d v="2024-01-27T13:00:00"/>
        <d v="2024-01-25T23:00:00"/>
        <d v="2024-01-26T05:00:00"/>
        <d v="2024-01-26T21:00:00"/>
        <d v="2024-01-27T05:00:00"/>
        <d v="2024-01-27T10:00:00"/>
        <d v="2024-01-27T08:00:00"/>
        <d v="2024-01-25T22:00:00"/>
        <d v="2024-01-26T01:00:00"/>
        <d v="2024-01-27T16:00:00"/>
        <d v="2024-01-26T04:00:00"/>
        <d v="2024-01-26T13:00:00"/>
        <d v="2024-01-26T12:00:00"/>
        <d v="2024-01-27T02:00:00"/>
        <d v="2024-01-26T19:00:00"/>
        <d v="2024-01-26T07:00:00"/>
        <d v="2024-01-26T08:00:00"/>
        <d v="2024-01-27T17:00:00"/>
        <d v="2024-01-28T11:00:00"/>
        <d v="2024-01-28T12:00:00"/>
        <d v="2024-01-27T21:00:00"/>
        <d v="2024-01-26T23:00:00"/>
        <d v="2024-01-27T03:00:00"/>
        <d v="2024-01-28T20:00:00"/>
        <d v="2024-01-27T07:00:00"/>
        <d v="2024-01-27T06:00:00"/>
        <d v="2024-01-28T00:00:00"/>
        <d v="2024-01-28T04:00:00"/>
        <d v="2024-01-27T14:00:00"/>
        <d v="2024-01-29T00:00:00"/>
        <d v="2024-01-27T18:00:00"/>
        <d v="2024-01-28T05:00:00"/>
        <d v="2024-01-28T07:00:00"/>
        <d v="2024-01-27T23:00:00"/>
        <d v="2024-01-29T16:00:00"/>
        <d v="2024-01-28T16:00:00"/>
        <d v="2024-01-27T19:00:00"/>
        <d v="2024-01-27T20:00:00"/>
        <d v="2024-01-28T01:00:00"/>
        <d v="2024-01-28T02:00:00"/>
        <d v="2024-01-28T14:00:00"/>
        <d v="2024-01-28T10:00:00"/>
        <d v="2024-01-28T13:00:00"/>
        <d v="2024-01-28T15:00:00"/>
        <d v="2024-01-28T18:00:00"/>
        <d v="2024-01-28T21:00:00"/>
        <d v="2024-01-28T23:00:00"/>
        <d v="2024-01-29T02:00:00"/>
        <d v="2024-01-29T04:00:00"/>
        <d v="2024-01-29T11:00:00"/>
        <d v="2024-01-29T08:00:00"/>
        <d v="2024-01-29T14:00:00"/>
        <d v="2024-01-29T22:00:00"/>
      </sharedItems>
      <fieldGroup par="18"/>
    </cacheField>
    <cacheField name="Promised" numFmtId="0">
      <sharedItems containsSemiMixedTypes="0" containsString="0" containsNumber="1" containsInteger="1" minValue="24" maxValue="288"/>
    </cacheField>
    <cacheField name="Arrived" numFmtId="22">
      <sharedItems containsSemiMixedTypes="0" containsNonDate="0" containsDate="1" containsString="0" minDate="2024-01-02T16:00:00" maxDate="2024-02-01T00:00:00" count="640">
        <d v="2024-01-04T00:00:00"/>
        <d v="2024-01-04T23:00:00"/>
        <d v="2024-01-05T01:00:00"/>
        <d v="2024-01-04T17:00:00"/>
        <d v="2024-01-04T01:00:00"/>
        <d v="2024-01-05T00:00:00"/>
        <d v="2024-01-05T04:00:00"/>
        <d v="2024-01-04T14:00:00"/>
        <d v="2024-01-04T07:00:00"/>
        <d v="2024-01-04T18:00:00"/>
        <d v="2024-01-04T19:00:00"/>
        <d v="2024-01-04T03:00:00"/>
        <d v="2024-01-04T02:00:00"/>
        <d v="2024-01-04T04:00:00"/>
        <d v="2024-01-04T20:00:00"/>
        <d v="2024-01-04T22:00:00"/>
        <d v="2024-01-04T16:00:00"/>
        <d v="2024-01-04T13:00:00"/>
        <d v="2024-01-04T11:00:00"/>
        <d v="2024-01-04T12:00:00"/>
        <d v="2024-01-04T10:00:00"/>
        <d v="2024-01-04T09:00:00"/>
        <d v="2024-01-04T08:00:00"/>
        <d v="2024-01-03T10:00:00"/>
        <d v="2024-01-03T12:00:00"/>
        <d v="2024-01-04T15:00:00"/>
        <d v="2024-01-04T05:00:00"/>
        <d v="2024-01-04T06:00:00"/>
        <d v="2024-01-06T15:00:00"/>
        <d v="2024-01-05T22:00:00"/>
        <d v="2024-01-06T09:00:00"/>
        <d v="2024-01-07T01:00:00"/>
        <d v="2024-01-06T16:00:00"/>
        <d v="2024-01-05T20:00:00"/>
        <d v="2024-01-06T03:00:00"/>
        <d v="2024-01-05T23:00:00"/>
        <d v="2024-01-06T05:00:00"/>
        <d v="2024-01-05T08:00:00"/>
        <d v="2024-01-06T02:00:00"/>
        <d v="2024-01-06T04:00:00"/>
        <d v="2024-01-05T12:00:00"/>
        <d v="2024-01-02T16:00:00"/>
        <d v="2024-01-05T03:00:00"/>
        <d v="2024-01-05T11:00:00"/>
        <d v="2024-01-04T21:00:00"/>
        <d v="2024-01-05T14:00:00"/>
        <d v="2024-01-02T17:00:00"/>
        <d v="2024-01-05T02:00:00"/>
        <d v="2024-01-05T16:00:00"/>
        <d v="2024-01-05T17:00:00"/>
        <d v="2024-01-05T05:00:00"/>
        <d v="2024-01-06T22:00:00"/>
        <d v="2024-01-07T06:00:00"/>
        <d v="2024-01-07T13:00:00"/>
        <d v="2024-01-06T12:00:00"/>
        <d v="2024-01-06T10:00:00"/>
        <d v="2024-01-06T21:00:00"/>
        <d v="2024-01-06T19:00:00"/>
        <d v="2024-01-06T20:00:00"/>
        <d v="2024-01-06T13:00:00"/>
        <d v="2024-01-07T05:00:00"/>
        <d v="2024-01-07T09:00:00"/>
        <d v="2024-01-05T06:00:00"/>
        <d v="2024-01-07T00:00:00"/>
        <d v="2024-01-06T18:00:00"/>
        <d v="2024-01-06T14:00:00"/>
        <d v="2024-01-06T07:00:00"/>
        <d v="2024-01-06T17:00:00"/>
        <d v="2024-01-05T07:00:00"/>
        <d v="2024-01-06T08:00:00"/>
        <d v="2024-01-03T13:00:00"/>
        <d v="2024-01-07T16:00:00"/>
        <d v="2024-01-07T18:00:00"/>
        <d v="2024-01-07T04:00:00"/>
        <d v="2024-01-07T12:00:00"/>
        <d v="2024-01-07T15:00:00"/>
        <d v="2024-01-08T00:00:00"/>
        <d v="2024-01-07T19:00:00"/>
        <d v="2024-01-08T03:00:00"/>
        <d v="2024-01-07T23:00:00"/>
        <d v="2024-01-07T17:00:00"/>
        <d v="2024-01-05T18:00:00"/>
        <d v="2024-01-13T17:00:00"/>
        <d v="2024-01-06T06:00:00"/>
        <d v="2024-01-13T18:00:00"/>
        <d v="2024-01-13T16:00:00"/>
        <d v="2024-01-06T23:00:00"/>
        <d v="2024-01-13T19:00:00"/>
        <d v="2024-01-06T11:00:00"/>
        <d v="2024-01-05T09:00:00"/>
        <d v="2024-01-07T10:00:00"/>
        <d v="2024-01-07T03:00:00"/>
        <d v="2024-01-07T02:00:00"/>
        <d v="2024-01-05T15:00:00"/>
        <d v="2024-01-07T08:00:00"/>
        <d v="2024-01-08T20:00:00"/>
        <d v="2024-01-09T00:00:00"/>
        <d v="2024-01-08T23:00:00"/>
        <d v="2024-01-08T04:00:00"/>
        <d v="2024-01-08T10:00:00"/>
        <d v="2024-01-08T01:00:00"/>
        <d v="2024-01-08T02:00:00"/>
        <d v="2024-01-08T14:00:00"/>
        <d v="2024-01-08T11:00:00"/>
        <d v="2024-01-08T13:00:00"/>
        <d v="2024-01-07T11:00:00"/>
        <d v="2024-01-05T21:00:00"/>
        <d v="2024-01-07T14:00:00"/>
        <d v="2024-01-07T07:00:00"/>
        <d v="2024-01-15T00:00:00"/>
        <d v="2024-01-07T21:00:00"/>
        <d v="2024-01-07T22:00:00"/>
        <d v="2024-01-08T05:00:00"/>
        <d v="2024-01-09T05:00:00"/>
        <d v="2024-01-09T01:00:00"/>
        <d v="2024-01-09T12:00:00"/>
        <d v="2024-01-09T21:00:00"/>
        <d v="2024-01-09T16:00:00"/>
        <d v="2024-01-09T04:00:00"/>
        <d v="2024-01-09T06:00:00"/>
        <d v="2024-01-09T17:00:00"/>
        <d v="2024-01-08T22:00:00"/>
        <d v="2024-01-08T06:00:00"/>
        <d v="2024-01-09T15:00:00"/>
        <d v="2024-01-09T14:00:00"/>
        <d v="2024-01-08T08:00:00"/>
        <d v="2024-01-08T09:00:00"/>
        <d v="2024-01-07T20:00:00"/>
        <d v="2024-01-10T01:00:00"/>
        <d v="2024-01-10T04:00:00"/>
        <d v="2024-01-09T07:00:00"/>
        <d v="2024-01-10T02:00:00"/>
        <d v="2024-01-09T23:00:00"/>
        <d v="2024-01-09T10:00:00"/>
        <d v="2024-01-09T18:00:00"/>
        <d v="2024-01-09T11:00:00"/>
        <d v="2024-01-09T22:00:00"/>
        <d v="2024-01-06T00:00:00"/>
        <d v="2024-01-08T18:00:00"/>
        <d v="2024-01-06T01:00:00"/>
        <d v="2024-01-08T17:00:00"/>
        <d v="2024-01-10T08:00:00"/>
        <d v="2024-01-09T19:00:00"/>
        <d v="2024-01-10T14:00:00"/>
        <d v="2024-01-10T07:00:00"/>
        <d v="2024-01-08T21:00:00"/>
        <d v="2024-01-10T10:00:00"/>
        <d v="2024-01-10T12:00:00"/>
        <d v="2024-01-08T12:00:00"/>
        <d v="2024-01-09T08:00:00"/>
        <d v="2024-01-08T15:00:00"/>
        <d v="2024-01-10T03:00:00"/>
        <d v="2024-01-10T05:00:00"/>
        <d v="2024-01-09T09:00:00"/>
        <d v="2024-01-11T01:00:00"/>
        <d v="2024-01-11T02:00:00"/>
        <d v="2024-01-10T22:00:00"/>
        <d v="2024-01-10T09:00:00"/>
        <d v="2024-01-08T19:00:00"/>
        <d v="2024-01-11T00:00:00"/>
        <d v="2024-01-08T16:00:00"/>
        <d v="2024-01-09T03:00:00"/>
        <d v="2024-01-10T00:00:00"/>
        <d v="2024-01-10T06:00:00"/>
        <d v="2024-01-10T16:00:00"/>
        <d v="2024-01-10T13:00:00"/>
        <d v="2024-01-10T18:00:00"/>
        <d v="2024-01-09T13:00:00"/>
        <d v="2024-01-09T20:00:00"/>
        <d v="2024-01-08T07:00:00"/>
        <d v="2024-01-11T16:00:00"/>
        <d v="2024-01-11T04:00:00"/>
        <d v="2024-01-11T10:00:00"/>
        <d v="2024-01-11T08:00:00"/>
        <d v="2024-01-11T21:00:00"/>
        <d v="2024-01-11T18:00:00"/>
        <d v="2024-01-11T19:00:00"/>
        <d v="2024-01-10T23:00:00"/>
        <d v="2024-01-17T11:00:00"/>
        <d v="2024-01-16T12:00:00"/>
        <d v="2024-01-17T15:00:00"/>
        <d v="2024-01-16T17:00:00"/>
        <d v="2024-01-10T17:00:00"/>
        <d v="2024-01-10T20:00:00"/>
        <d v="2024-01-10T15:00:00"/>
        <d v="2024-01-10T19:00:00"/>
        <d v="2024-01-11T03:00:00"/>
        <d v="2024-01-10T21:00:00"/>
        <d v="2024-01-10T11:00:00"/>
        <d v="2024-01-12T03:00:00"/>
        <d v="2024-01-12T09:00:00"/>
        <d v="2024-01-12T14:00:00"/>
        <d v="2024-01-12T05:00:00"/>
        <d v="2024-01-12T18:00:00"/>
        <d v="2024-01-12T10:00:00"/>
        <d v="2024-01-12T17:00:00"/>
        <d v="2024-01-12T04:00:00"/>
        <d v="2024-01-12T02:00:00"/>
        <d v="2024-01-12T01:00:00"/>
        <d v="2024-01-11T22:00:00"/>
        <d v="2024-01-11T05:00:00"/>
        <d v="2024-01-11T07:00:00"/>
        <d v="2024-01-11T06:00:00"/>
        <d v="2024-01-18T14:00:00"/>
        <d v="2024-01-11T14:00:00"/>
        <d v="2024-01-11T11:00:00"/>
        <d v="2024-01-13T01:00:00"/>
        <d v="2024-01-13T05:00:00"/>
        <d v="2024-01-12T21:00:00"/>
        <d v="2024-01-12T06:00:00"/>
        <d v="2024-01-12T12:00:00"/>
        <d v="2024-01-12T13:00:00"/>
        <d v="2024-01-12T08:00:00"/>
        <d v="2024-01-13T02:00:00"/>
        <d v="2024-01-12T23:00:00"/>
        <d v="2024-01-11T15:00:00"/>
        <d v="2024-01-11T09:00:00"/>
        <d v="2024-01-12T19:00:00"/>
        <d v="2024-01-11T20:00:00"/>
        <d v="2024-01-11T12:00:00"/>
        <d v="2024-01-13T20:00:00"/>
        <d v="2024-01-13T14:00:00"/>
        <d v="2024-01-12T20:00:00"/>
        <d v="2024-01-13T00:00:00"/>
        <d v="2024-01-13T03:00:00"/>
        <d v="2024-01-12T22:00:00"/>
        <d v="2024-01-13T06:00:00"/>
        <d v="2024-01-13T04:00:00"/>
        <d v="2024-01-13T13:00:00"/>
        <d v="2024-01-13T09:00:00"/>
        <d v="2024-01-11T23:00:00"/>
        <d v="2024-01-12T11:00:00"/>
        <d v="2024-01-11T17:00:00"/>
        <d v="2024-01-12T15:00:00"/>
        <d v="2024-01-13T12:00:00"/>
        <d v="2024-01-13T08:00:00"/>
        <d v="2024-01-14T07:00:00"/>
        <d v="2024-01-14T03:00:00"/>
        <d v="2024-01-14T01:00:00"/>
        <d v="2024-01-14T05:00:00"/>
        <d v="2024-01-13T22:00:00"/>
        <d v="2024-01-13T11:00:00"/>
        <d v="2024-01-13T15:00:00"/>
        <d v="2024-01-12T16:00:00"/>
        <d v="2024-01-11T13:00:00"/>
        <d v="2024-01-14T12:00:00"/>
        <d v="2024-01-14T04:00:00"/>
        <d v="2024-01-14T10:00:00"/>
        <d v="2024-01-14T16:00:00"/>
        <d v="2024-01-14T17:00:00"/>
        <d v="2024-01-14T21:00:00"/>
        <d v="2024-01-15T01:00:00"/>
        <d v="2024-01-15T02:00:00"/>
        <d v="2024-01-15T03:00:00"/>
        <d v="2024-01-15T10:00:00"/>
        <d v="2024-01-14T09:00:00"/>
        <d v="2024-01-14T02:00:00"/>
        <d v="2024-01-14T19:00:00"/>
        <d v="2024-01-14T11:00:00"/>
        <d v="2024-01-14T13:00:00"/>
        <d v="2024-01-13T21:00:00"/>
        <d v="2024-01-21T02:00:00"/>
        <d v="2024-01-14T00:00:00"/>
        <d v="2024-01-13T10:00:00"/>
        <d v="2024-01-13T07:00:00"/>
        <d v="2024-01-15T08:00:00"/>
        <d v="2024-01-15T05:00:00"/>
        <d v="2024-01-15T22:00:00"/>
        <d v="2024-01-15T21:00:00"/>
        <d v="2024-01-15T06:00:00"/>
        <d v="2024-01-15T18:00:00"/>
        <d v="2024-01-15T16:00:00"/>
        <d v="2024-01-15T12:00:00"/>
        <d v="2024-01-15T13:00:00"/>
        <d v="2024-01-16T01:00:00"/>
        <d v="2024-01-14T06:00:00"/>
        <d v="2024-01-14T08:00:00"/>
        <d v="2024-01-14T14:00:00"/>
        <d v="2024-01-14T23:00:00"/>
        <d v="2024-01-14T22:00:00"/>
        <d v="2024-01-16T16:00:00"/>
        <d v="2024-01-17T05:00:00"/>
        <d v="2024-01-16T21:00:00"/>
        <d v="2024-01-16T14:00:00"/>
        <d v="2024-01-16T07:00:00"/>
        <d v="2024-01-16T04:00:00"/>
        <d v="2024-01-16T06:00:00"/>
        <d v="2024-01-15T23:00:00"/>
        <d v="2024-01-16T00:00:00"/>
        <d v="2024-01-16T02:00:00"/>
        <d v="2024-01-15T04:00:00"/>
        <d v="2024-01-14T15:00:00"/>
        <d v="2024-01-15T11:00:00"/>
        <d v="2024-01-17T02:00:00"/>
        <d v="2024-01-17T07:00:00"/>
        <d v="2024-01-16T09:00:00"/>
        <d v="2024-01-17T03:00:00"/>
        <d v="2024-01-17T00:00:00"/>
        <d v="2024-01-16T15:00:00"/>
        <d v="2024-01-27T02:00:00"/>
        <d v="2024-01-16T22:00:00"/>
        <d v="2024-01-17T01:00:00"/>
        <d v="2024-01-15T09:00:00"/>
        <d v="2024-01-15T14:00:00"/>
        <d v="2024-01-13T23:00:00"/>
        <d v="2024-01-15T07:00:00"/>
        <d v="2024-01-15T17:00:00"/>
        <d v="2024-01-17T16:00:00"/>
        <d v="2024-01-17T08:00:00"/>
        <d v="2024-01-17T10:00:00"/>
        <d v="2024-01-17T06:00:00"/>
        <d v="2024-01-17T13:00:00"/>
        <d v="2024-01-15T20:00:00"/>
        <d v="2024-01-15T15:00:00"/>
        <d v="2024-01-25T14:00:00"/>
        <d v="2024-01-15T19:00:00"/>
        <d v="2024-01-16T03:00:00"/>
        <d v="2024-01-17T23:00:00"/>
        <d v="2024-01-16T08:00:00"/>
        <d v="2024-01-17T12:00:00"/>
        <d v="2024-01-17T14:00:00"/>
        <d v="2024-01-17T09:00:00"/>
        <d v="2024-01-17T21:00:00"/>
        <d v="2024-01-17T17:00:00"/>
        <d v="2024-01-16T10:00:00"/>
        <d v="2024-01-16T05:00:00"/>
        <d v="2024-01-16T11:00:00"/>
        <d v="2024-01-17T18:00:00"/>
        <d v="2024-01-16T13:00:00"/>
        <d v="2024-01-14T18:00:00"/>
        <d v="2024-01-24T07:00:00"/>
        <d v="2024-01-24T06:00:00"/>
        <d v="2024-01-16T18:00:00"/>
        <d v="2024-01-16T19:00:00"/>
        <d v="2024-01-16T20:00:00"/>
        <d v="2024-01-17T20:00:00"/>
        <d v="2024-01-18T07:00:00"/>
        <d v="2024-01-18T08:00:00"/>
        <d v="2024-01-18T17:00:00"/>
        <d v="2024-01-18T04:00:00"/>
        <d v="2024-01-17T22:00:00"/>
        <d v="2024-01-18T19:00:00"/>
        <d v="2024-01-19T00:00:00"/>
        <d v="2024-01-18T21:00:00"/>
        <d v="2024-01-18T18:00:00"/>
        <d v="2024-01-23T08:00:00"/>
        <d v="2024-01-24T12:00:00"/>
        <d v="2024-01-18T00:00:00"/>
        <d v="2024-01-17T19:00:00"/>
        <d v="2024-01-19T09:00:00"/>
        <d v="2024-01-19T10:00:00"/>
        <d v="2024-01-19T02:00:00"/>
        <d v="2024-01-19T11:00:00"/>
        <d v="2024-01-19T08:00:00"/>
        <d v="2024-01-19T03:00:00"/>
        <d v="2024-01-18T12:00:00"/>
        <d v="2024-01-18T23:00:00"/>
        <d v="2024-01-19T14:00:00"/>
        <d v="2024-01-19T17:00:00"/>
        <d v="2024-01-18T10:00:00"/>
        <d v="2024-01-18T11:00:00"/>
        <d v="2024-01-18T13:00:00"/>
        <d v="2024-01-20T01:00:00"/>
        <d v="2024-01-19T12:00:00"/>
        <d v="2024-01-19T06:00:00"/>
        <d v="2024-01-19T19:00:00"/>
        <d v="2024-01-19T13:00:00"/>
        <d v="2024-01-20T00:00:00"/>
        <d v="2024-01-19T22:00:00"/>
        <d v="2024-01-19T20:00:00"/>
        <d v="2024-01-19T23:00:00"/>
        <d v="2024-01-20T03:00:00"/>
        <d v="2024-01-18T01:00:00"/>
        <d v="2024-01-18T15:00:00"/>
        <d v="2024-01-26T07:00:00"/>
        <d v="2024-01-27T01:00:00"/>
        <d v="2024-01-26T00:00:00"/>
        <d v="2024-01-26T22:00:00"/>
        <d v="2024-01-26T19:00:00"/>
        <d v="2024-01-26T15:00:00"/>
        <d v="2024-01-25T22:00:00"/>
        <d v="2024-01-25T23:00:00"/>
        <d v="2024-01-18T09:00:00"/>
        <d v="2024-01-19T01:00:00"/>
        <d v="2024-01-18T06:00:00"/>
        <d v="2024-01-17T04:00:00"/>
        <d v="2024-01-20T05:00:00"/>
        <d v="2024-01-24T15:00:00"/>
        <d v="2024-01-20T02:00:00"/>
        <d v="2024-01-20T19:00:00"/>
        <d v="2024-01-21T03:00:00"/>
        <d v="2024-01-20T07:00:00"/>
        <d v="2024-01-19T15:00:00"/>
        <d v="2024-01-20T22:00:00"/>
        <d v="2024-01-20T17:00:00"/>
        <d v="2024-01-21T13:00:00"/>
        <d v="2024-01-19T05:00:00"/>
        <d v="2024-01-20T09:00:00"/>
        <d v="2024-01-18T16:00:00"/>
        <d v="2024-01-18T20:00:00"/>
        <d v="2024-01-20T14:00:00"/>
        <d v="2024-01-19T21:00:00"/>
        <d v="2024-01-21T21:00:00"/>
        <d v="2024-01-21T04:00:00"/>
        <d v="2024-01-20T10:00:00"/>
        <d v="2024-01-20T08:00:00"/>
        <d v="2024-01-20T15:00:00"/>
        <d v="2024-01-20T20:00:00"/>
        <d v="2024-01-20T21:00:00"/>
        <d v="2024-01-20T04:00:00"/>
        <d v="2024-01-20T23:00:00"/>
        <d v="2024-01-22T02:00:00"/>
        <d v="2024-01-20T16:00:00"/>
        <d v="2024-01-18T22:00:00"/>
        <d v="2024-01-21T10:00:00"/>
        <d v="2024-01-16T23:00:00"/>
        <d v="2024-01-19T18:00:00"/>
        <d v="2024-01-28T21:00:00"/>
        <d v="2024-01-28T01:00:00"/>
        <d v="2024-01-22T22:00:00"/>
        <d v="2024-01-20T13:00:00"/>
        <d v="2024-01-22T00:00:00"/>
        <d v="2024-01-21T08:00:00"/>
        <d v="2024-01-20T11:00:00"/>
        <d v="2024-01-20T12:00:00"/>
        <d v="2024-01-19T16:00:00"/>
        <d v="2024-01-18T05:00:00"/>
        <d v="2024-01-21T16:00:00"/>
        <d v="2024-01-21T23:00:00"/>
        <d v="2024-01-21T12:00:00"/>
        <d v="2024-01-21T17:00:00"/>
        <d v="2024-01-21T06:00:00"/>
        <d v="2024-01-22T07:00:00"/>
        <d v="2024-01-28T00:00:00"/>
        <d v="2024-01-28T05:00:00"/>
        <d v="2024-01-27T23:00:00"/>
        <d v="2024-01-22T17:00:00"/>
        <d v="2024-01-19T04:00:00"/>
        <d v="2024-01-18T03:00:00"/>
        <d v="2024-01-21T22:00:00"/>
        <d v="2024-01-23T03:00:00"/>
        <d v="2024-01-25T00:00:00"/>
        <d v="2024-01-21T00:00:00"/>
        <d v="2024-01-21T09:00:00"/>
        <d v="2024-01-21T01:00:00"/>
        <d v="2024-01-20T18:00:00"/>
        <d v="2024-01-21T07:00:00"/>
        <d v="2024-01-21T18:00:00"/>
        <d v="2024-01-22T13:00:00"/>
        <d v="2024-01-23T19:00:00"/>
        <d v="2024-01-21T11:00:00"/>
        <d v="2024-01-23T00:00:00"/>
        <d v="2024-01-22T04:00:00"/>
        <d v="2024-01-21T05:00:00"/>
        <d v="2024-01-22T06:00:00"/>
        <d v="2024-01-22T08:00:00"/>
        <d v="2024-01-22T15:00:00"/>
        <d v="2024-01-22T19:00:00"/>
        <d v="2024-01-21T14:00:00"/>
        <d v="2024-01-23T17:00:00"/>
        <d v="2024-01-20T06:00:00"/>
        <d v="2024-01-23T07:00:00"/>
        <d v="2024-01-22T20:00:00"/>
        <d v="2024-01-23T02:00:00"/>
        <d v="2024-01-23T01:00:00"/>
        <d v="2024-01-24T16:00:00"/>
        <d v="2024-01-23T06:00:00"/>
        <d v="2024-01-23T16:00:00"/>
        <d v="2024-01-23T12:00:00"/>
        <d v="2024-01-29T14:00:00"/>
        <d v="2024-01-30T12:00:00"/>
        <d v="2024-01-30T06:00:00"/>
        <d v="2024-01-28T13:00:00"/>
        <d v="2024-01-30T07:00:00"/>
        <d v="2024-01-28T12:00:00"/>
        <d v="2024-01-30T08:00:00"/>
        <d v="2024-01-30T09:00:00"/>
        <d v="2024-01-30T04:00:00"/>
        <d v="2024-01-29T13:00:00"/>
        <d v="2024-01-22T09:00:00"/>
        <d v="2024-01-24T17:00:00"/>
        <d v="2024-01-27T14:00:00"/>
        <d v="2024-01-21T15:00:00"/>
        <d v="2024-01-21T19:00:00"/>
        <d v="2024-01-27T10:00:00"/>
        <d v="2024-01-24T01:00:00"/>
        <d v="2024-01-24T00:00:00"/>
        <d v="2024-01-23T11:00:00"/>
        <d v="2024-01-21T20:00:00"/>
        <d v="2024-01-23T10:00:00"/>
        <d v="2024-01-23T09:00:00"/>
        <d v="2024-01-23T18:00:00"/>
        <d v="2024-01-23T21:00:00"/>
        <d v="2024-01-22T11:00:00"/>
        <d v="2024-01-23T13:00:00"/>
        <d v="2024-01-25T01:00:00"/>
        <d v="2024-01-24T23:00:00"/>
        <d v="2024-01-22T03:00:00"/>
        <d v="2024-01-24T10:00:00"/>
        <d v="2024-01-22T12:00:00"/>
        <d v="2024-01-22T14:00:00"/>
        <d v="2024-01-24T20:00:00"/>
        <d v="2024-01-22T05:00:00"/>
        <d v="2024-01-22T16:00:00"/>
        <d v="2024-01-24T11:00:00"/>
        <d v="2024-01-23T22:00:00"/>
        <d v="2024-01-24T08:00:00"/>
        <d v="2024-01-25T11:00:00"/>
        <d v="2024-01-23T14:00:00"/>
        <d v="2024-01-22T10:00:00"/>
        <d v="2024-01-22T23:00:00"/>
        <d v="2024-01-22T21:00:00"/>
        <d v="2024-01-24T03:00:00"/>
        <d v="2024-01-24T22:00:00"/>
        <d v="2024-01-24T02:00:00"/>
        <d v="2024-01-26T01:00:00"/>
        <d v="2024-01-24T04:00:00"/>
        <d v="2024-01-24T05:00:00"/>
        <d v="2024-01-24T09:00:00"/>
        <d v="2024-01-25T15:00:00"/>
        <d v="2024-01-25T18:00:00"/>
        <d v="2024-01-23T05:00:00"/>
        <d v="2024-01-25T03:00:00"/>
        <d v="2024-01-23T04:00:00"/>
        <d v="2024-01-24T18:00:00"/>
        <d v="2024-01-25T13:00:00"/>
        <d v="2024-01-25T07:00:00"/>
        <d v="2024-01-25T02:00:00"/>
        <d v="2024-01-24T13:00:00"/>
        <d v="2024-01-26T14:00:00"/>
        <d v="2024-01-25T20:00:00"/>
        <d v="2024-01-30T13:00:00"/>
        <d v="2024-01-30T11:00:00"/>
        <d v="2024-01-30T23:00:00"/>
        <d v="2024-01-23T20:00:00"/>
        <d v="2024-01-24T19:00:00"/>
        <d v="2024-01-25T06:00:00"/>
        <d v="2024-01-22T18:00:00"/>
        <d v="2024-01-26T10:00:00"/>
        <d v="2024-01-25T21:00:00"/>
        <d v="2024-01-26T16:00:00"/>
        <d v="2024-01-26T05:00:00"/>
        <d v="2024-01-26T02:00:00"/>
        <d v="2024-01-26T11:00:00"/>
        <d v="2024-01-24T14:00:00"/>
        <d v="2024-01-27T12:00:00"/>
        <d v="2024-01-25T09:00:00"/>
        <d v="2024-01-25T12:00:00"/>
        <d v="2024-01-23T15:00:00"/>
        <d v="2024-01-26T04:00:00"/>
        <d v="2024-01-26T13:00:00"/>
        <d v="2024-01-26T12:00:00"/>
        <d v="2024-01-26T09:00:00"/>
        <d v="2024-01-26T08:00:00"/>
        <d v="2024-01-26T03:00:00"/>
        <d v="2024-01-23T23:00:00"/>
        <d v="2024-01-25T10:00:00"/>
        <d v="2024-01-25T17:00:00"/>
        <d v="2024-01-25T16:00:00"/>
        <d v="2024-01-25T04:00:00"/>
        <d v="2024-01-25T05:00:00"/>
        <d v="2024-01-27T07:00:00"/>
        <d v="2024-01-28T14:00:00"/>
        <d v="2024-01-27T15:00:00"/>
        <d v="2024-01-27T09:00:00"/>
        <d v="2024-01-26T23:00:00"/>
        <d v="2024-01-28T08:00:00"/>
        <d v="2024-01-27T08:00:00"/>
        <d v="2024-01-27T19:00:00"/>
        <d v="2024-01-27T11:00:00"/>
        <d v="2024-01-27T06:00:00"/>
        <d v="2024-01-25T08:00:00"/>
        <d v="2024-01-26T20:00:00"/>
        <d v="2024-01-28T09:00:00"/>
        <d v="2024-01-27T13:00:00"/>
        <d v="2024-01-28T03:00:00"/>
        <d v="2024-01-27T16:00:00"/>
        <d v="2024-01-27T20:00:00"/>
        <d v="2024-01-26T21:00:00"/>
        <d v="2024-01-26T18:00:00"/>
        <d v="2024-01-26T06:00:00"/>
        <d v="2024-01-27T22:00:00"/>
        <d v="2024-01-26T17:00:00"/>
        <d v="2024-01-28T10:00:00"/>
        <d v="2024-01-28T04:00:00"/>
        <d v="2024-01-29T02:00:00"/>
        <d v="2024-01-28T07:00:00"/>
        <d v="2024-01-28T11:00:00"/>
        <d v="2024-01-28T20:00:00"/>
        <d v="2024-01-28T02:00:00"/>
        <d v="2024-01-27T00:00:00"/>
        <d v="2024-01-27T18:00:00"/>
        <d v="2024-01-27T04:00:00"/>
        <d v="2024-01-27T17:00:00"/>
        <d v="2024-01-29T17:00:00"/>
        <d v="2024-01-27T21:00:00"/>
        <d v="2024-01-29T15:00:00"/>
        <d v="2024-01-29T07:00:00"/>
        <d v="2024-01-29T09:00:00"/>
        <d v="2024-01-29T00:00:00"/>
        <d v="2024-01-29T16:00:00"/>
        <d v="2024-01-27T03:00:00"/>
        <d v="2024-01-29T11:00:00"/>
        <d v="2024-01-28T19:00:00"/>
        <d v="2024-01-28T18:00:00"/>
        <d v="2024-01-30T17:00:00"/>
        <d v="2024-01-30T15:00:00"/>
        <d v="2024-01-30T16:00:00"/>
        <d v="2024-01-30T01:00:00"/>
        <d v="2024-01-29T23:00:00"/>
        <d v="2024-01-30T00:00:00"/>
        <d v="2024-01-29T20:00:00"/>
        <d v="2024-01-29T22:00:00"/>
        <d v="2024-01-29T21:00:00"/>
        <d v="2024-01-30T22:00:00"/>
        <d v="2024-01-29T04:00:00"/>
        <d v="2024-01-28T17:00:00"/>
        <d v="2024-01-28T15:00:00"/>
        <d v="2024-01-28T16:00:00"/>
        <d v="2024-01-29T01:00:00"/>
        <d v="2024-01-29T06:00:00"/>
        <d v="2024-01-29T12:00:00"/>
        <d v="2024-01-29T18:00:00"/>
        <d v="2024-01-29T05:00:00"/>
        <d v="2024-01-30T10:00:00"/>
        <d v="2024-01-29T08:00:00"/>
        <d v="2024-01-28T23:00:00"/>
        <d v="2024-01-29T10:00:00"/>
        <d v="2024-01-29T03:00:00"/>
        <d v="2024-01-31T00:00:00"/>
        <d v="2024-01-30T02:00:00"/>
        <d v="2024-01-30T21:00:00"/>
        <d v="2024-01-30T18:00:00"/>
        <d v="2024-01-30T20:00:00"/>
        <d v="2024-01-30T03:00:00"/>
        <d v="2024-01-30T05:00:00"/>
        <d v="2024-01-30T14:00:00"/>
        <d v="2024-01-28T22:00:00"/>
        <d v="2024-01-30T19:00:00"/>
        <d v="2024-01-29T19:00:00"/>
      </sharedItems>
      <fieldGroup par="20"/>
    </cacheField>
    <cacheField name="Date " numFmtId="14">
      <sharedItems containsSemiMixedTypes="0" containsNonDate="0" containsDate="1" containsString="0" minDate="2024-01-01T00:00:00" maxDate="2024-01-30T00:00:00" count="29"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</sharedItems>
    </cacheField>
    <cacheField name="Date2" numFmtId="14">
      <sharedItems containsSemiMixedTypes="0" containsNonDate="0" containsDate="1" containsString="0" minDate="2024-01-01T00:00:00" maxDate="2024-01-30T00:00:00"/>
    </cacheField>
    <cacheField name="Time" numFmtId="164">
      <sharedItems containsSemiMixedTypes="0" containsNonDate="0" containsDate="1" containsString="0" minDate="1899-12-30T00:00:00" maxDate="1899-12-31T00:00:00"/>
    </cacheField>
    <cacheField name="Company2" numFmtId="0">
      <sharedItems containsSemiMixedTypes="0" containsDate="1" containsString="0" containsMixedTypes="1" minDate="1899-12-31T04:01:03" maxDate="1899-12-31T00:49:04"/>
    </cacheField>
    <cacheField name="Delay" numFmtId="0">
      <sharedItems containsSemiMixedTypes="0" containsString="0" containsNumber="1" minValue="0" maxValue="26.000000000058208"/>
    </cacheField>
    <cacheField name="Avg Price" numFmtId="0" formula="IFERROR(Value/Pcs, NA())" databaseField="0"/>
    <cacheField name="Hours (Delivery)" numFmtId="0" databaseField="0">
      <fieldGroup base="8">
        <rangePr groupBy="hours" startDate="2024-01-01T00:00:00" endDate="2024-01-29T22:00:00"/>
        <groupItems count="26">
          <s v="&lt;1.1.2024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29.1.2024"/>
        </groupItems>
      </fieldGroup>
    </cacheField>
    <cacheField name="Days (Delivery)" numFmtId="0" databaseField="0">
      <fieldGroup base="8">
        <rangePr groupBy="days" startDate="2024-01-01T00:00:00" endDate="2024-01-29T22:00:00"/>
        <groupItems count="368">
          <s v="&lt;1.1.2024"/>
          <s v="1.tammi"/>
          <s v="2.tammi"/>
          <s v="3.tammi"/>
          <s v="4.tammi"/>
          <s v="5.tammi"/>
          <s v="6.tammi"/>
          <s v="7.tammi"/>
          <s v="8.tammi"/>
          <s v="9.tammi"/>
          <s v="10.tammi"/>
          <s v="11.tammi"/>
          <s v="12.tammi"/>
          <s v="13.tammi"/>
          <s v="14.tammi"/>
          <s v="15.tammi"/>
          <s v="16.tammi"/>
          <s v="17.tammi"/>
          <s v="18.tammi"/>
          <s v="19.tammi"/>
          <s v="20.tammi"/>
          <s v="21.tammi"/>
          <s v="22.tammi"/>
          <s v="23.tammi"/>
          <s v="24.tammi"/>
          <s v="25.tammi"/>
          <s v="26.tammi"/>
          <s v="27.tammi"/>
          <s v="28.tammi"/>
          <s v="29.tammi"/>
          <s v="30.tammi"/>
          <s v="31.tammi"/>
          <s v="1.helmi"/>
          <s v="2.helmi"/>
          <s v="3.helmi"/>
          <s v="4.helmi"/>
          <s v="5.helmi"/>
          <s v="6.helmi"/>
          <s v="7.helmi"/>
          <s v="8.helmi"/>
          <s v="9.helmi"/>
          <s v="10.helmi"/>
          <s v="11.helmi"/>
          <s v="12.helmi"/>
          <s v="13.helmi"/>
          <s v="14.helmi"/>
          <s v="15.helmi"/>
          <s v="16.helmi"/>
          <s v="17.helmi"/>
          <s v="18.helmi"/>
          <s v="19.helmi"/>
          <s v="20.helmi"/>
          <s v="21.helmi"/>
          <s v="22.helmi"/>
          <s v="23.helmi"/>
          <s v="24.helmi"/>
          <s v="25.helmi"/>
          <s v="26.helmi"/>
          <s v="27.helmi"/>
          <s v="28.helmi"/>
          <s v="29.helmi"/>
          <s v="1.maalis"/>
          <s v="2.maalis"/>
          <s v="3.maalis"/>
          <s v="4.maalis"/>
          <s v="5.maalis"/>
          <s v="6.maalis"/>
          <s v="7.maalis"/>
          <s v="8.maalis"/>
          <s v="9.maalis"/>
          <s v="10.maalis"/>
          <s v="11.maalis"/>
          <s v="12.maalis"/>
          <s v="13.maalis"/>
          <s v="14.maalis"/>
          <s v="15.maalis"/>
          <s v="16.maalis"/>
          <s v="17.maalis"/>
          <s v="18.maalis"/>
          <s v="19.maalis"/>
          <s v="20.maalis"/>
          <s v="21.maalis"/>
          <s v="22.maalis"/>
          <s v="23.maalis"/>
          <s v="24.maalis"/>
          <s v="25.maalis"/>
          <s v="26.maalis"/>
          <s v="27.maalis"/>
          <s v="28.maalis"/>
          <s v="29.maalis"/>
          <s v="30.maalis"/>
          <s v="31.maalis"/>
          <s v="1.huhti"/>
          <s v="2.huhti"/>
          <s v="3.huhti"/>
          <s v="4.huhti"/>
          <s v="5.huhti"/>
          <s v="6.huhti"/>
          <s v="7.huhti"/>
          <s v="8.huhti"/>
          <s v="9.huhti"/>
          <s v="10.huhti"/>
          <s v="11.huhti"/>
          <s v="12.huhti"/>
          <s v="13.huhti"/>
          <s v="14.huhti"/>
          <s v="15.huhti"/>
          <s v="16.huhti"/>
          <s v="17.huhti"/>
          <s v="18.huhti"/>
          <s v="19.huhti"/>
          <s v="20.huhti"/>
          <s v="21.huhti"/>
          <s v="22.huhti"/>
          <s v="23.huhti"/>
          <s v="24.huhti"/>
          <s v="25.huhti"/>
          <s v="26.huhti"/>
          <s v="27.huhti"/>
          <s v="28.huhti"/>
          <s v="29.huhti"/>
          <s v="30.huhti"/>
          <s v="1.touko"/>
          <s v="2.touko"/>
          <s v="3.touko"/>
          <s v="4.touko"/>
          <s v="5.touko"/>
          <s v="6.touko"/>
          <s v="7.touko"/>
          <s v="8.touko"/>
          <s v="9.touko"/>
          <s v="10.touko"/>
          <s v="11.touko"/>
          <s v="12.touko"/>
          <s v="13.touko"/>
          <s v="14.touko"/>
          <s v="15.touko"/>
          <s v="16.touko"/>
          <s v="17.touko"/>
          <s v="18.touko"/>
          <s v="19.touko"/>
          <s v="20.touko"/>
          <s v="21.touko"/>
          <s v="22.touko"/>
          <s v="23.touko"/>
          <s v="24.touko"/>
          <s v="25.touko"/>
          <s v="26.touko"/>
          <s v="27.touko"/>
          <s v="28.touko"/>
          <s v="29.touko"/>
          <s v="30.touko"/>
          <s v="31.touko"/>
          <s v="1.kesä"/>
          <s v="2.kesä"/>
          <s v="3.kesä"/>
          <s v="4.kesä"/>
          <s v="5.kesä"/>
          <s v="6.kesä"/>
          <s v="7.kesä"/>
          <s v="8.kesä"/>
          <s v="9.kesä"/>
          <s v="10.kesä"/>
          <s v="11.kesä"/>
          <s v="12.kesä"/>
          <s v="13.kesä"/>
          <s v="14.kesä"/>
          <s v="15.kesä"/>
          <s v="16.kesä"/>
          <s v="17.kesä"/>
          <s v="18.kesä"/>
          <s v="19.kesä"/>
          <s v="20.kesä"/>
          <s v="21.kesä"/>
          <s v="22.kesä"/>
          <s v="23.kesä"/>
          <s v="24.kesä"/>
          <s v="25.kesä"/>
          <s v="26.kesä"/>
          <s v="27.kesä"/>
          <s v="28.kesä"/>
          <s v="29.kesä"/>
          <s v="30.kesä"/>
          <s v="1.heinä"/>
          <s v="2.heinä"/>
          <s v="3.heinä"/>
          <s v="4.heinä"/>
          <s v="5.heinä"/>
          <s v="6.heinä"/>
          <s v="7.heinä"/>
          <s v="8.heinä"/>
          <s v="9.heinä"/>
          <s v="10.heinä"/>
          <s v="11.heinä"/>
          <s v="12.heinä"/>
          <s v="13.heinä"/>
          <s v="14.heinä"/>
          <s v="15.heinä"/>
          <s v="16.heinä"/>
          <s v="17.heinä"/>
          <s v="18.heinä"/>
          <s v="19.heinä"/>
          <s v="20.heinä"/>
          <s v="21.heinä"/>
          <s v="22.heinä"/>
          <s v="23.heinä"/>
          <s v="24.heinä"/>
          <s v="25.heinä"/>
          <s v="26.heinä"/>
          <s v="27.heinä"/>
          <s v="28.heinä"/>
          <s v="29.heinä"/>
          <s v="30.heinä"/>
          <s v="31.heinä"/>
          <s v="1.elo"/>
          <s v="2.elo"/>
          <s v="3.elo"/>
          <s v="4.elo"/>
          <s v="5.elo"/>
          <s v="6.elo"/>
          <s v="7.elo"/>
          <s v="8.elo"/>
          <s v="9.elo"/>
          <s v="10.elo"/>
          <s v="11.elo"/>
          <s v="12.elo"/>
          <s v="13.elo"/>
          <s v="14.elo"/>
          <s v="15.elo"/>
          <s v="16.elo"/>
          <s v="17.elo"/>
          <s v="18.elo"/>
          <s v="19.elo"/>
          <s v="20.elo"/>
          <s v="21.elo"/>
          <s v="22.elo"/>
          <s v="23.elo"/>
          <s v="24.elo"/>
          <s v="25.elo"/>
          <s v="26.elo"/>
          <s v="27.elo"/>
          <s v="28.elo"/>
          <s v="29.elo"/>
          <s v="30.elo"/>
          <s v="31.elo"/>
          <s v="1.syys"/>
          <s v="2.syys"/>
          <s v="3.syys"/>
          <s v="4.syys"/>
          <s v="5.syys"/>
          <s v="6.syys"/>
          <s v="7.syys"/>
          <s v="8.syys"/>
          <s v="9.syys"/>
          <s v="10.syys"/>
          <s v="11.syys"/>
          <s v="12.syys"/>
          <s v="13.syys"/>
          <s v="14.syys"/>
          <s v="15.syys"/>
          <s v="16.syys"/>
          <s v="17.syys"/>
          <s v="18.syys"/>
          <s v="19.syys"/>
          <s v="20.syys"/>
          <s v="21.syys"/>
          <s v="22.syys"/>
          <s v="23.syys"/>
          <s v="24.syys"/>
          <s v="25.syys"/>
          <s v="26.syys"/>
          <s v="27.syys"/>
          <s v="28.syys"/>
          <s v="29.syys"/>
          <s v="30.syys"/>
          <s v="1.loka"/>
          <s v="2.loka"/>
          <s v="3.loka"/>
          <s v="4.loka"/>
          <s v="5.loka"/>
          <s v="6.loka"/>
          <s v="7.loka"/>
          <s v="8.loka"/>
          <s v="9.loka"/>
          <s v="10.loka"/>
          <s v="11.loka"/>
          <s v="12.loka"/>
          <s v="13.loka"/>
          <s v="14.loka"/>
          <s v="15.loka"/>
          <s v="16.loka"/>
          <s v="17.loka"/>
          <s v="18.loka"/>
          <s v="19.loka"/>
          <s v="20.loka"/>
          <s v="21.loka"/>
          <s v="22.loka"/>
          <s v="23.loka"/>
          <s v="24.loka"/>
          <s v="25.loka"/>
          <s v="26.loka"/>
          <s v="27.loka"/>
          <s v="28.loka"/>
          <s v="29.loka"/>
          <s v="30.loka"/>
          <s v="31.loka"/>
          <s v="1.marras"/>
          <s v="2.marras"/>
          <s v="3.marras"/>
          <s v="4.marras"/>
          <s v="5.marras"/>
          <s v="6.marras"/>
          <s v="7.marras"/>
          <s v="8.marras"/>
          <s v="9.marras"/>
          <s v="10.marras"/>
          <s v="11.marras"/>
          <s v="12.marras"/>
          <s v="13.marras"/>
          <s v="14.marras"/>
          <s v="15.marras"/>
          <s v="16.marras"/>
          <s v="17.marras"/>
          <s v="18.marras"/>
          <s v="19.marras"/>
          <s v="20.marras"/>
          <s v="21.marras"/>
          <s v="22.marras"/>
          <s v="23.marras"/>
          <s v="24.marras"/>
          <s v="25.marras"/>
          <s v="26.marras"/>
          <s v="27.marras"/>
          <s v="28.marras"/>
          <s v="29.marras"/>
          <s v="30.marras"/>
          <s v="1.joulu"/>
          <s v="2.joulu"/>
          <s v="3.joulu"/>
          <s v="4.joulu"/>
          <s v="5.joulu"/>
          <s v="6.joulu"/>
          <s v="7.joulu"/>
          <s v="8.joulu"/>
          <s v="9.joulu"/>
          <s v="10.joulu"/>
          <s v="11.joulu"/>
          <s v="12.joulu"/>
          <s v="13.joulu"/>
          <s v="14.joulu"/>
          <s v="15.joulu"/>
          <s v="16.joulu"/>
          <s v="17.joulu"/>
          <s v="18.joulu"/>
          <s v="19.joulu"/>
          <s v="20.joulu"/>
          <s v="21.joulu"/>
          <s v="22.joulu"/>
          <s v="23.joulu"/>
          <s v="24.joulu"/>
          <s v="25.joulu"/>
          <s v="26.joulu"/>
          <s v="27.joulu"/>
          <s v="28.joulu"/>
          <s v="29.joulu"/>
          <s v="30.joulu"/>
          <s v="31.joulu"/>
          <s v="&gt;29.1.2024"/>
        </groupItems>
      </fieldGroup>
    </cacheField>
    <cacheField name="Hours (Arrived)" numFmtId="0" databaseField="0">
      <fieldGroup base="10">
        <rangePr groupBy="hours" startDate="2024-01-02T16:00:00" endDate="2024-02-01T00:00:00"/>
        <groupItems count="26">
          <s v="&lt;2.1.2024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1.2.2024"/>
        </groupItems>
      </fieldGroup>
    </cacheField>
    <cacheField name="Days (Arrived)" numFmtId="0" databaseField="0">
      <fieldGroup base="10">
        <rangePr groupBy="days" startDate="2024-01-02T16:00:00" endDate="2024-02-01T00:00:00"/>
        <groupItems count="368">
          <s v="&lt;2.1.2024"/>
          <s v="1.tammi"/>
          <s v="2.tammi"/>
          <s v="3.tammi"/>
          <s v="4.tammi"/>
          <s v="5.tammi"/>
          <s v="6.tammi"/>
          <s v="7.tammi"/>
          <s v="8.tammi"/>
          <s v="9.tammi"/>
          <s v="10.tammi"/>
          <s v="11.tammi"/>
          <s v="12.tammi"/>
          <s v="13.tammi"/>
          <s v="14.tammi"/>
          <s v="15.tammi"/>
          <s v="16.tammi"/>
          <s v="17.tammi"/>
          <s v="18.tammi"/>
          <s v="19.tammi"/>
          <s v="20.tammi"/>
          <s v="21.tammi"/>
          <s v="22.tammi"/>
          <s v="23.tammi"/>
          <s v="24.tammi"/>
          <s v="25.tammi"/>
          <s v="26.tammi"/>
          <s v="27.tammi"/>
          <s v="28.tammi"/>
          <s v="29.tammi"/>
          <s v="30.tammi"/>
          <s v="31.tammi"/>
          <s v="1.helmi"/>
          <s v="2.helmi"/>
          <s v="3.helmi"/>
          <s v="4.helmi"/>
          <s v="5.helmi"/>
          <s v="6.helmi"/>
          <s v="7.helmi"/>
          <s v="8.helmi"/>
          <s v="9.helmi"/>
          <s v="10.helmi"/>
          <s v="11.helmi"/>
          <s v="12.helmi"/>
          <s v="13.helmi"/>
          <s v="14.helmi"/>
          <s v="15.helmi"/>
          <s v="16.helmi"/>
          <s v="17.helmi"/>
          <s v="18.helmi"/>
          <s v="19.helmi"/>
          <s v="20.helmi"/>
          <s v="21.helmi"/>
          <s v="22.helmi"/>
          <s v="23.helmi"/>
          <s v="24.helmi"/>
          <s v="25.helmi"/>
          <s v="26.helmi"/>
          <s v="27.helmi"/>
          <s v="28.helmi"/>
          <s v="29.helmi"/>
          <s v="1.maalis"/>
          <s v="2.maalis"/>
          <s v="3.maalis"/>
          <s v="4.maalis"/>
          <s v="5.maalis"/>
          <s v="6.maalis"/>
          <s v="7.maalis"/>
          <s v="8.maalis"/>
          <s v="9.maalis"/>
          <s v="10.maalis"/>
          <s v="11.maalis"/>
          <s v="12.maalis"/>
          <s v="13.maalis"/>
          <s v="14.maalis"/>
          <s v="15.maalis"/>
          <s v="16.maalis"/>
          <s v="17.maalis"/>
          <s v="18.maalis"/>
          <s v="19.maalis"/>
          <s v="20.maalis"/>
          <s v="21.maalis"/>
          <s v="22.maalis"/>
          <s v="23.maalis"/>
          <s v="24.maalis"/>
          <s v="25.maalis"/>
          <s v="26.maalis"/>
          <s v="27.maalis"/>
          <s v="28.maalis"/>
          <s v="29.maalis"/>
          <s v="30.maalis"/>
          <s v="31.maalis"/>
          <s v="1.huhti"/>
          <s v="2.huhti"/>
          <s v="3.huhti"/>
          <s v="4.huhti"/>
          <s v="5.huhti"/>
          <s v="6.huhti"/>
          <s v="7.huhti"/>
          <s v="8.huhti"/>
          <s v="9.huhti"/>
          <s v="10.huhti"/>
          <s v="11.huhti"/>
          <s v="12.huhti"/>
          <s v="13.huhti"/>
          <s v="14.huhti"/>
          <s v="15.huhti"/>
          <s v="16.huhti"/>
          <s v="17.huhti"/>
          <s v="18.huhti"/>
          <s v="19.huhti"/>
          <s v="20.huhti"/>
          <s v="21.huhti"/>
          <s v="22.huhti"/>
          <s v="23.huhti"/>
          <s v="24.huhti"/>
          <s v="25.huhti"/>
          <s v="26.huhti"/>
          <s v="27.huhti"/>
          <s v="28.huhti"/>
          <s v="29.huhti"/>
          <s v="30.huhti"/>
          <s v="1.touko"/>
          <s v="2.touko"/>
          <s v="3.touko"/>
          <s v="4.touko"/>
          <s v="5.touko"/>
          <s v="6.touko"/>
          <s v="7.touko"/>
          <s v="8.touko"/>
          <s v="9.touko"/>
          <s v="10.touko"/>
          <s v="11.touko"/>
          <s v="12.touko"/>
          <s v="13.touko"/>
          <s v="14.touko"/>
          <s v="15.touko"/>
          <s v="16.touko"/>
          <s v="17.touko"/>
          <s v="18.touko"/>
          <s v="19.touko"/>
          <s v="20.touko"/>
          <s v="21.touko"/>
          <s v="22.touko"/>
          <s v="23.touko"/>
          <s v="24.touko"/>
          <s v="25.touko"/>
          <s v="26.touko"/>
          <s v="27.touko"/>
          <s v="28.touko"/>
          <s v="29.touko"/>
          <s v="30.touko"/>
          <s v="31.touko"/>
          <s v="1.kesä"/>
          <s v="2.kesä"/>
          <s v="3.kesä"/>
          <s v="4.kesä"/>
          <s v="5.kesä"/>
          <s v="6.kesä"/>
          <s v="7.kesä"/>
          <s v="8.kesä"/>
          <s v="9.kesä"/>
          <s v="10.kesä"/>
          <s v="11.kesä"/>
          <s v="12.kesä"/>
          <s v="13.kesä"/>
          <s v="14.kesä"/>
          <s v="15.kesä"/>
          <s v="16.kesä"/>
          <s v="17.kesä"/>
          <s v="18.kesä"/>
          <s v="19.kesä"/>
          <s v="20.kesä"/>
          <s v="21.kesä"/>
          <s v="22.kesä"/>
          <s v="23.kesä"/>
          <s v="24.kesä"/>
          <s v="25.kesä"/>
          <s v="26.kesä"/>
          <s v="27.kesä"/>
          <s v="28.kesä"/>
          <s v="29.kesä"/>
          <s v="30.kesä"/>
          <s v="1.heinä"/>
          <s v="2.heinä"/>
          <s v="3.heinä"/>
          <s v="4.heinä"/>
          <s v="5.heinä"/>
          <s v="6.heinä"/>
          <s v="7.heinä"/>
          <s v="8.heinä"/>
          <s v="9.heinä"/>
          <s v="10.heinä"/>
          <s v="11.heinä"/>
          <s v="12.heinä"/>
          <s v="13.heinä"/>
          <s v="14.heinä"/>
          <s v="15.heinä"/>
          <s v="16.heinä"/>
          <s v="17.heinä"/>
          <s v="18.heinä"/>
          <s v="19.heinä"/>
          <s v="20.heinä"/>
          <s v="21.heinä"/>
          <s v="22.heinä"/>
          <s v="23.heinä"/>
          <s v="24.heinä"/>
          <s v="25.heinä"/>
          <s v="26.heinä"/>
          <s v="27.heinä"/>
          <s v="28.heinä"/>
          <s v="29.heinä"/>
          <s v="30.heinä"/>
          <s v="31.heinä"/>
          <s v="1.elo"/>
          <s v="2.elo"/>
          <s v="3.elo"/>
          <s v="4.elo"/>
          <s v="5.elo"/>
          <s v="6.elo"/>
          <s v="7.elo"/>
          <s v="8.elo"/>
          <s v="9.elo"/>
          <s v="10.elo"/>
          <s v="11.elo"/>
          <s v="12.elo"/>
          <s v="13.elo"/>
          <s v="14.elo"/>
          <s v="15.elo"/>
          <s v="16.elo"/>
          <s v="17.elo"/>
          <s v="18.elo"/>
          <s v="19.elo"/>
          <s v="20.elo"/>
          <s v="21.elo"/>
          <s v="22.elo"/>
          <s v="23.elo"/>
          <s v="24.elo"/>
          <s v="25.elo"/>
          <s v="26.elo"/>
          <s v="27.elo"/>
          <s v="28.elo"/>
          <s v="29.elo"/>
          <s v="30.elo"/>
          <s v="31.elo"/>
          <s v="1.syys"/>
          <s v="2.syys"/>
          <s v="3.syys"/>
          <s v="4.syys"/>
          <s v="5.syys"/>
          <s v="6.syys"/>
          <s v="7.syys"/>
          <s v="8.syys"/>
          <s v="9.syys"/>
          <s v="10.syys"/>
          <s v="11.syys"/>
          <s v="12.syys"/>
          <s v="13.syys"/>
          <s v="14.syys"/>
          <s v="15.syys"/>
          <s v="16.syys"/>
          <s v="17.syys"/>
          <s v="18.syys"/>
          <s v="19.syys"/>
          <s v="20.syys"/>
          <s v="21.syys"/>
          <s v="22.syys"/>
          <s v="23.syys"/>
          <s v="24.syys"/>
          <s v="25.syys"/>
          <s v="26.syys"/>
          <s v="27.syys"/>
          <s v="28.syys"/>
          <s v="29.syys"/>
          <s v="30.syys"/>
          <s v="1.loka"/>
          <s v="2.loka"/>
          <s v="3.loka"/>
          <s v="4.loka"/>
          <s v="5.loka"/>
          <s v="6.loka"/>
          <s v="7.loka"/>
          <s v="8.loka"/>
          <s v="9.loka"/>
          <s v="10.loka"/>
          <s v="11.loka"/>
          <s v="12.loka"/>
          <s v="13.loka"/>
          <s v="14.loka"/>
          <s v="15.loka"/>
          <s v="16.loka"/>
          <s v="17.loka"/>
          <s v="18.loka"/>
          <s v="19.loka"/>
          <s v="20.loka"/>
          <s v="21.loka"/>
          <s v="22.loka"/>
          <s v="23.loka"/>
          <s v="24.loka"/>
          <s v="25.loka"/>
          <s v="26.loka"/>
          <s v="27.loka"/>
          <s v="28.loka"/>
          <s v="29.loka"/>
          <s v="30.loka"/>
          <s v="31.loka"/>
          <s v="1.marras"/>
          <s v="2.marras"/>
          <s v="3.marras"/>
          <s v="4.marras"/>
          <s v="5.marras"/>
          <s v="6.marras"/>
          <s v="7.marras"/>
          <s v="8.marras"/>
          <s v="9.marras"/>
          <s v="10.marras"/>
          <s v="11.marras"/>
          <s v="12.marras"/>
          <s v="13.marras"/>
          <s v="14.marras"/>
          <s v="15.marras"/>
          <s v="16.marras"/>
          <s v="17.marras"/>
          <s v="18.marras"/>
          <s v="19.marras"/>
          <s v="20.marras"/>
          <s v="21.marras"/>
          <s v="22.marras"/>
          <s v="23.marras"/>
          <s v="24.marras"/>
          <s v="25.marras"/>
          <s v="26.marras"/>
          <s v="27.marras"/>
          <s v="28.marras"/>
          <s v="29.marras"/>
          <s v="30.marras"/>
          <s v="1.joulu"/>
          <s v="2.joulu"/>
          <s v="3.joulu"/>
          <s v="4.joulu"/>
          <s v="5.joulu"/>
          <s v="6.joulu"/>
          <s v="7.joulu"/>
          <s v="8.joulu"/>
          <s v="9.joulu"/>
          <s v="10.joulu"/>
          <s v="11.joulu"/>
          <s v="12.joulu"/>
          <s v="13.joulu"/>
          <s v="14.joulu"/>
          <s v="15.joulu"/>
          <s v="16.joulu"/>
          <s v="17.joulu"/>
          <s v="18.joulu"/>
          <s v="19.joulu"/>
          <s v="20.joulu"/>
          <s v="21.joulu"/>
          <s v="22.joulu"/>
          <s v="23.joulu"/>
          <s v="24.joulu"/>
          <s v="25.joulu"/>
          <s v="26.joulu"/>
          <s v="27.joulu"/>
          <s v="28.joulu"/>
          <s v="29.joulu"/>
          <s v="30.joulu"/>
          <s v="31.joulu"/>
          <s v="&gt;1.2.2024"/>
        </groupItems>
      </fieldGroup>
    </cacheField>
    <cacheField name="Min Promised" numFmtId="0" formula="TEXT(ROUNDDOWN(Promised/24,0), &quot;0&quot;&quot;d&quot;&quot; &quot;)" databaseField="0"/>
  </cacheFields>
  <extLst>
    <ext xmlns:x14="http://schemas.microsoft.com/office/spreadsheetml/2009/9/main" uri="{725AE2AE-9491-48be-B2B4-4EB974FC3084}">
      <x14:pivotCacheDefinition pivotCacheId="3154596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36">
  <r>
    <d v="2024-01-01T00:00:00"/>
    <x v="0"/>
    <x v="0"/>
    <n v="9"/>
    <x v="0"/>
    <n v="1800"/>
    <n v="105"/>
    <n v="189000"/>
    <x v="0"/>
    <n v="72"/>
    <x v="0"/>
    <x v="0"/>
    <d v="2024-01-01T00:00:00"/>
    <d v="1899-12-30T00:00:00"/>
    <n v="4"/>
    <n v="0"/>
  </r>
  <r>
    <d v="2024-01-01T01:00:00"/>
    <x v="1"/>
    <x v="1"/>
    <n v="1002"/>
    <x v="1"/>
    <n v="26"/>
    <n v="3750"/>
    <n v="97500"/>
    <x v="1"/>
    <n v="96"/>
    <x v="1"/>
    <x v="0"/>
    <d v="2024-01-01T00:00:00"/>
    <d v="1899-12-30T01:00:00"/>
    <n v="13"/>
    <n v="0"/>
  </r>
  <r>
    <d v="2024-01-01T01:00:00"/>
    <x v="1"/>
    <x v="2"/>
    <n v="1005"/>
    <x v="1"/>
    <n v="30"/>
    <n v="3750"/>
    <n v="112500"/>
    <x v="2"/>
    <n v="96"/>
    <x v="2"/>
    <x v="0"/>
    <d v="2024-01-01T00:00:00"/>
    <d v="1899-12-30T01:00:00"/>
    <n v="9"/>
    <n v="0"/>
  </r>
  <r>
    <d v="2024-01-01T01:00:00"/>
    <x v="1"/>
    <x v="2"/>
    <n v="1002"/>
    <x v="1"/>
    <n v="26"/>
    <n v="3750"/>
    <n v="97500"/>
    <x v="2"/>
    <n v="96"/>
    <x v="2"/>
    <x v="0"/>
    <d v="2024-01-01T00:00:00"/>
    <d v="1899-12-30T01:00:00"/>
    <n v="9"/>
    <n v="0"/>
  </r>
  <r>
    <d v="2024-01-01T01:00:00"/>
    <x v="1"/>
    <x v="3"/>
    <n v="1006"/>
    <x v="2"/>
    <n v="8"/>
    <n v="6650"/>
    <n v="53200"/>
    <x v="3"/>
    <n v="96"/>
    <x v="3"/>
    <x v="0"/>
    <d v="2024-01-01T00:00:00"/>
    <d v="1899-12-30T01:00:00"/>
    <n v="11"/>
    <n v="0"/>
  </r>
  <r>
    <d v="2024-01-01T01:00:00"/>
    <x v="1"/>
    <x v="4"/>
    <n v="1001"/>
    <x v="1"/>
    <n v="30"/>
    <n v="3750"/>
    <n v="112500"/>
    <x v="4"/>
    <n v="96"/>
    <x v="4"/>
    <x v="0"/>
    <d v="2024-01-01T00:00:00"/>
    <d v="1899-12-30T01:00:00"/>
    <n v="10"/>
    <n v="0"/>
  </r>
  <r>
    <d v="2024-01-01T01:00:00"/>
    <x v="1"/>
    <x v="5"/>
    <n v="1002"/>
    <x v="1"/>
    <n v="26"/>
    <n v="3750"/>
    <n v="97500"/>
    <x v="1"/>
    <n v="96"/>
    <x v="1"/>
    <x v="0"/>
    <d v="2024-01-01T00:00:00"/>
    <d v="1899-12-30T01:00:00"/>
    <n v="8"/>
    <n v="0"/>
  </r>
  <r>
    <d v="2024-01-01T01:00:00"/>
    <x v="1"/>
    <x v="2"/>
    <n v="1006"/>
    <x v="1"/>
    <n v="30"/>
    <n v="3750"/>
    <n v="112500"/>
    <x v="5"/>
    <n v="96"/>
    <x v="5"/>
    <x v="0"/>
    <d v="2024-01-01T00:00:00"/>
    <d v="1899-12-30T01:00:00"/>
    <n v="9"/>
    <n v="0"/>
  </r>
  <r>
    <d v="2024-01-01T01:00:00"/>
    <x v="1"/>
    <x v="2"/>
    <n v="1005"/>
    <x v="2"/>
    <n v="7"/>
    <n v="6650"/>
    <n v="46550"/>
    <x v="2"/>
    <n v="96"/>
    <x v="2"/>
    <x v="0"/>
    <d v="2024-01-01T00:00:00"/>
    <d v="1899-12-30T01:00:00"/>
    <n v="9"/>
    <n v="0"/>
  </r>
  <r>
    <d v="2024-01-01T01:00:00"/>
    <x v="1"/>
    <x v="2"/>
    <n v="1004"/>
    <x v="2"/>
    <n v="5"/>
    <n v="6650"/>
    <n v="33250"/>
    <x v="2"/>
    <n v="96"/>
    <x v="2"/>
    <x v="0"/>
    <d v="2024-01-01T00:00:00"/>
    <d v="1899-12-30T01:00:00"/>
    <n v="9"/>
    <n v="0"/>
  </r>
  <r>
    <d v="2024-01-01T01:00:00"/>
    <x v="1"/>
    <x v="2"/>
    <n v="1004"/>
    <x v="1"/>
    <n v="30"/>
    <n v="3750"/>
    <n v="112500"/>
    <x v="2"/>
    <n v="96"/>
    <x v="6"/>
    <x v="0"/>
    <d v="2024-01-01T00:00:00"/>
    <d v="1899-12-30T01:00:00"/>
    <n v="9"/>
    <n v="0"/>
  </r>
  <r>
    <d v="2024-01-01T01:00:00"/>
    <x v="1"/>
    <x v="6"/>
    <n v="1002"/>
    <x v="1"/>
    <n v="26"/>
    <n v="3750"/>
    <n v="97500"/>
    <x v="6"/>
    <n v="96"/>
    <x v="7"/>
    <x v="0"/>
    <d v="2024-01-01T00:00:00"/>
    <d v="1899-12-30T01:00:00"/>
    <n v="15"/>
    <n v="0"/>
  </r>
  <r>
    <d v="2024-01-01T01:00:00"/>
    <x v="1"/>
    <x v="7"/>
    <n v="1001"/>
    <x v="2"/>
    <n v="3"/>
    <n v="6650"/>
    <n v="19950"/>
    <x v="7"/>
    <n v="96"/>
    <x v="8"/>
    <x v="0"/>
    <d v="2024-01-01T00:00:00"/>
    <d v="1899-12-30T01:00:00"/>
    <n v="12"/>
    <n v="0"/>
  </r>
  <r>
    <d v="2024-01-01T01:00:00"/>
    <x v="1"/>
    <x v="8"/>
    <n v="1005"/>
    <x v="1"/>
    <n v="30"/>
    <n v="3750"/>
    <n v="112500"/>
    <x v="8"/>
    <n v="96"/>
    <x v="9"/>
    <x v="0"/>
    <d v="2024-01-01T00:00:00"/>
    <d v="1899-12-30T01:00:00"/>
    <n v="7"/>
    <n v="0"/>
  </r>
  <r>
    <d v="2024-01-01T01:00:00"/>
    <x v="1"/>
    <x v="3"/>
    <n v="1005"/>
    <x v="2"/>
    <n v="7"/>
    <n v="6650"/>
    <n v="46550"/>
    <x v="8"/>
    <n v="96"/>
    <x v="9"/>
    <x v="0"/>
    <d v="2024-01-01T00:00:00"/>
    <d v="1899-12-30T01:00:00"/>
    <n v="11"/>
    <n v="0"/>
  </r>
  <r>
    <d v="2024-01-01T01:00:00"/>
    <x v="1"/>
    <x v="8"/>
    <n v="1004"/>
    <x v="2"/>
    <n v="5"/>
    <n v="6650"/>
    <n v="33250"/>
    <x v="8"/>
    <n v="96"/>
    <x v="9"/>
    <x v="0"/>
    <d v="2024-01-01T00:00:00"/>
    <d v="1899-12-30T01:00:00"/>
    <n v="7"/>
    <n v="0"/>
  </r>
  <r>
    <d v="2024-01-01T01:00:00"/>
    <x v="1"/>
    <x v="8"/>
    <n v="1004"/>
    <x v="1"/>
    <n v="30"/>
    <n v="3750"/>
    <n v="112500"/>
    <x v="9"/>
    <n v="96"/>
    <x v="10"/>
    <x v="0"/>
    <d v="2024-01-01T00:00:00"/>
    <d v="1899-12-30T01:00:00"/>
    <n v="7"/>
    <n v="0"/>
  </r>
  <r>
    <d v="2024-01-01T01:00:00"/>
    <x v="1"/>
    <x v="7"/>
    <n v="1005"/>
    <x v="2"/>
    <n v="7"/>
    <n v="6650"/>
    <n v="46550"/>
    <x v="10"/>
    <n v="96"/>
    <x v="8"/>
    <x v="0"/>
    <d v="2024-01-01T00:00:00"/>
    <d v="1899-12-30T01:00:00"/>
    <n v="12"/>
    <n v="0"/>
  </r>
  <r>
    <d v="2024-01-01T01:00:00"/>
    <x v="1"/>
    <x v="9"/>
    <n v="1001"/>
    <x v="1"/>
    <n v="30"/>
    <n v="3750"/>
    <n v="112500"/>
    <x v="10"/>
    <n v="96"/>
    <x v="8"/>
    <x v="0"/>
    <d v="2024-01-01T00:00:00"/>
    <d v="1899-12-30T01:00:00"/>
    <n v="14"/>
    <n v="0"/>
  </r>
  <r>
    <d v="2024-01-01T01:00:00"/>
    <x v="1"/>
    <x v="7"/>
    <n v="1004"/>
    <x v="1"/>
    <n v="30"/>
    <n v="3750"/>
    <n v="112500"/>
    <x v="10"/>
    <n v="96"/>
    <x v="8"/>
    <x v="0"/>
    <d v="2024-01-01T00:00:00"/>
    <d v="1899-12-30T01:00:00"/>
    <n v="12"/>
    <n v="0"/>
  </r>
  <r>
    <d v="2024-01-01T01:00:00"/>
    <x v="1"/>
    <x v="10"/>
    <n v="1001"/>
    <x v="2"/>
    <n v="3"/>
    <n v="6650"/>
    <n v="19950"/>
    <x v="10"/>
    <n v="96"/>
    <x v="8"/>
    <x v="0"/>
    <d v="2024-01-01T00:00:00"/>
    <d v="1899-12-30T01:00:00"/>
    <n v="16"/>
    <n v="0"/>
  </r>
  <r>
    <d v="2024-01-01T01:00:00"/>
    <x v="1"/>
    <x v="10"/>
    <n v="1005"/>
    <x v="2"/>
    <n v="7"/>
    <n v="6650"/>
    <n v="46550"/>
    <x v="11"/>
    <n v="96"/>
    <x v="11"/>
    <x v="0"/>
    <d v="2024-01-01T00:00:00"/>
    <d v="1899-12-30T01:00:00"/>
    <n v="16"/>
    <n v="0"/>
  </r>
  <r>
    <d v="2024-01-01T01:00:00"/>
    <x v="1"/>
    <x v="4"/>
    <n v="1004"/>
    <x v="2"/>
    <n v="5"/>
    <n v="6650"/>
    <n v="33250"/>
    <x v="12"/>
    <n v="96"/>
    <x v="12"/>
    <x v="0"/>
    <d v="2024-01-01T00:00:00"/>
    <d v="1899-12-30T01:00:00"/>
    <n v="10"/>
    <n v="0"/>
  </r>
  <r>
    <d v="2024-01-01T01:00:00"/>
    <x v="1"/>
    <x v="4"/>
    <n v="1005"/>
    <x v="1"/>
    <n v="30"/>
    <n v="3750"/>
    <n v="112500"/>
    <x v="12"/>
    <n v="96"/>
    <x v="12"/>
    <x v="0"/>
    <d v="2024-01-01T00:00:00"/>
    <d v="1899-12-30T01:00:00"/>
    <n v="10"/>
    <n v="0"/>
  </r>
  <r>
    <d v="2024-01-01T01:00:00"/>
    <x v="1"/>
    <x v="4"/>
    <n v="1006"/>
    <x v="1"/>
    <n v="30"/>
    <n v="3750"/>
    <n v="112500"/>
    <x v="12"/>
    <n v="96"/>
    <x v="12"/>
    <x v="0"/>
    <d v="2024-01-01T00:00:00"/>
    <d v="1899-12-30T01:00:00"/>
    <n v="10"/>
    <n v="0"/>
  </r>
  <r>
    <d v="2024-01-01T01:00:00"/>
    <x v="1"/>
    <x v="1"/>
    <n v="1006"/>
    <x v="2"/>
    <n v="8"/>
    <n v="6650"/>
    <n v="53200"/>
    <x v="12"/>
    <n v="96"/>
    <x v="13"/>
    <x v="0"/>
    <d v="2024-01-01T00:00:00"/>
    <d v="1899-12-30T01:00:00"/>
    <n v="13"/>
    <n v="0"/>
  </r>
  <r>
    <d v="2024-01-01T01:00:00"/>
    <x v="1"/>
    <x v="1"/>
    <n v="1001"/>
    <x v="1"/>
    <n v="30"/>
    <n v="3750"/>
    <n v="112500"/>
    <x v="4"/>
    <n v="96"/>
    <x v="4"/>
    <x v="0"/>
    <d v="2024-01-01T00:00:00"/>
    <d v="1899-12-30T01:00:00"/>
    <n v="13"/>
    <n v="0"/>
  </r>
  <r>
    <d v="2024-01-01T01:00:00"/>
    <x v="1"/>
    <x v="8"/>
    <n v="1002"/>
    <x v="2"/>
    <n v="4"/>
    <n v="6650"/>
    <n v="26600"/>
    <x v="9"/>
    <n v="96"/>
    <x v="10"/>
    <x v="0"/>
    <d v="2024-01-01T00:00:00"/>
    <d v="1899-12-30T01:00:00"/>
    <n v="7"/>
    <n v="0"/>
  </r>
  <r>
    <d v="2024-01-01T01:00:00"/>
    <x v="1"/>
    <x v="5"/>
    <n v="1006"/>
    <x v="2"/>
    <n v="8"/>
    <n v="6650"/>
    <n v="53200"/>
    <x v="13"/>
    <n v="96"/>
    <x v="14"/>
    <x v="0"/>
    <d v="2024-01-01T00:00:00"/>
    <d v="1899-12-30T01:00:00"/>
    <n v="8"/>
    <n v="0"/>
  </r>
  <r>
    <d v="2024-01-01T01:00:00"/>
    <x v="1"/>
    <x v="3"/>
    <n v="1002"/>
    <x v="2"/>
    <n v="4"/>
    <n v="6650"/>
    <n v="26600"/>
    <x v="13"/>
    <n v="96"/>
    <x v="14"/>
    <x v="0"/>
    <d v="2024-01-01T00:00:00"/>
    <d v="1899-12-30T01:00:00"/>
    <n v="11"/>
    <n v="0"/>
  </r>
  <r>
    <d v="2024-01-01T01:00:00"/>
    <x v="1"/>
    <x v="3"/>
    <n v="1001"/>
    <x v="2"/>
    <n v="3"/>
    <n v="6650"/>
    <n v="19950"/>
    <x v="13"/>
    <n v="96"/>
    <x v="14"/>
    <x v="0"/>
    <d v="2024-01-01T00:00:00"/>
    <d v="1899-12-30T01:00:00"/>
    <n v="11"/>
    <n v="0"/>
  </r>
  <r>
    <d v="2024-01-01T01:00:00"/>
    <x v="1"/>
    <x v="1"/>
    <n v="1004"/>
    <x v="2"/>
    <n v="5"/>
    <n v="6650"/>
    <n v="33250"/>
    <x v="14"/>
    <n v="96"/>
    <x v="15"/>
    <x v="0"/>
    <d v="2024-01-01T00:00:00"/>
    <d v="1899-12-30T01:00:00"/>
    <n v="13"/>
    <n v="0"/>
  </r>
  <r>
    <d v="2024-01-01T01:00:00"/>
    <x v="1"/>
    <x v="1"/>
    <n v="1004"/>
    <x v="1"/>
    <n v="30"/>
    <n v="3750"/>
    <n v="112500"/>
    <x v="14"/>
    <n v="96"/>
    <x v="15"/>
    <x v="0"/>
    <d v="2024-01-01T00:00:00"/>
    <d v="1899-12-30T01:00:00"/>
    <n v="13"/>
    <n v="0"/>
  </r>
  <r>
    <d v="2024-01-01T01:00:00"/>
    <x v="1"/>
    <x v="1"/>
    <n v="1002"/>
    <x v="2"/>
    <n v="4"/>
    <n v="6650"/>
    <n v="26600"/>
    <x v="1"/>
    <n v="96"/>
    <x v="2"/>
    <x v="0"/>
    <d v="2024-01-01T00:00:00"/>
    <d v="1899-12-30T01:00:00"/>
    <n v="13"/>
    <n v="0"/>
  </r>
  <r>
    <d v="2024-01-01T01:00:00"/>
    <x v="1"/>
    <x v="5"/>
    <n v="1005"/>
    <x v="1"/>
    <n v="30"/>
    <n v="3750"/>
    <n v="112500"/>
    <x v="1"/>
    <n v="96"/>
    <x v="1"/>
    <x v="0"/>
    <d v="2024-01-01T00:00:00"/>
    <d v="1899-12-30T01:00:00"/>
    <n v="8"/>
    <n v="0"/>
  </r>
  <r>
    <d v="2024-01-01T01:00:00"/>
    <x v="1"/>
    <x v="5"/>
    <n v="1003"/>
    <x v="1"/>
    <n v="30"/>
    <n v="3750"/>
    <n v="112500"/>
    <x v="1"/>
    <n v="96"/>
    <x v="1"/>
    <x v="0"/>
    <d v="2024-01-01T00:00:00"/>
    <d v="1899-12-30T01:00:00"/>
    <n v="8"/>
    <n v="0"/>
  </r>
  <r>
    <d v="2024-01-01T01:00:00"/>
    <x v="1"/>
    <x v="2"/>
    <n v="1001"/>
    <x v="1"/>
    <n v="30"/>
    <n v="3750"/>
    <n v="112500"/>
    <x v="5"/>
    <n v="96"/>
    <x v="5"/>
    <x v="0"/>
    <d v="2024-01-01T00:00:00"/>
    <d v="1899-12-30T01:00:00"/>
    <n v="9"/>
    <n v="0"/>
  </r>
  <r>
    <d v="2024-01-01T01:00:00"/>
    <x v="1"/>
    <x v="2"/>
    <n v="1006"/>
    <x v="2"/>
    <n v="8"/>
    <n v="6650"/>
    <n v="53200"/>
    <x v="5"/>
    <n v="96"/>
    <x v="5"/>
    <x v="0"/>
    <d v="2024-01-01T00:00:00"/>
    <d v="1899-12-30T01:00:00"/>
    <n v="9"/>
    <n v="0"/>
  </r>
  <r>
    <d v="2024-01-01T01:00:00"/>
    <x v="1"/>
    <x v="7"/>
    <n v="1002"/>
    <x v="2"/>
    <n v="4"/>
    <n v="6650"/>
    <n v="26600"/>
    <x v="7"/>
    <n v="96"/>
    <x v="8"/>
    <x v="0"/>
    <d v="2024-01-01T00:00:00"/>
    <d v="1899-12-30T01:00:00"/>
    <n v="12"/>
    <n v="0"/>
  </r>
  <r>
    <d v="2024-01-01T01:00:00"/>
    <x v="1"/>
    <x v="2"/>
    <n v="1002"/>
    <x v="2"/>
    <n v="4"/>
    <n v="6650"/>
    <n v="26600"/>
    <x v="2"/>
    <n v="96"/>
    <x v="2"/>
    <x v="0"/>
    <d v="2024-01-01T00:00:00"/>
    <d v="1899-12-30T01:00:00"/>
    <n v="9"/>
    <n v="0"/>
  </r>
  <r>
    <d v="2024-01-01T01:00:00"/>
    <x v="1"/>
    <x v="2"/>
    <n v="1001"/>
    <x v="2"/>
    <n v="3"/>
    <n v="6650"/>
    <n v="19950"/>
    <x v="2"/>
    <n v="96"/>
    <x v="2"/>
    <x v="0"/>
    <d v="2024-01-01T00:00:00"/>
    <d v="1899-12-30T01:00:00"/>
    <n v="9"/>
    <n v="0"/>
  </r>
  <r>
    <d v="2024-01-01T01:00:00"/>
    <x v="1"/>
    <x v="8"/>
    <n v="1002"/>
    <x v="1"/>
    <n v="26"/>
    <n v="3750"/>
    <n v="97500"/>
    <x v="9"/>
    <n v="96"/>
    <x v="10"/>
    <x v="0"/>
    <d v="2024-01-01T00:00:00"/>
    <d v="1899-12-30T01:00:00"/>
    <n v="7"/>
    <n v="0"/>
  </r>
  <r>
    <d v="2024-01-01T01:00:00"/>
    <x v="1"/>
    <x v="1"/>
    <n v="1005"/>
    <x v="2"/>
    <n v="7"/>
    <n v="6650"/>
    <n v="46550"/>
    <x v="14"/>
    <n v="96"/>
    <x v="15"/>
    <x v="0"/>
    <d v="2024-01-01T00:00:00"/>
    <d v="1899-12-30T01:00:00"/>
    <n v="13"/>
    <n v="0"/>
  </r>
  <r>
    <d v="2024-01-01T01:00:00"/>
    <x v="1"/>
    <x v="1"/>
    <n v="1003"/>
    <x v="1"/>
    <n v="30"/>
    <n v="3750"/>
    <n v="112500"/>
    <x v="14"/>
    <n v="96"/>
    <x v="15"/>
    <x v="0"/>
    <d v="2024-01-01T00:00:00"/>
    <d v="1899-12-30T01:00:00"/>
    <n v="13"/>
    <n v="0"/>
  </r>
  <r>
    <d v="2024-01-01T01:00:00"/>
    <x v="1"/>
    <x v="1"/>
    <n v="1001"/>
    <x v="2"/>
    <n v="3"/>
    <n v="6650"/>
    <n v="19950"/>
    <x v="1"/>
    <n v="96"/>
    <x v="1"/>
    <x v="0"/>
    <d v="2024-01-01T00:00:00"/>
    <d v="1899-12-30T01:00:00"/>
    <n v="13"/>
    <n v="0"/>
  </r>
  <r>
    <d v="2024-01-01T01:00:00"/>
    <x v="1"/>
    <x v="5"/>
    <n v="1004"/>
    <x v="1"/>
    <n v="30"/>
    <n v="3750"/>
    <n v="112500"/>
    <x v="1"/>
    <n v="96"/>
    <x v="1"/>
    <x v="0"/>
    <d v="2024-01-01T00:00:00"/>
    <d v="1899-12-30T01:00:00"/>
    <n v="8"/>
    <n v="0"/>
  </r>
  <r>
    <d v="2024-01-01T01:00:00"/>
    <x v="1"/>
    <x v="5"/>
    <n v="1002"/>
    <x v="2"/>
    <n v="4"/>
    <n v="6650"/>
    <n v="26600"/>
    <x v="1"/>
    <n v="96"/>
    <x v="1"/>
    <x v="0"/>
    <d v="2024-01-01T00:00:00"/>
    <d v="1899-12-30T01:00:00"/>
    <n v="8"/>
    <n v="0"/>
  </r>
  <r>
    <d v="2024-01-01T01:00:00"/>
    <x v="1"/>
    <x v="5"/>
    <n v="1001"/>
    <x v="2"/>
    <n v="3"/>
    <n v="6650"/>
    <n v="19950"/>
    <x v="1"/>
    <n v="96"/>
    <x v="1"/>
    <x v="0"/>
    <d v="2024-01-01T00:00:00"/>
    <d v="1899-12-30T01:00:00"/>
    <n v="8"/>
    <n v="0"/>
  </r>
  <r>
    <d v="2024-01-01T01:00:00"/>
    <x v="1"/>
    <x v="2"/>
    <n v="1003"/>
    <x v="1"/>
    <n v="30"/>
    <n v="3750"/>
    <n v="112500"/>
    <x v="2"/>
    <n v="96"/>
    <x v="2"/>
    <x v="0"/>
    <d v="2024-01-01T00:00:00"/>
    <d v="1899-12-30T01:00:00"/>
    <n v="9"/>
    <n v="0"/>
  </r>
  <r>
    <d v="2024-01-01T01:00:00"/>
    <x v="1"/>
    <x v="8"/>
    <n v="1005"/>
    <x v="2"/>
    <n v="7"/>
    <n v="6650"/>
    <n v="46550"/>
    <x v="15"/>
    <n v="96"/>
    <x v="16"/>
    <x v="0"/>
    <d v="2024-01-01T00:00:00"/>
    <d v="1899-12-30T01:00:00"/>
    <n v="7"/>
    <n v="0"/>
  </r>
  <r>
    <d v="2024-01-01T01:00:00"/>
    <x v="1"/>
    <x v="6"/>
    <n v="1004"/>
    <x v="2"/>
    <n v="5"/>
    <n v="6650"/>
    <n v="33250"/>
    <x v="16"/>
    <n v="96"/>
    <x v="17"/>
    <x v="0"/>
    <d v="2024-01-01T00:00:00"/>
    <d v="1899-12-30T01:00:00"/>
    <n v="15"/>
    <n v="0"/>
  </r>
  <r>
    <d v="2024-01-01T01:00:00"/>
    <x v="1"/>
    <x v="6"/>
    <n v="1005"/>
    <x v="2"/>
    <n v="7"/>
    <n v="6650"/>
    <n v="46550"/>
    <x v="16"/>
    <n v="96"/>
    <x v="17"/>
    <x v="0"/>
    <d v="2024-01-01T00:00:00"/>
    <d v="1899-12-30T01:00:00"/>
    <n v="15"/>
    <n v="0"/>
  </r>
  <r>
    <d v="2024-01-01T01:00:00"/>
    <x v="1"/>
    <x v="9"/>
    <n v="1001"/>
    <x v="2"/>
    <n v="3"/>
    <n v="6650"/>
    <n v="19950"/>
    <x v="17"/>
    <n v="96"/>
    <x v="18"/>
    <x v="0"/>
    <d v="2024-01-01T00:00:00"/>
    <d v="1899-12-30T01:00:00"/>
    <n v="14"/>
    <n v="0"/>
  </r>
  <r>
    <d v="2024-01-01T01:00:00"/>
    <x v="1"/>
    <x v="9"/>
    <n v="1004"/>
    <x v="1"/>
    <n v="30"/>
    <n v="3750"/>
    <n v="112500"/>
    <x v="18"/>
    <n v="96"/>
    <x v="19"/>
    <x v="0"/>
    <d v="2024-01-01T00:00:00"/>
    <d v="1899-12-30T01:00:00"/>
    <n v="14"/>
    <n v="0"/>
  </r>
  <r>
    <d v="2024-01-01T01:00:00"/>
    <x v="1"/>
    <x v="3"/>
    <n v="1006"/>
    <x v="1"/>
    <n v="30"/>
    <n v="3750"/>
    <n v="112500"/>
    <x v="18"/>
    <n v="96"/>
    <x v="20"/>
    <x v="0"/>
    <d v="2024-01-01T00:00:00"/>
    <d v="1899-12-30T01:00:00"/>
    <n v="11"/>
    <n v="0"/>
  </r>
  <r>
    <d v="2024-01-01T01:00:00"/>
    <x v="1"/>
    <x v="7"/>
    <n v="1006"/>
    <x v="2"/>
    <n v="8"/>
    <n v="6650"/>
    <n v="53200"/>
    <x v="19"/>
    <n v="96"/>
    <x v="21"/>
    <x v="0"/>
    <d v="2024-01-01T00:00:00"/>
    <d v="1899-12-30T01:00:00"/>
    <n v="12"/>
    <n v="0"/>
  </r>
  <r>
    <d v="2024-01-01T01:00:00"/>
    <x v="1"/>
    <x v="9"/>
    <n v="1004"/>
    <x v="2"/>
    <n v="5"/>
    <n v="6650"/>
    <n v="33250"/>
    <x v="19"/>
    <n v="96"/>
    <x v="21"/>
    <x v="0"/>
    <d v="2024-01-01T00:00:00"/>
    <d v="1899-12-30T01:00:00"/>
    <n v="14"/>
    <n v="0"/>
  </r>
  <r>
    <d v="2024-01-01T01:00:00"/>
    <x v="1"/>
    <x v="3"/>
    <n v="1003"/>
    <x v="1"/>
    <n v="30"/>
    <n v="3750"/>
    <n v="112500"/>
    <x v="19"/>
    <n v="96"/>
    <x v="21"/>
    <x v="0"/>
    <d v="2024-01-01T00:00:00"/>
    <d v="1899-12-30T01:00:00"/>
    <n v="11"/>
    <n v="0"/>
  </r>
  <r>
    <d v="2024-01-01T01:00:00"/>
    <x v="1"/>
    <x v="3"/>
    <n v="1001"/>
    <x v="1"/>
    <n v="30"/>
    <n v="3750"/>
    <n v="112500"/>
    <x v="19"/>
    <n v="96"/>
    <x v="21"/>
    <x v="0"/>
    <d v="2024-01-01T00:00:00"/>
    <d v="1899-12-30T01:00:00"/>
    <n v="11"/>
    <n v="0"/>
  </r>
  <r>
    <d v="2024-01-01T01:00:00"/>
    <x v="1"/>
    <x v="7"/>
    <n v="1004"/>
    <x v="2"/>
    <n v="5"/>
    <n v="6650"/>
    <n v="33250"/>
    <x v="19"/>
    <n v="96"/>
    <x v="21"/>
    <x v="0"/>
    <d v="2024-01-01T00:00:00"/>
    <d v="1899-12-30T01:00:00"/>
    <n v="12"/>
    <n v="0"/>
  </r>
  <r>
    <d v="2024-01-01T01:00:00"/>
    <x v="1"/>
    <x v="10"/>
    <n v="1002"/>
    <x v="1"/>
    <n v="26"/>
    <n v="3750"/>
    <n v="97500"/>
    <x v="19"/>
    <n v="96"/>
    <x v="21"/>
    <x v="0"/>
    <d v="2024-01-01T00:00:00"/>
    <d v="1899-12-30T01:00:00"/>
    <n v="16"/>
    <n v="0"/>
  </r>
  <r>
    <d v="2024-01-01T01:00:00"/>
    <x v="1"/>
    <x v="6"/>
    <n v="1006"/>
    <x v="2"/>
    <n v="8"/>
    <n v="6650"/>
    <n v="53200"/>
    <x v="20"/>
    <n v="96"/>
    <x v="19"/>
    <x v="0"/>
    <d v="2024-01-01T00:00:00"/>
    <d v="1899-12-30T01:00:00"/>
    <n v="15"/>
    <n v="0"/>
  </r>
  <r>
    <d v="2024-01-01T01:00:00"/>
    <x v="1"/>
    <x v="9"/>
    <n v="1002"/>
    <x v="1"/>
    <n v="26"/>
    <n v="3750"/>
    <n v="97500"/>
    <x v="17"/>
    <n v="96"/>
    <x v="18"/>
    <x v="0"/>
    <d v="2024-01-01T00:00:00"/>
    <d v="1899-12-30T01:00:00"/>
    <n v="14"/>
    <n v="0"/>
  </r>
  <r>
    <d v="2024-01-01T01:00:00"/>
    <x v="1"/>
    <x v="3"/>
    <n v="1005"/>
    <x v="1"/>
    <n v="30"/>
    <n v="3750"/>
    <n v="112500"/>
    <x v="18"/>
    <n v="96"/>
    <x v="20"/>
    <x v="0"/>
    <d v="2024-01-01T00:00:00"/>
    <d v="1899-12-30T01:00:00"/>
    <n v="11"/>
    <n v="0"/>
  </r>
  <r>
    <d v="2024-01-01T01:00:00"/>
    <x v="1"/>
    <x v="4"/>
    <n v="1002"/>
    <x v="1"/>
    <n v="26"/>
    <n v="3750"/>
    <n v="97500"/>
    <x v="18"/>
    <n v="96"/>
    <x v="20"/>
    <x v="0"/>
    <d v="2024-01-01T00:00:00"/>
    <d v="1899-12-30T01:00:00"/>
    <n v="10"/>
    <n v="0"/>
  </r>
  <r>
    <d v="2024-01-01T01:00:00"/>
    <x v="1"/>
    <x v="7"/>
    <n v="1001"/>
    <x v="1"/>
    <n v="30"/>
    <n v="3750"/>
    <n v="112500"/>
    <x v="18"/>
    <n v="96"/>
    <x v="20"/>
    <x v="0"/>
    <d v="2024-01-01T00:00:00"/>
    <d v="1899-12-30T01:00:00"/>
    <n v="12"/>
    <n v="0"/>
  </r>
  <r>
    <d v="2024-01-01T01:00:00"/>
    <x v="1"/>
    <x v="9"/>
    <n v="1005"/>
    <x v="1"/>
    <n v="30"/>
    <n v="3750"/>
    <n v="112500"/>
    <x v="19"/>
    <n v="96"/>
    <x v="21"/>
    <x v="0"/>
    <d v="2024-01-01T00:00:00"/>
    <d v="1899-12-30T01:00:00"/>
    <n v="14"/>
    <n v="0"/>
  </r>
  <r>
    <d v="2024-01-01T01:00:00"/>
    <x v="1"/>
    <x v="9"/>
    <n v="1006"/>
    <x v="1"/>
    <n v="30"/>
    <n v="3750"/>
    <n v="112500"/>
    <x v="19"/>
    <n v="96"/>
    <x v="21"/>
    <x v="0"/>
    <d v="2024-01-01T00:00:00"/>
    <d v="1899-12-30T01:00:00"/>
    <n v="14"/>
    <n v="0"/>
  </r>
  <r>
    <d v="2024-01-01T01:00:00"/>
    <x v="1"/>
    <x v="9"/>
    <n v="1006"/>
    <x v="2"/>
    <n v="8"/>
    <n v="6650"/>
    <n v="53200"/>
    <x v="21"/>
    <n v="96"/>
    <x v="22"/>
    <x v="0"/>
    <d v="2024-01-01T00:00:00"/>
    <d v="1899-12-30T01:00:00"/>
    <n v="14"/>
    <n v="0"/>
  </r>
  <r>
    <d v="2024-01-01T01:00:00"/>
    <x v="1"/>
    <x v="6"/>
    <n v="1004"/>
    <x v="1"/>
    <n v="30"/>
    <n v="3750"/>
    <n v="112500"/>
    <x v="16"/>
    <n v="96"/>
    <x v="17"/>
    <x v="0"/>
    <d v="2024-01-01T00:00:00"/>
    <d v="1899-12-30T01:00:00"/>
    <n v="15"/>
    <n v="0"/>
  </r>
  <r>
    <d v="2024-01-01T01:00:00"/>
    <x v="1"/>
    <x v="8"/>
    <n v="1006"/>
    <x v="1"/>
    <n v="30"/>
    <n v="3750"/>
    <n v="112500"/>
    <x v="16"/>
    <n v="96"/>
    <x v="17"/>
    <x v="0"/>
    <d v="2024-01-01T00:00:00"/>
    <d v="1899-12-30T01:00:00"/>
    <n v="7"/>
    <n v="0"/>
  </r>
  <r>
    <d v="2024-01-01T01:00:00"/>
    <x v="1"/>
    <x v="5"/>
    <n v="1005"/>
    <x v="2"/>
    <n v="7"/>
    <n v="6650"/>
    <n v="46550"/>
    <x v="1"/>
    <n v="96"/>
    <x v="1"/>
    <x v="0"/>
    <d v="2024-01-01T00:00:00"/>
    <d v="1899-12-30T01:00:00"/>
    <n v="8"/>
    <n v="0"/>
  </r>
  <r>
    <d v="2024-01-01T01:00:00"/>
    <x v="1"/>
    <x v="6"/>
    <n v="1001"/>
    <x v="2"/>
    <n v="3"/>
    <n v="6650"/>
    <n v="19950"/>
    <x v="6"/>
    <n v="96"/>
    <x v="7"/>
    <x v="0"/>
    <d v="2024-01-01T00:00:00"/>
    <d v="1899-12-30T01:00:00"/>
    <n v="15"/>
    <n v="0"/>
  </r>
  <r>
    <d v="2024-01-01T01:00:00"/>
    <x v="1"/>
    <x v="6"/>
    <n v="1002"/>
    <x v="2"/>
    <n v="4"/>
    <n v="6650"/>
    <n v="26600"/>
    <x v="6"/>
    <n v="96"/>
    <x v="7"/>
    <x v="0"/>
    <d v="2024-01-01T00:00:00"/>
    <d v="1899-12-30T01:00:00"/>
    <n v="15"/>
    <n v="0"/>
  </r>
  <r>
    <d v="2024-01-01T01:00:00"/>
    <x v="1"/>
    <x v="6"/>
    <n v="1003"/>
    <x v="1"/>
    <n v="30"/>
    <n v="3750"/>
    <n v="112500"/>
    <x v="6"/>
    <n v="96"/>
    <x v="7"/>
    <x v="0"/>
    <d v="2024-01-01T00:00:00"/>
    <d v="1899-12-30T01:00:00"/>
    <n v="15"/>
    <n v="0"/>
  </r>
  <r>
    <d v="2024-01-01T01:00:00"/>
    <x v="1"/>
    <x v="9"/>
    <n v="1002"/>
    <x v="2"/>
    <n v="4"/>
    <n v="6650"/>
    <n v="26600"/>
    <x v="17"/>
    <n v="96"/>
    <x v="18"/>
    <x v="0"/>
    <d v="2024-01-01T00:00:00"/>
    <d v="1899-12-30T01:00:00"/>
    <n v="14"/>
    <n v="0"/>
  </r>
  <r>
    <d v="2024-01-01T01:00:00"/>
    <x v="1"/>
    <x v="8"/>
    <n v="1001"/>
    <x v="1"/>
    <n v="30"/>
    <n v="3750"/>
    <n v="112500"/>
    <x v="18"/>
    <n v="96"/>
    <x v="23"/>
    <x v="0"/>
    <d v="2024-01-01T00:00:00"/>
    <d v="1899-12-30T01:00:00"/>
    <n v="7"/>
    <n v="0"/>
  </r>
  <r>
    <d v="2024-01-01T01:00:00"/>
    <x v="1"/>
    <x v="9"/>
    <n v="1003"/>
    <x v="1"/>
    <n v="30"/>
    <n v="3750"/>
    <n v="112500"/>
    <x v="18"/>
    <n v="96"/>
    <x v="20"/>
    <x v="0"/>
    <d v="2024-01-01T00:00:00"/>
    <d v="1899-12-30T01:00:00"/>
    <n v="14"/>
    <n v="0"/>
  </r>
  <r>
    <d v="2024-01-01T01:00:00"/>
    <x v="1"/>
    <x v="9"/>
    <n v="1005"/>
    <x v="2"/>
    <n v="7"/>
    <n v="6650"/>
    <n v="46550"/>
    <x v="19"/>
    <n v="96"/>
    <x v="21"/>
    <x v="0"/>
    <d v="2024-01-01T00:00:00"/>
    <d v="1899-12-30T01:00:00"/>
    <n v="14"/>
    <n v="0"/>
  </r>
  <r>
    <d v="2024-01-01T01:00:00"/>
    <x v="1"/>
    <x v="3"/>
    <n v="1004"/>
    <x v="1"/>
    <n v="30"/>
    <n v="3750"/>
    <n v="112500"/>
    <x v="20"/>
    <n v="96"/>
    <x v="19"/>
    <x v="0"/>
    <d v="2024-01-01T00:00:00"/>
    <d v="1899-12-30T01:00:00"/>
    <n v="11"/>
    <n v="0"/>
  </r>
  <r>
    <d v="2024-01-01T01:00:00"/>
    <x v="1"/>
    <x v="6"/>
    <n v="1006"/>
    <x v="1"/>
    <n v="30"/>
    <n v="3750"/>
    <n v="112500"/>
    <x v="20"/>
    <n v="96"/>
    <x v="19"/>
    <x v="0"/>
    <d v="2024-01-01T00:00:00"/>
    <d v="1899-12-30T01:00:00"/>
    <n v="15"/>
    <n v="0"/>
  </r>
  <r>
    <d v="2024-01-01T01:00:00"/>
    <x v="1"/>
    <x v="8"/>
    <n v="1006"/>
    <x v="2"/>
    <n v="8"/>
    <n v="6650"/>
    <n v="53200"/>
    <x v="20"/>
    <n v="96"/>
    <x v="24"/>
    <x v="0"/>
    <d v="2024-01-01T00:00:00"/>
    <d v="1899-12-30T01:00:00"/>
    <n v="7"/>
    <n v="0"/>
  </r>
  <r>
    <d v="2024-01-01T01:00:00"/>
    <x v="1"/>
    <x v="6"/>
    <n v="1005"/>
    <x v="1"/>
    <n v="30"/>
    <n v="3750"/>
    <n v="112500"/>
    <x v="16"/>
    <n v="96"/>
    <x v="25"/>
    <x v="0"/>
    <d v="2024-01-01T00:00:00"/>
    <d v="1899-12-30T01:00:00"/>
    <n v="15"/>
    <n v="0"/>
  </r>
  <r>
    <d v="2024-01-01T01:00:00"/>
    <x v="1"/>
    <x v="7"/>
    <n v="1006"/>
    <x v="1"/>
    <n v="30"/>
    <n v="3750"/>
    <n v="112500"/>
    <x v="21"/>
    <n v="96"/>
    <x v="22"/>
    <x v="0"/>
    <d v="2024-01-01T00:00:00"/>
    <d v="1899-12-30T01:00:00"/>
    <n v="12"/>
    <n v="0"/>
  </r>
  <r>
    <d v="2024-01-01T01:00:00"/>
    <x v="1"/>
    <x v="7"/>
    <n v="1005"/>
    <x v="1"/>
    <n v="30"/>
    <n v="3750"/>
    <n v="112500"/>
    <x v="10"/>
    <n v="96"/>
    <x v="22"/>
    <x v="0"/>
    <d v="2024-01-01T00:00:00"/>
    <d v="1899-12-30T01:00:00"/>
    <n v="12"/>
    <n v="0"/>
  </r>
  <r>
    <d v="2024-01-01T01:00:00"/>
    <x v="1"/>
    <x v="3"/>
    <n v="1002"/>
    <x v="1"/>
    <n v="26"/>
    <n v="3750"/>
    <n v="97500"/>
    <x v="20"/>
    <n v="96"/>
    <x v="19"/>
    <x v="0"/>
    <d v="2024-01-01T00:00:00"/>
    <d v="1899-12-30T01:00:00"/>
    <n v="11"/>
    <n v="0"/>
  </r>
  <r>
    <d v="2024-01-01T01:00:00"/>
    <x v="1"/>
    <x v="6"/>
    <n v="1001"/>
    <x v="1"/>
    <n v="30"/>
    <n v="3750"/>
    <n v="112500"/>
    <x v="10"/>
    <n v="96"/>
    <x v="22"/>
    <x v="0"/>
    <d v="2024-01-01T00:00:00"/>
    <d v="1899-12-30T01:00:00"/>
    <n v="15"/>
    <n v="0"/>
  </r>
  <r>
    <d v="2024-01-01T01:00:00"/>
    <x v="1"/>
    <x v="10"/>
    <n v="1003"/>
    <x v="1"/>
    <n v="30"/>
    <n v="3750"/>
    <n v="112500"/>
    <x v="22"/>
    <n v="96"/>
    <x v="26"/>
    <x v="0"/>
    <d v="2024-01-01T00:00:00"/>
    <d v="1899-12-30T01:00:00"/>
    <n v="16"/>
    <n v="0"/>
  </r>
  <r>
    <d v="2024-01-01T01:00:00"/>
    <x v="1"/>
    <x v="4"/>
    <n v="1001"/>
    <x v="2"/>
    <n v="3"/>
    <n v="6650"/>
    <n v="19950"/>
    <x v="11"/>
    <n v="96"/>
    <x v="11"/>
    <x v="0"/>
    <d v="2024-01-01T00:00:00"/>
    <d v="1899-12-30T01:00:00"/>
    <n v="10"/>
    <n v="0"/>
  </r>
  <r>
    <d v="2024-01-01T01:00:00"/>
    <x v="1"/>
    <x v="4"/>
    <n v="1003"/>
    <x v="1"/>
    <n v="30"/>
    <n v="3750"/>
    <n v="112500"/>
    <x v="12"/>
    <n v="96"/>
    <x v="12"/>
    <x v="0"/>
    <d v="2024-01-01T00:00:00"/>
    <d v="1899-12-30T01:00:00"/>
    <n v="10"/>
    <n v="0"/>
  </r>
  <r>
    <d v="2024-01-01T01:00:00"/>
    <x v="1"/>
    <x v="4"/>
    <n v="1004"/>
    <x v="1"/>
    <n v="30"/>
    <n v="3750"/>
    <n v="112500"/>
    <x v="12"/>
    <n v="96"/>
    <x v="12"/>
    <x v="0"/>
    <d v="2024-01-01T00:00:00"/>
    <d v="1899-12-30T01:00:00"/>
    <n v="10"/>
    <n v="0"/>
  </r>
  <r>
    <d v="2024-01-01T01:00:00"/>
    <x v="1"/>
    <x v="10"/>
    <n v="1006"/>
    <x v="2"/>
    <n v="8"/>
    <n v="6650"/>
    <n v="53200"/>
    <x v="12"/>
    <n v="96"/>
    <x v="13"/>
    <x v="0"/>
    <d v="2024-01-01T00:00:00"/>
    <d v="1899-12-30T01:00:00"/>
    <n v="16"/>
    <n v="0"/>
  </r>
  <r>
    <d v="2024-01-01T01:00:00"/>
    <x v="1"/>
    <x v="4"/>
    <n v="1006"/>
    <x v="2"/>
    <n v="8"/>
    <n v="6650"/>
    <n v="53200"/>
    <x v="12"/>
    <n v="96"/>
    <x v="12"/>
    <x v="0"/>
    <d v="2024-01-01T00:00:00"/>
    <d v="1899-12-30T01:00:00"/>
    <n v="10"/>
    <n v="0"/>
  </r>
  <r>
    <d v="2024-01-01T01:00:00"/>
    <x v="1"/>
    <x v="10"/>
    <n v="1001"/>
    <x v="1"/>
    <n v="30"/>
    <n v="3750"/>
    <n v="112500"/>
    <x v="12"/>
    <n v="96"/>
    <x v="12"/>
    <x v="0"/>
    <d v="2024-01-01T00:00:00"/>
    <d v="1899-12-30T01:00:00"/>
    <n v="16"/>
    <n v="0"/>
  </r>
  <r>
    <d v="2024-01-01T01:00:00"/>
    <x v="1"/>
    <x v="1"/>
    <n v="1006"/>
    <x v="1"/>
    <n v="30"/>
    <n v="3750"/>
    <n v="112500"/>
    <x v="12"/>
    <n v="96"/>
    <x v="12"/>
    <x v="0"/>
    <d v="2024-01-01T00:00:00"/>
    <d v="1899-12-30T01:00:00"/>
    <n v="13"/>
    <n v="0"/>
  </r>
  <r>
    <d v="2024-01-01T01:00:00"/>
    <x v="1"/>
    <x v="3"/>
    <n v="1004"/>
    <x v="2"/>
    <n v="5"/>
    <n v="6650"/>
    <n v="33250"/>
    <x v="8"/>
    <n v="96"/>
    <x v="9"/>
    <x v="0"/>
    <d v="2024-01-01T00:00:00"/>
    <d v="1899-12-30T01:00:00"/>
    <n v="11"/>
    <n v="0"/>
  </r>
  <r>
    <d v="2024-01-01T01:00:00"/>
    <x v="1"/>
    <x v="8"/>
    <n v="1003"/>
    <x v="1"/>
    <n v="30"/>
    <n v="3750"/>
    <n v="112500"/>
    <x v="9"/>
    <n v="96"/>
    <x v="1"/>
    <x v="0"/>
    <d v="2024-01-01T00:00:00"/>
    <d v="1899-12-30T01:00:00"/>
    <n v="7"/>
    <n v="0"/>
  </r>
  <r>
    <d v="2024-01-01T01:00:00"/>
    <x v="1"/>
    <x v="5"/>
    <n v="1001"/>
    <x v="1"/>
    <n v="30"/>
    <n v="3750"/>
    <n v="112500"/>
    <x v="13"/>
    <n v="96"/>
    <x v="14"/>
    <x v="0"/>
    <d v="2024-01-01T00:00:00"/>
    <d v="1899-12-30T01:00:00"/>
    <n v="8"/>
    <n v="0"/>
  </r>
  <r>
    <d v="2024-01-01T01:00:00"/>
    <x v="1"/>
    <x v="8"/>
    <n v="1001"/>
    <x v="2"/>
    <n v="3"/>
    <n v="6650"/>
    <n v="19950"/>
    <x v="13"/>
    <n v="96"/>
    <x v="14"/>
    <x v="0"/>
    <d v="2024-01-01T00:00:00"/>
    <d v="1899-12-30T01:00:00"/>
    <n v="7"/>
    <n v="0"/>
  </r>
  <r>
    <d v="2024-01-01T01:00:00"/>
    <x v="1"/>
    <x v="1"/>
    <n v="1005"/>
    <x v="1"/>
    <n v="30"/>
    <n v="3750"/>
    <n v="112500"/>
    <x v="14"/>
    <n v="96"/>
    <x v="15"/>
    <x v="0"/>
    <d v="2024-01-01T00:00:00"/>
    <d v="1899-12-30T01:00:00"/>
    <n v="13"/>
    <n v="0"/>
  </r>
  <r>
    <d v="2024-01-01T01:00:00"/>
    <x v="1"/>
    <x v="5"/>
    <n v="1006"/>
    <x v="1"/>
    <n v="30"/>
    <n v="3750"/>
    <n v="112500"/>
    <x v="14"/>
    <n v="96"/>
    <x v="15"/>
    <x v="0"/>
    <d v="2024-01-01T00:00:00"/>
    <d v="1899-12-30T01:00:00"/>
    <n v="8"/>
    <n v="0"/>
  </r>
  <r>
    <d v="2024-01-01T01:00:00"/>
    <x v="1"/>
    <x v="5"/>
    <n v="1004"/>
    <x v="2"/>
    <n v="5"/>
    <n v="6650"/>
    <n v="33250"/>
    <x v="1"/>
    <n v="96"/>
    <x v="1"/>
    <x v="0"/>
    <d v="2024-01-01T00:00:00"/>
    <d v="1899-12-30T01:00:00"/>
    <n v="8"/>
    <n v="0"/>
  </r>
  <r>
    <d v="2024-01-01T01:00:00"/>
    <x v="1"/>
    <x v="7"/>
    <n v="1003"/>
    <x v="1"/>
    <n v="30"/>
    <n v="3750"/>
    <n v="112500"/>
    <x v="10"/>
    <n v="96"/>
    <x v="8"/>
    <x v="0"/>
    <d v="2024-01-01T00:00:00"/>
    <d v="1899-12-30T01:00:00"/>
    <n v="12"/>
    <n v="0"/>
  </r>
  <r>
    <d v="2024-01-01T01:00:00"/>
    <x v="1"/>
    <x v="7"/>
    <n v="1002"/>
    <x v="1"/>
    <n v="26"/>
    <n v="3750"/>
    <n v="97500"/>
    <x v="10"/>
    <n v="96"/>
    <x v="8"/>
    <x v="0"/>
    <d v="2024-01-01T00:00:00"/>
    <d v="1899-12-30T01:00:00"/>
    <n v="12"/>
    <n v="0"/>
  </r>
  <r>
    <d v="2024-01-01T01:00:00"/>
    <x v="1"/>
    <x v="10"/>
    <n v="1002"/>
    <x v="2"/>
    <n v="4"/>
    <n v="6650"/>
    <n v="26600"/>
    <x v="22"/>
    <n v="96"/>
    <x v="26"/>
    <x v="0"/>
    <d v="2024-01-01T00:00:00"/>
    <d v="1899-12-30T01:00:00"/>
    <n v="16"/>
    <n v="0"/>
  </r>
  <r>
    <d v="2024-01-01T01:00:00"/>
    <x v="1"/>
    <x v="10"/>
    <n v="1004"/>
    <x v="1"/>
    <n v="30"/>
    <n v="3750"/>
    <n v="112500"/>
    <x v="22"/>
    <n v="96"/>
    <x v="26"/>
    <x v="0"/>
    <d v="2024-01-01T00:00:00"/>
    <d v="1899-12-30T01:00:00"/>
    <n v="16"/>
    <n v="0"/>
  </r>
  <r>
    <d v="2024-01-01T01:00:00"/>
    <x v="1"/>
    <x v="10"/>
    <n v="1004"/>
    <x v="2"/>
    <n v="5"/>
    <n v="6650"/>
    <n v="33250"/>
    <x v="22"/>
    <n v="96"/>
    <x v="26"/>
    <x v="0"/>
    <d v="2024-01-01T00:00:00"/>
    <d v="1899-12-30T01:00:00"/>
    <n v="16"/>
    <n v="0"/>
  </r>
  <r>
    <d v="2024-01-01T01:00:00"/>
    <x v="1"/>
    <x v="10"/>
    <n v="1005"/>
    <x v="1"/>
    <n v="30"/>
    <n v="3750"/>
    <n v="112500"/>
    <x v="23"/>
    <n v="96"/>
    <x v="22"/>
    <x v="0"/>
    <d v="2024-01-01T00:00:00"/>
    <d v="1899-12-30T01:00:00"/>
    <n v="16"/>
    <n v="0"/>
  </r>
  <r>
    <d v="2024-01-01T01:00:00"/>
    <x v="1"/>
    <x v="10"/>
    <n v="1006"/>
    <x v="1"/>
    <n v="30"/>
    <n v="3750"/>
    <n v="112500"/>
    <x v="11"/>
    <n v="96"/>
    <x v="27"/>
    <x v="0"/>
    <d v="2024-01-01T00:00:00"/>
    <d v="1899-12-30T01:00:00"/>
    <n v="16"/>
    <n v="0"/>
  </r>
  <r>
    <d v="2024-01-01T01:00:00"/>
    <x v="1"/>
    <x v="4"/>
    <n v="1002"/>
    <x v="2"/>
    <n v="4"/>
    <n v="6650"/>
    <n v="26600"/>
    <x v="11"/>
    <n v="96"/>
    <x v="11"/>
    <x v="0"/>
    <d v="2024-01-01T00:00:00"/>
    <d v="1899-12-30T01:00:00"/>
    <n v="10"/>
    <n v="0"/>
  </r>
  <r>
    <d v="2024-01-01T01:00:00"/>
    <x v="1"/>
    <x v="4"/>
    <n v="1005"/>
    <x v="2"/>
    <n v="7"/>
    <n v="6650"/>
    <n v="46550"/>
    <x v="12"/>
    <n v="96"/>
    <x v="12"/>
    <x v="0"/>
    <d v="2024-01-01T00:00:00"/>
    <d v="1899-12-30T01:00:00"/>
    <n v="10"/>
    <n v="0"/>
  </r>
  <r>
    <d v="2024-01-01T08:00:00"/>
    <x v="2"/>
    <x v="5"/>
    <n v="2001"/>
    <x v="1"/>
    <n v="30"/>
    <n v="3700"/>
    <n v="111000"/>
    <x v="24"/>
    <n v="132"/>
    <x v="28"/>
    <x v="0"/>
    <d v="2024-01-01T00:00:00"/>
    <d v="1899-12-30T08:00:00"/>
    <n v="8"/>
    <n v="0"/>
  </r>
  <r>
    <d v="2024-01-01T08:00:00"/>
    <x v="2"/>
    <x v="10"/>
    <n v="2001"/>
    <x v="1"/>
    <n v="30"/>
    <n v="3750"/>
    <n v="112500"/>
    <x v="18"/>
    <n v="132"/>
    <x v="29"/>
    <x v="0"/>
    <d v="2024-01-01T00:00:00"/>
    <d v="1899-12-30T08:00:00"/>
    <n v="16"/>
    <n v="0"/>
  </r>
  <r>
    <d v="2024-01-01T08:00:00"/>
    <x v="2"/>
    <x v="8"/>
    <n v="2001"/>
    <x v="2"/>
    <n v="15"/>
    <n v="6650"/>
    <n v="99750"/>
    <x v="25"/>
    <n v="132"/>
    <x v="30"/>
    <x v="0"/>
    <d v="2024-01-01T00:00:00"/>
    <d v="1899-12-30T08:00:00"/>
    <n v="7"/>
    <n v="0"/>
  </r>
  <r>
    <d v="2024-01-01T08:00:00"/>
    <x v="2"/>
    <x v="1"/>
    <n v="2001"/>
    <x v="1"/>
    <n v="30"/>
    <n v="3750"/>
    <n v="112500"/>
    <x v="26"/>
    <n v="132"/>
    <x v="31"/>
    <x v="0"/>
    <d v="2024-01-01T00:00:00"/>
    <d v="1899-12-30T08:00:00"/>
    <n v="13"/>
    <n v="0"/>
  </r>
  <r>
    <d v="2024-01-01T08:00:00"/>
    <x v="2"/>
    <x v="2"/>
    <n v="2001"/>
    <x v="2"/>
    <n v="15"/>
    <n v="6650"/>
    <n v="99750"/>
    <x v="27"/>
    <n v="132"/>
    <x v="32"/>
    <x v="0"/>
    <d v="2024-01-01T00:00:00"/>
    <d v="1899-12-30T08:00:00"/>
    <n v="9"/>
    <n v="0"/>
  </r>
  <r>
    <d v="2024-01-01T08:00:00"/>
    <x v="2"/>
    <x v="4"/>
    <n v="2001"/>
    <x v="2"/>
    <n v="15"/>
    <n v="6650"/>
    <n v="99750"/>
    <x v="21"/>
    <n v="132"/>
    <x v="33"/>
    <x v="0"/>
    <d v="2024-01-01T00:00:00"/>
    <d v="1899-12-30T08:00:00"/>
    <n v="10"/>
    <n v="0"/>
  </r>
  <r>
    <d v="2024-01-01T08:00:00"/>
    <x v="2"/>
    <x v="9"/>
    <n v="2001"/>
    <x v="2"/>
    <n v="15"/>
    <n v="6650"/>
    <n v="99750"/>
    <x v="28"/>
    <n v="132"/>
    <x v="34"/>
    <x v="0"/>
    <d v="2024-01-01T00:00:00"/>
    <d v="1899-12-30T08:00:00"/>
    <n v="14"/>
    <n v="0"/>
  </r>
  <r>
    <d v="2024-01-01T08:00:00"/>
    <x v="2"/>
    <x v="8"/>
    <n v="2001"/>
    <x v="1"/>
    <n v="30"/>
    <n v="3750"/>
    <n v="112500"/>
    <x v="25"/>
    <n v="132"/>
    <x v="30"/>
    <x v="0"/>
    <d v="2024-01-01T00:00:00"/>
    <d v="1899-12-30T08:00:00"/>
    <n v="7"/>
    <n v="0"/>
  </r>
  <r>
    <d v="2024-01-01T08:00:00"/>
    <x v="2"/>
    <x v="7"/>
    <n v="2001"/>
    <x v="2"/>
    <n v="15"/>
    <n v="6650"/>
    <n v="99750"/>
    <x v="17"/>
    <n v="132"/>
    <x v="35"/>
    <x v="0"/>
    <d v="2024-01-01T00:00:00"/>
    <d v="1899-12-30T08:00:00"/>
    <n v="12"/>
    <n v="0"/>
  </r>
  <r>
    <d v="2024-01-01T08:00:00"/>
    <x v="2"/>
    <x v="3"/>
    <n v="2001"/>
    <x v="1"/>
    <n v="30"/>
    <n v="3750"/>
    <n v="112500"/>
    <x v="3"/>
    <n v="132"/>
    <x v="36"/>
    <x v="0"/>
    <d v="2024-01-01T00:00:00"/>
    <d v="1899-12-30T08:00:00"/>
    <n v="11"/>
    <n v="0"/>
  </r>
  <r>
    <d v="2024-01-01T08:00:00"/>
    <x v="2"/>
    <x v="2"/>
    <n v="2001"/>
    <x v="1"/>
    <n v="30"/>
    <n v="3600"/>
    <n v="108000"/>
    <x v="29"/>
    <n v="96"/>
    <x v="37"/>
    <x v="0"/>
    <d v="2024-01-01T00:00:00"/>
    <d v="1899-12-30T08:00:00"/>
    <n v="9"/>
    <n v="0"/>
  </r>
  <r>
    <d v="2024-01-01T08:00:00"/>
    <x v="2"/>
    <x v="1"/>
    <n v="2001"/>
    <x v="2"/>
    <n v="15"/>
    <n v="6650"/>
    <n v="99750"/>
    <x v="26"/>
    <n v="132"/>
    <x v="31"/>
    <x v="0"/>
    <d v="2024-01-01T00:00:00"/>
    <d v="1899-12-30T08:00:00"/>
    <n v="13"/>
    <n v="0"/>
  </r>
  <r>
    <d v="2024-01-01T08:00:00"/>
    <x v="2"/>
    <x v="6"/>
    <n v="2001"/>
    <x v="2"/>
    <n v="15"/>
    <n v="6650"/>
    <n v="99750"/>
    <x v="6"/>
    <n v="132"/>
    <x v="38"/>
    <x v="0"/>
    <d v="2024-01-01T00:00:00"/>
    <d v="1899-12-30T08:00:00"/>
    <n v="15"/>
    <n v="0"/>
  </r>
  <r>
    <d v="2024-01-01T08:00:00"/>
    <x v="2"/>
    <x v="9"/>
    <n v="2001"/>
    <x v="1"/>
    <n v="30"/>
    <n v="3750"/>
    <n v="112500"/>
    <x v="28"/>
    <n v="132"/>
    <x v="34"/>
    <x v="0"/>
    <d v="2024-01-01T00:00:00"/>
    <d v="1899-12-30T08:00:00"/>
    <n v="14"/>
    <n v="0"/>
  </r>
  <r>
    <d v="2024-01-01T08:00:00"/>
    <x v="2"/>
    <x v="4"/>
    <n v="2001"/>
    <x v="1"/>
    <n v="30"/>
    <n v="3750"/>
    <n v="112500"/>
    <x v="6"/>
    <n v="132"/>
    <x v="38"/>
    <x v="0"/>
    <d v="2024-01-01T00:00:00"/>
    <d v="1899-12-30T08:00:00"/>
    <n v="10"/>
    <n v="0"/>
  </r>
  <r>
    <d v="2024-01-01T08:00:00"/>
    <x v="2"/>
    <x v="3"/>
    <n v="2001"/>
    <x v="2"/>
    <n v="15"/>
    <n v="6650"/>
    <n v="99750"/>
    <x v="15"/>
    <n v="132"/>
    <x v="39"/>
    <x v="0"/>
    <d v="2024-01-01T00:00:00"/>
    <d v="1899-12-30T08:00:00"/>
    <n v="11"/>
    <n v="0"/>
  </r>
  <r>
    <d v="2024-01-01T08:00:00"/>
    <x v="2"/>
    <x v="6"/>
    <n v="2001"/>
    <x v="1"/>
    <n v="30"/>
    <n v="3750"/>
    <n v="112500"/>
    <x v="6"/>
    <n v="132"/>
    <x v="38"/>
    <x v="0"/>
    <d v="2024-01-01T00:00:00"/>
    <d v="1899-12-30T08:00:00"/>
    <n v="15"/>
    <n v="0"/>
  </r>
  <r>
    <d v="2024-01-01T08:00:00"/>
    <x v="2"/>
    <x v="5"/>
    <n v="2001"/>
    <x v="2"/>
    <n v="15"/>
    <n v="6650"/>
    <n v="99750"/>
    <x v="24"/>
    <n v="132"/>
    <x v="28"/>
    <x v="0"/>
    <d v="2024-01-01T00:00:00"/>
    <d v="1899-12-30T08:00:00"/>
    <n v="8"/>
    <n v="0"/>
  </r>
  <r>
    <d v="2024-01-01T08:00:00"/>
    <x v="2"/>
    <x v="7"/>
    <n v="2001"/>
    <x v="1"/>
    <n v="30"/>
    <n v="3750"/>
    <n v="112500"/>
    <x v="17"/>
    <n v="132"/>
    <x v="35"/>
    <x v="0"/>
    <d v="2024-01-01T00:00:00"/>
    <d v="1899-12-30T08:00:00"/>
    <n v="12"/>
    <n v="0"/>
  </r>
  <r>
    <d v="2024-01-01T08:00:00"/>
    <x v="2"/>
    <x v="10"/>
    <n v="2001"/>
    <x v="2"/>
    <n v="15"/>
    <n v="6650"/>
    <n v="99750"/>
    <x v="18"/>
    <n v="132"/>
    <x v="29"/>
    <x v="0"/>
    <d v="2024-01-01T00:00:00"/>
    <d v="1899-12-30T08:00:00"/>
    <n v="16"/>
    <n v="0"/>
  </r>
  <r>
    <d v="2024-01-01T12:00:00"/>
    <x v="0"/>
    <x v="11"/>
    <n v="15"/>
    <x v="3"/>
    <n v="250"/>
    <n v="1100"/>
    <n v="275000"/>
    <x v="6"/>
    <n v="72"/>
    <x v="7"/>
    <x v="0"/>
    <d v="2024-01-01T00:00:00"/>
    <d v="1899-12-30T12:00:00"/>
    <d v="1900-01-05T00:00:00"/>
    <n v="0"/>
  </r>
  <r>
    <d v="2024-01-01T13:00:00"/>
    <x v="1"/>
    <x v="8"/>
    <n v="1007"/>
    <x v="1"/>
    <n v="30"/>
    <n v="3750"/>
    <n v="112500"/>
    <x v="1"/>
    <n v="96"/>
    <x v="1"/>
    <x v="0"/>
    <d v="2024-01-01T00:00:00"/>
    <d v="1899-12-30T13:00:00"/>
    <n v="7"/>
    <n v="0"/>
  </r>
  <r>
    <d v="2024-01-01T13:00:00"/>
    <x v="1"/>
    <x v="6"/>
    <n v="1007"/>
    <x v="1"/>
    <n v="30"/>
    <n v="3750"/>
    <n v="112500"/>
    <x v="2"/>
    <n v="96"/>
    <x v="2"/>
    <x v="0"/>
    <d v="2024-01-01T00:00:00"/>
    <d v="1899-12-30T13:00:00"/>
    <n v="15"/>
    <n v="0"/>
  </r>
  <r>
    <d v="2024-01-01T13:00:00"/>
    <x v="1"/>
    <x v="10"/>
    <n v="1007"/>
    <x v="1"/>
    <n v="30"/>
    <n v="3750"/>
    <n v="112500"/>
    <x v="8"/>
    <n v="96"/>
    <x v="9"/>
    <x v="0"/>
    <d v="2024-01-01T00:00:00"/>
    <d v="1899-12-30T13:00:00"/>
    <n v="16"/>
    <n v="0"/>
  </r>
  <r>
    <d v="2024-01-01T13:00:00"/>
    <x v="1"/>
    <x v="9"/>
    <n v="1007"/>
    <x v="1"/>
    <n v="30"/>
    <n v="3750"/>
    <n v="112500"/>
    <x v="15"/>
    <n v="96"/>
    <x v="16"/>
    <x v="0"/>
    <d v="2024-01-01T00:00:00"/>
    <d v="1899-12-30T13:00:00"/>
    <n v="14"/>
    <n v="0"/>
  </r>
  <r>
    <d v="2024-01-01T13:00:00"/>
    <x v="1"/>
    <x v="4"/>
    <n v="1007"/>
    <x v="1"/>
    <n v="30"/>
    <n v="3750"/>
    <n v="112500"/>
    <x v="6"/>
    <n v="96"/>
    <x v="7"/>
    <x v="0"/>
    <d v="2024-01-01T00:00:00"/>
    <d v="1899-12-30T13:00:00"/>
    <n v="10"/>
    <n v="0"/>
  </r>
  <r>
    <d v="2024-01-01T13:00:00"/>
    <x v="1"/>
    <x v="5"/>
    <n v="1007"/>
    <x v="1"/>
    <n v="30"/>
    <n v="3750"/>
    <n v="112500"/>
    <x v="29"/>
    <n v="96"/>
    <x v="37"/>
    <x v="0"/>
    <d v="2024-01-01T00:00:00"/>
    <d v="1899-12-30T13:00:00"/>
    <n v="8"/>
    <n v="0"/>
  </r>
  <r>
    <d v="2024-01-01T13:00:00"/>
    <x v="0"/>
    <x v="11"/>
    <n v="15"/>
    <x v="0"/>
    <n v="1000"/>
    <n v="160"/>
    <n v="160000"/>
    <x v="6"/>
    <n v="72"/>
    <x v="7"/>
    <x v="0"/>
    <d v="2024-01-01T00:00:00"/>
    <d v="1899-12-30T13:00:00"/>
    <n v="6"/>
    <n v="0"/>
  </r>
  <r>
    <d v="2024-01-01T13:00:00"/>
    <x v="1"/>
    <x v="2"/>
    <n v="1007"/>
    <x v="1"/>
    <n v="30"/>
    <n v="3550"/>
    <n v="106500"/>
    <x v="30"/>
    <n v="96"/>
    <x v="40"/>
    <x v="0"/>
    <d v="2024-01-01T00:00:00"/>
    <d v="1899-12-30T13:00:00"/>
    <n v="9"/>
    <n v="0"/>
  </r>
  <r>
    <d v="2024-01-01T13:00:00"/>
    <x v="1"/>
    <x v="3"/>
    <n v="1007"/>
    <x v="1"/>
    <n v="30"/>
    <n v="3750"/>
    <n v="112500"/>
    <x v="13"/>
    <n v="96"/>
    <x v="14"/>
    <x v="0"/>
    <d v="2024-01-01T00:00:00"/>
    <d v="1899-12-30T13:00:00"/>
    <n v="11"/>
    <n v="0"/>
  </r>
  <r>
    <d v="2024-01-01T13:00:00"/>
    <x v="1"/>
    <x v="7"/>
    <n v="1007"/>
    <x v="1"/>
    <n v="30"/>
    <n v="3750"/>
    <n v="112500"/>
    <x v="15"/>
    <n v="96"/>
    <x v="16"/>
    <x v="0"/>
    <d v="2024-01-01T00:00:00"/>
    <d v="1899-12-30T13:00:00"/>
    <n v="12"/>
    <n v="0"/>
  </r>
  <r>
    <d v="2024-01-01T13:00:00"/>
    <x v="1"/>
    <x v="1"/>
    <n v="1007"/>
    <x v="1"/>
    <n v="30"/>
    <n v="3750"/>
    <n v="112500"/>
    <x v="1"/>
    <n v="96"/>
    <x v="2"/>
    <x v="0"/>
    <d v="2024-01-01T00:00:00"/>
    <d v="1899-12-30T13:00:00"/>
    <n v="13"/>
    <n v="0"/>
  </r>
  <r>
    <d v="2024-01-01T14:00:00"/>
    <x v="0"/>
    <x v="12"/>
    <n v="13"/>
    <x v="3"/>
    <n v="500"/>
    <n v="1020"/>
    <n v="510000"/>
    <x v="15"/>
    <n v="24"/>
    <x v="41"/>
    <x v="0"/>
    <d v="2024-01-01T00:00:00"/>
    <d v="1899-12-30T14:00:00"/>
    <d v="1900-01-04T00:00:00"/>
    <n v="0"/>
  </r>
  <r>
    <d v="2024-01-01T15:00:00"/>
    <x v="1"/>
    <x v="8"/>
    <n v="1007"/>
    <x v="2"/>
    <n v="8"/>
    <n v="6650"/>
    <n v="53200"/>
    <x v="2"/>
    <n v="96"/>
    <x v="2"/>
    <x v="0"/>
    <d v="2024-01-01T00:00:00"/>
    <d v="1899-12-30T15:00:00"/>
    <n v="7"/>
    <n v="0"/>
  </r>
  <r>
    <d v="2024-01-01T15:00:00"/>
    <x v="1"/>
    <x v="10"/>
    <n v="1007"/>
    <x v="2"/>
    <n v="8"/>
    <n v="6650"/>
    <n v="53200"/>
    <x v="8"/>
    <n v="96"/>
    <x v="9"/>
    <x v="0"/>
    <d v="2024-01-01T00:00:00"/>
    <d v="1899-12-30T15:00:00"/>
    <n v="16"/>
    <n v="0"/>
  </r>
  <r>
    <d v="2024-01-01T15:00:00"/>
    <x v="1"/>
    <x v="4"/>
    <n v="1007"/>
    <x v="2"/>
    <n v="8"/>
    <n v="6650"/>
    <n v="53200"/>
    <x v="28"/>
    <n v="96"/>
    <x v="25"/>
    <x v="0"/>
    <d v="2024-01-01T00:00:00"/>
    <d v="1899-12-30T15:00:00"/>
    <n v="10"/>
    <n v="0"/>
  </r>
  <r>
    <d v="2024-01-01T15:00:00"/>
    <x v="1"/>
    <x v="6"/>
    <n v="1007"/>
    <x v="2"/>
    <n v="8"/>
    <n v="6650"/>
    <n v="53200"/>
    <x v="24"/>
    <n v="96"/>
    <x v="42"/>
    <x v="0"/>
    <d v="2024-01-01T00:00:00"/>
    <d v="1899-12-30T15:00:00"/>
    <n v="15"/>
    <n v="0"/>
  </r>
  <r>
    <d v="2024-01-01T15:00:00"/>
    <x v="1"/>
    <x v="5"/>
    <n v="1007"/>
    <x v="2"/>
    <n v="8"/>
    <n v="6650"/>
    <n v="53200"/>
    <x v="31"/>
    <n v="96"/>
    <x v="43"/>
    <x v="0"/>
    <d v="2024-01-01T00:00:00"/>
    <d v="1899-12-30T15:00:00"/>
    <n v="8"/>
    <n v="0"/>
  </r>
  <r>
    <d v="2024-01-01T15:00:00"/>
    <x v="1"/>
    <x v="3"/>
    <n v="1007"/>
    <x v="2"/>
    <n v="8"/>
    <n v="6650"/>
    <n v="53200"/>
    <x v="25"/>
    <n v="96"/>
    <x v="44"/>
    <x v="0"/>
    <d v="2024-01-01T00:00:00"/>
    <d v="1899-12-30T15:00:00"/>
    <n v="11"/>
    <n v="0"/>
  </r>
  <r>
    <d v="2024-01-01T15:00:00"/>
    <x v="1"/>
    <x v="9"/>
    <n v="1007"/>
    <x v="2"/>
    <n v="8"/>
    <n v="6650"/>
    <n v="53200"/>
    <x v="3"/>
    <n v="96"/>
    <x v="3"/>
    <x v="0"/>
    <d v="2024-01-01T00:00:00"/>
    <d v="1899-12-30T15:00:00"/>
    <n v="14"/>
    <n v="0"/>
  </r>
  <r>
    <d v="2024-01-01T15:00:00"/>
    <x v="1"/>
    <x v="1"/>
    <n v="1007"/>
    <x v="2"/>
    <n v="8"/>
    <n v="6650"/>
    <n v="53200"/>
    <x v="30"/>
    <n v="96"/>
    <x v="40"/>
    <x v="0"/>
    <d v="2024-01-01T00:00:00"/>
    <d v="1899-12-30T15:00:00"/>
    <n v="13"/>
    <n v="0"/>
  </r>
  <r>
    <d v="2024-01-01T15:00:00"/>
    <x v="1"/>
    <x v="2"/>
    <n v="1007"/>
    <x v="2"/>
    <n v="8"/>
    <n v="6650"/>
    <n v="53200"/>
    <x v="32"/>
    <n v="96"/>
    <x v="45"/>
    <x v="0"/>
    <d v="2024-01-01T00:00:00"/>
    <d v="1899-12-30T15:00:00"/>
    <n v="9"/>
    <n v="0"/>
  </r>
  <r>
    <d v="2024-01-01T15:00:00"/>
    <x v="1"/>
    <x v="7"/>
    <n v="1007"/>
    <x v="2"/>
    <n v="8"/>
    <n v="6650"/>
    <n v="53200"/>
    <x v="9"/>
    <n v="96"/>
    <x v="10"/>
    <x v="0"/>
    <d v="2024-01-01T00:00:00"/>
    <d v="1899-12-30T15:00:00"/>
    <n v="12"/>
    <n v="0"/>
  </r>
  <r>
    <d v="2024-01-01T15:00:00"/>
    <x v="0"/>
    <x v="12"/>
    <n v="13"/>
    <x v="0"/>
    <n v="3000"/>
    <n v="147"/>
    <n v="441000"/>
    <x v="3"/>
    <n v="24"/>
    <x v="46"/>
    <x v="0"/>
    <d v="2024-01-01T00:00:00"/>
    <d v="1899-12-30T15:00:00"/>
    <n v="5"/>
    <n v="0"/>
  </r>
  <r>
    <d v="2024-01-01T16:00:00"/>
    <x v="1"/>
    <x v="5"/>
    <n v="1009"/>
    <x v="2"/>
    <n v="3"/>
    <n v="6650"/>
    <n v="19950"/>
    <x v="31"/>
    <n v="96"/>
    <x v="43"/>
    <x v="0"/>
    <d v="2024-01-01T00:00:00"/>
    <d v="1899-12-30T16:00:00"/>
    <n v="8"/>
    <n v="0"/>
  </r>
  <r>
    <d v="2024-01-01T16:00:00"/>
    <x v="1"/>
    <x v="4"/>
    <n v="1009"/>
    <x v="2"/>
    <n v="3"/>
    <n v="6650"/>
    <n v="19950"/>
    <x v="15"/>
    <n v="96"/>
    <x v="16"/>
    <x v="0"/>
    <d v="2024-01-01T00:00:00"/>
    <d v="1899-12-30T16:00:00"/>
    <n v="10"/>
    <n v="0"/>
  </r>
  <r>
    <d v="2024-01-01T16:00:00"/>
    <x v="1"/>
    <x v="8"/>
    <n v="1009"/>
    <x v="2"/>
    <n v="3"/>
    <n v="6650"/>
    <n v="19950"/>
    <x v="33"/>
    <n v="96"/>
    <x v="47"/>
    <x v="0"/>
    <d v="2024-01-01T00:00:00"/>
    <d v="1899-12-30T16:00:00"/>
    <n v="7"/>
    <n v="0"/>
  </r>
  <r>
    <d v="2024-01-01T16:00:00"/>
    <x v="1"/>
    <x v="10"/>
    <n v="1009"/>
    <x v="2"/>
    <n v="3"/>
    <n v="6650"/>
    <n v="19950"/>
    <x v="8"/>
    <n v="96"/>
    <x v="9"/>
    <x v="0"/>
    <d v="2024-01-01T00:00:00"/>
    <d v="1899-12-30T16:00:00"/>
    <n v="16"/>
    <n v="0"/>
  </r>
  <r>
    <d v="2024-01-01T16:00:00"/>
    <x v="1"/>
    <x v="9"/>
    <n v="1009"/>
    <x v="2"/>
    <n v="3"/>
    <n v="6650"/>
    <n v="19950"/>
    <x v="14"/>
    <n v="96"/>
    <x v="1"/>
    <x v="0"/>
    <d v="2024-01-01T00:00:00"/>
    <d v="1899-12-30T16:00:00"/>
    <n v="14"/>
    <n v="0"/>
  </r>
  <r>
    <d v="2024-01-01T16:00:00"/>
    <x v="1"/>
    <x v="3"/>
    <n v="1009"/>
    <x v="2"/>
    <n v="3"/>
    <n v="6650"/>
    <n v="19950"/>
    <x v="33"/>
    <n v="96"/>
    <x v="47"/>
    <x v="0"/>
    <d v="2024-01-01T00:00:00"/>
    <d v="1899-12-30T16:00:00"/>
    <n v="11"/>
    <n v="0"/>
  </r>
  <r>
    <d v="2024-01-01T16:00:00"/>
    <x v="1"/>
    <x v="6"/>
    <n v="1009"/>
    <x v="2"/>
    <n v="3"/>
    <n v="6650"/>
    <n v="19950"/>
    <x v="24"/>
    <n v="96"/>
    <x v="42"/>
    <x v="0"/>
    <d v="2024-01-01T00:00:00"/>
    <d v="1899-12-30T16:00:00"/>
    <n v="15"/>
    <n v="0"/>
  </r>
  <r>
    <d v="2024-01-01T16:00:00"/>
    <x v="1"/>
    <x v="1"/>
    <n v="1009"/>
    <x v="2"/>
    <n v="3"/>
    <n v="6650"/>
    <n v="19950"/>
    <x v="30"/>
    <n v="96"/>
    <x v="40"/>
    <x v="0"/>
    <d v="2024-01-01T00:00:00"/>
    <d v="1899-12-30T16:00:00"/>
    <n v="13"/>
    <n v="0"/>
  </r>
  <r>
    <d v="2024-01-01T16:00:00"/>
    <x v="1"/>
    <x v="2"/>
    <n v="1009"/>
    <x v="2"/>
    <n v="3"/>
    <n v="6650"/>
    <n v="19950"/>
    <x v="32"/>
    <n v="96"/>
    <x v="45"/>
    <x v="0"/>
    <d v="2024-01-01T00:00:00"/>
    <d v="1899-12-30T16:00:00"/>
    <n v="9"/>
    <n v="0"/>
  </r>
  <r>
    <d v="2024-01-01T16:00:00"/>
    <x v="1"/>
    <x v="7"/>
    <n v="1009"/>
    <x v="2"/>
    <n v="3"/>
    <n v="6650"/>
    <n v="19950"/>
    <x v="34"/>
    <n v="96"/>
    <x v="5"/>
    <x v="0"/>
    <d v="2024-01-01T00:00:00"/>
    <d v="1899-12-30T16:00:00"/>
    <n v="12"/>
    <n v="0"/>
  </r>
  <r>
    <d v="2024-01-01T17:00:00"/>
    <x v="0"/>
    <x v="0"/>
    <n v="8"/>
    <x v="3"/>
    <n v="400"/>
    <n v="1350"/>
    <n v="540000"/>
    <x v="8"/>
    <n v="72"/>
    <x v="9"/>
    <x v="0"/>
    <d v="2024-01-01T00:00:00"/>
    <d v="1899-12-30T17:00:00"/>
    <d v="1900-01-03T00:00:00"/>
    <n v="0"/>
  </r>
  <r>
    <d v="2024-01-01T18:00:00"/>
    <x v="1"/>
    <x v="7"/>
    <n v="1009"/>
    <x v="1"/>
    <n v="20"/>
    <n v="3750"/>
    <n v="75000"/>
    <x v="1"/>
    <n v="96"/>
    <x v="1"/>
    <x v="0"/>
    <d v="2024-01-01T00:00:00"/>
    <d v="1899-12-30T18:00:00"/>
    <n v="12"/>
    <n v="0"/>
  </r>
  <r>
    <d v="2024-01-01T18:00:00"/>
    <x v="1"/>
    <x v="6"/>
    <n v="1009"/>
    <x v="1"/>
    <n v="20"/>
    <n v="3750"/>
    <n v="75000"/>
    <x v="24"/>
    <n v="96"/>
    <x v="42"/>
    <x v="0"/>
    <d v="2024-01-01T00:00:00"/>
    <d v="1899-12-30T18:00:00"/>
    <n v="15"/>
    <n v="0"/>
  </r>
  <r>
    <d v="2024-01-01T18:00:00"/>
    <x v="1"/>
    <x v="10"/>
    <n v="1009"/>
    <x v="1"/>
    <n v="20"/>
    <n v="3750"/>
    <n v="75000"/>
    <x v="8"/>
    <n v="96"/>
    <x v="9"/>
    <x v="0"/>
    <d v="2024-01-01T00:00:00"/>
    <d v="1899-12-30T18:00:00"/>
    <n v="16"/>
    <n v="0"/>
  </r>
  <r>
    <d v="2024-01-01T18:00:00"/>
    <x v="0"/>
    <x v="0"/>
    <n v="8"/>
    <x v="0"/>
    <n v="2000"/>
    <n v="110"/>
    <n v="220000"/>
    <x v="9"/>
    <n v="72"/>
    <x v="10"/>
    <x v="0"/>
    <d v="2024-01-01T00:00:00"/>
    <d v="1899-12-30T18:00:00"/>
    <n v="4"/>
    <n v="0"/>
  </r>
  <r>
    <d v="2024-01-01T18:00:00"/>
    <x v="1"/>
    <x v="2"/>
    <n v="1009"/>
    <x v="1"/>
    <n v="20"/>
    <n v="3550"/>
    <n v="71000"/>
    <x v="35"/>
    <n v="96"/>
    <x v="48"/>
    <x v="0"/>
    <d v="2024-01-01T00:00:00"/>
    <d v="1899-12-30T18:00:00"/>
    <n v="9"/>
    <n v="0"/>
  </r>
  <r>
    <d v="2024-01-01T18:00:00"/>
    <x v="1"/>
    <x v="5"/>
    <n v="1009"/>
    <x v="1"/>
    <n v="20"/>
    <n v="3750"/>
    <n v="75000"/>
    <x v="32"/>
    <n v="96"/>
    <x v="45"/>
    <x v="0"/>
    <d v="2024-01-01T00:00:00"/>
    <d v="1899-12-30T18:00:00"/>
    <n v="8"/>
    <n v="0"/>
  </r>
  <r>
    <d v="2024-01-01T18:00:00"/>
    <x v="1"/>
    <x v="8"/>
    <n v="1009"/>
    <x v="1"/>
    <n v="20"/>
    <n v="3750"/>
    <n v="75000"/>
    <x v="36"/>
    <n v="96"/>
    <x v="49"/>
    <x v="0"/>
    <d v="2024-01-01T00:00:00"/>
    <d v="1899-12-30T18:00:00"/>
    <n v="7"/>
    <n v="0"/>
  </r>
  <r>
    <d v="2024-01-01T18:00:00"/>
    <x v="1"/>
    <x v="9"/>
    <n v="1009"/>
    <x v="1"/>
    <n v="20"/>
    <n v="3750"/>
    <n v="75000"/>
    <x v="14"/>
    <n v="96"/>
    <x v="15"/>
    <x v="0"/>
    <d v="2024-01-01T00:00:00"/>
    <d v="1899-12-30T18:00:00"/>
    <n v="14"/>
    <n v="0"/>
  </r>
  <r>
    <d v="2024-01-01T18:00:00"/>
    <x v="1"/>
    <x v="1"/>
    <n v="1009"/>
    <x v="1"/>
    <n v="20"/>
    <n v="3750"/>
    <n v="75000"/>
    <x v="35"/>
    <n v="96"/>
    <x v="48"/>
    <x v="0"/>
    <d v="2024-01-01T00:00:00"/>
    <d v="1899-12-30T18:00:00"/>
    <n v="13"/>
    <n v="0"/>
  </r>
  <r>
    <d v="2024-01-01T18:00:00"/>
    <x v="1"/>
    <x v="3"/>
    <n v="1009"/>
    <x v="1"/>
    <n v="20"/>
    <n v="3750"/>
    <n v="75000"/>
    <x v="37"/>
    <n v="96"/>
    <x v="50"/>
    <x v="0"/>
    <d v="2024-01-01T00:00:00"/>
    <d v="1899-12-30T18:00:00"/>
    <n v="11"/>
    <n v="0"/>
  </r>
  <r>
    <d v="2024-01-01T19:00:00"/>
    <x v="0"/>
    <x v="13"/>
    <n v="9"/>
    <x v="3"/>
    <n v="550"/>
    <n v="1250"/>
    <n v="687500"/>
    <x v="33"/>
    <n v="72"/>
    <x v="47"/>
    <x v="0"/>
    <d v="2024-01-01T00:00:00"/>
    <d v="1899-12-30T19:00:00"/>
    <d v="1900-01-01T00:00:00"/>
    <n v="0"/>
  </r>
  <r>
    <d v="2024-01-01T20:00:00"/>
    <x v="2"/>
    <x v="9"/>
    <n v="2002"/>
    <x v="1"/>
    <n v="30"/>
    <n v="3750"/>
    <n v="112500"/>
    <x v="7"/>
    <n v="132"/>
    <x v="51"/>
    <x v="0"/>
    <d v="2024-01-01T00:00:00"/>
    <d v="1899-12-30T20:00:00"/>
    <n v="14"/>
    <n v="0"/>
  </r>
  <r>
    <d v="2024-01-01T20:00:00"/>
    <x v="2"/>
    <x v="5"/>
    <n v="2002"/>
    <x v="1"/>
    <n v="30"/>
    <n v="3700"/>
    <n v="111000"/>
    <x v="38"/>
    <n v="132"/>
    <x v="52"/>
    <x v="0"/>
    <d v="2024-01-01T00:00:00"/>
    <d v="1899-12-30T20:00:00"/>
    <n v="8"/>
    <n v="0"/>
  </r>
  <r>
    <d v="2024-01-01T20:00:00"/>
    <x v="2"/>
    <x v="1"/>
    <n v="2002"/>
    <x v="2"/>
    <n v="14"/>
    <n v="6650"/>
    <n v="93100"/>
    <x v="39"/>
    <n v="132"/>
    <x v="53"/>
    <x v="0"/>
    <d v="2024-01-01T00:00:00"/>
    <d v="1899-12-30T20:00:00"/>
    <n v="13"/>
    <n v="0"/>
  </r>
  <r>
    <d v="2024-01-01T20:00:00"/>
    <x v="2"/>
    <x v="10"/>
    <n v="2002"/>
    <x v="2"/>
    <n v="14"/>
    <n v="6650"/>
    <n v="93100"/>
    <x v="5"/>
    <n v="132"/>
    <x v="54"/>
    <x v="0"/>
    <d v="2024-01-01T00:00:00"/>
    <d v="1899-12-30T20:00:00"/>
    <n v="16"/>
    <n v="0"/>
  </r>
  <r>
    <d v="2024-01-01T20:00:00"/>
    <x v="2"/>
    <x v="4"/>
    <n v="2002"/>
    <x v="2"/>
    <n v="14"/>
    <n v="6800"/>
    <n v="95200"/>
    <x v="14"/>
    <n v="132"/>
    <x v="55"/>
    <x v="0"/>
    <d v="2024-01-01T00:00:00"/>
    <d v="1899-12-30T20:00:00"/>
    <n v="10"/>
    <n v="0"/>
  </r>
  <r>
    <d v="2024-01-01T20:00:00"/>
    <x v="2"/>
    <x v="3"/>
    <n v="2002"/>
    <x v="2"/>
    <n v="14"/>
    <n v="6650"/>
    <n v="93100"/>
    <x v="37"/>
    <n v="132"/>
    <x v="56"/>
    <x v="0"/>
    <d v="2024-01-01T00:00:00"/>
    <d v="1899-12-30T20:00:00"/>
    <n v="11"/>
    <n v="0"/>
  </r>
  <r>
    <d v="2024-01-01T20:00:00"/>
    <x v="2"/>
    <x v="9"/>
    <n v="2002"/>
    <x v="2"/>
    <n v="14"/>
    <n v="6650"/>
    <n v="93100"/>
    <x v="7"/>
    <n v="132"/>
    <x v="57"/>
    <x v="0"/>
    <d v="2024-01-01T00:00:00"/>
    <d v="1899-12-30T20:00:00"/>
    <n v="14"/>
    <n v="0"/>
  </r>
  <r>
    <d v="2024-01-01T20:00:00"/>
    <x v="2"/>
    <x v="3"/>
    <n v="2002"/>
    <x v="1"/>
    <n v="30"/>
    <n v="3750"/>
    <n v="112500"/>
    <x v="7"/>
    <n v="132"/>
    <x v="57"/>
    <x v="0"/>
    <d v="2024-01-01T00:00:00"/>
    <d v="1899-12-30T20:00:00"/>
    <n v="11"/>
    <n v="0"/>
  </r>
  <r>
    <d v="2024-01-01T20:00:00"/>
    <x v="2"/>
    <x v="7"/>
    <n v="2002"/>
    <x v="2"/>
    <n v="14"/>
    <n v="6650"/>
    <n v="93100"/>
    <x v="40"/>
    <n v="120"/>
    <x v="58"/>
    <x v="0"/>
    <d v="2024-01-01T00:00:00"/>
    <d v="1899-12-30T20:00:00"/>
    <n v="12"/>
    <n v="0"/>
  </r>
  <r>
    <d v="2024-01-01T20:00:00"/>
    <x v="2"/>
    <x v="10"/>
    <n v="2002"/>
    <x v="1"/>
    <n v="30"/>
    <n v="3750"/>
    <n v="112500"/>
    <x v="5"/>
    <n v="132"/>
    <x v="54"/>
    <x v="0"/>
    <d v="2024-01-01T00:00:00"/>
    <d v="1899-12-30T20:00:00"/>
    <n v="16"/>
    <n v="0"/>
  </r>
  <r>
    <d v="2024-01-01T20:00:00"/>
    <x v="2"/>
    <x v="2"/>
    <n v="2002"/>
    <x v="1"/>
    <n v="30"/>
    <n v="3600"/>
    <n v="108000"/>
    <x v="36"/>
    <n v="96"/>
    <x v="49"/>
    <x v="0"/>
    <d v="2024-01-01T00:00:00"/>
    <d v="1899-12-30T20:00:00"/>
    <n v="9"/>
    <n v="0"/>
  </r>
  <r>
    <d v="2024-01-01T20:00:00"/>
    <x v="2"/>
    <x v="7"/>
    <n v="2002"/>
    <x v="1"/>
    <n v="30"/>
    <n v="3750"/>
    <n v="112500"/>
    <x v="2"/>
    <n v="132"/>
    <x v="59"/>
    <x v="0"/>
    <d v="2024-01-01T00:00:00"/>
    <d v="1899-12-30T20:00:00"/>
    <n v="12"/>
    <n v="0"/>
  </r>
  <r>
    <d v="2024-01-01T20:00:00"/>
    <x v="2"/>
    <x v="8"/>
    <n v="2002"/>
    <x v="2"/>
    <n v="14"/>
    <n v="6650"/>
    <n v="93100"/>
    <x v="36"/>
    <n v="132"/>
    <x v="60"/>
    <x v="0"/>
    <d v="2024-01-01T00:00:00"/>
    <d v="1899-12-30T20:00:00"/>
    <n v="7"/>
    <n v="0"/>
  </r>
  <r>
    <d v="2024-01-01T20:00:00"/>
    <x v="2"/>
    <x v="2"/>
    <n v="2002"/>
    <x v="2"/>
    <n v="14"/>
    <n v="6650"/>
    <n v="93100"/>
    <x v="41"/>
    <n v="132"/>
    <x v="61"/>
    <x v="0"/>
    <d v="2024-01-01T00:00:00"/>
    <d v="1899-12-30T20:00:00"/>
    <n v="9"/>
    <n v="0"/>
  </r>
  <r>
    <d v="2024-01-01T20:00:00"/>
    <x v="2"/>
    <x v="6"/>
    <n v="2002"/>
    <x v="2"/>
    <n v="14"/>
    <n v="6650"/>
    <n v="93100"/>
    <x v="29"/>
    <n v="132"/>
    <x v="58"/>
    <x v="0"/>
    <d v="2024-01-01T00:00:00"/>
    <d v="1899-12-30T20:00:00"/>
    <n v="15"/>
    <n v="0"/>
  </r>
  <r>
    <d v="2024-01-01T20:00:00"/>
    <x v="2"/>
    <x v="4"/>
    <n v="2002"/>
    <x v="1"/>
    <n v="50"/>
    <n v="3650"/>
    <n v="182500"/>
    <x v="14"/>
    <n v="156"/>
    <x v="55"/>
    <x v="0"/>
    <d v="2024-01-01T00:00:00"/>
    <d v="1899-12-30T20:00:00"/>
    <n v="10"/>
    <n v="0"/>
  </r>
  <r>
    <d v="2024-01-01T20:00:00"/>
    <x v="2"/>
    <x v="8"/>
    <n v="2002"/>
    <x v="1"/>
    <n v="30"/>
    <n v="3750"/>
    <n v="112500"/>
    <x v="42"/>
    <n v="132"/>
    <x v="56"/>
    <x v="0"/>
    <d v="2024-01-01T00:00:00"/>
    <d v="1899-12-30T20:00:00"/>
    <n v="7"/>
    <n v="0"/>
  </r>
  <r>
    <d v="2024-01-01T20:00:00"/>
    <x v="2"/>
    <x v="1"/>
    <n v="2002"/>
    <x v="1"/>
    <n v="30"/>
    <n v="3750"/>
    <n v="112500"/>
    <x v="39"/>
    <n v="132"/>
    <x v="53"/>
    <x v="0"/>
    <d v="2024-01-01T00:00:00"/>
    <d v="1899-12-30T20:00:00"/>
    <n v="13"/>
    <n v="0"/>
  </r>
  <r>
    <d v="2024-01-01T20:00:00"/>
    <x v="2"/>
    <x v="6"/>
    <n v="2002"/>
    <x v="1"/>
    <n v="30"/>
    <n v="3750"/>
    <n v="112500"/>
    <x v="42"/>
    <n v="132"/>
    <x v="56"/>
    <x v="0"/>
    <d v="2024-01-01T00:00:00"/>
    <d v="1899-12-30T20:00:00"/>
    <n v="15"/>
    <n v="0"/>
  </r>
  <r>
    <d v="2024-01-01T20:00:00"/>
    <x v="2"/>
    <x v="5"/>
    <n v="2002"/>
    <x v="2"/>
    <n v="14"/>
    <n v="6650"/>
    <n v="93100"/>
    <x v="38"/>
    <n v="132"/>
    <x v="52"/>
    <x v="0"/>
    <d v="2024-01-01T00:00:00"/>
    <d v="1899-12-30T20:00:00"/>
    <n v="8"/>
    <n v="0"/>
  </r>
  <r>
    <d v="2024-01-02T03:00:00"/>
    <x v="0"/>
    <x v="11"/>
    <n v="7"/>
    <x v="0"/>
    <n v="2500"/>
    <n v="120"/>
    <n v="300000"/>
    <x v="43"/>
    <n v="72"/>
    <x v="62"/>
    <x v="1"/>
    <d v="2024-01-02T00:00:00"/>
    <d v="1899-12-30T03:00:00"/>
    <d v="1900-01-05T00:00:00"/>
    <n v="0"/>
  </r>
  <r>
    <d v="2024-01-02T04:00:00"/>
    <x v="0"/>
    <x v="11"/>
    <n v="7"/>
    <x v="3"/>
    <n v="300"/>
    <n v="1200"/>
    <n v="360000"/>
    <x v="37"/>
    <n v="72"/>
    <x v="50"/>
    <x v="1"/>
    <d v="2024-01-02T00:00:00"/>
    <d v="1899-12-30T04:00:00"/>
    <d v="1900-01-05T00:00:00"/>
    <n v="0"/>
  </r>
  <r>
    <d v="2024-01-02T05:00:00"/>
    <x v="0"/>
    <x v="11"/>
    <n v="7"/>
    <x v="4"/>
    <n v="1500"/>
    <n v="9"/>
    <n v="13500"/>
    <x v="43"/>
    <n v="72"/>
    <x v="62"/>
    <x v="1"/>
    <d v="2024-01-02T00:00:00"/>
    <d v="1899-12-30T05:00:00"/>
    <d v="1900-01-05T00:00:00"/>
    <n v="0"/>
  </r>
  <r>
    <d v="2024-01-02T05:00:00"/>
    <x v="0"/>
    <x v="14"/>
    <n v="13"/>
    <x v="0"/>
    <n v="2000"/>
    <n v="120"/>
    <n v="240000"/>
    <x v="43"/>
    <n v="72"/>
    <x v="62"/>
    <x v="1"/>
    <d v="2024-01-02T00:00:00"/>
    <d v="1899-12-30T05:00:00"/>
    <d v="1900-01-02T00:00:00"/>
    <n v="0"/>
  </r>
  <r>
    <d v="2024-01-02T06:00:00"/>
    <x v="1"/>
    <x v="1"/>
    <n v="1008"/>
    <x v="1"/>
    <n v="34"/>
    <n v="3650"/>
    <n v="124100"/>
    <x v="44"/>
    <n v="120"/>
    <x v="63"/>
    <x v="1"/>
    <d v="2024-01-02T00:00:00"/>
    <d v="1899-12-30T06:00:00"/>
    <n v="13"/>
    <n v="0"/>
  </r>
  <r>
    <d v="2024-01-02T06:00:00"/>
    <x v="1"/>
    <x v="3"/>
    <n v="1008"/>
    <x v="1"/>
    <n v="34"/>
    <n v="3650"/>
    <n v="124100"/>
    <x v="45"/>
    <n v="120"/>
    <x v="64"/>
    <x v="1"/>
    <d v="2024-01-02T00:00:00"/>
    <d v="1899-12-30T06:00:00"/>
    <n v="11"/>
    <n v="0"/>
  </r>
  <r>
    <d v="2024-01-02T06:00:00"/>
    <x v="1"/>
    <x v="6"/>
    <n v="1008"/>
    <x v="1"/>
    <n v="34"/>
    <n v="3650"/>
    <n v="124100"/>
    <x v="46"/>
    <n v="120"/>
    <x v="65"/>
    <x v="1"/>
    <d v="2024-01-02T00:00:00"/>
    <d v="1899-12-30T06:00:00"/>
    <n v="15"/>
    <n v="0"/>
  </r>
  <r>
    <d v="2024-01-02T06:00:00"/>
    <x v="1"/>
    <x v="10"/>
    <n v="1008"/>
    <x v="1"/>
    <n v="34"/>
    <n v="3650"/>
    <n v="124100"/>
    <x v="47"/>
    <n v="120"/>
    <x v="66"/>
    <x v="1"/>
    <d v="2024-01-02T00:00:00"/>
    <d v="1899-12-30T06:00:00"/>
    <n v="16"/>
    <n v="0"/>
  </r>
  <r>
    <d v="2024-01-02T06:00:00"/>
    <x v="1"/>
    <x v="9"/>
    <n v="1008"/>
    <x v="1"/>
    <n v="34"/>
    <n v="3650"/>
    <n v="124100"/>
    <x v="48"/>
    <n v="120"/>
    <x v="67"/>
    <x v="1"/>
    <d v="2024-01-02T00:00:00"/>
    <d v="1899-12-30T06:00:00"/>
    <n v="14"/>
    <n v="0"/>
  </r>
  <r>
    <d v="2024-01-02T06:00:00"/>
    <x v="0"/>
    <x v="14"/>
    <n v="13"/>
    <x v="3"/>
    <n v="300"/>
    <n v="1200"/>
    <n v="360000"/>
    <x v="7"/>
    <n v="72"/>
    <x v="68"/>
    <x v="1"/>
    <d v="2024-01-02T00:00:00"/>
    <d v="1899-12-30T06:00:00"/>
    <n v="3"/>
    <n v="0"/>
  </r>
  <r>
    <d v="2024-01-02T06:00:00"/>
    <x v="1"/>
    <x v="4"/>
    <n v="1008"/>
    <x v="1"/>
    <n v="34"/>
    <n v="3650"/>
    <n v="124100"/>
    <x v="43"/>
    <n v="120"/>
    <x v="62"/>
    <x v="1"/>
    <d v="2024-01-02T00:00:00"/>
    <d v="1899-12-30T06:00:00"/>
    <n v="10"/>
    <n v="0"/>
  </r>
  <r>
    <d v="2024-01-02T06:00:00"/>
    <x v="1"/>
    <x v="8"/>
    <n v="1008"/>
    <x v="1"/>
    <n v="34"/>
    <n v="3650"/>
    <n v="124100"/>
    <x v="49"/>
    <n v="120"/>
    <x v="69"/>
    <x v="1"/>
    <d v="2024-01-02T00:00:00"/>
    <d v="1899-12-30T06:00:00"/>
    <n v="7"/>
    <n v="0"/>
  </r>
  <r>
    <d v="2024-01-02T06:00:00"/>
    <x v="1"/>
    <x v="5"/>
    <n v="1008"/>
    <x v="1"/>
    <n v="34"/>
    <n v="3650"/>
    <n v="124100"/>
    <x v="44"/>
    <n v="120"/>
    <x v="63"/>
    <x v="1"/>
    <d v="2024-01-02T00:00:00"/>
    <d v="1899-12-30T06:00:00"/>
    <n v="8"/>
    <n v="0"/>
  </r>
  <r>
    <d v="2024-01-02T06:00:00"/>
    <x v="1"/>
    <x v="2"/>
    <n v="1008"/>
    <x v="1"/>
    <n v="30"/>
    <n v="3550"/>
    <n v="106500"/>
    <x v="39"/>
    <n v="96"/>
    <x v="36"/>
    <x v="1"/>
    <d v="2024-01-02T00:00:00"/>
    <d v="1899-12-30T06:00:00"/>
    <n v="9"/>
    <n v="0"/>
  </r>
  <r>
    <d v="2024-01-02T06:00:00"/>
    <x v="1"/>
    <x v="7"/>
    <n v="1008"/>
    <x v="1"/>
    <n v="34"/>
    <n v="3650"/>
    <n v="124100"/>
    <x v="50"/>
    <n v="120"/>
    <x v="55"/>
    <x v="1"/>
    <d v="2024-01-02T00:00:00"/>
    <d v="1899-12-30T06:00:00"/>
    <n v="12"/>
    <n v="0"/>
  </r>
  <r>
    <d v="2024-01-02T10:00:00"/>
    <x v="1"/>
    <x v="5"/>
    <n v="1008"/>
    <x v="2"/>
    <n v="8"/>
    <n v="7000"/>
    <n v="56000"/>
    <x v="51"/>
    <n v="96"/>
    <x v="39"/>
    <x v="1"/>
    <d v="2024-01-02T00:00:00"/>
    <d v="1899-12-30T10:00:00"/>
    <n v="8"/>
    <n v="0"/>
  </r>
  <r>
    <d v="2024-01-02T11:00:00"/>
    <x v="0"/>
    <x v="12"/>
    <n v="15"/>
    <x v="0"/>
    <n v="1000"/>
    <n v="147"/>
    <n v="147000"/>
    <x v="30"/>
    <n v="24"/>
    <x v="24"/>
    <x v="1"/>
    <d v="2024-01-02T00:00:00"/>
    <d v="1899-12-30T11:00:00"/>
    <d v="1900-01-04T00:00:00"/>
    <n v="0"/>
  </r>
  <r>
    <d v="2024-01-02T12:00:00"/>
    <x v="0"/>
    <x v="12"/>
    <n v="15"/>
    <x v="3"/>
    <n v="250"/>
    <n v="1020"/>
    <n v="255000"/>
    <x v="26"/>
    <n v="24"/>
    <x v="70"/>
    <x v="1"/>
    <d v="2024-01-02T00:00:00"/>
    <d v="1899-12-30T12:00:00"/>
    <d v="1900-01-04T00:00:00"/>
    <n v="0"/>
  </r>
  <r>
    <d v="2024-01-02T14:00:00"/>
    <x v="0"/>
    <x v="14"/>
    <n v="12"/>
    <x v="3"/>
    <n v="200"/>
    <n v="1200"/>
    <n v="240000"/>
    <x v="35"/>
    <n v="72"/>
    <x v="48"/>
    <x v="1"/>
    <d v="2024-01-02T00:00:00"/>
    <d v="1899-12-30T14:00:00"/>
    <d v="1900-01-02T00:00:00"/>
    <n v="0"/>
  </r>
  <r>
    <d v="2024-01-02T14:00:00"/>
    <x v="0"/>
    <x v="13"/>
    <n v="9"/>
    <x v="3"/>
    <n v="250"/>
    <n v="1250"/>
    <n v="312500"/>
    <x v="32"/>
    <n v="72"/>
    <x v="45"/>
    <x v="1"/>
    <d v="2024-01-02T00:00:00"/>
    <d v="1899-12-30T14:00:00"/>
    <d v="1900-01-01T00:00:00"/>
    <n v="0"/>
  </r>
  <r>
    <d v="2024-01-02T15:00:00"/>
    <x v="0"/>
    <x v="14"/>
    <n v="12"/>
    <x v="0"/>
    <n v="2700"/>
    <n v="120"/>
    <n v="324000"/>
    <x v="35"/>
    <n v="72"/>
    <x v="48"/>
    <x v="1"/>
    <d v="2024-01-02T00:00:00"/>
    <d v="1899-12-30T15:00:00"/>
    <d v="1900-01-02T00:00:00"/>
    <n v="0"/>
  </r>
  <r>
    <d v="2024-01-02T16:00:00"/>
    <x v="2"/>
    <x v="2"/>
    <n v="2003"/>
    <x v="1"/>
    <n v="30"/>
    <n v="3600"/>
    <n v="108000"/>
    <x v="52"/>
    <n v="96"/>
    <x v="59"/>
    <x v="1"/>
    <d v="2024-01-02T00:00:00"/>
    <d v="1899-12-30T16:00:00"/>
    <n v="9"/>
    <n v="0"/>
  </r>
  <r>
    <d v="2024-01-02T16:00:00"/>
    <x v="2"/>
    <x v="3"/>
    <n v="2003"/>
    <x v="1"/>
    <n v="30"/>
    <n v="3750"/>
    <n v="112500"/>
    <x v="51"/>
    <n v="132"/>
    <x v="71"/>
    <x v="1"/>
    <d v="2024-01-02T00:00:00"/>
    <d v="1899-12-30T16:00:00"/>
    <n v="11"/>
    <n v="0"/>
  </r>
  <r>
    <d v="2024-01-02T16:00:00"/>
    <x v="2"/>
    <x v="8"/>
    <n v="2003"/>
    <x v="1"/>
    <n v="30"/>
    <n v="3750"/>
    <n v="112500"/>
    <x v="53"/>
    <n v="132"/>
    <x v="72"/>
    <x v="1"/>
    <d v="2024-01-02T00:00:00"/>
    <d v="1899-12-30T16:00:00"/>
    <n v="7"/>
    <n v="0"/>
  </r>
  <r>
    <d v="2024-01-02T16:00:00"/>
    <x v="2"/>
    <x v="7"/>
    <n v="2003"/>
    <x v="2"/>
    <n v="24"/>
    <n v="6650"/>
    <n v="159600"/>
    <x v="35"/>
    <n v="120"/>
    <x v="73"/>
    <x v="1"/>
    <d v="2024-01-02T00:00:00"/>
    <d v="1899-12-30T16:00:00"/>
    <n v="12"/>
    <n v="0"/>
  </r>
  <r>
    <d v="2024-01-02T16:00:00"/>
    <x v="2"/>
    <x v="7"/>
    <n v="2003"/>
    <x v="1"/>
    <n v="30"/>
    <n v="3750"/>
    <n v="112500"/>
    <x v="35"/>
    <n v="120"/>
    <x v="52"/>
    <x v="1"/>
    <d v="2024-01-02T00:00:00"/>
    <d v="1899-12-30T16:00:00"/>
    <n v="12"/>
    <n v="0"/>
  </r>
  <r>
    <d v="2024-01-02T16:00:00"/>
    <x v="2"/>
    <x v="10"/>
    <n v="2003"/>
    <x v="2"/>
    <n v="24"/>
    <n v="6650"/>
    <n v="159600"/>
    <x v="36"/>
    <n v="132"/>
    <x v="60"/>
    <x v="1"/>
    <d v="2024-01-02T00:00:00"/>
    <d v="1899-12-30T16:00:00"/>
    <n v="16"/>
    <n v="0"/>
  </r>
  <r>
    <d v="2024-01-02T16:00:00"/>
    <x v="2"/>
    <x v="10"/>
    <n v="2003"/>
    <x v="1"/>
    <n v="30"/>
    <n v="3750"/>
    <n v="112500"/>
    <x v="36"/>
    <n v="132"/>
    <x v="60"/>
    <x v="1"/>
    <d v="2024-01-02T00:00:00"/>
    <d v="1899-12-30T16:00:00"/>
    <n v="16"/>
    <n v="0"/>
  </r>
  <r>
    <d v="2024-01-02T16:00:00"/>
    <x v="2"/>
    <x v="8"/>
    <n v="2003"/>
    <x v="2"/>
    <n v="24"/>
    <n v="6650"/>
    <n v="159600"/>
    <x v="54"/>
    <n v="132"/>
    <x v="74"/>
    <x v="1"/>
    <d v="2024-01-02T00:00:00"/>
    <d v="1899-12-30T16:00:00"/>
    <n v="7"/>
    <n v="0"/>
  </r>
  <r>
    <d v="2024-01-02T16:00:00"/>
    <x v="2"/>
    <x v="4"/>
    <n v="2003"/>
    <x v="2"/>
    <n v="24"/>
    <n v="6800"/>
    <n v="163200"/>
    <x v="39"/>
    <n v="132"/>
    <x v="53"/>
    <x v="1"/>
    <d v="2024-01-02T00:00:00"/>
    <d v="1899-12-30T16:00:00"/>
    <n v="10"/>
    <n v="0"/>
  </r>
  <r>
    <d v="2024-01-02T16:00:00"/>
    <x v="2"/>
    <x v="3"/>
    <n v="2003"/>
    <x v="2"/>
    <n v="24"/>
    <n v="6650"/>
    <n v="159600"/>
    <x v="55"/>
    <n v="132"/>
    <x v="75"/>
    <x v="1"/>
    <d v="2024-01-02T00:00:00"/>
    <d v="1899-12-30T16:00:00"/>
    <n v="11"/>
    <n v="0"/>
  </r>
  <r>
    <d v="2024-01-02T16:00:00"/>
    <x v="2"/>
    <x v="6"/>
    <n v="2003"/>
    <x v="2"/>
    <n v="24"/>
    <n v="6650"/>
    <n v="159600"/>
    <x v="56"/>
    <n v="132"/>
    <x v="76"/>
    <x v="1"/>
    <d v="2024-01-02T00:00:00"/>
    <d v="1899-12-30T16:00:00"/>
    <n v="15"/>
    <n v="0"/>
  </r>
  <r>
    <d v="2024-01-02T16:00:00"/>
    <x v="2"/>
    <x v="4"/>
    <n v="2003"/>
    <x v="1"/>
    <n v="30"/>
    <n v="3700"/>
    <n v="111000"/>
    <x v="39"/>
    <n v="132"/>
    <x v="53"/>
    <x v="1"/>
    <d v="2024-01-02T00:00:00"/>
    <d v="1899-12-30T16:00:00"/>
    <n v="10"/>
    <n v="0"/>
  </r>
  <r>
    <d v="2024-01-02T16:00:00"/>
    <x v="2"/>
    <x v="9"/>
    <n v="2003"/>
    <x v="1"/>
    <n v="30"/>
    <n v="3750"/>
    <n v="112500"/>
    <x v="47"/>
    <n v="132"/>
    <x v="77"/>
    <x v="1"/>
    <d v="2024-01-02T00:00:00"/>
    <d v="1899-12-30T16:00:00"/>
    <n v="14"/>
    <n v="0"/>
  </r>
  <r>
    <d v="2024-01-02T16:00:00"/>
    <x v="2"/>
    <x v="2"/>
    <n v="2003"/>
    <x v="2"/>
    <n v="24"/>
    <n v="6650"/>
    <n v="159600"/>
    <x v="57"/>
    <n v="132"/>
    <x v="78"/>
    <x v="1"/>
    <d v="2024-01-02T00:00:00"/>
    <d v="1899-12-30T16:00:00"/>
    <n v="9"/>
    <n v="0"/>
  </r>
  <r>
    <d v="2024-01-02T16:00:00"/>
    <x v="2"/>
    <x v="5"/>
    <n v="2003"/>
    <x v="1"/>
    <n v="30"/>
    <n v="3600"/>
    <n v="108000"/>
    <x v="57"/>
    <n v="132"/>
    <x v="78"/>
    <x v="1"/>
    <d v="2024-01-02T00:00:00"/>
    <d v="1899-12-30T16:00:00"/>
    <n v="8"/>
    <n v="0"/>
  </r>
  <r>
    <d v="2024-01-02T16:00:00"/>
    <x v="2"/>
    <x v="1"/>
    <n v="2003"/>
    <x v="1"/>
    <n v="30"/>
    <n v="3750"/>
    <n v="112500"/>
    <x v="56"/>
    <n v="132"/>
    <x v="76"/>
    <x v="1"/>
    <d v="2024-01-02T00:00:00"/>
    <d v="1899-12-30T16:00:00"/>
    <n v="13"/>
    <n v="0"/>
  </r>
  <r>
    <d v="2024-01-02T16:00:00"/>
    <x v="2"/>
    <x v="5"/>
    <n v="2003"/>
    <x v="2"/>
    <n v="24"/>
    <n v="7000"/>
    <n v="168000"/>
    <x v="58"/>
    <n v="132"/>
    <x v="79"/>
    <x v="1"/>
    <d v="2024-01-02T00:00:00"/>
    <d v="1899-12-30T16:00:00"/>
    <n v="8"/>
    <n v="0"/>
  </r>
  <r>
    <d v="2024-01-02T16:00:00"/>
    <x v="2"/>
    <x v="1"/>
    <n v="2003"/>
    <x v="2"/>
    <n v="24"/>
    <n v="6650"/>
    <n v="159600"/>
    <x v="58"/>
    <n v="132"/>
    <x v="79"/>
    <x v="1"/>
    <d v="2024-01-02T00:00:00"/>
    <d v="1899-12-30T16:00:00"/>
    <n v="13"/>
    <n v="0"/>
  </r>
  <r>
    <d v="2024-01-02T16:00:00"/>
    <x v="2"/>
    <x v="9"/>
    <n v="2003"/>
    <x v="2"/>
    <n v="24"/>
    <n v="6650"/>
    <n v="159600"/>
    <x v="59"/>
    <n v="132"/>
    <x v="80"/>
    <x v="1"/>
    <d v="2024-01-02T00:00:00"/>
    <d v="1899-12-30T16:00:00"/>
    <n v="14"/>
    <n v="0"/>
  </r>
  <r>
    <d v="2024-01-02T16:00:00"/>
    <x v="2"/>
    <x v="6"/>
    <n v="2003"/>
    <x v="1"/>
    <n v="30"/>
    <n v="3750"/>
    <n v="112500"/>
    <x v="56"/>
    <n v="132"/>
    <x v="76"/>
    <x v="1"/>
    <d v="2024-01-02T00:00:00"/>
    <d v="1899-12-30T16:00:00"/>
    <n v="15"/>
    <n v="0"/>
  </r>
  <r>
    <d v="2024-01-02T17:00:00"/>
    <x v="0"/>
    <x v="0"/>
    <n v="11"/>
    <x v="0"/>
    <n v="2000"/>
    <n v="110"/>
    <n v="220000"/>
    <x v="36"/>
    <n v="72"/>
    <x v="49"/>
    <x v="1"/>
    <d v="2024-01-02T00:00:00"/>
    <d v="1899-12-30T17:00:00"/>
    <d v="1900-01-03T00:00:00"/>
    <n v="0"/>
  </r>
  <r>
    <d v="2024-01-02T17:00:00"/>
    <x v="0"/>
    <x v="11"/>
    <n v="15"/>
    <x v="3"/>
    <n v="160"/>
    <n v="1100"/>
    <n v="176000"/>
    <x v="38"/>
    <n v="72"/>
    <x v="81"/>
    <x v="1"/>
    <d v="2024-01-02T00:00:00"/>
    <d v="1899-12-30T17:00:00"/>
    <d v="1900-01-05T00:00:00"/>
    <n v="0"/>
  </r>
  <r>
    <d v="2024-01-02T17:00:00"/>
    <x v="0"/>
    <x v="11"/>
    <n v="15"/>
    <x v="0"/>
    <n v="1100"/>
    <n v="160"/>
    <n v="176000"/>
    <x v="38"/>
    <n v="72"/>
    <x v="81"/>
    <x v="1"/>
    <d v="2024-01-02T00:00:00"/>
    <d v="1899-12-30T17:00:00"/>
    <d v="1900-01-05T00:00:00"/>
    <n v="0"/>
  </r>
  <r>
    <d v="2024-01-02T21:00:00"/>
    <x v="0"/>
    <x v="13"/>
    <n v="15"/>
    <x v="0"/>
    <n v="1000"/>
    <n v="140"/>
    <n v="140000"/>
    <x v="47"/>
    <n v="24"/>
    <x v="8"/>
    <x v="1"/>
    <d v="2024-01-02T00:00:00"/>
    <d v="1899-12-30T21:00:00"/>
    <d v="1900-01-01T00:00:00"/>
    <n v="0"/>
  </r>
  <r>
    <d v="2024-01-02T23:00:00"/>
    <x v="3"/>
    <x v="8"/>
    <n v="3003"/>
    <x v="1"/>
    <n v="7"/>
    <n v="4200"/>
    <n v="29400"/>
    <x v="48"/>
    <n v="288"/>
    <x v="82"/>
    <x v="1"/>
    <d v="2024-01-02T00:00:00"/>
    <d v="1899-12-30T23:00:00"/>
    <n v="7"/>
    <n v="0"/>
  </r>
  <r>
    <d v="2024-01-02T23:00:00"/>
    <x v="1"/>
    <x v="10"/>
    <n v="1010"/>
    <x v="2"/>
    <n v="3"/>
    <n v="6650"/>
    <n v="19950"/>
    <x v="34"/>
    <n v="96"/>
    <x v="39"/>
    <x v="1"/>
    <d v="2024-01-02T00:00:00"/>
    <d v="1899-12-30T23:00:00"/>
    <n v="16"/>
    <n v="0"/>
  </r>
  <r>
    <d v="2024-01-02T23:00:00"/>
    <x v="1"/>
    <x v="4"/>
    <n v="1010"/>
    <x v="2"/>
    <n v="3"/>
    <n v="6800"/>
    <n v="20400"/>
    <x v="60"/>
    <n v="96"/>
    <x v="38"/>
    <x v="1"/>
    <d v="2024-01-02T00:00:00"/>
    <d v="1899-12-30T23:00:00"/>
    <n v="10"/>
    <n v="0"/>
  </r>
  <r>
    <d v="2024-01-02T23:00:00"/>
    <x v="1"/>
    <x v="9"/>
    <n v="1010"/>
    <x v="2"/>
    <n v="3"/>
    <n v="6650"/>
    <n v="19950"/>
    <x v="53"/>
    <n v="96"/>
    <x v="83"/>
    <x v="1"/>
    <d v="2024-01-02T00:00:00"/>
    <d v="1899-12-30T23:00:00"/>
    <n v="14"/>
    <n v="0"/>
  </r>
  <r>
    <d v="2024-01-02T23:00:00"/>
    <x v="1"/>
    <x v="6"/>
    <n v="1010"/>
    <x v="2"/>
    <n v="3"/>
    <n v="6650"/>
    <n v="19950"/>
    <x v="61"/>
    <n v="96"/>
    <x v="30"/>
    <x v="1"/>
    <d v="2024-01-02T00:00:00"/>
    <d v="1899-12-30T23:00:00"/>
    <n v="15"/>
    <n v="0"/>
  </r>
  <r>
    <d v="2024-01-02T23:00:00"/>
    <x v="1"/>
    <x v="8"/>
    <n v="1010"/>
    <x v="2"/>
    <n v="3"/>
    <n v="6650"/>
    <n v="19950"/>
    <x v="53"/>
    <n v="96"/>
    <x v="83"/>
    <x v="1"/>
    <d v="2024-01-02T00:00:00"/>
    <d v="1899-12-30T23:00:00"/>
    <n v="7"/>
    <n v="0"/>
  </r>
  <r>
    <d v="2024-01-02T23:00:00"/>
    <x v="1"/>
    <x v="1"/>
    <n v="1010"/>
    <x v="2"/>
    <n v="3"/>
    <n v="6650"/>
    <n v="19950"/>
    <x v="48"/>
    <n v="96"/>
    <x v="67"/>
    <x v="1"/>
    <d v="2024-01-02T00:00:00"/>
    <d v="1899-12-30T23:00:00"/>
    <n v="13"/>
    <n v="0"/>
  </r>
  <r>
    <d v="2024-01-02T23:00:00"/>
    <x v="3"/>
    <x v="8"/>
    <n v="3005"/>
    <x v="1"/>
    <n v="7"/>
    <n v="4200"/>
    <n v="29400"/>
    <x v="48"/>
    <n v="288"/>
    <x v="82"/>
    <x v="1"/>
    <d v="2024-01-02T00:00:00"/>
    <d v="1899-12-30T23:00:00"/>
    <n v="7"/>
    <n v="0"/>
  </r>
  <r>
    <d v="2024-01-02T23:00:00"/>
    <x v="3"/>
    <x v="8"/>
    <n v="3001"/>
    <x v="1"/>
    <n v="3"/>
    <n v="4200"/>
    <n v="12600"/>
    <x v="45"/>
    <n v="288"/>
    <x v="84"/>
    <x v="1"/>
    <d v="2024-01-02T00:00:00"/>
    <d v="1899-12-30T23:00:00"/>
    <n v="7"/>
    <n v="0"/>
  </r>
  <r>
    <d v="2024-01-02T23:00:00"/>
    <x v="1"/>
    <x v="3"/>
    <n v="1010"/>
    <x v="2"/>
    <n v="3"/>
    <n v="6650"/>
    <n v="19950"/>
    <x v="61"/>
    <n v="96"/>
    <x v="30"/>
    <x v="1"/>
    <d v="2024-01-02T00:00:00"/>
    <d v="1899-12-30T23:00:00"/>
    <n v="11"/>
    <n v="0"/>
  </r>
  <r>
    <d v="2024-01-02T23:00:00"/>
    <x v="3"/>
    <x v="8"/>
    <n v="3006"/>
    <x v="1"/>
    <n v="6"/>
    <n v="4200"/>
    <n v="25200"/>
    <x v="27"/>
    <n v="288"/>
    <x v="85"/>
    <x v="1"/>
    <d v="2024-01-02T00:00:00"/>
    <d v="1899-12-30T23:00:00"/>
    <n v="7"/>
    <n v="0"/>
  </r>
  <r>
    <d v="2024-01-02T23:00:00"/>
    <x v="1"/>
    <x v="5"/>
    <n v="1010"/>
    <x v="2"/>
    <n v="3"/>
    <n v="7300"/>
    <n v="21900"/>
    <x v="62"/>
    <n v="96"/>
    <x v="86"/>
    <x v="1"/>
    <d v="2024-01-02T00:00:00"/>
    <d v="1899-12-30T23:00:00"/>
    <n v="8"/>
    <n v="0"/>
  </r>
  <r>
    <d v="2024-01-02T23:00:00"/>
    <x v="3"/>
    <x v="8"/>
    <n v="3002"/>
    <x v="1"/>
    <n v="4"/>
    <n v="4200"/>
    <n v="16800"/>
    <x v="62"/>
    <n v="288"/>
    <x v="87"/>
    <x v="1"/>
    <d v="2024-01-02T00:00:00"/>
    <d v="1899-12-30T23:00:00"/>
    <n v="7"/>
    <n v="0"/>
  </r>
  <r>
    <d v="2024-01-02T23:00:00"/>
    <x v="1"/>
    <x v="2"/>
    <n v="1010"/>
    <x v="2"/>
    <n v="3"/>
    <n v="6650"/>
    <n v="19950"/>
    <x v="63"/>
    <n v="96"/>
    <x v="56"/>
    <x v="1"/>
    <d v="2024-01-02T00:00:00"/>
    <d v="1899-12-30T23:00:00"/>
    <n v="9"/>
    <n v="0"/>
  </r>
  <r>
    <d v="2024-01-02T23:00:00"/>
    <x v="1"/>
    <x v="7"/>
    <n v="1010"/>
    <x v="2"/>
    <n v="3"/>
    <n v="6650"/>
    <n v="19950"/>
    <x v="64"/>
    <n v="96"/>
    <x v="66"/>
    <x v="1"/>
    <d v="2024-01-02T00:00:00"/>
    <d v="1899-12-30T23:00:00"/>
    <n v="12"/>
    <n v="0"/>
  </r>
  <r>
    <d v="2024-01-03T00:00:00"/>
    <x v="1"/>
    <x v="8"/>
    <n v="1011"/>
    <x v="2"/>
    <n v="3"/>
    <n v="6650"/>
    <n v="19950"/>
    <x v="59"/>
    <n v="96"/>
    <x v="36"/>
    <x v="2"/>
    <d v="2024-01-03T00:00:00"/>
    <d v="1899-12-30T00:00:00"/>
    <n v="7"/>
    <n v="0"/>
  </r>
  <r>
    <d v="2024-01-03T00:00:00"/>
    <x v="1"/>
    <x v="1"/>
    <n v="1011"/>
    <x v="2"/>
    <n v="3"/>
    <n v="6650"/>
    <n v="19950"/>
    <x v="63"/>
    <n v="96"/>
    <x v="56"/>
    <x v="2"/>
    <d v="2024-01-03T00:00:00"/>
    <d v="1899-12-30T00:00:00"/>
    <n v="13"/>
    <n v="0"/>
  </r>
  <r>
    <d v="2024-01-03T00:00:00"/>
    <x v="1"/>
    <x v="3"/>
    <n v="1011"/>
    <x v="2"/>
    <n v="3"/>
    <n v="6650"/>
    <n v="19950"/>
    <x v="65"/>
    <n v="96"/>
    <x v="59"/>
    <x v="2"/>
    <d v="2024-01-03T00:00:00"/>
    <d v="1899-12-30T00:00:00"/>
    <n v="11"/>
    <n v="0"/>
  </r>
  <r>
    <d v="2024-01-03T00:00:00"/>
    <x v="1"/>
    <x v="5"/>
    <n v="1010"/>
    <x v="1"/>
    <n v="27"/>
    <n v="3750"/>
    <n v="101250"/>
    <x v="63"/>
    <n v="96"/>
    <x v="56"/>
    <x v="2"/>
    <d v="2024-01-03T00:00:00"/>
    <d v="1899-12-30T00:00:00"/>
    <n v="8"/>
    <n v="0"/>
  </r>
  <r>
    <d v="2024-01-03T00:00:00"/>
    <x v="1"/>
    <x v="1"/>
    <n v="1010"/>
    <x v="1"/>
    <n v="27"/>
    <n v="3750"/>
    <n v="101250"/>
    <x v="62"/>
    <n v="96"/>
    <x v="57"/>
    <x v="2"/>
    <d v="2024-01-03T00:00:00"/>
    <d v="1899-12-30T00:00:00"/>
    <n v="13"/>
    <n v="0"/>
  </r>
  <r>
    <d v="2024-01-03T00:00:00"/>
    <x v="1"/>
    <x v="4"/>
    <n v="1011"/>
    <x v="2"/>
    <n v="3"/>
    <n v="6800"/>
    <n v="20400"/>
    <x v="60"/>
    <n v="96"/>
    <x v="38"/>
    <x v="2"/>
    <d v="2024-01-03T00:00:00"/>
    <d v="1899-12-30T00:00:00"/>
    <n v="10"/>
    <n v="0"/>
  </r>
  <r>
    <d v="2024-01-03T00:00:00"/>
    <x v="1"/>
    <x v="6"/>
    <n v="1010"/>
    <x v="1"/>
    <n v="27"/>
    <n v="3750"/>
    <n v="101250"/>
    <x v="58"/>
    <n v="96"/>
    <x v="88"/>
    <x v="2"/>
    <d v="2024-01-03T00:00:00"/>
    <d v="1899-12-30T00:00:00"/>
    <n v="15"/>
    <n v="0"/>
  </r>
  <r>
    <d v="2024-01-03T00:00:00"/>
    <x v="1"/>
    <x v="2"/>
    <n v="1010"/>
    <x v="1"/>
    <n v="27"/>
    <n v="3550"/>
    <n v="95850"/>
    <x v="63"/>
    <n v="96"/>
    <x v="56"/>
    <x v="2"/>
    <d v="2024-01-03T00:00:00"/>
    <d v="1899-12-30T00:00:00"/>
    <n v="9"/>
    <n v="0"/>
  </r>
  <r>
    <d v="2024-01-03T00:00:00"/>
    <x v="1"/>
    <x v="4"/>
    <n v="1010"/>
    <x v="1"/>
    <n v="27"/>
    <n v="3400"/>
    <n v="91800"/>
    <x v="60"/>
    <n v="48"/>
    <x v="38"/>
    <x v="2"/>
    <d v="2024-01-03T00:00:00"/>
    <d v="1899-12-30T00:00:00"/>
    <n v="10"/>
    <n v="24"/>
  </r>
  <r>
    <d v="2024-01-03T00:00:00"/>
    <x v="1"/>
    <x v="2"/>
    <n v="1011"/>
    <x v="2"/>
    <n v="3"/>
    <n v="6650"/>
    <n v="19950"/>
    <x v="66"/>
    <n v="96"/>
    <x v="51"/>
    <x v="2"/>
    <d v="2024-01-03T00:00:00"/>
    <d v="1899-12-30T00:00:00"/>
    <n v="9"/>
    <n v="0"/>
  </r>
  <r>
    <d v="2024-01-03T00:00:00"/>
    <x v="1"/>
    <x v="7"/>
    <n v="1011"/>
    <x v="2"/>
    <n v="3"/>
    <n v="6650"/>
    <n v="19950"/>
    <x v="64"/>
    <n v="96"/>
    <x v="66"/>
    <x v="2"/>
    <d v="2024-01-03T00:00:00"/>
    <d v="1899-12-30T00:00:00"/>
    <n v="12"/>
    <n v="0"/>
  </r>
  <r>
    <d v="2024-01-03T00:00:00"/>
    <x v="1"/>
    <x v="9"/>
    <n v="1010"/>
    <x v="1"/>
    <n v="27"/>
    <n v="3750"/>
    <n v="101250"/>
    <x v="49"/>
    <n v="96"/>
    <x v="69"/>
    <x v="2"/>
    <d v="2024-01-03T00:00:00"/>
    <d v="1899-12-30T00:00:00"/>
    <n v="14"/>
    <n v="0"/>
  </r>
  <r>
    <d v="2024-01-03T00:00:00"/>
    <x v="1"/>
    <x v="10"/>
    <n v="1011"/>
    <x v="2"/>
    <n v="3"/>
    <n v="6650"/>
    <n v="19950"/>
    <x v="55"/>
    <n v="96"/>
    <x v="36"/>
    <x v="2"/>
    <d v="2024-01-03T00:00:00"/>
    <d v="1899-12-30T00:00:00"/>
    <n v="16"/>
    <n v="0"/>
  </r>
  <r>
    <d v="2024-01-03T00:00:00"/>
    <x v="1"/>
    <x v="10"/>
    <n v="1010"/>
    <x v="1"/>
    <n v="27"/>
    <n v="3750"/>
    <n v="101250"/>
    <x v="59"/>
    <n v="96"/>
    <x v="36"/>
    <x v="2"/>
    <d v="2024-01-03T00:00:00"/>
    <d v="1899-12-30T00:00:00"/>
    <n v="16"/>
    <n v="0"/>
  </r>
  <r>
    <d v="2024-01-03T00:00:00"/>
    <x v="1"/>
    <x v="7"/>
    <n v="1010"/>
    <x v="1"/>
    <n v="15"/>
    <n v="3850"/>
    <n v="57750"/>
    <x v="59"/>
    <n v="60"/>
    <x v="89"/>
    <x v="2"/>
    <d v="2024-01-03T00:00:00"/>
    <d v="1899-12-30T00:00:00"/>
    <n v="12"/>
    <n v="0"/>
  </r>
  <r>
    <d v="2024-01-03T00:00:00"/>
    <x v="1"/>
    <x v="3"/>
    <n v="1010"/>
    <x v="1"/>
    <n v="27"/>
    <n v="3750"/>
    <n v="101250"/>
    <x v="49"/>
    <n v="96"/>
    <x v="54"/>
    <x v="2"/>
    <d v="2024-01-03T00:00:00"/>
    <d v="1899-12-30T00:00:00"/>
    <n v="11"/>
    <n v="0"/>
  </r>
  <r>
    <d v="2024-01-03T00:00:00"/>
    <x v="1"/>
    <x v="8"/>
    <n v="1010"/>
    <x v="1"/>
    <n v="27"/>
    <n v="3650"/>
    <n v="98550"/>
    <x v="47"/>
    <n v="96"/>
    <x v="66"/>
    <x v="2"/>
    <d v="2024-01-03T00:00:00"/>
    <d v="1899-12-30T00:00:00"/>
    <n v="7"/>
    <n v="0"/>
  </r>
  <r>
    <d v="2024-01-03T00:00:00"/>
    <x v="1"/>
    <x v="5"/>
    <n v="1011"/>
    <x v="2"/>
    <n v="3"/>
    <n v="7300"/>
    <n v="21900"/>
    <x v="62"/>
    <n v="96"/>
    <x v="57"/>
    <x v="2"/>
    <d v="2024-01-03T00:00:00"/>
    <d v="1899-12-30T00:00:00"/>
    <n v="8"/>
    <n v="0"/>
  </r>
  <r>
    <d v="2024-01-03T00:00:00"/>
    <x v="1"/>
    <x v="9"/>
    <n v="1011"/>
    <x v="2"/>
    <n v="3"/>
    <n v="6650"/>
    <n v="19950"/>
    <x v="53"/>
    <n v="96"/>
    <x v="83"/>
    <x v="2"/>
    <d v="2024-01-03T00:00:00"/>
    <d v="1899-12-30T00:00:00"/>
    <n v="14"/>
    <n v="0"/>
  </r>
  <r>
    <d v="2024-01-03T02:00:00"/>
    <x v="1"/>
    <x v="2"/>
    <n v="1011"/>
    <x v="1"/>
    <n v="21"/>
    <n v="3550"/>
    <n v="74550"/>
    <x v="44"/>
    <n v="96"/>
    <x v="63"/>
    <x v="2"/>
    <d v="2024-01-03T00:00:00"/>
    <d v="1899-12-30T02:00:00"/>
    <n v="9"/>
    <n v="0"/>
  </r>
  <r>
    <d v="2024-01-03T02:00:00"/>
    <x v="1"/>
    <x v="7"/>
    <n v="1011"/>
    <x v="1"/>
    <n v="15"/>
    <n v="3850"/>
    <n v="57750"/>
    <x v="59"/>
    <n v="60"/>
    <x v="50"/>
    <x v="2"/>
    <d v="2024-01-03T00:00:00"/>
    <d v="1899-12-30T02:00:00"/>
    <n v="12"/>
    <n v="0"/>
  </r>
  <r>
    <d v="2024-01-03T02:00:00"/>
    <x v="1"/>
    <x v="5"/>
    <n v="1011"/>
    <x v="1"/>
    <n v="21"/>
    <n v="3750"/>
    <n v="78750"/>
    <x v="63"/>
    <n v="96"/>
    <x v="56"/>
    <x v="2"/>
    <d v="2024-01-03T00:00:00"/>
    <d v="1899-12-30T02:00:00"/>
    <n v="8"/>
    <n v="0"/>
  </r>
  <r>
    <d v="2024-01-03T02:00:00"/>
    <x v="0"/>
    <x v="6"/>
    <n v="2"/>
    <x v="5"/>
    <n v="133"/>
    <n v="7"/>
    <n v="931"/>
    <x v="58"/>
    <n v="72"/>
    <x v="88"/>
    <x v="2"/>
    <d v="2024-01-03T00:00:00"/>
    <d v="1899-12-30T02:00:00"/>
    <n v="15"/>
    <n v="0"/>
  </r>
  <r>
    <d v="2024-01-03T02:00:00"/>
    <x v="1"/>
    <x v="1"/>
    <n v="1011"/>
    <x v="1"/>
    <n v="21"/>
    <n v="3750"/>
    <n v="78750"/>
    <x v="67"/>
    <n v="96"/>
    <x v="58"/>
    <x v="2"/>
    <d v="2024-01-03T00:00:00"/>
    <d v="1899-12-30T02:00:00"/>
    <n v="13"/>
    <n v="0"/>
  </r>
  <r>
    <d v="2024-01-03T02:00:00"/>
    <x v="1"/>
    <x v="8"/>
    <n v="1011"/>
    <x v="1"/>
    <n v="21"/>
    <n v="3650"/>
    <n v="76650"/>
    <x v="59"/>
    <n v="96"/>
    <x v="36"/>
    <x v="2"/>
    <d v="2024-01-03T00:00:00"/>
    <d v="1899-12-30T02:00:00"/>
    <n v="7"/>
    <n v="0"/>
  </r>
  <r>
    <d v="2024-01-03T02:00:00"/>
    <x v="1"/>
    <x v="10"/>
    <n v="1011"/>
    <x v="1"/>
    <n v="21"/>
    <n v="3750"/>
    <n v="78750"/>
    <x v="59"/>
    <n v="96"/>
    <x v="36"/>
    <x v="2"/>
    <d v="2024-01-03T00:00:00"/>
    <d v="1899-12-30T02:00:00"/>
    <n v="16"/>
    <n v="0"/>
  </r>
  <r>
    <d v="2024-01-03T02:00:00"/>
    <x v="1"/>
    <x v="6"/>
    <n v="1011"/>
    <x v="1"/>
    <n v="21"/>
    <n v="3750"/>
    <n v="78750"/>
    <x v="58"/>
    <n v="96"/>
    <x v="88"/>
    <x v="2"/>
    <d v="2024-01-03T00:00:00"/>
    <d v="1899-12-30T02:00:00"/>
    <n v="15"/>
    <n v="0"/>
  </r>
  <r>
    <d v="2024-01-03T02:00:00"/>
    <x v="1"/>
    <x v="9"/>
    <n v="1011"/>
    <x v="1"/>
    <n v="21"/>
    <n v="3750"/>
    <n v="78750"/>
    <x v="49"/>
    <n v="96"/>
    <x v="69"/>
    <x v="2"/>
    <d v="2024-01-03T00:00:00"/>
    <d v="1899-12-30T02:00:00"/>
    <n v="14"/>
    <n v="0"/>
  </r>
  <r>
    <d v="2024-01-03T02:00:00"/>
    <x v="1"/>
    <x v="3"/>
    <n v="1011"/>
    <x v="1"/>
    <n v="21"/>
    <n v="3750"/>
    <n v="78750"/>
    <x v="56"/>
    <n v="96"/>
    <x v="54"/>
    <x v="2"/>
    <d v="2024-01-03T00:00:00"/>
    <d v="1899-12-30T02:00:00"/>
    <n v="11"/>
    <n v="0"/>
  </r>
  <r>
    <d v="2024-01-03T02:00:00"/>
    <x v="1"/>
    <x v="4"/>
    <n v="1011"/>
    <x v="1"/>
    <n v="21"/>
    <n v="3400"/>
    <n v="71400"/>
    <x v="55"/>
    <n v="48"/>
    <x v="34"/>
    <x v="2"/>
    <d v="2024-01-03T00:00:00"/>
    <d v="1899-12-30T02:00:00"/>
    <n v="10"/>
    <n v="24"/>
  </r>
  <r>
    <d v="2024-01-03T04:00:00"/>
    <x v="1"/>
    <x v="7"/>
    <n v="1003"/>
    <x v="2"/>
    <n v="1"/>
    <n v="6750"/>
    <n v="6750"/>
    <x v="61"/>
    <n v="72"/>
    <x v="89"/>
    <x v="2"/>
    <d v="2024-01-03T00:00:00"/>
    <d v="1899-12-30T04:00:00"/>
    <n v="12"/>
    <n v="0"/>
  </r>
  <r>
    <d v="2024-01-03T08:00:00"/>
    <x v="1"/>
    <x v="4"/>
    <n v="1001"/>
    <x v="1"/>
    <n v="30"/>
    <n v="3400"/>
    <n v="102000"/>
    <x v="49"/>
    <n v="48"/>
    <x v="69"/>
    <x v="2"/>
    <d v="2024-01-03T00:00:00"/>
    <d v="1899-12-30T08:00:00"/>
    <n v="10"/>
    <n v="24"/>
  </r>
  <r>
    <d v="2024-01-03T08:00:00"/>
    <x v="1"/>
    <x v="9"/>
    <n v="1001"/>
    <x v="1"/>
    <n v="30"/>
    <n v="3750"/>
    <n v="112500"/>
    <x v="48"/>
    <n v="96"/>
    <x v="67"/>
    <x v="2"/>
    <d v="2024-01-03T00:00:00"/>
    <d v="1899-12-30T08:00:00"/>
    <n v="14"/>
    <n v="0"/>
  </r>
  <r>
    <d v="2024-01-03T08:00:00"/>
    <x v="1"/>
    <x v="10"/>
    <n v="1001"/>
    <x v="1"/>
    <n v="30"/>
    <n v="3750"/>
    <n v="112500"/>
    <x v="61"/>
    <n v="96"/>
    <x v="88"/>
    <x v="2"/>
    <d v="2024-01-03T00:00:00"/>
    <d v="1899-12-30T08:00:00"/>
    <n v="16"/>
    <n v="0"/>
  </r>
  <r>
    <d v="2024-01-03T08:00:00"/>
    <x v="1"/>
    <x v="3"/>
    <n v="1001"/>
    <x v="1"/>
    <n v="30"/>
    <n v="3750"/>
    <n v="112500"/>
    <x v="62"/>
    <n v="96"/>
    <x v="57"/>
    <x v="2"/>
    <d v="2024-01-03T00:00:00"/>
    <d v="1899-12-30T08:00:00"/>
    <n v="11"/>
    <n v="0"/>
  </r>
  <r>
    <d v="2024-01-03T08:00:00"/>
    <x v="1"/>
    <x v="8"/>
    <n v="1001"/>
    <x v="1"/>
    <n v="30"/>
    <n v="3650"/>
    <n v="109500"/>
    <x v="61"/>
    <n v="96"/>
    <x v="30"/>
    <x v="2"/>
    <d v="2024-01-03T00:00:00"/>
    <d v="1899-12-30T08:00:00"/>
    <n v="7"/>
    <n v="0"/>
  </r>
  <r>
    <d v="2024-01-03T08:00:00"/>
    <x v="1"/>
    <x v="7"/>
    <n v="1001"/>
    <x v="1"/>
    <n v="15"/>
    <n v="3850"/>
    <n v="57750"/>
    <x v="49"/>
    <n v="60"/>
    <x v="37"/>
    <x v="2"/>
    <d v="2024-01-03T00:00:00"/>
    <d v="1899-12-30T08:00:00"/>
    <n v="12"/>
    <n v="0"/>
  </r>
  <r>
    <d v="2024-01-03T08:00:00"/>
    <x v="1"/>
    <x v="2"/>
    <n v="1001"/>
    <x v="1"/>
    <n v="30"/>
    <n v="3550"/>
    <n v="106500"/>
    <x v="68"/>
    <n v="96"/>
    <x v="60"/>
    <x v="2"/>
    <d v="2024-01-03T00:00:00"/>
    <d v="1899-12-30T08:00:00"/>
    <n v="9"/>
    <n v="0"/>
  </r>
  <r>
    <d v="2024-01-03T08:00:00"/>
    <x v="1"/>
    <x v="6"/>
    <n v="1001"/>
    <x v="1"/>
    <n v="36"/>
    <n v="3650"/>
    <n v="131400"/>
    <x v="69"/>
    <n v="108"/>
    <x v="90"/>
    <x v="2"/>
    <d v="2024-01-03T00:00:00"/>
    <d v="1899-12-30T08:00:00"/>
    <n v="15"/>
    <n v="0"/>
  </r>
  <r>
    <d v="2024-01-03T08:00:00"/>
    <x v="1"/>
    <x v="5"/>
    <n v="1001"/>
    <x v="1"/>
    <n v="30"/>
    <n v="3750"/>
    <n v="112500"/>
    <x v="70"/>
    <n v="96"/>
    <x v="91"/>
    <x v="2"/>
    <d v="2024-01-03T00:00:00"/>
    <d v="1899-12-30T08:00:00"/>
    <n v="8"/>
    <n v="0"/>
  </r>
  <r>
    <d v="2024-01-03T08:00:00"/>
    <x v="1"/>
    <x v="1"/>
    <n v="1001"/>
    <x v="1"/>
    <n v="30"/>
    <n v="3750"/>
    <n v="112500"/>
    <x v="71"/>
    <n v="96"/>
    <x v="92"/>
    <x v="2"/>
    <d v="2024-01-03T00:00:00"/>
    <d v="1899-12-30T08:00:00"/>
    <n v="13"/>
    <n v="0"/>
  </r>
  <r>
    <d v="2024-01-03T09:00:00"/>
    <x v="1"/>
    <x v="4"/>
    <n v="1001"/>
    <x v="2"/>
    <n v="2"/>
    <n v="6800"/>
    <n v="13600"/>
    <x v="61"/>
    <n v="96"/>
    <x v="30"/>
    <x v="2"/>
    <d v="2024-01-03T00:00:00"/>
    <d v="1899-12-30T09:00:00"/>
    <n v="10"/>
    <n v="0"/>
  </r>
  <r>
    <d v="2024-01-03T09:00:00"/>
    <x v="1"/>
    <x v="3"/>
    <n v="1001"/>
    <x v="2"/>
    <n v="2"/>
    <n v="6650"/>
    <n v="13300"/>
    <x v="72"/>
    <n v="96"/>
    <x v="32"/>
    <x v="2"/>
    <d v="2024-01-03T00:00:00"/>
    <d v="1899-12-30T09:00:00"/>
    <n v="11"/>
    <n v="0"/>
  </r>
  <r>
    <d v="2024-01-03T09:00:00"/>
    <x v="1"/>
    <x v="7"/>
    <n v="1001"/>
    <x v="2"/>
    <n v="2"/>
    <n v="6750"/>
    <n v="13500"/>
    <x v="57"/>
    <n v="72"/>
    <x v="93"/>
    <x v="2"/>
    <d v="2024-01-03T00:00:00"/>
    <d v="1899-12-30T09:00:00"/>
    <n v="12"/>
    <n v="0"/>
  </r>
  <r>
    <d v="2024-01-03T09:00:00"/>
    <x v="1"/>
    <x v="10"/>
    <n v="1001"/>
    <x v="2"/>
    <n v="2"/>
    <n v="6650"/>
    <n v="13300"/>
    <x v="61"/>
    <n v="96"/>
    <x v="30"/>
    <x v="2"/>
    <d v="2024-01-03T00:00:00"/>
    <d v="1899-12-30T09:00:00"/>
    <n v="16"/>
    <n v="0"/>
  </r>
  <r>
    <d v="2024-01-03T09:00:00"/>
    <x v="1"/>
    <x v="2"/>
    <n v="1001"/>
    <x v="2"/>
    <n v="2"/>
    <n v="6650"/>
    <n v="13300"/>
    <x v="73"/>
    <n v="96"/>
    <x v="52"/>
    <x v="2"/>
    <d v="2024-01-03T00:00:00"/>
    <d v="1899-12-30T09:00:00"/>
    <n v="9"/>
    <n v="0"/>
  </r>
  <r>
    <d v="2024-01-03T09:00:00"/>
    <x v="1"/>
    <x v="5"/>
    <n v="1001"/>
    <x v="2"/>
    <n v="2"/>
    <n v="7300"/>
    <n v="14600"/>
    <x v="74"/>
    <n v="96"/>
    <x v="94"/>
    <x v="2"/>
    <d v="2024-01-03T00:00:00"/>
    <d v="1899-12-30T09:00:00"/>
    <n v="8"/>
    <n v="0"/>
  </r>
  <r>
    <d v="2024-01-03T09:00:00"/>
    <x v="1"/>
    <x v="1"/>
    <n v="1001"/>
    <x v="2"/>
    <n v="2"/>
    <n v="6650"/>
    <n v="13300"/>
    <x v="70"/>
    <n v="96"/>
    <x v="91"/>
    <x v="2"/>
    <d v="2024-01-03T00:00:00"/>
    <d v="1899-12-30T09:00:00"/>
    <n v="13"/>
    <n v="0"/>
  </r>
  <r>
    <d v="2024-01-03T09:00:00"/>
    <x v="1"/>
    <x v="8"/>
    <n v="1001"/>
    <x v="2"/>
    <n v="2"/>
    <n v="6650"/>
    <n v="13300"/>
    <x v="44"/>
    <n v="96"/>
    <x v="63"/>
    <x v="2"/>
    <d v="2024-01-03T00:00:00"/>
    <d v="1899-12-30T09:00:00"/>
    <n v="7"/>
    <n v="0"/>
  </r>
  <r>
    <d v="2024-01-03T09:00:00"/>
    <x v="1"/>
    <x v="9"/>
    <n v="1001"/>
    <x v="2"/>
    <n v="2"/>
    <n v="6650"/>
    <n v="13300"/>
    <x v="48"/>
    <n v="96"/>
    <x v="67"/>
    <x v="2"/>
    <d v="2024-01-03T00:00:00"/>
    <d v="1899-12-30T09:00:00"/>
    <n v="14"/>
    <n v="0"/>
  </r>
  <r>
    <d v="2024-01-03T10:00:00"/>
    <x v="0"/>
    <x v="13"/>
    <n v="15"/>
    <x v="0"/>
    <n v="1000"/>
    <n v="140"/>
    <n v="140000"/>
    <x v="58"/>
    <n v="72"/>
    <x v="88"/>
    <x v="2"/>
    <d v="2024-01-03T00:00:00"/>
    <d v="1899-12-30T10:00:00"/>
    <d v="1900-01-01T00:00:00"/>
    <n v="0"/>
  </r>
  <r>
    <d v="2024-01-03T12:00:00"/>
    <x v="2"/>
    <x v="1"/>
    <n v="2004"/>
    <x v="1"/>
    <n v="30"/>
    <n v="3750"/>
    <n v="112500"/>
    <x v="73"/>
    <n v="132"/>
    <x v="95"/>
    <x v="2"/>
    <d v="2024-01-03T00:00:00"/>
    <d v="1899-12-30T12:00:00"/>
    <n v="13"/>
    <n v="0"/>
  </r>
  <r>
    <d v="2024-01-03T12:00:00"/>
    <x v="2"/>
    <x v="1"/>
    <n v="2004"/>
    <x v="2"/>
    <n v="9"/>
    <n v="6650"/>
    <n v="59850"/>
    <x v="73"/>
    <n v="132"/>
    <x v="95"/>
    <x v="2"/>
    <d v="2024-01-03T00:00:00"/>
    <d v="1899-12-30T12:00:00"/>
    <n v="13"/>
    <n v="0"/>
  </r>
  <r>
    <d v="2024-01-03T12:00:00"/>
    <x v="2"/>
    <x v="2"/>
    <n v="2004"/>
    <x v="2"/>
    <n v="9"/>
    <n v="6650"/>
    <n v="59850"/>
    <x v="75"/>
    <n v="132"/>
    <x v="96"/>
    <x v="2"/>
    <d v="2024-01-03T00:00:00"/>
    <d v="1899-12-30T12:00:00"/>
    <n v="9"/>
    <n v="0"/>
  </r>
  <r>
    <d v="2024-01-03T12:00:00"/>
    <x v="2"/>
    <x v="2"/>
    <n v="2004"/>
    <x v="1"/>
    <n v="30"/>
    <n v="3600"/>
    <n v="108000"/>
    <x v="74"/>
    <n v="96"/>
    <x v="94"/>
    <x v="2"/>
    <d v="2024-01-03T00:00:00"/>
    <d v="1899-12-30T12:00:00"/>
    <n v="9"/>
    <n v="0"/>
  </r>
  <r>
    <d v="2024-01-03T12:00:00"/>
    <x v="2"/>
    <x v="6"/>
    <n v="2004"/>
    <x v="1"/>
    <n v="30"/>
    <n v="3750"/>
    <n v="112500"/>
    <x v="76"/>
    <n v="132"/>
    <x v="97"/>
    <x v="2"/>
    <d v="2024-01-03T00:00:00"/>
    <d v="1899-12-30T12:00:00"/>
    <n v="15"/>
    <n v="0"/>
  </r>
  <r>
    <d v="2024-01-03T12:00:00"/>
    <x v="0"/>
    <x v="0"/>
    <n v="11"/>
    <x v="3"/>
    <n v="400"/>
    <n v="1350"/>
    <n v="540000"/>
    <x v="52"/>
    <n v="72"/>
    <x v="59"/>
    <x v="2"/>
    <d v="2024-01-03T00:00:00"/>
    <d v="1899-12-30T12:00:00"/>
    <n v="4"/>
    <n v="0"/>
  </r>
  <r>
    <d v="2024-01-03T12:00:00"/>
    <x v="2"/>
    <x v="9"/>
    <n v="2004"/>
    <x v="2"/>
    <n v="9"/>
    <n v="6650"/>
    <n v="59850"/>
    <x v="27"/>
    <n v="132"/>
    <x v="98"/>
    <x v="2"/>
    <d v="2024-01-03T00:00:00"/>
    <d v="1899-12-30T12:00:00"/>
    <n v="14"/>
    <n v="0"/>
  </r>
  <r>
    <d v="2024-01-03T12:00:00"/>
    <x v="2"/>
    <x v="3"/>
    <n v="2004"/>
    <x v="1"/>
    <n v="30"/>
    <n v="3750"/>
    <n v="112500"/>
    <x v="66"/>
    <n v="132"/>
    <x v="99"/>
    <x v="2"/>
    <d v="2024-01-03T00:00:00"/>
    <d v="1899-12-30T12:00:00"/>
    <n v="11"/>
    <n v="0"/>
  </r>
  <r>
    <d v="2024-01-03T12:00:00"/>
    <x v="2"/>
    <x v="10"/>
    <n v="2004"/>
    <x v="1"/>
    <n v="30"/>
    <n v="3750"/>
    <n v="112500"/>
    <x v="52"/>
    <n v="132"/>
    <x v="100"/>
    <x v="2"/>
    <d v="2024-01-03T00:00:00"/>
    <d v="1899-12-30T12:00:00"/>
    <n v="16"/>
    <n v="0"/>
  </r>
  <r>
    <d v="2024-01-03T12:00:00"/>
    <x v="2"/>
    <x v="4"/>
    <n v="2004"/>
    <x v="1"/>
    <n v="50"/>
    <n v="3500"/>
    <n v="175000"/>
    <x v="56"/>
    <n v="84"/>
    <x v="101"/>
    <x v="2"/>
    <d v="2024-01-03T00:00:00"/>
    <d v="1899-12-30T12:00:00"/>
    <n v="10"/>
    <n v="26.000000000058208"/>
  </r>
  <r>
    <d v="2024-01-03T12:00:00"/>
    <x v="2"/>
    <x v="4"/>
    <n v="2004"/>
    <x v="2"/>
    <n v="9"/>
    <n v="6800"/>
    <n v="61200"/>
    <x v="56"/>
    <n v="132"/>
    <x v="76"/>
    <x v="2"/>
    <d v="2024-01-03T00:00:00"/>
    <d v="1899-12-30T12:00:00"/>
    <n v="10"/>
    <n v="0"/>
  </r>
  <r>
    <d v="2024-01-03T12:00:00"/>
    <x v="2"/>
    <x v="10"/>
    <n v="2004"/>
    <x v="2"/>
    <n v="9"/>
    <n v="6650"/>
    <n v="59850"/>
    <x v="56"/>
    <n v="132"/>
    <x v="76"/>
    <x v="2"/>
    <d v="2024-01-03T00:00:00"/>
    <d v="1899-12-30T12:00:00"/>
    <n v="16"/>
    <n v="0"/>
  </r>
  <r>
    <d v="2024-01-03T12:00:00"/>
    <x v="2"/>
    <x v="7"/>
    <n v="2004"/>
    <x v="1"/>
    <n v="30"/>
    <n v="3750"/>
    <n v="112500"/>
    <x v="56"/>
    <n v="120"/>
    <x v="76"/>
    <x v="2"/>
    <d v="2024-01-03T00:00:00"/>
    <d v="1899-12-30T12:00:00"/>
    <n v="12"/>
    <n v="0"/>
  </r>
  <r>
    <d v="2024-01-03T12:00:00"/>
    <x v="2"/>
    <x v="9"/>
    <n v="2004"/>
    <x v="1"/>
    <n v="30"/>
    <n v="3750"/>
    <n v="112500"/>
    <x v="27"/>
    <n v="132"/>
    <x v="98"/>
    <x v="2"/>
    <d v="2024-01-03T00:00:00"/>
    <d v="1899-12-30T12:00:00"/>
    <n v="14"/>
    <n v="0"/>
  </r>
  <r>
    <d v="2024-01-03T12:00:00"/>
    <x v="2"/>
    <x v="8"/>
    <n v="2004"/>
    <x v="1"/>
    <n v="30"/>
    <n v="3650"/>
    <n v="109500"/>
    <x v="71"/>
    <n v="132"/>
    <x v="102"/>
    <x v="2"/>
    <d v="2024-01-03T00:00:00"/>
    <d v="1899-12-30T12:00:00"/>
    <n v="7"/>
    <n v="0"/>
  </r>
  <r>
    <d v="2024-01-03T12:00:00"/>
    <x v="2"/>
    <x v="3"/>
    <n v="2004"/>
    <x v="2"/>
    <n v="9"/>
    <n v="6650"/>
    <n v="59850"/>
    <x v="77"/>
    <n v="132"/>
    <x v="103"/>
    <x v="2"/>
    <d v="2024-01-03T00:00:00"/>
    <d v="1899-12-30T12:00:00"/>
    <n v="11"/>
    <n v="0"/>
  </r>
  <r>
    <d v="2024-01-03T12:00:00"/>
    <x v="2"/>
    <x v="8"/>
    <n v="2004"/>
    <x v="2"/>
    <n v="9"/>
    <n v="6650"/>
    <n v="59850"/>
    <x v="78"/>
    <n v="132"/>
    <x v="104"/>
    <x v="2"/>
    <d v="2024-01-03T00:00:00"/>
    <d v="1899-12-30T12:00:00"/>
    <n v="7"/>
    <n v="0"/>
  </r>
  <r>
    <d v="2024-01-03T12:00:00"/>
    <x v="2"/>
    <x v="7"/>
    <n v="2004"/>
    <x v="2"/>
    <n v="9"/>
    <n v="6650"/>
    <n v="59850"/>
    <x v="52"/>
    <n v="120"/>
    <x v="98"/>
    <x v="2"/>
    <d v="2024-01-03T00:00:00"/>
    <d v="1899-12-30T12:00:00"/>
    <n v="12"/>
    <n v="0"/>
  </r>
  <r>
    <d v="2024-01-03T12:00:00"/>
    <x v="2"/>
    <x v="5"/>
    <n v="2004"/>
    <x v="1"/>
    <n v="30"/>
    <n v="3500"/>
    <n v="105000"/>
    <x v="74"/>
    <n v="132"/>
    <x v="95"/>
    <x v="2"/>
    <d v="2024-01-03T00:00:00"/>
    <d v="1899-12-30T12:00:00"/>
    <n v="8"/>
    <n v="0"/>
  </r>
  <r>
    <d v="2024-01-03T12:00:00"/>
    <x v="2"/>
    <x v="5"/>
    <n v="2004"/>
    <x v="2"/>
    <n v="9"/>
    <n v="7300"/>
    <n v="65700"/>
    <x v="74"/>
    <n v="132"/>
    <x v="95"/>
    <x v="2"/>
    <d v="2024-01-03T00:00:00"/>
    <d v="1899-12-30T12:00:00"/>
    <n v="8"/>
    <n v="0"/>
  </r>
  <r>
    <d v="2024-01-03T16:00:00"/>
    <x v="0"/>
    <x v="11"/>
    <n v="10"/>
    <x v="0"/>
    <n v="1200"/>
    <n v="140"/>
    <n v="168000"/>
    <x v="45"/>
    <n v="24"/>
    <x v="9"/>
    <x v="2"/>
    <d v="2024-01-03T00:00:00"/>
    <d v="1899-12-30T16:00:00"/>
    <d v="1900-01-05T00:00:00"/>
    <n v="0"/>
  </r>
  <r>
    <d v="2024-01-03T16:00:00"/>
    <x v="1"/>
    <x v="3"/>
    <n v="1002"/>
    <x v="1"/>
    <n v="28"/>
    <n v="3750"/>
    <n v="105000"/>
    <x v="77"/>
    <n v="96"/>
    <x v="86"/>
    <x v="2"/>
    <d v="2024-01-03T00:00:00"/>
    <d v="1899-12-30T16:00:00"/>
    <n v="11"/>
    <n v="0"/>
  </r>
  <r>
    <d v="2024-01-03T16:00:00"/>
    <x v="1"/>
    <x v="2"/>
    <n v="1002"/>
    <x v="1"/>
    <n v="28"/>
    <n v="3750"/>
    <n v="105000"/>
    <x v="65"/>
    <n v="96"/>
    <x v="53"/>
    <x v="2"/>
    <d v="2024-01-03T00:00:00"/>
    <d v="1899-12-30T16:00:00"/>
    <n v="9"/>
    <n v="0"/>
  </r>
  <r>
    <d v="2024-01-03T16:00:00"/>
    <x v="1"/>
    <x v="6"/>
    <n v="1002"/>
    <x v="1"/>
    <n v="28"/>
    <n v="3750"/>
    <n v="105000"/>
    <x v="44"/>
    <n v="96"/>
    <x v="63"/>
    <x v="2"/>
    <d v="2024-01-03T00:00:00"/>
    <d v="1899-12-30T16:00:00"/>
    <n v="15"/>
    <n v="0"/>
  </r>
  <r>
    <d v="2024-01-03T16:00:00"/>
    <x v="1"/>
    <x v="8"/>
    <n v="1002"/>
    <x v="1"/>
    <n v="28"/>
    <n v="3650"/>
    <n v="102200"/>
    <x v="73"/>
    <n v="96"/>
    <x v="52"/>
    <x v="2"/>
    <d v="2024-01-03T00:00:00"/>
    <d v="1899-12-30T16:00:00"/>
    <n v="7"/>
    <n v="0"/>
  </r>
  <r>
    <d v="2024-01-03T16:00:00"/>
    <x v="1"/>
    <x v="5"/>
    <n v="1002"/>
    <x v="1"/>
    <n v="28"/>
    <n v="3750"/>
    <n v="105000"/>
    <x v="76"/>
    <n v="96"/>
    <x v="105"/>
    <x v="2"/>
    <d v="2024-01-03T00:00:00"/>
    <d v="1899-12-30T16:00:00"/>
    <n v="8"/>
    <n v="0"/>
  </r>
  <r>
    <d v="2024-01-03T16:00:00"/>
    <x v="1"/>
    <x v="7"/>
    <n v="1002"/>
    <x v="1"/>
    <n v="15"/>
    <n v="3850"/>
    <n v="57750"/>
    <x v="63"/>
    <n v="60"/>
    <x v="106"/>
    <x v="2"/>
    <d v="2024-01-03T00:00:00"/>
    <d v="1899-12-30T16:00:00"/>
    <n v="12"/>
    <n v="0"/>
  </r>
  <r>
    <d v="2024-01-03T16:00:00"/>
    <x v="1"/>
    <x v="10"/>
    <n v="1002"/>
    <x v="1"/>
    <n v="28"/>
    <n v="3750"/>
    <n v="105000"/>
    <x v="27"/>
    <n v="96"/>
    <x v="32"/>
    <x v="2"/>
    <d v="2024-01-03T00:00:00"/>
    <d v="1899-12-30T16:00:00"/>
    <n v="16"/>
    <n v="0"/>
  </r>
  <r>
    <d v="2024-01-03T16:00:00"/>
    <x v="1"/>
    <x v="4"/>
    <n v="1002"/>
    <x v="1"/>
    <n v="28"/>
    <n v="3700"/>
    <n v="103600"/>
    <x v="48"/>
    <n v="48"/>
    <x v="67"/>
    <x v="2"/>
    <d v="2024-01-03T00:00:00"/>
    <d v="1899-12-30T16:00:00"/>
    <n v="10"/>
    <n v="24"/>
  </r>
  <r>
    <d v="2024-01-03T16:00:00"/>
    <x v="1"/>
    <x v="1"/>
    <n v="1002"/>
    <x v="1"/>
    <n v="28"/>
    <n v="3750"/>
    <n v="105000"/>
    <x v="74"/>
    <n v="96"/>
    <x v="94"/>
    <x v="2"/>
    <d v="2024-01-03T00:00:00"/>
    <d v="1899-12-30T16:00:00"/>
    <n v="13"/>
    <n v="0"/>
  </r>
  <r>
    <d v="2024-01-03T16:00:00"/>
    <x v="1"/>
    <x v="9"/>
    <n v="1002"/>
    <x v="1"/>
    <n v="28"/>
    <n v="3750"/>
    <n v="105000"/>
    <x v="45"/>
    <n v="96"/>
    <x v="64"/>
    <x v="2"/>
    <d v="2024-01-03T00:00:00"/>
    <d v="1899-12-30T16:00:00"/>
    <n v="14"/>
    <n v="0"/>
  </r>
  <r>
    <d v="2024-01-03T18:00:00"/>
    <x v="1"/>
    <x v="3"/>
    <n v="1002"/>
    <x v="2"/>
    <n v="3"/>
    <n v="6650"/>
    <n v="19950"/>
    <x v="79"/>
    <n v="96"/>
    <x v="75"/>
    <x v="2"/>
    <d v="2024-01-03T00:00:00"/>
    <d v="1899-12-30T18:00:00"/>
    <n v="11"/>
    <n v="0"/>
  </r>
  <r>
    <d v="2024-01-03T18:00:00"/>
    <x v="1"/>
    <x v="9"/>
    <n v="1002"/>
    <x v="2"/>
    <n v="3"/>
    <n v="6650"/>
    <n v="19950"/>
    <x v="78"/>
    <n v="96"/>
    <x v="31"/>
    <x v="2"/>
    <d v="2024-01-03T00:00:00"/>
    <d v="1899-12-30T18:00:00"/>
    <n v="14"/>
    <n v="0"/>
  </r>
  <r>
    <d v="2024-01-03T18:00:00"/>
    <x v="1"/>
    <x v="4"/>
    <n v="1002"/>
    <x v="2"/>
    <n v="3"/>
    <n v="6800"/>
    <n v="20400"/>
    <x v="66"/>
    <n v="96"/>
    <x v="51"/>
    <x v="2"/>
    <d v="2024-01-03T00:00:00"/>
    <d v="1899-12-30T18:00:00"/>
    <n v="10"/>
    <n v="0"/>
  </r>
  <r>
    <d v="2024-01-03T18:00:00"/>
    <x v="1"/>
    <x v="7"/>
    <n v="1002"/>
    <x v="2"/>
    <n v="3"/>
    <n v="6800"/>
    <n v="20400"/>
    <x v="64"/>
    <n v="72"/>
    <x v="66"/>
    <x v="2"/>
    <d v="2024-01-03T00:00:00"/>
    <d v="1899-12-30T18:00:00"/>
    <n v="12"/>
    <n v="0"/>
  </r>
  <r>
    <d v="2024-01-03T18:00:00"/>
    <x v="1"/>
    <x v="8"/>
    <n v="1002"/>
    <x v="2"/>
    <n v="3"/>
    <n v="6650"/>
    <n v="19950"/>
    <x v="73"/>
    <n v="96"/>
    <x v="52"/>
    <x v="2"/>
    <d v="2024-01-03T00:00:00"/>
    <d v="1899-12-30T18:00:00"/>
    <n v="7"/>
    <n v="0"/>
  </r>
  <r>
    <d v="2024-01-03T18:00:00"/>
    <x v="1"/>
    <x v="6"/>
    <n v="1002"/>
    <x v="2"/>
    <n v="3"/>
    <n v="6650"/>
    <n v="19950"/>
    <x v="71"/>
    <n v="96"/>
    <x v="92"/>
    <x v="2"/>
    <d v="2024-01-03T00:00:00"/>
    <d v="1899-12-30T18:00:00"/>
    <n v="15"/>
    <n v="0"/>
  </r>
  <r>
    <d v="2024-01-03T18:00:00"/>
    <x v="1"/>
    <x v="2"/>
    <n v="1002"/>
    <x v="2"/>
    <n v="3"/>
    <n v="6650"/>
    <n v="19950"/>
    <x v="79"/>
    <n v="96"/>
    <x v="75"/>
    <x v="2"/>
    <d v="2024-01-03T00:00:00"/>
    <d v="1899-12-30T18:00:00"/>
    <n v="9"/>
    <n v="0"/>
  </r>
  <r>
    <d v="2024-01-03T18:00:00"/>
    <x v="1"/>
    <x v="1"/>
    <n v="1002"/>
    <x v="2"/>
    <n v="3"/>
    <n v="6650"/>
    <n v="19950"/>
    <x v="69"/>
    <n v="96"/>
    <x v="90"/>
    <x v="2"/>
    <d v="2024-01-03T00:00:00"/>
    <d v="1899-12-30T18:00:00"/>
    <n v="13"/>
    <n v="0"/>
  </r>
  <r>
    <d v="2024-01-03T18:00:00"/>
    <x v="1"/>
    <x v="5"/>
    <n v="1002"/>
    <x v="2"/>
    <n v="3"/>
    <n v="7300"/>
    <n v="21900"/>
    <x v="80"/>
    <n v="96"/>
    <x v="107"/>
    <x v="2"/>
    <d v="2024-01-03T00:00:00"/>
    <d v="1899-12-30T18:00:00"/>
    <n v="8"/>
    <n v="0"/>
  </r>
  <r>
    <d v="2024-01-03T18:00:00"/>
    <x v="1"/>
    <x v="10"/>
    <n v="1002"/>
    <x v="2"/>
    <n v="3"/>
    <n v="6650"/>
    <n v="19950"/>
    <x v="77"/>
    <n v="96"/>
    <x v="86"/>
    <x v="2"/>
    <d v="2024-01-03T00:00:00"/>
    <d v="1899-12-30T18:00:00"/>
    <n v="16"/>
    <n v="0"/>
  </r>
  <r>
    <d v="2024-01-03T20:00:00"/>
    <x v="1"/>
    <x v="4"/>
    <n v="1003"/>
    <x v="1"/>
    <n v="30"/>
    <n v="3700"/>
    <n v="111000"/>
    <x v="77"/>
    <n v="48"/>
    <x v="1"/>
    <x v="2"/>
    <d v="2024-01-03T00:00:00"/>
    <d v="1899-12-30T20:00:00"/>
    <n v="10"/>
    <n v="0"/>
  </r>
  <r>
    <d v="2024-01-03T20:00:00"/>
    <x v="1"/>
    <x v="6"/>
    <n v="1003"/>
    <x v="1"/>
    <n v="32"/>
    <n v="3650"/>
    <n v="116800"/>
    <x v="68"/>
    <n v="96"/>
    <x v="60"/>
    <x v="2"/>
    <d v="2024-01-03T00:00:00"/>
    <d v="1899-12-30T20:00:00"/>
    <n v="15"/>
    <n v="0"/>
  </r>
  <r>
    <d v="2024-01-03T20:00:00"/>
    <x v="1"/>
    <x v="8"/>
    <n v="1003"/>
    <x v="1"/>
    <n v="30"/>
    <n v="3650"/>
    <n v="109500"/>
    <x v="64"/>
    <n v="96"/>
    <x v="108"/>
    <x v="2"/>
    <d v="2024-01-03T00:00:00"/>
    <d v="1899-12-30T20:00:00"/>
    <n v="7"/>
    <n v="0"/>
  </r>
  <r>
    <d v="2024-01-03T20:00:00"/>
    <x v="1"/>
    <x v="9"/>
    <n v="1003"/>
    <x v="1"/>
    <n v="30"/>
    <n v="3750"/>
    <n v="112500"/>
    <x v="78"/>
    <n v="96"/>
    <x v="31"/>
    <x v="2"/>
    <d v="2024-01-03T00:00:00"/>
    <d v="1899-12-30T20:00:00"/>
    <n v="14"/>
    <n v="0"/>
  </r>
  <r>
    <d v="2024-01-03T20:00:00"/>
    <x v="1"/>
    <x v="3"/>
    <n v="1003"/>
    <x v="1"/>
    <n v="30"/>
    <n v="3750"/>
    <n v="112500"/>
    <x v="70"/>
    <n v="96"/>
    <x v="91"/>
    <x v="2"/>
    <d v="2024-01-03T00:00:00"/>
    <d v="1899-12-30T20:00:00"/>
    <n v="11"/>
    <n v="0"/>
  </r>
  <r>
    <d v="2024-01-03T20:00:00"/>
    <x v="0"/>
    <x v="11"/>
    <n v="15"/>
    <x v="3"/>
    <n v="161"/>
    <n v="1100"/>
    <n v="177100"/>
    <x v="66"/>
    <n v="72"/>
    <x v="51"/>
    <x v="2"/>
    <d v="2024-01-03T00:00:00"/>
    <d v="1899-12-30T20:00:00"/>
    <n v="6"/>
    <n v="0"/>
  </r>
  <r>
    <d v="2024-01-03T20:00:00"/>
    <x v="1"/>
    <x v="7"/>
    <n v="1003"/>
    <x v="1"/>
    <n v="15"/>
    <n v="3850"/>
    <n v="57750"/>
    <x v="77"/>
    <n v="60"/>
    <x v="35"/>
    <x v="2"/>
    <d v="2024-01-03T00:00:00"/>
    <d v="1899-12-30T20:00:00"/>
    <n v="12"/>
    <n v="0"/>
  </r>
  <r>
    <d v="2024-01-03T20:00:00"/>
    <x v="1"/>
    <x v="10"/>
    <n v="1003"/>
    <x v="1"/>
    <n v="30"/>
    <n v="3750"/>
    <n v="112500"/>
    <x v="77"/>
    <n v="96"/>
    <x v="86"/>
    <x v="2"/>
    <d v="2024-01-03T00:00:00"/>
    <d v="1899-12-30T20:00:00"/>
    <n v="16"/>
    <n v="0"/>
  </r>
  <r>
    <d v="2024-01-03T20:00:00"/>
    <x v="1"/>
    <x v="5"/>
    <n v="1003"/>
    <x v="1"/>
    <n v="30"/>
    <n v="3750"/>
    <n v="112500"/>
    <x v="81"/>
    <n v="96"/>
    <x v="80"/>
    <x v="2"/>
    <d v="2024-01-03T00:00:00"/>
    <d v="1899-12-30T20:00:00"/>
    <n v="8"/>
    <n v="0"/>
  </r>
  <r>
    <d v="2024-01-03T20:00:00"/>
    <x v="1"/>
    <x v="2"/>
    <n v="1003"/>
    <x v="1"/>
    <n v="30"/>
    <n v="3550"/>
    <n v="106500"/>
    <x v="81"/>
    <n v="96"/>
    <x v="80"/>
    <x v="2"/>
    <d v="2024-01-03T00:00:00"/>
    <d v="1899-12-30T20:00:00"/>
    <n v="9"/>
    <n v="0"/>
  </r>
  <r>
    <d v="2024-01-03T20:00:00"/>
    <x v="1"/>
    <x v="1"/>
    <n v="1003"/>
    <x v="1"/>
    <n v="30"/>
    <n v="3750"/>
    <n v="112500"/>
    <x v="65"/>
    <n v="96"/>
    <x v="53"/>
    <x v="2"/>
    <d v="2024-01-03T00:00:00"/>
    <d v="1899-12-30T20:00:00"/>
    <n v="13"/>
    <n v="0"/>
  </r>
  <r>
    <d v="2024-01-03T22:00:00"/>
    <x v="0"/>
    <x v="13"/>
    <n v="8"/>
    <x v="0"/>
    <n v="1000"/>
    <n v="120"/>
    <n v="120000"/>
    <x v="77"/>
    <n v="24"/>
    <x v="1"/>
    <x v="2"/>
    <d v="2024-01-03T00:00:00"/>
    <d v="1899-12-30T22:00:00"/>
    <d v="1900-01-01T00:00:00"/>
    <n v="0"/>
  </r>
  <r>
    <d v="2024-01-03T23:00:00"/>
    <x v="1"/>
    <x v="8"/>
    <n v="1004"/>
    <x v="1"/>
    <n v="30"/>
    <n v="3650"/>
    <n v="109500"/>
    <x v="74"/>
    <n v="96"/>
    <x v="94"/>
    <x v="2"/>
    <d v="2024-01-03T00:00:00"/>
    <d v="1899-12-30T23:00:00"/>
    <n v="7"/>
    <n v="0"/>
  </r>
  <r>
    <d v="2024-01-03T23:00:00"/>
    <x v="3"/>
    <x v="8"/>
    <n v="3009"/>
    <x v="1"/>
    <n v="5"/>
    <n v="4200"/>
    <n v="21000"/>
    <x v="82"/>
    <n v="288"/>
    <x v="109"/>
    <x v="2"/>
    <d v="2024-01-03T00:00:00"/>
    <d v="1899-12-30T23:00:00"/>
    <n v="7"/>
    <n v="0"/>
  </r>
  <r>
    <d v="2024-01-03T23:00:00"/>
    <x v="1"/>
    <x v="6"/>
    <n v="1004"/>
    <x v="1"/>
    <n v="30"/>
    <n v="3750"/>
    <n v="112500"/>
    <x v="76"/>
    <n v="92"/>
    <x v="105"/>
    <x v="2"/>
    <d v="2024-01-03T00:00:00"/>
    <d v="1899-12-30T23:00:00"/>
    <n v="15"/>
    <n v="0"/>
  </r>
  <r>
    <d v="2024-01-03T23:00:00"/>
    <x v="1"/>
    <x v="5"/>
    <n v="1004"/>
    <x v="1"/>
    <n v="30"/>
    <n v="3750"/>
    <n v="112500"/>
    <x v="81"/>
    <n v="96"/>
    <x v="80"/>
    <x v="2"/>
    <d v="2024-01-03T00:00:00"/>
    <d v="1899-12-30T23:00:00"/>
    <n v="8"/>
    <n v="0"/>
  </r>
  <r>
    <d v="2024-01-03T23:00:00"/>
    <x v="1"/>
    <x v="10"/>
    <n v="1004"/>
    <x v="1"/>
    <n v="30"/>
    <n v="3750"/>
    <n v="112500"/>
    <x v="77"/>
    <n v="96"/>
    <x v="86"/>
    <x v="2"/>
    <d v="2024-01-03T00:00:00"/>
    <d v="1899-12-30T23:00:00"/>
    <n v="16"/>
    <n v="0"/>
  </r>
  <r>
    <d v="2024-01-03T23:00:00"/>
    <x v="1"/>
    <x v="2"/>
    <n v="1004"/>
    <x v="1"/>
    <n v="30"/>
    <n v="3750"/>
    <n v="112500"/>
    <x v="83"/>
    <n v="96"/>
    <x v="110"/>
    <x v="2"/>
    <d v="2024-01-03T00:00:00"/>
    <d v="1899-12-30T23:00:00"/>
    <n v="9"/>
    <n v="0"/>
  </r>
  <r>
    <d v="2024-01-03T23:00:00"/>
    <x v="0"/>
    <x v="12"/>
    <n v="16"/>
    <x v="3"/>
    <n v="240"/>
    <n v="1020"/>
    <n v="244800"/>
    <x v="73"/>
    <n v="24"/>
    <x v="62"/>
    <x v="2"/>
    <d v="2024-01-03T00:00:00"/>
    <d v="1899-12-30T23:00:00"/>
    <n v="5"/>
    <n v="0"/>
  </r>
  <r>
    <d v="2024-01-03T23:00:00"/>
    <x v="1"/>
    <x v="7"/>
    <n v="1004"/>
    <x v="1"/>
    <n v="30"/>
    <n v="3750"/>
    <n v="112500"/>
    <x v="68"/>
    <n v="96"/>
    <x v="60"/>
    <x v="2"/>
    <d v="2024-01-03T00:00:00"/>
    <d v="1899-12-30T23:00:00"/>
    <n v="12"/>
    <n v="0"/>
  </r>
  <r>
    <d v="2024-01-03T23:00:00"/>
    <x v="1"/>
    <x v="9"/>
    <n v="1004"/>
    <x v="1"/>
    <n v="30"/>
    <n v="3750"/>
    <n v="112500"/>
    <x v="78"/>
    <n v="96"/>
    <x v="31"/>
    <x v="2"/>
    <d v="2024-01-03T00:00:00"/>
    <d v="1899-12-30T23:00:00"/>
    <n v="14"/>
    <n v="0"/>
  </r>
  <r>
    <d v="2024-01-03T23:00:00"/>
    <x v="1"/>
    <x v="3"/>
    <n v="1004"/>
    <x v="1"/>
    <n v="30"/>
    <n v="3750"/>
    <n v="112500"/>
    <x v="76"/>
    <n v="96"/>
    <x v="105"/>
    <x v="2"/>
    <d v="2024-01-03T00:00:00"/>
    <d v="1899-12-30T23:00:00"/>
    <n v="11"/>
    <n v="0"/>
  </r>
  <r>
    <d v="2024-01-03T23:00:00"/>
    <x v="1"/>
    <x v="1"/>
    <n v="1004"/>
    <x v="1"/>
    <n v="30"/>
    <n v="3750"/>
    <n v="112500"/>
    <x v="79"/>
    <n v="96"/>
    <x v="75"/>
    <x v="2"/>
    <d v="2024-01-03T00:00:00"/>
    <d v="1899-12-30T23:00:00"/>
    <n v="13"/>
    <n v="0"/>
  </r>
  <r>
    <d v="2024-01-03T23:00:00"/>
    <x v="1"/>
    <x v="4"/>
    <n v="1004"/>
    <x v="1"/>
    <n v="30"/>
    <n v="3700"/>
    <n v="111000"/>
    <x v="71"/>
    <n v="48"/>
    <x v="47"/>
    <x v="2"/>
    <d v="2024-01-03T00:00:00"/>
    <d v="1899-12-30T23:00:00"/>
    <n v="10"/>
    <n v="0"/>
  </r>
  <r>
    <d v="2024-01-04T00:00:00"/>
    <x v="0"/>
    <x v="12"/>
    <n v="16"/>
    <x v="0"/>
    <n v="1000"/>
    <n v="120"/>
    <n v="120000"/>
    <x v="68"/>
    <n v="24"/>
    <x v="50"/>
    <x v="3"/>
    <d v="2024-01-04T00:00:00"/>
    <d v="1899-12-30T00:00:00"/>
    <d v="1900-01-04T00:00:00"/>
    <n v="0"/>
  </r>
  <r>
    <d v="2024-01-04T02:00:00"/>
    <x v="0"/>
    <x v="15"/>
    <n v="14"/>
    <x v="0"/>
    <n v="6000"/>
    <n v="180"/>
    <n v="1080000"/>
    <x v="73"/>
    <n v="24"/>
    <x v="62"/>
    <x v="3"/>
    <d v="2024-01-04T00:00:00"/>
    <d v="1899-12-30T02:00:00"/>
    <d v="1899-12-31T00:00:00"/>
    <n v="0"/>
  </r>
  <r>
    <d v="2024-01-04T02:00:00"/>
    <x v="1"/>
    <x v="7"/>
    <n v="1004"/>
    <x v="2"/>
    <n v="4"/>
    <n v="6650"/>
    <n v="26600"/>
    <x v="76"/>
    <n v="96"/>
    <x v="105"/>
    <x v="3"/>
    <d v="2024-01-04T00:00:00"/>
    <d v="1899-12-30T02:00:00"/>
    <n v="12"/>
    <n v="0"/>
  </r>
  <r>
    <d v="2024-01-04T02:00:00"/>
    <x v="1"/>
    <x v="3"/>
    <n v="1004"/>
    <x v="2"/>
    <n v="4"/>
    <n v="6650"/>
    <n v="26600"/>
    <x v="84"/>
    <n v="96"/>
    <x v="77"/>
    <x v="3"/>
    <d v="2024-01-04T00:00:00"/>
    <d v="1899-12-30T02:00:00"/>
    <n v="11"/>
    <n v="0"/>
  </r>
  <r>
    <d v="2024-01-04T02:00:00"/>
    <x v="1"/>
    <x v="1"/>
    <n v="1004"/>
    <x v="2"/>
    <n v="4"/>
    <n v="6650"/>
    <n v="26600"/>
    <x v="85"/>
    <n v="96"/>
    <x v="111"/>
    <x v="3"/>
    <d v="2024-01-04T00:00:00"/>
    <d v="1899-12-30T02:00:00"/>
    <n v="13"/>
    <n v="0"/>
  </r>
  <r>
    <d v="2024-01-04T02:00:00"/>
    <x v="1"/>
    <x v="2"/>
    <n v="1004"/>
    <x v="2"/>
    <n v="4"/>
    <n v="6650"/>
    <n v="26600"/>
    <x v="86"/>
    <n v="96"/>
    <x v="112"/>
    <x v="3"/>
    <d v="2024-01-04T00:00:00"/>
    <d v="1899-12-30T02:00:00"/>
    <n v="9"/>
    <n v="0"/>
  </r>
  <r>
    <d v="2024-01-04T02:00:00"/>
    <x v="1"/>
    <x v="9"/>
    <n v="1004"/>
    <x v="2"/>
    <n v="4"/>
    <n v="6650"/>
    <n v="26600"/>
    <x v="73"/>
    <n v="96"/>
    <x v="52"/>
    <x v="3"/>
    <d v="2024-01-04T00:00:00"/>
    <d v="1899-12-30T02:00:00"/>
    <n v="14"/>
    <n v="0"/>
  </r>
  <r>
    <d v="2024-01-04T02:00:00"/>
    <x v="1"/>
    <x v="10"/>
    <n v="1004"/>
    <x v="2"/>
    <n v="4"/>
    <n v="6650"/>
    <n v="26600"/>
    <x v="70"/>
    <n v="96"/>
    <x v="91"/>
    <x v="3"/>
    <d v="2024-01-04T00:00:00"/>
    <d v="1899-12-30T02:00:00"/>
    <n v="16"/>
    <n v="0"/>
  </r>
  <r>
    <d v="2024-01-04T02:00:00"/>
    <x v="1"/>
    <x v="8"/>
    <n v="1004"/>
    <x v="2"/>
    <n v="4"/>
    <n v="6650"/>
    <n v="26600"/>
    <x v="76"/>
    <n v="96"/>
    <x v="105"/>
    <x v="3"/>
    <d v="2024-01-04T00:00:00"/>
    <d v="1899-12-30T02:00:00"/>
    <n v="7"/>
    <n v="0"/>
  </r>
  <r>
    <d v="2024-01-04T04:00:00"/>
    <x v="1"/>
    <x v="1"/>
    <n v="1005"/>
    <x v="1"/>
    <n v="30"/>
    <n v="3750"/>
    <n v="112500"/>
    <x v="87"/>
    <n v="96"/>
    <x v="79"/>
    <x v="3"/>
    <d v="2024-01-04T00:00:00"/>
    <d v="1899-12-30T04:00:00"/>
    <n v="13"/>
    <n v="0"/>
  </r>
  <r>
    <d v="2024-01-04T04:00:00"/>
    <x v="1"/>
    <x v="2"/>
    <n v="1005"/>
    <x v="1"/>
    <n v="30"/>
    <n v="3550"/>
    <n v="106500"/>
    <x v="86"/>
    <n v="96"/>
    <x v="100"/>
    <x v="3"/>
    <d v="2024-01-04T00:00:00"/>
    <d v="1899-12-30T04:00:00"/>
    <n v="9"/>
    <n v="0"/>
  </r>
  <r>
    <d v="2024-01-04T04:00:00"/>
    <x v="1"/>
    <x v="5"/>
    <n v="1005"/>
    <x v="1"/>
    <n v="30"/>
    <n v="3750"/>
    <n v="112500"/>
    <x v="85"/>
    <n v="96"/>
    <x v="100"/>
    <x v="3"/>
    <d v="2024-01-04T00:00:00"/>
    <d v="1899-12-30T04:00:00"/>
    <n v="8"/>
    <n v="0"/>
  </r>
  <r>
    <d v="2024-01-04T04:00:00"/>
    <x v="1"/>
    <x v="6"/>
    <n v="1005"/>
    <x v="1"/>
    <n v="50"/>
    <n v="3650"/>
    <n v="182500"/>
    <x v="80"/>
    <n v="96"/>
    <x v="107"/>
    <x v="3"/>
    <d v="2024-01-04T00:00:00"/>
    <d v="1899-12-30T04:00:00"/>
    <n v="15"/>
    <n v="0"/>
  </r>
  <r>
    <d v="2024-01-04T04:00:00"/>
    <x v="1"/>
    <x v="9"/>
    <n v="1005"/>
    <x v="1"/>
    <n v="30"/>
    <n v="3750"/>
    <n v="112500"/>
    <x v="88"/>
    <n v="96"/>
    <x v="61"/>
    <x v="3"/>
    <d v="2024-01-04T00:00:00"/>
    <d v="1899-12-30T04:00:00"/>
    <n v="14"/>
    <n v="0"/>
  </r>
  <r>
    <d v="2024-01-04T04:00:00"/>
    <x v="1"/>
    <x v="8"/>
    <n v="1005"/>
    <x v="1"/>
    <n v="30"/>
    <n v="3650"/>
    <n v="109500"/>
    <x v="88"/>
    <n v="96"/>
    <x v="61"/>
    <x v="3"/>
    <d v="2024-01-04T00:00:00"/>
    <d v="1899-12-30T04:00:00"/>
    <n v="7"/>
    <n v="0"/>
  </r>
  <r>
    <d v="2024-01-04T04:00:00"/>
    <x v="1"/>
    <x v="3"/>
    <n v="1005"/>
    <x v="1"/>
    <n v="30"/>
    <n v="3750"/>
    <n v="112500"/>
    <x v="75"/>
    <n v="96"/>
    <x v="74"/>
    <x v="3"/>
    <d v="2024-01-04T00:00:00"/>
    <d v="1899-12-30T04:00:00"/>
    <n v="11"/>
    <n v="0"/>
  </r>
  <r>
    <d v="2024-01-04T04:00:00"/>
    <x v="1"/>
    <x v="7"/>
    <n v="1005"/>
    <x v="1"/>
    <n v="15"/>
    <n v="3850"/>
    <n v="57750"/>
    <x v="68"/>
    <n v="60"/>
    <x v="36"/>
    <x v="3"/>
    <d v="2024-01-04T00:00:00"/>
    <d v="1899-12-30T04:00:00"/>
    <n v="12"/>
    <n v="0"/>
  </r>
  <r>
    <d v="2024-01-04T04:00:00"/>
    <x v="1"/>
    <x v="10"/>
    <n v="1005"/>
    <x v="1"/>
    <n v="30"/>
    <n v="3750"/>
    <n v="112500"/>
    <x v="89"/>
    <n v="96"/>
    <x v="73"/>
    <x v="3"/>
    <d v="2024-01-04T00:00:00"/>
    <d v="1899-12-30T04:00:00"/>
    <n v="16"/>
    <n v="0"/>
  </r>
  <r>
    <d v="2024-01-04T04:00:00"/>
    <x v="1"/>
    <x v="4"/>
    <n v="1005"/>
    <x v="1"/>
    <n v="30"/>
    <n v="3700"/>
    <n v="111000"/>
    <x v="73"/>
    <n v="48"/>
    <x v="62"/>
    <x v="3"/>
    <d v="2024-01-04T00:00:00"/>
    <d v="1899-12-30T04:00:00"/>
    <n v="10"/>
    <n v="0"/>
  </r>
  <r>
    <d v="2024-01-04T04:00:00"/>
    <x v="0"/>
    <x v="7"/>
    <n v="3"/>
    <x v="5"/>
    <n v="50"/>
    <n v="5"/>
    <n v="250"/>
    <x v="89"/>
    <n v="72"/>
    <x v="73"/>
    <x v="3"/>
    <d v="2024-01-04T00:00:00"/>
    <d v="1899-12-30T04:00:00"/>
    <n v="12"/>
    <n v="0"/>
  </r>
  <r>
    <d v="2024-01-04T06:00:00"/>
    <x v="1"/>
    <x v="6"/>
    <n v="1005"/>
    <x v="2"/>
    <n v="6"/>
    <n v="6650"/>
    <n v="39900"/>
    <x v="80"/>
    <n v="96"/>
    <x v="107"/>
    <x v="3"/>
    <d v="2024-01-04T00:00:00"/>
    <d v="1899-12-30T06:00:00"/>
    <n v="15"/>
    <n v="0"/>
  </r>
  <r>
    <d v="2024-01-04T06:00:00"/>
    <x v="1"/>
    <x v="2"/>
    <n v="1005"/>
    <x v="2"/>
    <n v="6"/>
    <n v="6650"/>
    <n v="39900"/>
    <x v="90"/>
    <n v="96"/>
    <x v="78"/>
    <x v="3"/>
    <d v="2024-01-04T00:00:00"/>
    <d v="1899-12-30T06:00:00"/>
    <n v="9"/>
    <n v="0"/>
  </r>
  <r>
    <d v="2024-01-04T06:00:00"/>
    <x v="1"/>
    <x v="1"/>
    <n v="1005"/>
    <x v="2"/>
    <n v="6"/>
    <n v="6650"/>
    <n v="39900"/>
    <x v="91"/>
    <n v="96"/>
    <x v="101"/>
    <x v="3"/>
    <d v="2024-01-04T00:00:00"/>
    <d v="1899-12-30T06:00:00"/>
    <n v="13"/>
    <n v="0"/>
  </r>
  <r>
    <d v="2024-01-04T06:00:00"/>
    <x v="1"/>
    <x v="9"/>
    <n v="1005"/>
    <x v="2"/>
    <n v="6"/>
    <n v="6650"/>
    <n v="39900"/>
    <x v="88"/>
    <n v="96"/>
    <x v="74"/>
    <x v="3"/>
    <d v="2024-01-04T00:00:00"/>
    <d v="1899-12-30T06:00:00"/>
    <n v="14"/>
    <n v="0"/>
  </r>
  <r>
    <d v="2024-01-04T06:00:00"/>
    <x v="1"/>
    <x v="8"/>
    <n v="1005"/>
    <x v="2"/>
    <n v="6"/>
    <n v="6650"/>
    <n v="39900"/>
    <x v="75"/>
    <n v="96"/>
    <x v="74"/>
    <x v="3"/>
    <d v="2024-01-04T00:00:00"/>
    <d v="1899-12-30T06:00:00"/>
    <n v="7"/>
    <n v="0"/>
  </r>
  <r>
    <d v="2024-01-04T06:00:00"/>
    <x v="1"/>
    <x v="4"/>
    <n v="1005"/>
    <x v="2"/>
    <n v="6"/>
    <n v="6800"/>
    <n v="40800"/>
    <x v="73"/>
    <n v="96"/>
    <x v="52"/>
    <x v="3"/>
    <d v="2024-01-04T00:00:00"/>
    <d v="1899-12-30T06:00:00"/>
    <n v="10"/>
    <n v="0"/>
  </r>
  <r>
    <d v="2024-01-04T06:00:00"/>
    <x v="1"/>
    <x v="10"/>
    <n v="1005"/>
    <x v="2"/>
    <n v="6"/>
    <n v="6650"/>
    <n v="39900"/>
    <x v="64"/>
    <n v="96"/>
    <x v="108"/>
    <x v="3"/>
    <d v="2024-01-04T00:00:00"/>
    <d v="1899-12-30T06:00:00"/>
    <n v="16"/>
    <n v="0"/>
  </r>
  <r>
    <d v="2024-01-04T06:00:00"/>
    <x v="1"/>
    <x v="7"/>
    <n v="1005"/>
    <x v="2"/>
    <n v="6"/>
    <n v="6800"/>
    <n v="40800"/>
    <x v="74"/>
    <n v="72"/>
    <x v="69"/>
    <x v="3"/>
    <d v="2024-01-04T00:00:00"/>
    <d v="1899-12-30T06:00:00"/>
    <n v="12"/>
    <n v="0"/>
  </r>
  <r>
    <d v="2024-01-04T06:00:00"/>
    <x v="1"/>
    <x v="3"/>
    <n v="1005"/>
    <x v="2"/>
    <n v="6"/>
    <n v="6650"/>
    <n v="39900"/>
    <x v="65"/>
    <n v="96"/>
    <x v="53"/>
    <x v="3"/>
    <d v="2024-01-04T00:00:00"/>
    <d v="1899-12-30T06:00:00"/>
    <n v="11"/>
    <n v="0"/>
  </r>
  <r>
    <d v="2024-01-04T07:00:00"/>
    <x v="0"/>
    <x v="13"/>
    <n v="15"/>
    <x v="0"/>
    <n v="1000"/>
    <n v="140"/>
    <n v="140000"/>
    <x v="64"/>
    <n v="72"/>
    <x v="108"/>
    <x v="3"/>
    <d v="2024-01-04T00:00:00"/>
    <d v="1899-12-30T07:00:00"/>
    <d v="1900-01-01T00:00:00"/>
    <n v="0"/>
  </r>
  <r>
    <d v="2024-01-04T07:00:00"/>
    <x v="0"/>
    <x v="11"/>
    <n v="7"/>
    <x v="0"/>
    <n v="758"/>
    <n v="100"/>
    <n v="75800"/>
    <x v="74"/>
    <n v="72"/>
    <x v="94"/>
    <x v="3"/>
    <d v="2024-01-04T00:00:00"/>
    <d v="1899-12-30T07:00:00"/>
    <d v="1900-01-05T00:00:00"/>
    <n v="0"/>
  </r>
  <r>
    <d v="2024-01-04T08:00:00"/>
    <x v="2"/>
    <x v="3"/>
    <n v="2005"/>
    <x v="2"/>
    <n v="30"/>
    <n v="6650"/>
    <n v="199500"/>
    <x v="81"/>
    <n v="132"/>
    <x v="113"/>
    <x v="3"/>
    <d v="2024-01-04T00:00:00"/>
    <d v="1899-12-30T08:00:00"/>
    <n v="11"/>
    <n v="0"/>
  </r>
  <r>
    <d v="2024-01-04T08:00:00"/>
    <x v="2"/>
    <x v="9"/>
    <n v="2005"/>
    <x v="2"/>
    <n v="30"/>
    <n v="6650"/>
    <n v="199500"/>
    <x v="65"/>
    <n v="132"/>
    <x v="114"/>
    <x v="3"/>
    <d v="2024-01-04T00:00:00"/>
    <d v="1899-12-30T08:00:00"/>
    <n v="14"/>
    <n v="0"/>
  </r>
  <r>
    <d v="2024-01-04T08:00:00"/>
    <x v="1"/>
    <x v="3"/>
    <n v="1006"/>
    <x v="1"/>
    <n v="30"/>
    <n v="3750"/>
    <n v="112500"/>
    <x v="79"/>
    <n v="96"/>
    <x v="75"/>
    <x v="3"/>
    <d v="2024-01-04T00:00:00"/>
    <d v="1899-12-30T08:00:00"/>
    <n v="11"/>
    <n v="0"/>
  </r>
  <r>
    <d v="2024-01-04T08:00:00"/>
    <x v="2"/>
    <x v="8"/>
    <n v="2005"/>
    <x v="2"/>
    <n v="30"/>
    <n v="6650"/>
    <n v="199500"/>
    <x v="82"/>
    <n v="132"/>
    <x v="115"/>
    <x v="3"/>
    <d v="2024-01-04T00:00:00"/>
    <d v="1899-12-30T08:00:00"/>
    <n v="7"/>
    <n v="0"/>
  </r>
  <r>
    <d v="2024-01-04T08:00:00"/>
    <x v="2"/>
    <x v="1"/>
    <n v="2005"/>
    <x v="1"/>
    <n v="30"/>
    <n v="3750"/>
    <n v="112500"/>
    <x v="92"/>
    <n v="132"/>
    <x v="116"/>
    <x v="3"/>
    <d v="2024-01-04T00:00:00"/>
    <d v="1899-12-30T08:00:00"/>
    <n v="13"/>
    <n v="0"/>
  </r>
  <r>
    <d v="2024-01-04T08:00:00"/>
    <x v="2"/>
    <x v="1"/>
    <n v="2005"/>
    <x v="2"/>
    <n v="30"/>
    <n v="6650"/>
    <n v="199500"/>
    <x v="93"/>
    <n v="132"/>
    <x v="117"/>
    <x v="3"/>
    <d v="2024-01-04T00:00:00"/>
    <d v="1899-12-30T08:00:00"/>
    <n v="13"/>
    <n v="0"/>
  </r>
  <r>
    <d v="2024-01-04T08:00:00"/>
    <x v="1"/>
    <x v="6"/>
    <n v="1006"/>
    <x v="1"/>
    <n v="49"/>
    <n v="3650"/>
    <n v="178850"/>
    <x v="86"/>
    <n v="96"/>
    <x v="100"/>
    <x v="3"/>
    <d v="2024-01-04T00:00:00"/>
    <d v="1899-12-30T08:00:00"/>
    <n v="15"/>
    <n v="0"/>
  </r>
  <r>
    <d v="2024-01-04T08:00:00"/>
    <x v="2"/>
    <x v="7"/>
    <n v="2005"/>
    <x v="2"/>
    <n v="30"/>
    <n v="6650"/>
    <n v="199500"/>
    <x v="94"/>
    <n v="120"/>
    <x v="118"/>
    <x v="3"/>
    <d v="2024-01-04T00:00:00"/>
    <d v="1899-12-30T08:00:00"/>
    <n v="12"/>
    <n v="0"/>
  </r>
  <r>
    <d v="2024-01-04T08:00:00"/>
    <x v="1"/>
    <x v="4"/>
    <n v="1006"/>
    <x v="1"/>
    <n v="30"/>
    <n v="3700"/>
    <n v="111000"/>
    <x v="95"/>
    <n v="48"/>
    <x v="72"/>
    <x v="3"/>
    <d v="2024-01-04T00:00:00"/>
    <d v="1899-12-30T08:00:00"/>
    <n v="10"/>
    <n v="24"/>
  </r>
  <r>
    <d v="2024-01-04T08:00:00"/>
    <x v="2"/>
    <x v="10"/>
    <n v="2005"/>
    <x v="2"/>
    <n v="30"/>
    <n v="6650"/>
    <n v="199500"/>
    <x v="95"/>
    <n v="132"/>
    <x v="119"/>
    <x v="3"/>
    <d v="2024-01-04T00:00:00"/>
    <d v="1899-12-30T08:00:00"/>
    <n v="16"/>
    <n v="0"/>
  </r>
  <r>
    <d v="2024-01-04T08:00:00"/>
    <x v="2"/>
    <x v="2"/>
    <n v="2005"/>
    <x v="2"/>
    <n v="30"/>
    <n v="6650"/>
    <n v="199500"/>
    <x v="96"/>
    <n v="132"/>
    <x v="120"/>
    <x v="3"/>
    <d v="2024-01-04T00:00:00"/>
    <d v="1899-12-30T08:00:00"/>
    <n v="9"/>
    <n v="0"/>
  </r>
  <r>
    <d v="2024-01-04T08:00:00"/>
    <x v="1"/>
    <x v="9"/>
    <n v="1006"/>
    <x v="1"/>
    <n v="30"/>
    <n v="3750"/>
    <n v="112500"/>
    <x v="76"/>
    <n v="96"/>
    <x v="105"/>
    <x v="3"/>
    <d v="2024-01-04T00:00:00"/>
    <d v="1899-12-30T08:00:00"/>
    <n v="14"/>
    <n v="0"/>
  </r>
  <r>
    <d v="2024-01-04T08:00:00"/>
    <x v="2"/>
    <x v="8"/>
    <n v="2005"/>
    <x v="1"/>
    <n v="30"/>
    <n v="3650"/>
    <n v="109500"/>
    <x v="82"/>
    <n v="132"/>
    <x v="115"/>
    <x v="3"/>
    <d v="2024-01-04T00:00:00"/>
    <d v="1899-12-30T08:00:00"/>
    <n v="7"/>
    <n v="0"/>
  </r>
  <r>
    <d v="2024-01-04T08:00:00"/>
    <x v="2"/>
    <x v="7"/>
    <n v="2005"/>
    <x v="1"/>
    <n v="30"/>
    <n v="3750"/>
    <n v="112500"/>
    <x v="69"/>
    <n v="120"/>
    <x v="121"/>
    <x v="3"/>
    <d v="2024-01-04T00:00:00"/>
    <d v="1899-12-30T08:00:00"/>
    <n v="12"/>
    <n v="0"/>
  </r>
  <r>
    <d v="2024-01-04T08:00:00"/>
    <x v="2"/>
    <x v="9"/>
    <n v="2005"/>
    <x v="1"/>
    <n v="30"/>
    <n v="3750"/>
    <n v="112500"/>
    <x v="94"/>
    <n v="132"/>
    <x v="118"/>
    <x v="3"/>
    <d v="2024-01-04T00:00:00"/>
    <d v="1899-12-30T08:00:00"/>
    <n v="14"/>
    <n v="0"/>
  </r>
  <r>
    <d v="2024-01-04T08:00:00"/>
    <x v="1"/>
    <x v="5"/>
    <n v="1006"/>
    <x v="1"/>
    <n v="30"/>
    <n v="3750"/>
    <n v="112500"/>
    <x v="90"/>
    <n v="96"/>
    <x v="78"/>
    <x v="3"/>
    <d v="2024-01-04T00:00:00"/>
    <d v="1899-12-30T08:00:00"/>
    <n v="8"/>
    <n v="0"/>
  </r>
  <r>
    <d v="2024-01-04T08:00:00"/>
    <x v="1"/>
    <x v="2"/>
    <n v="1006"/>
    <x v="1"/>
    <n v="30"/>
    <n v="3550"/>
    <n v="106500"/>
    <x v="97"/>
    <n v="96"/>
    <x v="122"/>
    <x v="3"/>
    <d v="2024-01-04T00:00:00"/>
    <d v="1899-12-30T08:00:00"/>
    <n v="9"/>
    <n v="0"/>
  </r>
  <r>
    <d v="2024-01-04T08:00:00"/>
    <x v="1"/>
    <x v="1"/>
    <n v="1006"/>
    <x v="1"/>
    <n v="30"/>
    <n v="3750"/>
    <n v="112500"/>
    <x v="90"/>
    <n v="96"/>
    <x v="78"/>
    <x v="3"/>
    <d v="2024-01-04T00:00:00"/>
    <d v="1899-12-30T08:00:00"/>
    <n v="13"/>
    <n v="0"/>
  </r>
  <r>
    <d v="2024-01-04T08:00:00"/>
    <x v="2"/>
    <x v="6"/>
    <n v="2005"/>
    <x v="1"/>
    <n v="50"/>
    <n v="3650"/>
    <n v="182500"/>
    <x v="98"/>
    <n v="132"/>
    <x v="120"/>
    <x v="3"/>
    <d v="2024-01-04T00:00:00"/>
    <d v="1899-12-30T08:00:00"/>
    <n v="15"/>
    <n v="0"/>
  </r>
  <r>
    <d v="2024-01-04T08:00:00"/>
    <x v="2"/>
    <x v="4"/>
    <n v="2005"/>
    <x v="2"/>
    <n v="36"/>
    <n v="6550"/>
    <n v="235800"/>
    <x v="95"/>
    <n v="156"/>
    <x v="119"/>
    <x v="3"/>
    <d v="2024-01-04T00:00:00"/>
    <d v="1899-12-30T08:00:00"/>
    <n v="10"/>
    <n v="0"/>
  </r>
  <r>
    <d v="2024-01-04T08:00:00"/>
    <x v="2"/>
    <x v="5"/>
    <n v="2005"/>
    <x v="1"/>
    <n v="30"/>
    <n v="3500"/>
    <n v="105000"/>
    <x v="90"/>
    <n v="132"/>
    <x v="123"/>
    <x v="3"/>
    <d v="2024-01-04T00:00:00"/>
    <d v="1899-12-30T08:00:00"/>
    <n v="8"/>
    <n v="0"/>
  </r>
  <r>
    <d v="2024-01-04T08:00:00"/>
    <x v="1"/>
    <x v="10"/>
    <n v="1006"/>
    <x v="1"/>
    <n v="30"/>
    <n v="3750"/>
    <n v="112500"/>
    <x v="65"/>
    <n v="96"/>
    <x v="53"/>
    <x v="3"/>
    <d v="2024-01-04T00:00:00"/>
    <d v="1899-12-30T08:00:00"/>
    <n v="16"/>
    <n v="0"/>
  </r>
  <r>
    <d v="2024-01-04T08:00:00"/>
    <x v="2"/>
    <x v="4"/>
    <n v="2005"/>
    <x v="1"/>
    <n v="50"/>
    <n v="3900"/>
    <n v="195000"/>
    <x v="83"/>
    <n v="84"/>
    <x v="30"/>
    <x v="3"/>
    <d v="2024-01-04T00:00:00"/>
    <d v="1899-12-30T08:00:00"/>
    <n v="10"/>
    <n v="0"/>
  </r>
  <r>
    <d v="2024-01-04T08:00:00"/>
    <x v="2"/>
    <x v="3"/>
    <n v="2005"/>
    <x v="1"/>
    <n v="30"/>
    <n v="3750"/>
    <n v="112500"/>
    <x v="81"/>
    <n v="132"/>
    <x v="113"/>
    <x v="3"/>
    <d v="2024-01-04T00:00:00"/>
    <d v="1899-12-30T08:00:00"/>
    <n v="11"/>
    <n v="0"/>
  </r>
  <r>
    <d v="2024-01-04T08:00:00"/>
    <x v="2"/>
    <x v="6"/>
    <n v="2005"/>
    <x v="2"/>
    <n v="30"/>
    <n v="6900"/>
    <n v="207000"/>
    <x v="99"/>
    <n v="72"/>
    <x v="51"/>
    <x v="3"/>
    <d v="2024-01-04T00:00:00"/>
    <d v="1899-12-30T08:00:00"/>
    <n v="15"/>
    <n v="0"/>
  </r>
  <r>
    <d v="2024-01-04T08:00:00"/>
    <x v="1"/>
    <x v="7"/>
    <n v="1006"/>
    <x v="1"/>
    <n v="15"/>
    <n v="3850"/>
    <n v="57750"/>
    <x v="74"/>
    <n v="60"/>
    <x v="69"/>
    <x v="3"/>
    <d v="2024-01-04T00:00:00"/>
    <d v="1899-12-30T08:00:00"/>
    <n v="12"/>
    <n v="0"/>
  </r>
  <r>
    <d v="2024-01-04T08:00:00"/>
    <x v="2"/>
    <x v="10"/>
    <n v="2005"/>
    <x v="1"/>
    <n v="30"/>
    <n v="3750"/>
    <n v="112500"/>
    <x v="91"/>
    <n v="132"/>
    <x v="124"/>
    <x v="3"/>
    <d v="2024-01-04T00:00:00"/>
    <d v="1899-12-30T08:00:00"/>
    <n v="16"/>
    <n v="0"/>
  </r>
  <r>
    <d v="2024-01-04T08:00:00"/>
    <x v="1"/>
    <x v="8"/>
    <n v="1006"/>
    <x v="1"/>
    <n v="30"/>
    <n v="3650"/>
    <n v="109500"/>
    <x v="76"/>
    <n v="96"/>
    <x v="105"/>
    <x v="3"/>
    <d v="2024-01-04T00:00:00"/>
    <d v="1899-12-30T08:00:00"/>
    <n v="7"/>
    <n v="0"/>
  </r>
  <r>
    <d v="2024-01-04T08:00:00"/>
    <x v="2"/>
    <x v="2"/>
    <n v="2005"/>
    <x v="1"/>
    <n v="30"/>
    <n v="3600"/>
    <n v="108000"/>
    <x v="90"/>
    <n v="96"/>
    <x v="78"/>
    <x v="3"/>
    <d v="2024-01-04T00:00:00"/>
    <d v="1899-12-30T08:00:00"/>
    <n v="9"/>
    <n v="0"/>
  </r>
  <r>
    <d v="2024-01-04T09:00:00"/>
    <x v="0"/>
    <x v="13"/>
    <n v="13"/>
    <x v="0"/>
    <n v="2000"/>
    <n v="115"/>
    <n v="230000"/>
    <x v="65"/>
    <n v="72"/>
    <x v="53"/>
    <x v="3"/>
    <d v="2024-01-04T00:00:00"/>
    <d v="1899-12-30T09:00:00"/>
    <d v="1900-01-01T00:00:00"/>
    <n v="0"/>
  </r>
  <r>
    <d v="2024-01-04T10:00:00"/>
    <x v="1"/>
    <x v="8"/>
    <n v="1006"/>
    <x v="2"/>
    <n v="7"/>
    <n v="6650"/>
    <n v="46550"/>
    <x v="100"/>
    <n v="96"/>
    <x v="77"/>
    <x v="3"/>
    <d v="2024-01-04T00:00:00"/>
    <d v="1899-12-30T10:00:00"/>
    <n v="7"/>
    <n v="0"/>
  </r>
  <r>
    <d v="2024-01-04T10:00:00"/>
    <x v="1"/>
    <x v="1"/>
    <n v="1009"/>
    <x v="2"/>
    <n v="2"/>
    <n v="6650"/>
    <n v="13300"/>
    <x v="97"/>
    <n v="96"/>
    <x v="122"/>
    <x v="3"/>
    <d v="2024-01-04T00:00:00"/>
    <d v="1899-12-30T10:00:00"/>
    <n v="13"/>
    <n v="0"/>
  </r>
  <r>
    <d v="2024-01-04T10:00:00"/>
    <x v="1"/>
    <x v="10"/>
    <n v="1009"/>
    <x v="2"/>
    <n v="2"/>
    <n v="6650"/>
    <n v="13300"/>
    <x v="81"/>
    <n v="96"/>
    <x v="80"/>
    <x v="3"/>
    <d v="2024-01-04T00:00:00"/>
    <d v="1899-12-30T10:00:00"/>
    <n v="16"/>
    <n v="0"/>
  </r>
  <r>
    <d v="2024-01-04T10:00:00"/>
    <x v="1"/>
    <x v="10"/>
    <n v="1006"/>
    <x v="2"/>
    <n v="7"/>
    <n v="6650"/>
    <n v="46550"/>
    <x v="81"/>
    <n v="96"/>
    <x v="80"/>
    <x v="3"/>
    <d v="2024-01-04T00:00:00"/>
    <d v="1899-12-30T10:00:00"/>
    <n v="16"/>
    <n v="0"/>
  </r>
  <r>
    <d v="2024-01-04T10:00:00"/>
    <x v="1"/>
    <x v="3"/>
    <n v="1009"/>
    <x v="2"/>
    <n v="2"/>
    <n v="6650"/>
    <n v="13300"/>
    <x v="90"/>
    <n v="96"/>
    <x v="78"/>
    <x v="3"/>
    <d v="2024-01-04T00:00:00"/>
    <d v="1899-12-30T10:00:00"/>
    <n v="11"/>
    <n v="0"/>
  </r>
  <r>
    <d v="2024-01-04T10:00:00"/>
    <x v="1"/>
    <x v="2"/>
    <n v="1006"/>
    <x v="2"/>
    <n v="7"/>
    <n v="6650"/>
    <n v="46550"/>
    <x v="99"/>
    <n v="96"/>
    <x v="99"/>
    <x v="3"/>
    <d v="2024-01-04T00:00:00"/>
    <d v="1899-12-30T10:00:00"/>
    <n v="9"/>
    <n v="0"/>
  </r>
  <r>
    <d v="2024-01-04T10:00:00"/>
    <x v="1"/>
    <x v="2"/>
    <n v="1009"/>
    <x v="2"/>
    <n v="2"/>
    <n v="6650"/>
    <n v="13300"/>
    <x v="101"/>
    <n v="96"/>
    <x v="125"/>
    <x v="3"/>
    <d v="2024-01-04T00:00:00"/>
    <d v="1899-12-30T10:00:00"/>
    <n v="9"/>
    <n v="0"/>
  </r>
  <r>
    <d v="2024-01-04T10:00:00"/>
    <x v="1"/>
    <x v="1"/>
    <n v="1006"/>
    <x v="2"/>
    <n v="7"/>
    <n v="6650"/>
    <n v="46550"/>
    <x v="92"/>
    <n v="96"/>
    <x v="126"/>
    <x v="3"/>
    <d v="2024-01-04T00:00:00"/>
    <d v="1899-12-30T10:00:00"/>
    <n v="13"/>
    <n v="0"/>
  </r>
  <r>
    <d v="2024-01-04T10:00:00"/>
    <x v="1"/>
    <x v="9"/>
    <n v="1006"/>
    <x v="2"/>
    <n v="7"/>
    <n v="6650"/>
    <n v="46550"/>
    <x v="79"/>
    <n v="96"/>
    <x v="72"/>
    <x v="3"/>
    <d v="2024-01-04T00:00:00"/>
    <d v="1899-12-30T10:00:00"/>
    <n v="14"/>
    <n v="0"/>
  </r>
  <r>
    <d v="2024-01-04T10:00:00"/>
    <x v="1"/>
    <x v="3"/>
    <n v="1006"/>
    <x v="2"/>
    <n v="7"/>
    <n v="6650"/>
    <n v="46550"/>
    <x v="72"/>
    <n v="96"/>
    <x v="71"/>
    <x v="3"/>
    <d v="2024-01-04T00:00:00"/>
    <d v="1899-12-30T10:00:00"/>
    <n v="11"/>
    <n v="0"/>
  </r>
  <r>
    <d v="2024-01-04T10:00:00"/>
    <x v="1"/>
    <x v="4"/>
    <n v="1009"/>
    <x v="2"/>
    <n v="2"/>
    <n v="6800"/>
    <n v="13600"/>
    <x v="75"/>
    <n v="96"/>
    <x v="71"/>
    <x v="3"/>
    <d v="2024-01-04T00:00:00"/>
    <d v="1899-12-30T10:00:00"/>
    <n v="10"/>
    <n v="0"/>
  </r>
  <r>
    <d v="2024-01-04T10:00:00"/>
    <x v="1"/>
    <x v="6"/>
    <n v="1006"/>
    <x v="2"/>
    <n v="7"/>
    <n v="6650"/>
    <n v="46550"/>
    <x v="95"/>
    <n v="96"/>
    <x v="72"/>
    <x v="3"/>
    <d v="2024-01-04T00:00:00"/>
    <d v="1899-12-30T10:00:00"/>
    <n v="15"/>
    <n v="0"/>
  </r>
  <r>
    <d v="2024-01-04T10:00:00"/>
    <x v="1"/>
    <x v="9"/>
    <n v="1009"/>
    <x v="2"/>
    <n v="2"/>
    <n v="6650"/>
    <n v="13300"/>
    <x v="79"/>
    <n v="96"/>
    <x v="75"/>
    <x v="3"/>
    <d v="2024-01-04T00:00:00"/>
    <d v="1899-12-30T10:00:00"/>
    <n v="14"/>
    <n v="0"/>
  </r>
  <r>
    <d v="2024-01-04T10:00:00"/>
    <x v="1"/>
    <x v="7"/>
    <n v="1009"/>
    <x v="2"/>
    <n v="2"/>
    <n v="6800"/>
    <n v="13600"/>
    <x v="94"/>
    <n v="72"/>
    <x v="32"/>
    <x v="3"/>
    <d v="2024-01-04T00:00:00"/>
    <d v="1899-12-30T10:00:00"/>
    <n v="12"/>
    <n v="0"/>
  </r>
  <r>
    <d v="2024-01-04T10:00:00"/>
    <x v="1"/>
    <x v="7"/>
    <n v="1006"/>
    <x v="2"/>
    <n v="7"/>
    <n v="6800"/>
    <n v="47600"/>
    <x v="76"/>
    <n v="72"/>
    <x v="88"/>
    <x v="3"/>
    <d v="2024-01-04T00:00:00"/>
    <d v="1899-12-30T10:00:00"/>
    <n v="12"/>
    <n v="0"/>
  </r>
  <r>
    <d v="2024-01-04T10:00:00"/>
    <x v="1"/>
    <x v="8"/>
    <n v="1009"/>
    <x v="2"/>
    <n v="2"/>
    <n v="6650"/>
    <n v="13300"/>
    <x v="100"/>
    <n v="96"/>
    <x v="77"/>
    <x v="3"/>
    <d v="2024-01-04T00:00:00"/>
    <d v="1899-12-30T10:00:00"/>
    <n v="7"/>
    <n v="0"/>
  </r>
  <r>
    <d v="2024-01-04T10:00:00"/>
    <x v="1"/>
    <x v="4"/>
    <n v="1006"/>
    <x v="2"/>
    <n v="7"/>
    <n v="6800"/>
    <n v="47600"/>
    <x v="75"/>
    <n v="96"/>
    <x v="74"/>
    <x v="3"/>
    <d v="2024-01-04T00:00:00"/>
    <d v="1899-12-30T10:00:00"/>
    <n v="10"/>
    <n v="0"/>
  </r>
  <r>
    <d v="2024-01-04T11:00:00"/>
    <x v="0"/>
    <x v="13"/>
    <n v="9"/>
    <x v="0"/>
    <n v="1000"/>
    <n v="115"/>
    <n v="115000"/>
    <x v="75"/>
    <n v="48"/>
    <x v="54"/>
    <x v="3"/>
    <d v="2024-01-04T00:00:00"/>
    <d v="1899-12-30T11:00:00"/>
    <d v="1900-01-01T00:00:00"/>
    <n v="0"/>
  </r>
  <r>
    <d v="2024-01-04T14:00:00"/>
    <x v="0"/>
    <x v="13"/>
    <n v="9"/>
    <x v="3"/>
    <n v="467"/>
    <n v="1250"/>
    <n v="583750"/>
    <x v="80"/>
    <n v="72"/>
    <x v="107"/>
    <x v="3"/>
    <d v="2024-01-04T00:00:00"/>
    <d v="1899-12-30T14:00:00"/>
    <n v="2"/>
    <n v="0"/>
  </r>
  <r>
    <d v="2024-01-04T14:00:00"/>
    <x v="1"/>
    <x v="7"/>
    <n v="1009"/>
    <x v="1"/>
    <n v="15"/>
    <n v="3900"/>
    <n v="58500"/>
    <x v="81"/>
    <n v="60"/>
    <x v="67"/>
    <x v="3"/>
    <d v="2024-01-04T00:00:00"/>
    <d v="1899-12-30T14:00:00"/>
    <n v="12"/>
    <n v="0"/>
  </r>
  <r>
    <d v="2024-01-04T14:00:00"/>
    <x v="1"/>
    <x v="2"/>
    <n v="1009"/>
    <x v="1"/>
    <n v="18"/>
    <n v="3550"/>
    <n v="63900"/>
    <x v="99"/>
    <n v="96"/>
    <x v="99"/>
    <x v="3"/>
    <d v="2024-01-04T00:00:00"/>
    <d v="1899-12-30T14:00:00"/>
    <n v="9"/>
    <n v="0"/>
  </r>
  <r>
    <d v="2024-01-04T14:00:00"/>
    <x v="1"/>
    <x v="4"/>
    <n v="1009"/>
    <x v="1"/>
    <n v="18"/>
    <n v="3900"/>
    <n v="70200"/>
    <x v="94"/>
    <n v="48"/>
    <x v="71"/>
    <x v="3"/>
    <d v="2024-01-04T00:00:00"/>
    <d v="1899-12-30T14:00:00"/>
    <n v="10"/>
    <n v="24"/>
  </r>
  <r>
    <d v="2024-01-04T14:00:00"/>
    <x v="1"/>
    <x v="5"/>
    <n v="1009"/>
    <x v="1"/>
    <n v="18"/>
    <n v="3750"/>
    <n v="67500"/>
    <x v="92"/>
    <n v="96"/>
    <x v="126"/>
    <x v="3"/>
    <d v="2024-01-04T00:00:00"/>
    <d v="1899-12-30T14:00:00"/>
    <n v="8"/>
    <n v="0"/>
  </r>
  <r>
    <d v="2024-01-04T14:00:00"/>
    <x v="1"/>
    <x v="9"/>
    <n v="1009"/>
    <x v="1"/>
    <n v="18"/>
    <n v="3750"/>
    <n v="67500"/>
    <x v="100"/>
    <n v="96"/>
    <x v="77"/>
    <x v="3"/>
    <d v="2024-01-04T00:00:00"/>
    <d v="1899-12-30T14:00:00"/>
    <n v="14"/>
    <n v="0"/>
  </r>
  <r>
    <d v="2024-01-04T14:00:00"/>
    <x v="0"/>
    <x v="12"/>
    <n v="16"/>
    <x v="3"/>
    <n v="255"/>
    <n v="1020"/>
    <n v="260100"/>
    <x v="79"/>
    <n v="24"/>
    <x v="93"/>
    <x v="3"/>
    <d v="2024-01-04T00:00:00"/>
    <d v="1899-12-30T14:00:00"/>
    <d v="1900-01-04T00:00:00"/>
    <n v="0"/>
  </r>
  <r>
    <d v="2024-01-04T14:00:00"/>
    <x v="1"/>
    <x v="8"/>
    <n v="1009"/>
    <x v="1"/>
    <n v="18"/>
    <n v="3650"/>
    <n v="65700"/>
    <x v="95"/>
    <n v="96"/>
    <x v="72"/>
    <x v="3"/>
    <d v="2024-01-04T00:00:00"/>
    <d v="1899-12-30T14:00:00"/>
    <n v="7"/>
    <n v="0"/>
  </r>
  <r>
    <d v="2024-01-04T14:00:00"/>
    <x v="1"/>
    <x v="3"/>
    <n v="1009"/>
    <x v="1"/>
    <n v="18"/>
    <n v="3750"/>
    <n v="67500"/>
    <x v="85"/>
    <n v="96"/>
    <x v="111"/>
    <x v="3"/>
    <d v="2024-01-04T00:00:00"/>
    <d v="1899-12-30T14:00:00"/>
    <n v="11"/>
    <n v="0"/>
  </r>
  <r>
    <d v="2024-01-04T14:00:00"/>
    <x v="1"/>
    <x v="1"/>
    <n v="1009"/>
    <x v="1"/>
    <n v="18"/>
    <n v="3750"/>
    <n v="67500"/>
    <x v="92"/>
    <n v="96"/>
    <x v="103"/>
    <x v="3"/>
    <d v="2024-01-04T00:00:00"/>
    <d v="1899-12-30T14:00:00"/>
    <n v="13"/>
    <n v="0"/>
  </r>
  <r>
    <d v="2024-01-04T14:00:00"/>
    <x v="1"/>
    <x v="10"/>
    <n v="1009"/>
    <x v="1"/>
    <n v="18"/>
    <n v="3750"/>
    <n v="67500"/>
    <x v="97"/>
    <n v="96"/>
    <x v="122"/>
    <x v="3"/>
    <d v="2024-01-04T00:00:00"/>
    <d v="1899-12-30T14:00:00"/>
    <n v="16"/>
    <n v="0"/>
  </r>
  <r>
    <d v="2024-01-04T15:00:00"/>
    <x v="0"/>
    <x v="0"/>
    <n v="9"/>
    <x v="0"/>
    <n v="3000"/>
    <n v="105"/>
    <n v="315000"/>
    <x v="94"/>
    <n v="72"/>
    <x v="71"/>
    <x v="3"/>
    <d v="2024-01-04T00:00:00"/>
    <d v="1899-12-30T15:00:00"/>
    <d v="1900-01-03T00:00:00"/>
    <n v="0"/>
  </r>
  <r>
    <d v="2024-01-04T17:00:00"/>
    <x v="0"/>
    <x v="11"/>
    <n v="15"/>
    <x v="3"/>
    <n v="157"/>
    <n v="1100"/>
    <n v="172700"/>
    <x v="102"/>
    <n v="72"/>
    <x v="127"/>
    <x v="3"/>
    <d v="2024-01-04T00:00:00"/>
    <d v="1899-12-30T17:00:00"/>
    <d v="1900-01-05T00:00:00"/>
    <n v="0"/>
  </r>
  <r>
    <d v="2024-01-04T18:00:00"/>
    <x v="2"/>
    <x v="1"/>
    <n v="2006"/>
    <x v="2"/>
    <n v="30"/>
    <n v="6650"/>
    <n v="199500"/>
    <x v="103"/>
    <n v="132"/>
    <x v="128"/>
    <x v="3"/>
    <d v="2024-01-04T00:00:00"/>
    <d v="1899-12-30T18:00:00"/>
    <n v="13"/>
    <n v="0"/>
  </r>
  <r>
    <d v="2024-01-04T18:00:00"/>
    <x v="2"/>
    <x v="2"/>
    <n v="2006"/>
    <x v="2"/>
    <n v="30"/>
    <n v="6650"/>
    <n v="199500"/>
    <x v="72"/>
    <n v="132"/>
    <x v="129"/>
    <x v="3"/>
    <d v="2024-01-04T00:00:00"/>
    <d v="1899-12-30T18:00:00"/>
    <n v="9"/>
    <n v="0"/>
  </r>
  <r>
    <d v="2024-01-04T18:00:00"/>
    <x v="2"/>
    <x v="2"/>
    <n v="2006"/>
    <x v="1"/>
    <n v="30"/>
    <n v="3600"/>
    <n v="108000"/>
    <x v="104"/>
    <n v="96"/>
    <x v="102"/>
    <x v="3"/>
    <d v="2024-01-04T00:00:00"/>
    <d v="1899-12-30T18:00:00"/>
    <n v="9"/>
    <n v="0"/>
  </r>
  <r>
    <d v="2024-01-04T18:00:00"/>
    <x v="2"/>
    <x v="3"/>
    <n v="2006"/>
    <x v="1"/>
    <n v="30"/>
    <n v="3750"/>
    <n v="112500"/>
    <x v="90"/>
    <n v="132"/>
    <x v="123"/>
    <x v="3"/>
    <d v="2024-01-04T00:00:00"/>
    <d v="1899-12-30T18:00:00"/>
    <n v="11"/>
    <n v="0"/>
  </r>
  <r>
    <d v="2024-01-04T18:00:00"/>
    <x v="2"/>
    <x v="7"/>
    <n v="2006"/>
    <x v="2"/>
    <n v="30"/>
    <n v="6700"/>
    <n v="201000"/>
    <x v="100"/>
    <n v="120"/>
    <x v="130"/>
    <x v="3"/>
    <d v="2024-01-04T00:00:00"/>
    <d v="1899-12-30T18:00:00"/>
    <n v="12"/>
    <n v="0"/>
  </r>
  <r>
    <d v="2024-01-04T18:00:00"/>
    <x v="2"/>
    <x v="1"/>
    <n v="2006"/>
    <x v="1"/>
    <n v="30"/>
    <n v="3750"/>
    <n v="112500"/>
    <x v="103"/>
    <n v="132"/>
    <x v="131"/>
    <x v="3"/>
    <d v="2024-01-04T00:00:00"/>
    <d v="1899-12-30T18:00:00"/>
    <n v="13"/>
    <n v="0"/>
  </r>
  <r>
    <d v="2024-01-04T18:00:00"/>
    <x v="2"/>
    <x v="3"/>
    <n v="2006"/>
    <x v="2"/>
    <n v="30"/>
    <n v="6650"/>
    <n v="199500"/>
    <x v="105"/>
    <n v="132"/>
    <x v="128"/>
    <x v="3"/>
    <d v="2024-01-04T00:00:00"/>
    <d v="1899-12-30T18:00:00"/>
    <n v="11"/>
    <n v="0"/>
  </r>
  <r>
    <d v="2024-01-04T18:00:00"/>
    <x v="2"/>
    <x v="5"/>
    <n v="2006"/>
    <x v="1"/>
    <n v="30"/>
    <n v="3500"/>
    <n v="105000"/>
    <x v="106"/>
    <n v="132"/>
    <x v="132"/>
    <x v="3"/>
    <d v="2024-01-04T00:00:00"/>
    <d v="1899-12-30T18:00:00"/>
    <n v="8"/>
    <n v="0"/>
  </r>
  <r>
    <d v="2024-01-04T18:00:00"/>
    <x v="0"/>
    <x v="12"/>
    <n v="16"/>
    <x v="0"/>
    <n v="1000"/>
    <n v="120"/>
    <n v="120000"/>
    <x v="95"/>
    <n v="24"/>
    <x v="81"/>
    <x v="3"/>
    <d v="2024-01-04T00:00:00"/>
    <d v="1899-12-30T18:00:00"/>
    <n v="5"/>
    <n v="0"/>
  </r>
  <r>
    <d v="2024-01-04T18:00:00"/>
    <x v="2"/>
    <x v="4"/>
    <n v="2006"/>
    <x v="1"/>
    <n v="50"/>
    <n v="3900"/>
    <n v="195000"/>
    <x v="101"/>
    <n v="84"/>
    <x v="58"/>
    <x v="3"/>
    <d v="2024-01-04T00:00:00"/>
    <d v="1899-12-30T18:00:00"/>
    <n v="10"/>
    <n v="0"/>
  </r>
  <r>
    <d v="2024-01-04T18:00:00"/>
    <x v="2"/>
    <x v="10"/>
    <n v="2006"/>
    <x v="2"/>
    <n v="30"/>
    <n v="6650"/>
    <n v="199500"/>
    <x v="95"/>
    <n v="132"/>
    <x v="119"/>
    <x v="3"/>
    <d v="2024-01-04T00:00:00"/>
    <d v="1899-12-30T18:00:00"/>
    <n v="16"/>
    <n v="0"/>
  </r>
  <r>
    <d v="2024-01-04T18:00:00"/>
    <x v="2"/>
    <x v="6"/>
    <n v="2006"/>
    <x v="2"/>
    <n v="30"/>
    <n v="6900"/>
    <n v="207000"/>
    <x v="99"/>
    <n v="60"/>
    <x v="51"/>
    <x v="3"/>
    <d v="2024-01-04T00:00:00"/>
    <d v="1899-12-30T18:00:00"/>
    <n v="15"/>
    <n v="0"/>
  </r>
  <r>
    <d v="2024-01-04T18:00:00"/>
    <x v="2"/>
    <x v="4"/>
    <n v="2006"/>
    <x v="2"/>
    <n v="38"/>
    <n v="6550"/>
    <n v="248900"/>
    <x v="100"/>
    <n v="156"/>
    <x v="130"/>
    <x v="3"/>
    <d v="2024-01-04T00:00:00"/>
    <d v="1899-12-30T18:00:00"/>
    <n v="10"/>
    <n v="0"/>
  </r>
  <r>
    <d v="2024-01-04T18:00:00"/>
    <x v="2"/>
    <x v="7"/>
    <n v="2006"/>
    <x v="1"/>
    <n v="30"/>
    <n v="3750"/>
    <n v="112500"/>
    <x v="95"/>
    <n v="120"/>
    <x v="130"/>
    <x v="3"/>
    <d v="2024-01-04T00:00:00"/>
    <d v="1899-12-30T18:00:00"/>
    <n v="12"/>
    <n v="0"/>
  </r>
  <r>
    <d v="2024-01-04T18:00:00"/>
    <x v="2"/>
    <x v="9"/>
    <n v="2006"/>
    <x v="2"/>
    <n v="30"/>
    <n v="6650"/>
    <n v="199500"/>
    <x v="85"/>
    <n v="132"/>
    <x v="133"/>
    <x v="3"/>
    <d v="2024-01-04T00:00:00"/>
    <d v="1899-12-30T18:00:00"/>
    <n v="14"/>
    <n v="0"/>
  </r>
  <r>
    <d v="2024-01-04T18:00:00"/>
    <x v="2"/>
    <x v="8"/>
    <n v="2006"/>
    <x v="1"/>
    <n v="30"/>
    <n v="3650"/>
    <n v="109500"/>
    <x v="97"/>
    <n v="132"/>
    <x v="134"/>
    <x v="3"/>
    <d v="2024-01-04T00:00:00"/>
    <d v="1899-12-30T18:00:00"/>
    <n v="7"/>
    <n v="0"/>
  </r>
  <r>
    <d v="2024-01-04T18:00:00"/>
    <x v="2"/>
    <x v="9"/>
    <n v="2006"/>
    <x v="1"/>
    <n v="30"/>
    <n v="3750"/>
    <n v="112500"/>
    <x v="87"/>
    <n v="132"/>
    <x v="135"/>
    <x v="3"/>
    <d v="2024-01-04T00:00:00"/>
    <d v="1899-12-30T18:00:00"/>
    <n v="14"/>
    <n v="0"/>
  </r>
  <r>
    <d v="2024-01-04T18:00:00"/>
    <x v="2"/>
    <x v="8"/>
    <n v="2006"/>
    <x v="2"/>
    <n v="30"/>
    <n v="6650"/>
    <n v="199500"/>
    <x v="98"/>
    <n v="132"/>
    <x v="120"/>
    <x v="3"/>
    <d v="2024-01-04T00:00:00"/>
    <d v="1899-12-30T18:00:00"/>
    <n v="7"/>
    <n v="0"/>
  </r>
  <r>
    <d v="2024-01-04T18:00:00"/>
    <x v="2"/>
    <x v="6"/>
    <n v="2006"/>
    <x v="1"/>
    <n v="50"/>
    <n v="3650"/>
    <n v="182500"/>
    <x v="99"/>
    <n v="132"/>
    <x v="136"/>
    <x v="3"/>
    <d v="2024-01-04T00:00:00"/>
    <d v="1899-12-30T18:00:00"/>
    <n v="15"/>
    <n v="0"/>
  </r>
  <r>
    <d v="2024-01-04T21:00:00"/>
    <x v="0"/>
    <x v="15"/>
    <n v="14"/>
    <x v="3"/>
    <n v="250"/>
    <n v="1600"/>
    <n v="400000"/>
    <x v="85"/>
    <n v="24"/>
    <x v="29"/>
    <x v="3"/>
    <d v="2024-01-04T00:00:00"/>
    <d v="1899-12-30T21:00:00"/>
    <d v="1899-12-31T00:00:00"/>
    <n v="0"/>
  </r>
  <r>
    <d v="2024-01-04T23:00:00"/>
    <x v="0"/>
    <x v="12"/>
    <n v="7"/>
    <x v="0"/>
    <n v="1800"/>
    <n v="120"/>
    <n v="216000"/>
    <x v="82"/>
    <n v="24"/>
    <x v="137"/>
    <x v="3"/>
    <d v="2024-01-04T00:00:00"/>
    <d v="1899-12-30T23:00:00"/>
    <d v="1900-01-04T00:00:00"/>
    <n v="0"/>
  </r>
  <r>
    <d v="2024-01-05T00:00:00"/>
    <x v="1"/>
    <x v="10"/>
    <n v="1007"/>
    <x v="1"/>
    <n v="30"/>
    <n v="3750"/>
    <n v="112500"/>
    <x v="97"/>
    <n v="96"/>
    <x v="122"/>
    <x v="4"/>
    <d v="2024-01-05T00:00:00"/>
    <d v="1899-12-30T00:00:00"/>
    <n v="16"/>
    <n v="0"/>
  </r>
  <r>
    <d v="2024-01-05T00:00:00"/>
    <x v="1"/>
    <x v="6"/>
    <n v="1007"/>
    <x v="1"/>
    <n v="30"/>
    <n v="3750"/>
    <n v="112500"/>
    <x v="97"/>
    <n v="92"/>
    <x v="122"/>
    <x v="4"/>
    <d v="2024-01-05T00:00:00"/>
    <d v="1899-12-30T00:00:00"/>
    <n v="15"/>
    <n v="0"/>
  </r>
  <r>
    <d v="2024-01-05T00:00:00"/>
    <x v="1"/>
    <x v="5"/>
    <n v="1007"/>
    <x v="1"/>
    <n v="30"/>
    <n v="3750"/>
    <n v="112500"/>
    <x v="107"/>
    <n v="96"/>
    <x v="138"/>
    <x v="4"/>
    <d v="2024-01-05T00:00:00"/>
    <d v="1899-12-30T00:00:00"/>
    <n v="8"/>
    <n v="0"/>
  </r>
  <r>
    <d v="2024-01-05T00:00:00"/>
    <x v="1"/>
    <x v="7"/>
    <n v="1007"/>
    <x v="1"/>
    <n v="15"/>
    <n v="3950"/>
    <n v="59250"/>
    <x v="86"/>
    <n v="60"/>
    <x v="31"/>
    <x v="4"/>
    <d v="2024-01-05T00:00:00"/>
    <d v="1899-12-30T00:00:00"/>
    <n v="12"/>
    <n v="0"/>
  </r>
  <r>
    <d v="2024-01-05T00:00:00"/>
    <x v="1"/>
    <x v="9"/>
    <n v="1007"/>
    <x v="1"/>
    <n v="30"/>
    <n v="3750"/>
    <n v="112500"/>
    <x v="97"/>
    <n v="96"/>
    <x v="122"/>
    <x v="4"/>
    <d v="2024-01-05T00:00:00"/>
    <d v="1899-12-30T00:00:00"/>
    <n v="14"/>
    <n v="0"/>
  </r>
  <r>
    <d v="2024-01-05T00:00:00"/>
    <x v="0"/>
    <x v="0"/>
    <n v="8"/>
    <x v="0"/>
    <n v="2000"/>
    <n v="110"/>
    <n v="220000"/>
    <x v="93"/>
    <n v="72"/>
    <x v="98"/>
    <x v="4"/>
    <d v="2024-01-05T00:00:00"/>
    <d v="1899-12-30T00:00:00"/>
    <n v="4"/>
    <n v="0"/>
  </r>
  <r>
    <d v="2024-01-05T00:00:00"/>
    <x v="1"/>
    <x v="3"/>
    <n v="1007"/>
    <x v="1"/>
    <n v="30"/>
    <n v="3750"/>
    <n v="112500"/>
    <x v="97"/>
    <n v="96"/>
    <x v="122"/>
    <x v="4"/>
    <d v="2024-01-05T00:00:00"/>
    <d v="1899-12-30T00:00:00"/>
    <n v="11"/>
    <n v="0"/>
  </r>
  <r>
    <d v="2024-01-05T00:00:00"/>
    <x v="1"/>
    <x v="8"/>
    <n v="1007"/>
    <x v="1"/>
    <n v="30"/>
    <n v="3650"/>
    <n v="109500"/>
    <x v="86"/>
    <n v="96"/>
    <x v="100"/>
    <x v="4"/>
    <d v="2024-01-05T00:00:00"/>
    <d v="1899-12-30T00:00:00"/>
    <n v="7"/>
    <n v="0"/>
  </r>
  <r>
    <d v="2024-01-05T00:00:00"/>
    <x v="0"/>
    <x v="0"/>
    <n v="8"/>
    <x v="0"/>
    <n v="2000"/>
    <n v="110"/>
    <n v="220000"/>
    <x v="105"/>
    <n v="72"/>
    <x v="104"/>
    <x v="4"/>
    <d v="2024-01-05T00:00:00"/>
    <d v="1899-12-30T00:00:00"/>
    <d v="1900-01-03T00:00:00"/>
    <n v="0"/>
  </r>
  <r>
    <d v="2024-01-05T00:00:00"/>
    <x v="1"/>
    <x v="4"/>
    <n v="1007"/>
    <x v="1"/>
    <n v="30"/>
    <n v="3900"/>
    <n v="117000"/>
    <x v="86"/>
    <n v="48"/>
    <x v="139"/>
    <x v="4"/>
    <d v="2024-01-05T00:00:00"/>
    <d v="1899-12-30T00:00:00"/>
    <n v="10"/>
    <n v="0"/>
  </r>
  <r>
    <d v="2024-01-05T00:00:00"/>
    <x v="1"/>
    <x v="2"/>
    <n v="1007"/>
    <x v="1"/>
    <n v="30"/>
    <n v="3550"/>
    <n v="106500"/>
    <x v="108"/>
    <n v="96"/>
    <x v="140"/>
    <x v="4"/>
    <d v="2024-01-05T00:00:00"/>
    <d v="1899-12-30T00:00:00"/>
    <n v="9"/>
    <n v="0"/>
  </r>
  <r>
    <d v="2024-01-05T00:00:00"/>
    <x v="1"/>
    <x v="1"/>
    <n v="1007"/>
    <x v="1"/>
    <n v="30"/>
    <n v="3750"/>
    <n v="112500"/>
    <x v="109"/>
    <n v="96"/>
    <x v="138"/>
    <x v="4"/>
    <d v="2024-01-05T00:00:00"/>
    <d v="1899-12-30T00:00:00"/>
    <n v="13"/>
    <n v="0"/>
  </r>
  <r>
    <d v="2024-01-05T04:00:00"/>
    <x v="2"/>
    <x v="1"/>
    <n v="2007"/>
    <x v="2"/>
    <n v="9"/>
    <n v="6650"/>
    <n v="59850"/>
    <x v="110"/>
    <n v="132"/>
    <x v="141"/>
    <x v="4"/>
    <d v="2024-01-05T00:00:00"/>
    <d v="1899-12-30T04:00:00"/>
    <n v="13"/>
    <n v="0"/>
  </r>
  <r>
    <d v="2024-01-05T04:00:00"/>
    <x v="1"/>
    <x v="8"/>
    <n v="1007"/>
    <x v="2"/>
    <n v="7"/>
    <n v="6650"/>
    <n v="46550"/>
    <x v="93"/>
    <n v="96"/>
    <x v="98"/>
    <x v="4"/>
    <d v="2024-01-05T00:00:00"/>
    <d v="1899-12-30T04:00:00"/>
    <n v="7"/>
    <n v="0"/>
  </r>
  <r>
    <d v="2024-01-05T04:00:00"/>
    <x v="2"/>
    <x v="9"/>
    <n v="2007"/>
    <x v="2"/>
    <n v="9"/>
    <n v="6650"/>
    <n v="59850"/>
    <x v="111"/>
    <n v="132"/>
    <x v="142"/>
    <x v="4"/>
    <d v="2024-01-05T00:00:00"/>
    <d v="1899-12-30T04:00:00"/>
    <n v="14"/>
    <n v="0"/>
  </r>
  <r>
    <d v="2024-01-05T04:00:00"/>
    <x v="1"/>
    <x v="2"/>
    <n v="1007"/>
    <x v="2"/>
    <n v="7"/>
    <n v="6650"/>
    <n v="46550"/>
    <x v="112"/>
    <n v="96"/>
    <x v="96"/>
    <x v="4"/>
    <d v="2024-01-05T00:00:00"/>
    <d v="1899-12-30T04:00:00"/>
    <n v="9"/>
    <n v="0"/>
  </r>
  <r>
    <d v="2024-01-05T04:00:00"/>
    <x v="2"/>
    <x v="6"/>
    <n v="2007"/>
    <x v="2"/>
    <n v="9"/>
    <n v="6900"/>
    <n v="62100"/>
    <x v="106"/>
    <n v="60"/>
    <x v="86"/>
    <x v="4"/>
    <d v="2024-01-05T00:00:00"/>
    <d v="1899-12-30T04:00:00"/>
    <n v="15"/>
    <n v="0"/>
  </r>
  <r>
    <d v="2024-01-05T04:00:00"/>
    <x v="1"/>
    <x v="4"/>
    <n v="1007"/>
    <x v="2"/>
    <n v="7"/>
    <n v="6800"/>
    <n v="47600"/>
    <x v="93"/>
    <n v="96"/>
    <x v="98"/>
    <x v="4"/>
    <d v="2024-01-05T00:00:00"/>
    <d v="1899-12-30T04:00:00"/>
    <n v="10"/>
    <n v="0"/>
  </r>
  <r>
    <d v="2024-01-05T04:00:00"/>
    <x v="2"/>
    <x v="3"/>
    <n v="2007"/>
    <x v="1"/>
    <n v="30"/>
    <n v="3750"/>
    <n v="112500"/>
    <x v="105"/>
    <n v="132"/>
    <x v="128"/>
    <x v="4"/>
    <d v="2024-01-05T00:00:00"/>
    <d v="1899-12-30T04:00:00"/>
    <n v="11"/>
    <n v="0"/>
  </r>
  <r>
    <d v="2024-01-05T04:00:00"/>
    <x v="2"/>
    <x v="3"/>
    <n v="2007"/>
    <x v="2"/>
    <n v="9"/>
    <n v="6650"/>
    <n v="59850"/>
    <x v="104"/>
    <n v="132"/>
    <x v="131"/>
    <x v="4"/>
    <d v="2024-01-05T00:00:00"/>
    <d v="1899-12-30T04:00:00"/>
    <n v="11"/>
    <n v="0"/>
  </r>
  <r>
    <d v="2024-01-05T04:00:00"/>
    <x v="2"/>
    <x v="9"/>
    <n v="2007"/>
    <x v="1"/>
    <n v="30"/>
    <n v="3750"/>
    <n v="112500"/>
    <x v="111"/>
    <n v="132"/>
    <x v="142"/>
    <x v="4"/>
    <d v="2024-01-05T00:00:00"/>
    <d v="1899-12-30T04:00:00"/>
    <n v="14"/>
    <n v="0"/>
  </r>
  <r>
    <d v="2024-01-05T04:00:00"/>
    <x v="1"/>
    <x v="6"/>
    <n v="1007"/>
    <x v="2"/>
    <n v="7"/>
    <n v="6650"/>
    <n v="46550"/>
    <x v="99"/>
    <n v="96"/>
    <x v="99"/>
    <x v="4"/>
    <d v="2024-01-05T00:00:00"/>
    <d v="1899-12-30T04:00:00"/>
    <n v="15"/>
    <n v="0"/>
  </r>
  <r>
    <d v="2024-01-05T04:00:00"/>
    <x v="2"/>
    <x v="10"/>
    <n v="2007"/>
    <x v="2"/>
    <n v="9"/>
    <n v="6650"/>
    <n v="59850"/>
    <x v="93"/>
    <n v="132"/>
    <x v="117"/>
    <x v="4"/>
    <d v="2024-01-05T00:00:00"/>
    <d v="1899-12-30T04:00:00"/>
    <n v="16"/>
    <n v="0"/>
  </r>
  <r>
    <d v="2024-01-05T04:00:00"/>
    <x v="1"/>
    <x v="10"/>
    <n v="1007"/>
    <x v="2"/>
    <n v="7"/>
    <n v="6650"/>
    <n v="46550"/>
    <x v="93"/>
    <n v="96"/>
    <x v="98"/>
    <x v="4"/>
    <d v="2024-01-05T00:00:00"/>
    <d v="1899-12-30T04:00:00"/>
    <n v="16"/>
    <n v="0"/>
  </r>
  <r>
    <d v="2024-01-05T04:00:00"/>
    <x v="2"/>
    <x v="2"/>
    <n v="2007"/>
    <x v="1"/>
    <n v="30"/>
    <n v="3600"/>
    <n v="108000"/>
    <x v="113"/>
    <n v="96"/>
    <x v="143"/>
    <x v="4"/>
    <d v="2024-01-05T00:00:00"/>
    <d v="1899-12-30T04:00:00"/>
    <n v="9"/>
    <n v="12"/>
  </r>
  <r>
    <d v="2024-01-05T04:00:00"/>
    <x v="1"/>
    <x v="9"/>
    <n v="1007"/>
    <x v="2"/>
    <n v="7"/>
    <n v="6650"/>
    <n v="46550"/>
    <x v="97"/>
    <n v="96"/>
    <x v="122"/>
    <x v="4"/>
    <d v="2024-01-05T00:00:00"/>
    <d v="1899-12-30T04:00:00"/>
    <n v="14"/>
    <n v="0"/>
  </r>
  <r>
    <d v="2024-01-05T04:00:00"/>
    <x v="1"/>
    <x v="7"/>
    <n v="1007"/>
    <x v="2"/>
    <n v="7"/>
    <n v="6800"/>
    <n v="47600"/>
    <x v="97"/>
    <n v="72"/>
    <x v="52"/>
    <x v="4"/>
    <d v="2024-01-05T00:00:00"/>
    <d v="1899-12-30T04:00:00"/>
    <n v="12"/>
    <n v="0"/>
  </r>
  <r>
    <d v="2024-01-05T04:00:00"/>
    <x v="2"/>
    <x v="4"/>
    <n v="2007"/>
    <x v="2"/>
    <n v="9"/>
    <n v="6800"/>
    <n v="61200"/>
    <x v="93"/>
    <n v="132"/>
    <x v="117"/>
    <x v="4"/>
    <d v="2024-01-05T00:00:00"/>
    <d v="1899-12-30T04:00:00"/>
    <n v="10"/>
    <n v="0"/>
  </r>
  <r>
    <d v="2024-01-05T04:00:00"/>
    <x v="2"/>
    <x v="7"/>
    <n v="2007"/>
    <x v="2"/>
    <n v="9"/>
    <n v="6700"/>
    <n v="60300"/>
    <x v="97"/>
    <n v="120"/>
    <x v="134"/>
    <x v="4"/>
    <d v="2024-01-05T00:00:00"/>
    <d v="1899-12-30T04:00:00"/>
    <n v="12"/>
    <n v="0"/>
  </r>
  <r>
    <d v="2024-01-05T04:00:00"/>
    <x v="2"/>
    <x v="8"/>
    <n v="2007"/>
    <x v="1"/>
    <n v="30"/>
    <n v="3650"/>
    <n v="109500"/>
    <x v="111"/>
    <n v="132"/>
    <x v="142"/>
    <x v="4"/>
    <d v="2024-01-05T00:00:00"/>
    <d v="1899-12-30T04:00:00"/>
    <n v="7"/>
    <n v="0"/>
  </r>
  <r>
    <d v="2024-01-05T04:00:00"/>
    <x v="2"/>
    <x v="2"/>
    <n v="2007"/>
    <x v="2"/>
    <n v="9"/>
    <n v="6650"/>
    <n v="59850"/>
    <x v="84"/>
    <n v="132"/>
    <x v="144"/>
    <x v="4"/>
    <d v="2024-01-05T00:00:00"/>
    <d v="1899-12-30T04:00:00"/>
    <n v="9"/>
    <n v="0"/>
  </r>
  <r>
    <d v="2024-01-05T04:00:00"/>
    <x v="1"/>
    <x v="1"/>
    <n v="1007"/>
    <x v="2"/>
    <n v="7"/>
    <n v="6650"/>
    <n v="46550"/>
    <x v="114"/>
    <n v="96"/>
    <x v="145"/>
    <x v="4"/>
    <d v="2024-01-05T00:00:00"/>
    <d v="1899-12-30T04:00:00"/>
    <n v="13"/>
    <n v="0"/>
  </r>
  <r>
    <d v="2024-01-05T04:00:00"/>
    <x v="2"/>
    <x v="7"/>
    <n v="2007"/>
    <x v="1"/>
    <n v="30"/>
    <n v="3750"/>
    <n v="112500"/>
    <x v="97"/>
    <n v="120"/>
    <x v="134"/>
    <x v="4"/>
    <d v="2024-01-05T00:00:00"/>
    <d v="1899-12-30T04:00:00"/>
    <n v="12"/>
    <n v="0"/>
  </r>
  <r>
    <d v="2024-01-05T04:00:00"/>
    <x v="2"/>
    <x v="6"/>
    <n v="2007"/>
    <x v="1"/>
    <n v="30"/>
    <n v="3750"/>
    <n v="112500"/>
    <x v="93"/>
    <n v="120"/>
    <x v="117"/>
    <x v="4"/>
    <d v="2024-01-05T00:00:00"/>
    <d v="1899-12-30T04:00:00"/>
    <n v="15"/>
    <n v="0"/>
  </r>
  <r>
    <d v="2024-01-05T04:00:00"/>
    <x v="2"/>
    <x v="1"/>
    <n v="2007"/>
    <x v="1"/>
    <n v="30"/>
    <n v="3750"/>
    <n v="112500"/>
    <x v="115"/>
    <n v="132"/>
    <x v="146"/>
    <x v="4"/>
    <d v="2024-01-05T00:00:00"/>
    <d v="1899-12-30T04:00:00"/>
    <n v="13"/>
    <n v="0"/>
  </r>
  <r>
    <d v="2024-01-05T04:00:00"/>
    <x v="2"/>
    <x v="4"/>
    <n v="2007"/>
    <x v="1"/>
    <n v="50"/>
    <n v="3900"/>
    <n v="195000"/>
    <x v="105"/>
    <n v="84"/>
    <x v="104"/>
    <x v="4"/>
    <d v="2024-01-05T00:00:00"/>
    <d v="1899-12-30T04:00:00"/>
    <n v="10"/>
    <n v="0"/>
  </r>
  <r>
    <d v="2024-01-05T04:00:00"/>
    <x v="2"/>
    <x v="8"/>
    <n v="2007"/>
    <x v="2"/>
    <n v="9"/>
    <n v="6650"/>
    <n v="59850"/>
    <x v="111"/>
    <n v="132"/>
    <x v="142"/>
    <x v="4"/>
    <d v="2024-01-05T00:00:00"/>
    <d v="1899-12-30T04:00:00"/>
    <n v="7"/>
    <n v="0"/>
  </r>
  <r>
    <d v="2024-01-05T04:00:00"/>
    <x v="2"/>
    <x v="5"/>
    <n v="2007"/>
    <x v="1"/>
    <n v="30"/>
    <n v="3400"/>
    <n v="102000"/>
    <x v="112"/>
    <n v="132"/>
    <x v="147"/>
    <x v="4"/>
    <d v="2024-01-05T00:00:00"/>
    <d v="1899-12-30T04:00:00"/>
    <n v="8"/>
    <n v="0"/>
  </r>
  <r>
    <d v="2024-01-05T06:00:00"/>
    <x v="0"/>
    <x v="13"/>
    <n v="15"/>
    <x v="0"/>
    <n v="1800"/>
    <n v="140"/>
    <n v="252000"/>
    <x v="92"/>
    <n v="72"/>
    <x v="126"/>
    <x v="4"/>
    <d v="2024-01-05T00:00:00"/>
    <d v="1899-12-30T06:00:00"/>
    <d v="1900-01-01T00:00:00"/>
    <n v="0"/>
  </r>
  <r>
    <d v="2024-01-05T07:00:00"/>
    <x v="0"/>
    <x v="14"/>
    <n v="12"/>
    <x v="0"/>
    <n v="2700"/>
    <n v="120"/>
    <n v="324000"/>
    <x v="116"/>
    <n v="72"/>
    <x v="148"/>
    <x v="4"/>
    <d v="2024-01-05T00:00:00"/>
    <d v="1899-12-30T07:00:00"/>
    <d v="1900-01-02T00:00:00"/>
    <n v="0"/>
  </r>
  <r>
    <d v="2024-01-05T09:00:00"/>
    <x v="0"/>
    <x v="7"/>
    <n v="3"/>
    <x v="5"/>
    <n v="150"/>
    <n v="5"/>
    <n v="750"/>
    <x v="105"/>
    <n v="72"/>
    <x v="104"/>
    <x v="4"/>
    <d v="2024-01-05T00:00:00"/>
    <d v="1899-12-30T09:00:00"/>
    <d v="1900-01-11T00:00:00"/>
    <n v="0"/>
  </r>
  <r>
    <d v="2024-01-05T10:00:00"/>
    <x v="0"/>
    <x v="0"/>
    <n v="8"/>
    <x v="3"/>
    <n v="400"/>
    <n v="1350"/>
    <n v="540000"/>
    <x v="99"/>
    <n v="48"/>
    <x v="90"/>
    <x v="4"/>
    <d v="2024-01-05T00:00:00"/>
    <d v="1899-12-30T10:00:00"/>
    <n v="4"/>
    <n v="0"/>
  </r>
  <r>
    <d v="2024-01-05T10:00:00"/>
    <x v="1"/>
    <x v="2"/>
    <n v="1011"/>
    <x v="2"/>
    <n v="3"/>
    <n v="6650"/>
    <n v="19950"/>
    <x v="117"/>
    <n v="96"/>
    <x v="149"/>
    <x v="4"/>
    <d v="2024-01-05T00:00:00"/>
    <d v="1899-12-30T10:00:00"/>
    <n v="9"/>
    <n v="0"/>
  </r>
  <r>
    <d v="2024-01-05T10:00:00"/>
    <x v="1"/>
    <x v="10"/>
    <n v="1011"/>
    <x v="2"/>
    <n v="3"/>
    <n v="6650"/>
    <n v="19950"/>
    <x v="116"/>
    <n v="96"/>
    <x v="148"/>
    <x v="4"/>
    <d v="2024-01-05T00:00:00"/>
    <d v="1899-12-30T10:00:00"/>
    <n v="16"/>
    <n v="0"/>
  </r>
  <r>
    <d v="2024-01-05T10:00:00"/>
    <x v="1"/>
    <x v="8"/>
    <n v="1011"/>
    <x v="2"/>
    <n v="3"/>
    <n v="6650"/>
    <n v="19950"/>
    <x v="105"/>
    <n v="96"/>
    <x v="104"/>
    <x v="4"/>
    <d v="2024-01-05T00:00:00"/>
    <d v="1899-12-30T10:00:00"/>
    <n v="7"/>
    <n v="0"/>
  </r>
  <r>
    <d v="2024-01-05T10:00:00"/>
    <x v="1"/>
    <x v="1"/>
    <n v="1011"/>
    <x v="2"/>
    <n v="3"/>
    <n v="6650"/>
    <n v="19950"/>
    <x v="118"/>
    <n v="96"/>
    <x v="118"/>
    <x v="4"/>
    <d v="2024-01-05T00:00:00"/>
    <d v="1899-12-30T10:00:00"/>
    <n v="13"/>
    <n v="0"/>
  </r>
  <r>
    <d v="2024-01-05T10:00:00"/>
    <x v="1"/>
    <x v="9"/>
    <n v="1011"/>
    <x v="2"/>
    <n v="3"/>
    <n v="6650"/>
    <n v="19950"/>
    <x v="104"/>
    <n v="96"/>
    <x v="102"/>
    <x v="4"/>
    <d v="2024-01-05T00:00:00"/>
    <d v="1899-12-30T10:00:00"/>
    <n v="14"/>
    <n v="0"/>
  </r>
  <r>
    <d v="2024-01-05T10:00:00"/>
    <x v="1"/>
    <x v="4"/>
    <n v="1011"/>
    <x v="2"/>
    <n v="3"/>
    <n v="6800"/>
    <n v="20400"/>
    <x v="99"/>
    <n v="96"/>
    <x v="99"/>
    <x v="4"/>
    <d v="2024-01-05T00:00:00"/>
    <d v="1899-12-30T10:00:00"/>
    <n v="10"/>
    <n v="0"/>
  </r>
  <r>
    <d v="2024-01-05T10:00:00"/>
    <x v="1"/>
    <x v="7"/>
    <n v="1011"/>
    <x v="2"/>
    <n v="3"/>
    <n v="6650"/>
    <n v="19950"/>
    <x v="119"/>
    <n v="96"/>
    <x v="150"/>
    <x v="4"/>
    <d v="2024-01-05T00:00:00"/>
    <d v="1899-12-30T10:00:00"/>
    <n v="12"/>
    <n v="0"/>
  </r>
  <r>
    <d v="2024-01-05T11:00:00"/>
    <x v="0"/>
    <x v="13"/>
    <n v="8"/>
    <x v="0"/>
    <n v="1000"/>
    <n v="120"/>
    <n v="120000"/>
    <x v="106"/>
    <n v="48"/>
    <x v="105"/>
    <x v="4"/>
    <d v="2024-01-05T00:00:00"/>
    <d v="1899-12-30T11:00:00"/>
    <d v="1900-01-01T00:00:00"/>
    <n v="0"/>
  </r>
  <r>
    <d v="2024-01-05T11:00:00"/>
    <x v="0"/>
    <x v="14"/>
    <n v="12"/>
    <x v="3"/>
    <n v="450"/>
    <n v="1200"/>
    <n v="540000"/>
    <x v="116"/>
    <n v="72"/>
    <x v="148"/>
    <x v="4"/>
    <d v="2024-01-05T00:00:00"/>
    <d v="1899-12-30T11:00:00"/>
    <d v="1900-01-02T00:00:00"/>
    <n v="0"/>
  </r>
  <r>
    <d v="2024-01-05T14:00:00"/>
    <x v="2"/>
    <x v="6"/>
    <n v="2008"/>
    <x v="1"/>
    <n v="30"/>
    <n v="3750"/>
    <n v="112500"/>
    <x v="119"/>
    <n v="120"/>
    <x v="151"/>
    <x v="4"/>
    <d v="2024-01-05T00:00:00"/>
    <d v="1899-12-30T14:00:00"/>
    <n v="15"/>
    <n v="0"/>
  </r>
  <r>
    <d v="2024-01-05T14:00:00"/>
    <x v="1"/>
    <x v="3"/>
    <n v="1011"/>
    <x v="1"/>
    <n v="20"/>
    <n v="3750"/>
    <n v="75000"/>
    <x v="84"/>
    <n v="96"/>
    <x v="95"/>
    <x v="4"/>
    <d v="2024-01-05T00:00:00"/>
    <d v="1899-12-30T14:00:00"/>
    <n v="11"/>
    <n v="0"/>
  </r>
  <r>
    <d v="2024-01-05T14:00:00"/>
    <x v="2"/>
    <x v="9"/>
    <n v="2008"/>
    <x v="1"/>
    <n v="30"/>
    <n v="3750"/>
    <n v="112500"/>
    <x v="108"/>
    <n v="132"/>
    <x v="152"/>
    <x v="4"/>
    <d v="2024-01-05T00:00:00"/>
    <d v="1899-12-30T14:00:00"/>
    <n v="14"/>
    <n v="0"/>
  </r>
  <r>
    <d v="2024-01-05T14:00:00"/>
    <x v="1"/>
    <x v="1"/>
    <n v="1011"/>
    <x v="1"/>
    <n v="20"/>
    <n v="3750"/>
    <n v="75000"/>
    <x v="120"/>
    <n v="96"/>
    <x v="153"/>
    <x v="4"/>
    <d v="2024-01-05T00:00:00"/>
    <d v="1899-12-30T14:00:00"/>
    <n v="13"/>
    <n v="0"/>
  </r>
  <r>
    <d v="2024-01-05T14:00:00"/>
    <x v="1"/>
    <x v="9"/>
    <n v="1011"/>
    <x v="1"/>
    <n v="20"/>
    <n v="3750"/>
    <n v="75000"/>
    <x v="121"/>
    <n v="96"/>
    <x v="97"/>
    <x v="4"/>
    <d v="2024-01-05T00:00:00"/>
    <d v="1899-12-30T14:00:00"/>
    <n v="14"/>
    <n v="0"/>
  </r>
  <r>
    <d v="2024-01-05T14:00:00"/>
    <x v="2"/>
    <x v="9"/>
    <n v="2008"/>
    <x v="2"/>
    <n v="21"/>
    <n v="6650"/>
    <n v="139650"/>
    <x v="108"/>
    <n v="132"/>
    <x v="152"/>
    <x v="4"/>
    <d v="2024-01-05T00:00:00"/>
    <d v="1899-12-30T14:00:00"/>
    <n v="14"/>
    <n v="0"/>
  </r>
  <r>
    <d v="2024-01-05T14:00:00"/>
    <x v="2"/>
    <x v="8"/>
    <n v="2008"/>
    <x v="2"/>
    <n v="21"/>
    <n v="6650"/>
    <n v="139650"/>
    <x v="72"/>
    <n v="132"/>
    <x v="129"/>
    <x v="4"/>
    <d v="2024-01-05T00:00:00"/>
    <d v="1899-12-30T14:00:00"/>
    <n v="7"/>
    <n v="0"/>
  </r>
  <r>
    <d v="2024-01-05T14:00:00"/>
    <x v="1"/>
    <x v="7"/>
    <n v="1011"/>
    <x v="1"/>
    <n v="15"/>
    <n v="3950"/>
    <n v="59250"/>
    <x v="104"/>
    <n v="60"/>
    <x v="107"/>
    <x v="4"/>
    <d v="2024-01-05T00:00:00"/>
    <d v="1899-12-30T14:00:00"/>
    <n v="12"/>
    <n v="0"/>
  </r>
  <r>
    <d v="2024-01-05T14:00:00"/>
    <x v="2"/>
    <x v="4"/>
    <n v="2008"/>
    <x v="2"/>
    <n v="21"/>
    <n v="6800"/>
    <n v="142800"/>
    <x v="104"/>
    <n v="132"/>
    <x v="131"/>
    <x v="4"/>
    <d v="2024-01-05T00:00:00"/>
    <d v="1899-12-30T14:00:00"/>
    <n v="10"/>
    <n v="0"/>
  </r>
  <r>
    <d v="2024-01-05T14:00:00"/>
    <x v="2"/>
    <x v="7"/>
    <n v="2008"/>
    <x v="1"/>
    <n v="30"/>
    <n v="3750"/>
    <n v="112500"/>
    <x v="104"/>
    <n v="120"/>
    <x v="131"/>
    <x v="4"/>
    <d v="2024-01-05T00:00:00"/>
    <d v="1899-12-30T14:00:00"/>
    <n v="12"/>
    <n v="0"/>
  </r>
  <r>
    <d v="2024-01-05T14:00:00"/>
    <x v="2"/>
    <x v="1"/>
    <n v="2008"/>
    <x v="2"/>
    <n v="21"/>
    <n v="6650"/>
    <n v="139650"/>
    <x v="122"/>
    <n v="132"/>
    <x v="154"/>
    <x v="4"/>
    <d v="2024-01-05T00:00:00"/>
    <d v="1899-12-30T14:00:00"/>
    <n v="13"/>
    <n v="0"/>
  </r>
  <r>
    <d v="2024-01-05T14:00:00"/>
    <x v="2"/>
    <x v="1"/>
    <n v="2008"/>
    <x v="1"/>
    <n v="30"/>
    <n v="3500"/>
    <n v="105000"/>
    <x v="123"/>
    <n v="132"/>
    <x v="155"/>
    <x v="4"/>
    <d v="2024-01-05T00:00:00"/>
    <d v="1899-12-30T14:00:00"/>
    <n v="13"/>
    <n v="0"/>
  </r>
  <r>
    <d v="2024-01-05T14:00:00"/>
    <x v="1"/>
    <x v="10"/>
    <n v="1011"/>
    <x v="1"/>
    <n v="20"/>
    <n v="3750"/>
    <n v="75000"/>
    <x v="104"/>
    <n v="96"/>
    <x v="102"/>
    <x v="4"/>
    <d v="2024-01-05T00:00:00"/>
    <d v="1899-12-30T14:00:00"/>
    <n v="16"/>
    <n v="0"/>
  </r>
  <r>
    <d v="2024-01-05T14:00:00"/>
    <x v="2"/>
    <x v="10"/>
    <n v="2008"/>
    <x v="2"/>
    <n v="21"/>
    <n v="6650"/>
    <n v="139650"/>
    <x v="104"/>
    <n v="132"/>
    <x v="131"/>
    <x v="4"/>
    <d v="2024-01-05T00:00:00"/>
    <d v="1899-12-30T14:00:00"/>
    <n v="16"/>
    <n v="0"/>
  </r>
  <r>
    <d v="2024-01-05T14:00:00"/>
    <x v="2"/>
    <x v="10"/>
    <n v="2008"/>
    <x v="1"/>
    <n v="30"/>
    <n v="3750"/>
    <n v="112500"/>
    <x v="104"/>
    <n v="132"/>
    <x v="131"/>
    <x v="4"/>
    <d v="2024-01-05T00:00:00"/>
    <d v="1899-12-30T14:00:00"/>
    <n v="16"/>
    <n v="0"/>
  </r>
  <r>
    <d v="2024-01-05T14:00:00"/>
    <x v="2"/>
    <x v="3"/>
    <n v="2008"/>
    <x v="1"/>
    <n v="30"/>
    <n v="3750"/>
    <n v="112500"/>
    <x v="110"/>
    <n v="132"/>
    <x v="141"/>
    <x v="4"/>
    <d v="2024-01-05T00:00:00"/>
    <d v="1899-12-30T14:00:00"/>
    <n v="11"/>
    <n v="0"/>
  </r>
  <r>
    <d v="2024-01-05T14:00:00"/>
    <x v="1"/>
    <x v="5"/>
    <n v="1011"/>
    <x v="1"/>
    <n v="20"/>
    <n v="3300"/>
    <n v="66000"/>
    <x v="124"/>
    <n v="96"/>
    <x v="130"/>
    <x v="4"/>
    <d v="2024-01-05T00:00:00"/>
    <d v="1899-12-30T14:00:00"/>
    <n v="8"/>
    <n v="0"/>
  </r>
  <r>
    <d v="2024-01-05T14:00:00"/>
    <x v="2"/>
    <x v="5"/>
    <n v="2008"/>
    <x v="1"/>
    <n v="30"/>
    <n v="3400"/>
    <n v="102000"/>
    <x v="125"/>
    <n v="132"/>
    <x v="156"/>
    <x v="4"/>
    <d v="2024-01-05T00:00:00"/>
    <d v="1899-12-30T14:00:00"/>
    <n v="8"/>
    <n v="0"/>
  </r>
  <r>
    <d v="2024-01-05T14:00:00"/>
    <x v="2"/>
    <x v="7"/>
    <n v="2008"/>
    <x v="2"/>
    <n v="21"/>
    <n v="6700"/>
    <n v="140700"/>
    <x v="104"/>
    <n v="120"/>
    <x v="131"/>
    <x v="4"/>
    <d v="2024-01-05T00:00:00"/>
    <d v="1899-12-30T14:00:00"/>
    <n v="12"/>
    <n v="0"/>
  </r>
  <r>
    <d v="2024-01-05T14:00:00"/>
    <x v="2"/>
    <x v="2"/>
    <n v="2008"/>
    <x v="1"/>
    <n v="30"/>
    <n v="3600"/>
    <n v="108000"/>
    <x v="122"/>
    <n v="96"/>
    <x v="117"/>
    <x v="4"/>
    <d v="2024-01-05T00:00:00"/>
    <d v="1899-12-30T14:00:00"/>
    <n v="9"/>
    <n v="0"/>
  </r>
  <r>
    <d v="2024-01-05T14:00:00"/>
    <x v="1"/>
    <x v="2"/>
    <n v="1011"/>
    <x v="1"/>
    <n v="20"/>
    <n v="3550"/>
    <n v="71000"/>
    <x v="125"/>
    <n v="96"/>
    <x v="133"/>
    <x v="4"/>
    <d v="2024-01-05T00:00:00"/>
    <d v="1899-12-30T14:00:00"/>
    <n v="9"/>
    <n v="0"/>
  </r>
  <r>
    <d v="2024-01-05T14:00:00"/>
    <x v="2"/>
    <x v="3"/>
    <n v="2008"/>
    <x v="2"/>
    <n v="21"/>
    <n v="6650"/>
    <n v="139650"/>
    <x v="114"/>
    <n v="132"/>
    <x v="157"/>
    <x v="4"/>
    <d v="2024-01-05T00:00:00"/>
    <d v="1899-12-30T14:00:00"/>
    <n v="11"/>
    <n v="0"/>
  </r>
  <r>
    <d v="2024-01-05T14:00:00"/>
    <x v="2"/>
    <x v="8"/>
    <n v="2008"/>
    <x v="1"/>
    <n v="30"/>
    <n v="3650"/>
    <n v="109500"/>
    <x v="72"/>
    <n v="132"/>
    <x v="129"/>
    <x v="4"/>
    <d v="2024-01-05T00:00:00"/>
    <d v="1899-12-30T14:00:00"/>
    <n v="7"/>
    <n v="0"/>
  </r>
  <r>
    <d v="2024-01-05T14:00:00"/>
    <x v="2"/>
    <x v="6"/>
    <n v="2008"/>
    <x v="2"/>
    <n v="21"/>
    <n v="6900"/>
    <n v="144900"/>
    <x v="114"/>
    <n v="60"/>
    <x v="61"/>
    <x v="4"/>
    <d v="2024-01-05T00:00:00"/>
    <d v="1899-12-30T14:00:00"/>
    <n v="15"/>
    <n v="0"/>
  </r>
  <r>
    <d v="2024-01-05T14:00:00"/>
    <x v="1"/>
    <x v="4"/>
    <n v="1011"/>
    <x v="1"/>
    <n v="20"/>
    <n v="3900"/>
    <n v="78000"/>
    <x v="84"/>
    <n v="48"/>
    <x v="57"/>
    <x v="4"/>
    <d v="2024-01-05T00:00:00"/>
    <d v="1899-12-30T14:00:00"/>
    <n v="10"/>
    <n v="0"/>
  </r>
  <r>
    <d v="2024-01-05T14:00:00"/>
    <x v="2"/>
    <x v="4"/>
    <n v="2008"/>
    <x v="1"/>
    <n v="50"/>
    <n v="3900"/>
    <n v="195000"/>
    <x v="84"/>
    <n v="84"/>
    <x v="158"/>
    <x v="4"/>
    <d v="2024-01-05T00:00:00"/>
    <d v="1899-12-30T14:00:00"/>
    <n v="10"/>
    <n v="0"/>
  </r>
  <r>
    <d v="2024-01-05T14:00:00"/>
    <x v="1"/>
    <x v="8"/>
    <n v="1011"/>
    <x v="1"/>
    <n v="20"/>
    <n v="3650"/>
    <n v="73000"/>
    <x v="119"/>
    <n v="96"/>
    <x v="150"/>
    <x v="4"/>
    <d v="2024-01-05T00:00:00"/>
    <d v="1899-12-30T14:00:00"/>
    <n v="7"/>
    <n v="0"/>
  </r>
  <r>
    <d v="2024-01-05T14:00:00"/>
    <x v="2"/>
    <x v="2"/>
    <n v="2008"/>
    <x v="2"/>
    <n v="21"/>
    <n v="6650"/>
    <n v="139650"/>
    <x v="126"/>
    <n v="132"/>
    <x v="159"/>
    <x v="4"/>
    <d v="2024-01-05T00:00:00"/>
    <d v="1899-12-30T14:00:00"/>
    <n v="9"/>
    <n v="0"/>
  </r>
  <r>
    <d v="2024-01-05T15:00:00"/>
    <x v="1"/>
    <x v="8"/>
    <n v="1001"/>
    <x v="1"/>
    <n v="30"/>
    <n v="3650"/>
    <n v="109500"/>
    <x v="72"/>
    <n v="96"/>
    <x v="160"/>
    <x v="4"/>
    <d v="2024-01-05T00:00:00"/>
    <d v="1899-12-30T15:00:00"/>
    <n v="7"/>
    <n v="0"/>
  </r>
  <r>
    <d v="2024-01-05T15:00:00"/>
    <x v="1"/>
    <x v="2"/>
    <n v="1001"/>
    <x v="1"/>
    <n v="30"/>
    <n v="3550"/>
    <n v="106500"/>
    <x v="127"/>
    <n v="96"/>
    <x v="117"/>
    <x v="4"/>
    <d v="2024-01-05T00:00:00"/>
    <d v="1899-12-30T15:00:00"/>
    <n v="9"/>
    <n v="0"/>
  </r>
  <r>
    <d v="2024-01-05T15:00:00"/>
    <x v="1"/>
    <x v="6"/>
    <n v="1001"/>
    <x v="1"/>
    <n v="34"/>
    <n v="3650"/>
    <n v="124100"/>
    <x v="121"/>
    <n v="96"/>
    <x v="97"/>
    <x v="4"/>
    <d v="2024-01-05T00:00:00"/>
    <d v="1899-12-30T15:00:00"/>
    <n v="15"/>
    <n v="0"/>
  </r>
  <r>
    <d v="2024-01-05T15:00:00"/>
    <x v="1"/>
    <x v="5"/>
    <n v="1001"/>
    <x v="1"/>
    <n v="30"/>
    <n v="3300"/>
    <n v="99000"/>
    <x v="128"/>
    <n v="96"/>
    <x v="115"/>
    <x v="4"/>
    <d v="2024-01-05T00:00:00"/>
    <d v="1899-12-30T15:00:00"/>
    <n v="8"/>
    <n v="0"/>
  </r>
  <r>
    <d v="2024-01-05T15:00:00"/>
    <x v="1"/>
    <x v="10"/>
    <n v="1001"/>
    <x v="1"/>
    <n v="30"/>
    <n v="3750"/>
    <n v="112500"/>
    <x v="119"/>
    <n v="96"/>
    <x v="150"/>
    <x v="4"/>
    <d v="2024-01-05T00:00:00"/>
    <d v="1899-12-30T15:00:00"/>
    <n v="16"/>
    <n v="0"/>
  </r>
  <r>
    <d v="2024-01-05T15:00:00"/>
    <x v="1"/>
    <x v="7"/>
    <n v="1001"/>
    <x v="1"/>
    <n v="15"/>
    <n v="3950"/>
    <n v="59250"/>
    <x v="119"/>
    <n v="60"/>
    <x v="75"/>
    <x v="4"/>
    <d v="2024-01-05T00:00:00"/>
    <d v="1899-12-30T15:00:00"/>
    <n v="12"/>
    <n v="0"/>
  </r>
  <r>
    <d v="2024-01-05T15:00:00"/>
    <x v="1"/>
    <x v="3"/>
    <n v="1001"/>
    <x v="1"/>
    <n v="30"/>
    <n v="3750"/>
    <n v="112500"/>
    <x v="129"/>
    <n v="96"/>
    <x v="95"/>
    <x v="4"/>
    <d v="2024-01-05T00:00:00"/>
    <d v="1899-12-30T15:00:00"/>
    <n v="11"/>
    <n v="0"/>
  </r>
  <r>
    <d v="2024-01-05T15:00:00"/>
    <x v="1"/>
    <x v="9"/>
    <n v="1001"/>
    <x v="1"/>
    <n v="30"/>
    <n v="3750"/>
    <n v="112500"/>
    <x v="112"/>
    <n v="96"/>
    <x v="96"/>
    <x v="4"/>
    <d v="2024-01-05T00:00:00"/>
    <d v="1899-12-30T15:00:00"/>
    <n v="14"/>
    <n v="0"/>
  </r>
  <r>
    <d v="2024-01-05T15:00:00"/>
    <x v="1"/>
    <x v="4"/>
    <n v="1001"/>
    <x v="1"/>
    <n v="30"/>
    <n v="3900"/>
    <n v="117000"/>
    <x v="107"/>
    <n v="48"/>
    <x v="64"/>
    <x v="4"/>
    <d v="2024-01-05T00:00:00"/>
    <d v="1899-12-30T15:00:00"/>
    <n v="10"/>
    <n v="0"/>
  </r>
  <r>
    <d v="2024-01-05T15:00:00"/>
    <x v="1"/>
    <x v="1"/>
    <n v="1001"/>
    <x v="1"/>
    <n v="30"/>
    <n v="3750"/>
    <n v="112500"/>
    <x v="128"/>
    <n v="96"/>
    <x v="135"/>
    <x v="4"/>
    <d v="2024-01-05T00:00:00"/>
    <d v="1899-12-30T15:00:00"/>
    <n v="13"/>
    <n v="0"/>
  </r>
  <r>
    <d v="2024-01-05T17:00:00"/>
    <x v="1"/>
    <x v="7"/>
    <n v="1001"/>
    <x v="2"/>
    <n v="2"/>
    <n v="6850"/>
    <n v="13700"/>
    <x v="108"/>
    <n v="72"/>
    <x v="140"/>
    <x v="4"/>
    <d v="2024-01-05T00:00:00"/>
    <d v="1899-12-30T17:00:00"/>
    <n v="12"/>
    <n v="0"/>
  </r>
  <r>
    <d v="2024-01-05T17:00:00"/>
    <x v="1"/>
    <x v="2"/>
    <n v="1001"/>
    <x v="2"/>
    <n v="2"/>
    <n v="6650"/>
    <n v="13300"/>
    <x v="127"/>
    <n v="96"/>
    <x v="117"/>
    <x v="4"/>
    <d v="2024-01-05T00:00:00"/>
    <d v="1899-12-30T17:00:00"/>
    <n v="9"/>
    <n v="0"/>
  </r>
  <r>
    <d v="2024-01-05T17:00:00"/>
    <x v="1"/>
    <x v="9"/>
    <n v="1001"/>
    <x v="2"/>
    <n v="2"/>
    <n v="6650"/>
    <n v="13300"/>
    <x v="114"/>
    <n v="96"/>
    <x v="145"/>
    <x v="4"/>
    <d v="2024-01-05T00:00:00"/>
    <d v="1899-12-30T17:00:00"/>
    <n v="14"/>
    <n v="0"/>
  </r>
  <r>
    <d v="2024-01-05T17:00:00"/>
    <x v="1"/>
    <x v="4"/>
    <n v="1001"/>
    <x v="2"/>
    <n v="2"/>
    <n v="6800"/>
    <n v="13600"/>
    <x v="107"/>
    <n v="96"/>
    <x v="138"/>
    <x v="4"/>
    <d v="2024-01-05T00:00:00"/>
    <d v="1899-12-30T17:00:00"/>
    <n v="10"/>
    <n v="0"/>
  </r>
  <r>
    <d v="2024-01-05T17:00:00"/>
    <x v="1"/>
    <x v="1"/>
    <n v="1001"/>
    <x v="2"/>
    <n v="2"/>
    <n v="6650"/>
    <n v="13300"/>
    <x v="128"/>
    <n v="96"/>
    <x v="135"/>
    <x v="4"/>
    <d v="2024-01-05T00:00:00"/>
    <d v="1899-12-30T17:00:00"/>
    <n v="13"/>
    <n v="0"/>
  </r>
  <r>
    <d v="2024-01-05T17:00:00"/>
    <x v="1"/>
    <x v="10"/>
    <n v="1001"/>
    <x v="2"/>
    <n v="2"/>
    <n v="6650"/>
    <n v="13300"/>
    <x v="130"/>
    <n v="96"/>
    <x v="161"/>
    <x v="4"/>
    <d v="2024-01-05T00:00:00"/>
    <d v="1899-12-30T17:00:00"/>
    <n v="16"/>
    <n v="0"/>
  </r>
  <r>
    <d v="2024-01-05T17:00:00"/>
    <x v="1"/>
    <x v="8"/>
    <n v="1001"/>
    <x v="2"/>
    <n v="2"/>
    <n v="6650"/>
    <n v="13300"/>
    <x v="131"/>
    <n v="96"/>
    <x v="95"/>
    <x v="4"/>
    <d v="2024-01-05T00:00:00"/>
    <d v="1899-12-30T17:00:00"/>
    <n v="7"/>
    <n v="0"/>
  </r>
  <r>
    <d v="2024-01-05T18:00:00"/>
    <x v="0"/>
    <x v="12"/>
    <n v="16"/>
    <x v="3"/>
    <n v="200"/>
    <n v="1020"/>
    <n v="204000"/>
    <x v="132"/>
    <n v="24"/>
    <x v="31"/>
    <x v="4"/>
    <d v="2024-01-05T00:00:00"/>
    <d v="1899-12-30T18:00:00"/>
    <d v="1900-01-04T00:00:00"/>
    <n v="0"/>
  </r>
  <r>
    <d v="2024-01-05T18:00:00"/>
    <x v="0"/>
    <x v="11"/>
    <n v="15"/>
    <x v="3"/>
    <n v="157"/>
    <n v="1200"/>
    <n v="188400"/>
    <x v="131"/>
    <n v="72"/>
    <x v="95"/>
    <x v="4"/>
    <d v="2024-01-05T00:00:00"/>
    <d v="1899-12-30T18:00:00"/>
    <d v="1900-01-05T00:00:00"/>
    <n v="0"/>
  </r>
  <r>
    <d v="2024-01-05T19:00:00"/>
    <x v="0"/>
    <x v="0"/>
    <n v="11"/>
    <x v="0"/>
    <n v="2500"/>
    <n v="110"/>
    <n v="275000"/>
    <x v="114"/>
    <n v="72"/>
    <x v="145"/>
    <x v="4"/>
    <d v="2024-01-05T00:00:00"/>
    <d v="1899-12-30T19:00:00"/>
    <d v="1900-01-03T00:00:00"/>
    <n v="0"/>
  </r>
  <r>
    <d v="2024-01-06T00:00:00"/>
    <x v="1"/>
    <x v="10"/>
    <n v="1008"/>
    <x v="1"/>
    <n v="50"/>
    <n v="3650"/>
    <n v="182500"/>
    <x v="103"/>
    <n v="120"/>
    <x v="128"/>
    <x v="5"/>
    <d v="2024-01-06T00:00:00"/>
    <d v="1899-12-30T00:00:00"/>
    <n v="16"/>
    <n v="0"/>
  </r>
  <r>
    <d v="2024-01-06T00:00:00"/>
    <x v="1"/>
    <x v="9"/>
    <n v="1008"/>
    <x v="1"/>
    <n v="44"/>
    <n v="3650"/>
    <n v="160600"/>
    <x v="112"/>
    <n v="120"/>
    <x v="96"/>
    <x v="5"/>
    <d v="2024-01-06T00:00:00"/>
    <d v="1899-12-30T00:00:00"/>
    <n v="14"/>
    <n v="0"/>
  </r>
  <r>
    <d v="2024-01-06T00:00:00"/>
    <x v="1"/>
    <x v="4"/>
    <n v="1008"/>
    <x v="1"/>
    <n v="23"/>
    <n v="3900"/>
    <n v="89700"/>
    <x v="113"/>
    <n v="48"/>
    <x v="92"/>
    <x v="5"/>
    <d v="2024-01-06T00:00:00"/>
    <d v="1899-12-30T00:00:00"/>
    <n v="10"/>
    <n v="0"/>
  </r>
  <r>
    <d v="2024-01-06T00:00:00"/>
    <x v="1"/>
    <x v="2"/>
    <n v="1008"/>
    <x v="1"/>
    <n v="30"/>
    <n v="3550"/>
    <n v="106500"/>
    <x v="133"/>
    <n v="96"/>
    <x v="162"/>
    <x v="5"/>
    <d v="2024-01-06T00:00:00"/>
    <d v="1899-12-30T00:00:00"/>
    <n v="9"/>
    <n v="0"/>
  </r>
  <r>
    <d v="2024-01-06T00:00:00"/>
    <x v="1"/>
    <x v="7"/>
    <n v="1008"/>
    <x v="1"/>
    <n v="30"/>
    <n v="3700"/>
    <n v="111000"/>
    <x v="134"/>
    <n v="120"/>
    <x v="163"/>
    <x v="5"/>
    <d v="2024-01-06T00:00:00"/>
    <d v="1899-12-30T00:00:00"/>
    <n v="12"/>
    <n v="0"/>
  </r>
  <r>
    <d v="2024-01-06T00:00:00"/>
    <x v="1"/>
    <x v="5"/>
    <n v="1008"/>
    <x v="1"/>
    <n v="50"/>
    <n v="3250"/>
    <n v="162500"/>
    <x v="135"/>
    <n v="120"/>
    <x v="164"/>
    <x v="5"/>
    <d v="2024-01-06T00:00:00"/>
    <d v="1899-12-30T00:00:00"/>
    <n v="8"/>
    <n v="0"/>
  </r>
  <r>
    <d v="2024-01-06T00:00:00"/>
    <x v="1"/>
    <x v="3"/>
    <n v="1008"/>
    <x v="1"/>
    <n v="39"/>
    <n v="3650"/>
    <n v="142350"/>
    <x v="136"/>
    <n v="120"/>
    <x v="165"/>
    <x v="5"/>
    <d v="2024-01-06T00:00:00"/>
    <d v="1899-12-30T00:00:00"/>
    <n v="11"/>
    <n v="0"/>
  </r>
  <r>
    <d v="2024-01-06T00:00:00"/>
    <x v="1"/>
    <x v="6"/>
    <n v="1008"/>
    <x v="1"/>
    <n v="26"/>
    <n v="3750"/>
    <n v="97500"/>
    <x v="124"/>
    <n v="96"/>
    <x v="130"/>
    <x v="5"/>
    <d v="2024-01-06T00:00:00"/>
    <d v="1899-12-30T00:00:00"/>
    <n v="15"/>
    <n v="0"/>
  </r>
  <r>
    <d v="2024-01-06T00:00:00"/>
    <x v="1"/>
    <x v="1"/>
    <n v="1008"/>
    <x v="1"/>
    <n v="34"/>
    <n v="3650"/>
    <n v="124100"/>
    <x v="137"/>
    <n v="120"/>
    <x v="166"/>
    <x v="5"/>
    <d v="2024-01-06T00:00:00"/>
    <d v="1899-12-30T00:00:00"/>
    <n v="13"/>
    <n v="0"/>
  </r>
  <r>
    <d v="2024-01-06T00:00:00"/>
    <x v="0"/>
    <x v="1"/>
    <n v="4"/>
    <x v="5"/>
    <n v="391"/>
    <n v="5"/>
    <n v="1955"/>
    <x v="125"/>
    <n v="72"/>
    <x v="133"/>
    <x v="5"/>
    <d v="2024-01-06T00:00:00"/>
    <d v="1899-12-30T00:00:00"/>
    <n v="13"/>
    <n v="0"/>
  </r>
  <r>
    <d v="2024-01-06T00:00:00"/>
    <x v="1"/>
    <x v="8"/>
    <n v="1008"/>
    <x v="1"/>
    <n v="50"/>
    <n v="3550"/>
    <n v="177500"/>
    <x v="133"/>
    <n v="120"/>
    <x v="162"/>
    <x v="5"/>
    <d v="2024-01-06T00:00:00"/>
    <d v="1899-12-30T00:00:00"/>
    <n v="7"/>
    <n v="0"/>
  </r>
  <r>
    <d v="2024-01-06T01:00:00"/>
    <x v="1"/>
    <x v="7"/>
    <n v="1003"/>
    <x v="2"/>
    <n v="4"/>
    <n v="6850"/>
    <n v="27400"/>
    <x v="118"/>
    <n v="72"/>
    <x v="98"/>
    <x v="5"/>
    <d v="2024-01-06T00:00:00"/>
    <d v="1899-12-30T01:00:00"/>
    <n v="12"/>
    <n v="0"/>
  </r>
  <r>
    <d v="2024-01-06T01:00:00"/>
    <x v="1"/>
    <x v="2"/>
    <n v="1003"/>
    <x v="2"/>
    <n v="2"/>
    <n v="6650"/>
    <n v="13300"/>
    <x v="133"/>
    <n v="96"/>
    <x v="162"/>
    <x v="5"/>
    <d v="2024-01-06T00:00:00"/>
    <d v="1899-12-30T01:00:00"/>
    <n v="9"/>
    <n v="0"/>
  </r>
  <r>
    <d v="2024-01-06T01:00:00"/>
    <x v="1"/>
    <x v="10"/>
    <n v="1003"/>
    <x v="2"/>
    <n v="3"/>
    <n v="6650"/>
    <n v="19950"/>
    <x v="118"/>
    <n v="96"/>
    <x v="118"/>
    <x v="5"/>
    <d v="2024-01-06T00:00:00"/>
    <d v="1899-12-30T01:00:00"/>
    <n v="16"/>
    <n v="0"/>
  </r>
  <r>
    <d v="2024-01-06T01:00:00"/>
    <x v="1"/>
    <x v="8"/>
    <n v="1003"/>
    <x v="2"/>
    <n v="3"/>
    <n v="6650"/>
    <n v="19950"/>
    <x v="117"/>
    <n v="96"/>
    <x v="149"/>
    <x v="5"/>
    <d v="2024-01-06T00:00:00"/>
    <d v="1899-12-30T01:00:00"/>
    <n v="7"/>
    <n v="0"/>
  </r>
  <r>
    <d v="2024-01-06T01:00:00"/>
    <x v="1"/>
    <x v="9"/>
    <n v="1003"/>
    <x v="2"/>
    <n v="2"/>
    <n v="6650"/>
    <n v="13300"/>
    <x v="128"/>
    <n v="96"/>
    <x v="135"/>
    <x v="5"/>
    <d v="2024-01-06T00:00:00"/>
    <d v="1899-12-30T01:00:00"/>
    <n v="14"/>
    <n v="0"/>
  </r>
  <r>
    <d v="2024-01-06T04:00:00"/>
    <x v="0"/>
    <x v="13"/>
    <n v="8"/>
    <x v="0"/>
    <n v="1000"/>
    <n v="120"/>
    <n v="120000"/>
    <x v="138"/>
    <n v="72"/>
    <x v="119"/>
    <x v="5"/>
    <d v="2024-01-06T00:00:00"/>
    <d v="1899-12-30T04:00:00"/>
    <n v="2"/>
    <n v="0"/>
  </r>
  <r>
    <d v="2024-01-06T04:00:00"/>
    <x v="1"/>
    <x v="10"/>
    <n v="1010"/>
    <x v="2"/>
    <n v="8"/>
    <n v="6650"/>
    <n v="53200"/>
    <x v="118"/>
    <n v="96"/>
    <x v="118"/>
    <x v="5"/>
    <d v="2024-01-06T00:00:00"/>
    <d v="1899-12-30T04:00:00"/>
    <n v="16"/>
    <n v="0"/>
  </r>
  <r>
    <d v="2024-01-06T04:00:00"/>
    <x v="1"/>
    <x v="4"/>
    <n v="1010"/>
    <x v="2"/>
    <n v="3"/>
    <n v="6800"/>
    <n v="20400"/>
    <x v="118"/>
    <n v="96"/>
    <x v="118"/>
    <x v="5"/>
    <d v="2024-01-06T00:00:00"/>
    <d v="1899-12-30T04:00:00"/>
    <n v="10"/>
    <n v="0"/>
  </r>
  <r>
    <d v="2024-01-06T04:00:00"/>
    <x v="1"/>
    <x v="9"/>
    <n v="1010"/>
    <x v="2"/>
    <n v="4"/>
    <n v="6650"/>
    <n v="26600"/>
    <x v="126"/>
    <n v="96"/>
    <x v="167"/>
    <x v="5"/>
    <d v="2024-01-06T00:00:00"/>
    <d v="1899-12-30T04:00:00"/>
    <n v="14"/>
    <n v="0"/>
  </r>
  <r>
    <d v="2024-01-06T04:00:00"/>
    <x v="1"/>
    <x v="7"/>
    <n v="1010"/>
    <x v="2"/>
    <n v="9"/>
    <n v="6850"/>
    <n v="61650"/>
    <x v="126"/>
    <n v="72"/>
    <x v="148"/>
    <x v="5"/>
    <d v="2024-01-06T00:00:00"/>
    <d v="1899-12-30T04:00:00"/>
    <n v="12"/>
    <n v="0"/>
  </r>
  <r>
    <d v="2024-01-06T04:00:00"/>
    <x v="1"/>
    <x v="6"/>
    <n v="1010"/>
    <x v="2"/>
    <n v="4"/>
    <n v="6650"/>
    <n v="26600"/>
    <x v="122"/>
    <n v="96"/>
    <x v="167"/>
    <x v="5"/>
    <d v="2024-01-06T00:00:00"/>
    <d v="1899-12-30T04:00:00"/>
    <n v="15"/>
    <n v="0"/>
  </r>
  <r>
    <d v="2024-01-06T04:00:00"/>
    <x v="1"/>
    <x v="1"/>
    <n v="1010"/>
    <x v="2"/>
    <n v="3"/>
    <n v="6650"/>
    <n v="19950"/>
    <x v="129"/>
    <n v="96"/>
    <x v="168"/>
    <x v="5"/>
    <d v="2024-01-06T00:00:00"/>
    <d v="1899-12-30T04:00:00"/>
    <n v="13"/>
    <n v="0"/>
  </r>
  <r>
    <d v="2024-01-06T04:00:00"/>
    <x v="1"/>
    <x v="2"/>
    <n v="1010"/>
    <x v="2"/>
    <n v="6"/>
    <n v="6650"/>
    <n v="39900"/>
    <x v="133"/>
    <n v="96"/>
    <x v="162"/>
    <x v="5"/>
    <d v="2024-01-06T00:00:00"/>
    <d v="1899-12-30T04:00:00"/>
    <n v="9"/>
    <n v="0"/>
  </r>
  <r>
    <d v="2024-01-06T04:00:00"/>
    <x v="0"/>
    <x v="11"/>
    <n v="7"/>
    <x v="4"/>
    <n v="2000"/>
    <n v="10"/>
    <n v="20000"/>
    <x v="124"/>
    <n v="72"/>
    <x v="130"/>
    <x v="5"/>
    <d v="2024-01-06T00:00:00"/>
    <d v="1899-12-30T04:00:00"/>
    <n v="6"/>
    <n v="0"/>
  </r>
  <r>
    <d v="2024-01-06T04:00:00"/>
    <x v="1"/>
    <x v="8"/>
    <n v="1010"/>
    <x v="2"/>
    <n v="7"/>
    <n v="6650"/>
    <n v="46550"/>
    <x v="120"/>
    <n v="96"/>
    <x v="153"/>
    <x v="5"/>
    <d v="2024-01-06T00:00:00"/>
    <d v="1899-12-30T04:00:00"/>
    <n v="7"/>
    <n v="0"/>
  </r>
  <r>
    <d v="2024-01-06T05:00:00"/>
    <x v="0"/>
    <x v="14"/>
    <n v="10"/>
    <x v="0"/>
    <n v="2500"/>
    <n v="128"/>
    <n v="320000"/>
    <x v="124"/>
    <n v="24"/>
    <x v="108"/>
    <x v="5"/>
    <d v="2024-01-06T00:00:00"/>
    <d v="1899-12-30T05:00:00"/>
    <d v="1900-01-02T00:00:00"/>
    <n v="0"/>
  </r>
  <r>
    <d v="2024-01-06T06:00:00"/>
    <x v="1"/>
    <x v="9"/>
    <n v="1010"/>
    <x v="1"/>
    <n v="24"/>
    <n v="3750"/>
    <n v="90000"/>
    <x v="109"/>
    <n v="96"/>
    <x v="134"/>
    <x v="5"/>
    <d v="2024-01-06T00:00:00"/>
    <d v="1899-12-30T06:00:00"/>
    <n v="14"/>
    <n v="0"/>
  </r>
  <r>
    <d v="2024-01-06T06:00:00"/>
    <x v="1"/>
    <x v="5"/>
    <n v="1010"/>
    <x v="1"/>
    <n v="30"/>
    <n v="3300"/>
    <n v="99000"/>
    <x v="103"/>
    <n v="96"/>
    <x v="128"/>
    <x v="5"/>
    <d v="2024-01-06T00:00:00"/>
    <d v="1899-12-30T06:00:00"/>
    <n v="8"/>
    <n v="0"/>
  </r>
  <r>
    <d v="2024-01-06T06:00:00"/>
    <x v="1"/>
    <x v="6"/>
    <n v="1010"/>
    <x v="1"/>
    <n v="16"/>
    <n v="3850"/>
    <n v="61600"/>
    <x v="128"/>
    <n v="92"/>
    <x v="135"/>
    <x v="5"/>
    <d v="2024-01-06T00:00:00"/>
    <d v="1899-12-30T06:00:00"/>
    <n v="15"/>
    <n v="0"/>
  </r>
  <r>
    <d v="2024-01-06T06:00:00"/>
    <x v="1"/>
    <x v="10"/>
    <n v="1010"/>
    <x v="1"/>
    <n v="30"/>
    <n v="3750"/>
    <n v="112500"/>
    <x v="128"/>
    <n v="96"/>
    <x v="135"/>
    <x v="5"/>
    <d v="2024-01-06T00:00:00"/>
    <d v="1899-12-30T06:00:00"/>
    <n v="16"/>
    <n v="0"/>
  </r>
  <r>
    <d v="2024-01-06T06:00:00"/>
    <x v="1"/>
    <x v="8"/>
    <n v="1010"/>
    <x v="1"/>
    <n v="28"/>
    <n v="3650"/>
    <n v="102200"/>
    <x v="120"/>
    <n v="96"/>
    <x v="153"/>
    <x v="5"/>
    <d v="2024-01-06T00:00:00"/>
    <d v="1899-12-30T06:00:00"/>
    <n v="7"/>
    <n v="0"/>
  </r>
  <r>
    <d v="2024-01-06T06:00:00"/>
    <x v="1"/>
    <x v="4"/>
    <n v="1010"/>
    <x v="1"/>
    <n v="30"/>
    <n v="3900"/>
    <n v="117000"/>
    <x v="138"/>
    <n v="48"/>
    <x v="122"/>
    <x v="5"/>
    <d v="2024-01-06T00:00:00"/>
    <d v="1899-12-30T06:00:00"/>
    <n v="10"/>
    <n v="0"/>
  </r>
  <r>
    <d v="2024-01-06T06:00:00"/>
    <x v="1"/>
    <x v="3"/>
    <n v="1010"/>
    <x v="1"/>
    <n v="21"/>
    <n v="3750"/>
    <n v="78750"/>
    <x v="139"/>
    <n v="96"/>
    <x v="142"/>
    <x v="5"/>
    <d v="2024-01-06T00:00:00"/>
    <d v="1899-12-30T06:00:00"/>
    <n v="11"/>
    <n v="0"/>
  </r>
  <r>
    <d v="2024-01-06T06:00:00"/>
    <x v="1"/>
    <x v="2"/>
    <n v="1010"/>
    <x v="1"/>
    <n v="30"/>
    <n v="3550"/>
    <n v="106500"/>
    <x v="140"/>
    <n v="96"/>
    <x v="129"/>
    <x v="5"/>
    <d v="2024-01-06T00:00:00"/>
    <d v="1899-12-30T06:00:00"/>
    <n v="9"/>
    <n v="0"/>
  </r>
  <r>
    <d v="2024-01-06T06:00:00"/>
    <x v="1"/>
    <x v="7"/>
    <n v="1010"/>
    <x v="1"/>
    <n v="15"/>
    <n v="3950"/>
    <n v="59250"/>
    <x v="138"/>
    <n v="60"/>
    <x v="99"/>
    <x v="5"/>
    <d v="2024-01-06T00:00:00"/>
    <d v="1899-12-30T06:00:00"/>
    <n v="12"/>
    <n v="0"/>
  </r>
  <r>
    <d v="2024-01-06T06:00:00"/>
    <x v="1"/>
    <x v="1"/>
    <n v="1010"/>
    <x v="1"/>
    <n v="19"/>
    <n v="3750"/>
    <n v="71250"/>
    <x v="141"/>
    <n v="96"/>
    <x v="132"/>
    <x v="5"/>
    <d v="2024-01-06T00:00:00"/>
    <d v="1899-12-30T06:00:00"/>
    <n v="13"/>
    <n v="0"/>
  </r>
  <r>
    <d v="2024-01-06T07:00:00"/>
    <x v="1"/>
    <x v="3"/>
    <n v="1002"/>
    <x v="1"/>
    <n v="30"/>
    <n v="3750"/>
    <n v="112500"/>
    <x v="133"/>
    <n v="96"/>
    <x v="162"/>
    <x v="5"/>
    <d v="2024-01-06T00:00:00"/>
    <d v="1899-12-30T07:00:00"/>
    <n v="11"/>
    <n v="0"/>
  </r>
  <r>
    <d v="2024-01-06T07:00:00"/>
    <x v="1"/>
    <x v="7"/>
    <n v="1002"/>
    <x v="1"/>
    <n v="15"/>
    <n v="3950"/>
    <n v="59250"/>
    <x v="120"/>
    <n v="60"/>
    <x v="126"/>
    <x v="5"/>
    <d v="2024-01-06T00:00:00"/>
    <d v="1899-12-30T07:00:00"/>
    <n v="12"/>
    <n v="0"/>
  </r>
  <r>
    <d v="2024-01-06T07:00:00"/>
    <x v="1"/>
    <x v="9"/>
    <n v="1002"/>
    <x v="1"/>
    <n v="30"/>
    <n v="3750"/>
    <n v="112500"/>
    <x v="142"/>
    <n v="96"/>
    <x v="142"/>
    <x v="5"/>
    <d v="2024-01-06T00:00:00"/>
    <d v="1899-12-30T07:00:00"/>
    <n v="14"/>
    <n v="0"/>
  </r>
  <r>
    <d v="2024-01-06T07:00:00"/>
    <x v="1"/>
    <x v="4"/>
    <n v="1002"/>
    <x v="1"/>
    <n v="30"/>
    <n v="3900"/>
    <n v="117000"/>
    <x v="124"/>
    <n v="48"/>
    <x v="169"/>
    <x v="5"/>
    <d v="2024-01-06T00:00:00"/>
    <d v="1899-12-30T07:00:00"/>
    <n v="10"/>
    <n v="0"/>
  </r>
  <r>
    <d v="2024-01-06T07:00:00"/>
    <x v="1"/>
    <x v="6"/>
    <n v="1002"/>
    <x v="1"/>
    <n v="20"/>
    <n v="3850"/>
    <n v="77000"/>
    <x v="128"/>
    <n v="92"/>
    <x v="135"/>
    <x v="5"/>
    <d v="2024-01-06T00:00:00"/>
    <d v="1899-12-30T07:00:00"/>
    <n v="15"/>
    <n v="0"/>
  </r>
  <r>
    <d v="2024-01-06T07:00:00"/>
    <x v="1"/>
    <x v="5"/>
    <n v="1002"/>
    <x v="1"/>
    <n v="30"/>
    <n v="3300"/>
    <n v="99000"/>
    <x v="143"/>
    <n v="96"/>
    <x v="131"/>
    <x v="5"/>
    <d v="2024-01-06T00:00:00"/>
    <d v="1899-12-30T07:00:00"/>
    <n v="8"/>
    <n v="0"/>
  </r>
  <r>
    <d v="2024-01-06T07:00:00"/>
    <x v="1"/>
    <x v="1"/>
    <n v="1002"/>
    <x v="1"/>
    <n v="23"/>
    <n v="3750"/>
    <n v="86250"/>
    <x v="143"/>
    <n v="96"/>
    <x v="131"/>
    <x v="5"/>
    <d v="2024-01-06T00:00:00"/>
    <d v="1899-12-30T07:00:00"/>
    <n v="13"/>
    <n v="0"/>
  </r>
  <r>
    <d v="2024-01-06T07:00:00"/>
    <x v="1"/>
    <x v="2"/>
    <n v="1002"/>
    <x v="1"/>
    <n v="26"/>
    <n v="3750"/>
    <n v="97500"/>
    <x v="140"/>
    <n v="96"/>
    <x v="129"/>
    <x v="5"/>
    <d v="2024-01-06T00:00:00"/>
    <d v="1899-12-30T07:00:00"/>
    <n v="9"/>
    <n v="0"/>
  </r>
  <r>
    <d v="2024-01-06T07:00:00"/>
    <x v="1"/>
    <x v="8"/>
    <n v="1002"/>
    <x v="1"/>
    <n v="17"/>
    <n v="3650"/>
    <n v="62050"/>
    <x v="120"/>
    <n v="96"/>
    <x v="153"/>
    <x v="5"/>
    <d v="2024-01-06T00:00:00"/>
    <d v="1899-12-30T07:00:00"/>
    <n v="7"/>
    <n v="0"/>
  </r>
  <r>
    <d v="2024-01-06T07:00:00"/>
    <x v="1"/>
    <x v="10"/>
    <n v="1002"/>
    <x v="1"/>
    <n v="30"/>
    <n v="3750"/>
    <n v="112500"/>
    <x v="128"/>
    <n v="96"/>
    <x v="135"/>
    <x v="5"/>
    <d v="2024-01-06T00:00:00"/>
    <d v="1899-12-30T07:00:00"/>
    <n v="16"/>
    <n v="0"/>
  </r>
  <r>
    <d v="2024-01-06T07:00:00"/>
    <x v="0"/>
    <x v="13"/>
    <n v="15"/>
    <x v="0"/>
    <n v="1800"/>
    <n v="140"/>
    <n v="252000"/>
    <x v="117"/>
    <n v="72"/>
    <x v="149"/>
    <x v="5"/>
    <d v="2024-01-06T00:00:00"/>
    <d v="1899-12-30T07:00:00"/>
    <d v="1900-01-01T00:00:00"/>
    <n v="0"/>
  </r>
  <r>
    <d v="2024-01-06T09:00:00"/>
    <x v="1"/>
    <x v="1"/>
    <n v="1008"/>
    <x v="2"/>
    <n v="23"/>
    <n v="6300"/>
    <n v="144900"/>
    <x v="144"/>
    <n v="120"/>
    <x v="159"/>
    <x v="5"/>
    <d v="2024-01-06T00:00:00"/>
    <d v="1899-12-30T09:00:00"/>
    <n v="13"/>
    <n v="0"/>
  </r>
  <r>
    <d v="2024-01-06T10:00:00"/>
    <x v="2"/>
    <x v="2"/>
    <n v="2009"/>
    <x v="1"/>
    <n v="30"/>
    <n v="3600"/>
    <n v="108000"/>
    <x v="145"/>
    <n v="96"/>
    <x v="152"/>
    <x v="5"/>
    <d v="2024-01-06T00:00:00"/>
    <d v="1899-12-30T10:00:00"/>
    <n v="9"/>
    <n v="0"/>
  </r>
  <r>
    <d v="2024-01-06T10:00:00"/>
    <x v="2"/>
    <x v="6"/>
    <n v="2009"/>
    <x v="2"/>
    <n v="30"/>
    <n v="6900"/>
    <n v="207000"/>
    <x v="96"/>
    <n v="60"/>
    <x v="112"/>
    <x v="5"/>
    <d v="2024-01-06T00:00:00"/>
    <d v="1899-12-30T10:00:00"/>
    <n v="15"/>
    <n v="0"/>
  </r>
  <r>
    <d v="2024-01-06T10:00:00"/>
    <x v="2"/>
    <x v="6"/>
    <n v="2009"/>
    <x v="1"/>
    <n v="30"/>
    <n v="3850"/>
    <n v="115500"/>
    <x v="123"/>
    <n v="120"/>
    <x v="155"/>
    <x v="5"/>
    <d v="2024-01-06T00:00:00"/>
    <d v="1899-12-30T10:00:00"/>
    <n v="15"/>
    <n v="0"/>
  </r>
  <r>
    <d v="2024-01-06T10:00:00"/>
    <x v="2"/>
    <x v="1"/>
    <n v="2009"/>
    <x v="1"/>
    <n v="30"/>
    <n v="3500"/>
    <n v="105000"/>
    <x v="140"/>
    <n v="132"/>
    <x v="170"/>
    <x v="5"/>
    <d v="2024-01-06T00:00:00"/>
    <d v="1899-12-30T10:00:00"/>
    <n v="13"/>
    <n v="0"/>
  </r>
  <r>
    <d v="2024-01-06T10:00:00"/>
    <x v="2"/>
    <x v="9"/>
    <n v="2009"/>
    <x v="2"/>
    <n v="30"/>
    <n v="6650"/>
    <n v="199500"/>
    <x v="127"/>
    <n v="132"/>
    <x v="171"/>
    <x v="5"/>
    <d v="2024-01-06T00:00:00"/>
    <d v="1899-12-30T10:00:00"/>
    <n v="14"/>
    <n v="0"/>
  </r>
  <r>
    <d v="2024-01-06T10:00:00"/>
    <x v="2"/>
    <x v="3"/>
    <n v="2009"/>
    <x v="1"/>
    <n v="30"/>
    <n v="3750"/>
    <n v="112500"/>
    <x v="146"/>
    <n v="132"/>
    <x v="172"/>
    <x v="5"/>
    <d v="2024-01-06T00:00:00"/>
    <d v="1899-12-30T10:00:00"/>
    <n v="11"/>
    <n v="0"/>
  </r>
  <r>
    <d v="2024-01-06T10:00:00"/>
    <x v="2"/>
    <x v="9"/>
    <n v="2009"/>
    <x v="1"/>
    <n v="30"/>
    <n v="3750"/>
    <n v="112500"/>
    <x v="129"/>
    <n v="132"/>
    <x v="173"/>
    <x v="5"/>
    <d v="2024-01-06T00:00:00"/>
    <d v="1899-12-30T10:00:00"/>
    <n v="14"/>
    <n v="0"/>
  </r>
  <r>
    <d v="2024-01-06T10:00:00"/>
    <x v="2"/>
    <x v="1"/>
    <n v="2009"/>
    <x v="2"/>
    <n v="30"/>
    <n v="6400"/>
    <n v="192000"/>
    <x v="145"/>
    <n v="132"/>
    <x v="174"/>
    <x v="5"/>
    <d v="2024-01-06T00:00:00"/>
    <d v="1899-12-30T10:00:00"/>
    <n v="13"/>
    <n v="0"/>
  </r>
  <r>
    <d v="2024-01-06T10:00:00"/>
    <x v="2"/>
    <x v="2"/>
    <n v="2009"/>
    <x v="2"/>
    <n v="30"/>
    <n v="6650"/>
    <n v="199500"/>
    <x v="134"/>
    <n v="132"/>
    <x v="175"/>
    <x v="5"/>
    <d v="2024-01-06T00:00:00"/>
    <d v="1899-12-30T10:00:00"/>
    <n v="9"/>
    <n v="0"/>
  </r>
  <r>
    <d v="2024-01-06T10:00:00"/>
    <x v="2"/>
    <x v="5"/>
    <n v="2009"/>
    <x v="1"/>
    <n v="30"/>
    <n v="3380"/>
    <n v="101400"/>
    <x v="147"/>
    <n v="132"/>
    <x v="176"/>
    <x v="5"/>
    <d v="2024-01-06T00:00:00"/>
    <d v="1899-12-30T10:00:00"/>
    <n v="8"/>
    <n v="0"/>
  </r>
  <r>
    <d v="2024-01-06T10:00:00"/>
    <x v="2"/>
    <x v="3"/>
    <n v="2009"/>
    <x v="2"/>
    <n v="30"/>
    <n v="6650"/>
    <n v="199500"/>
    <x v="127"/>
    <n v="132"/>
    <x v="171"/>
    <x v="5"/>
    <d v="2024-01-06T00:00:00"/>
    <d v="1899-12-30T10:00:00"/>
    <n v="11"/>
    <n v="0"/>
  </r>
  <r>
    <d v="2024-01-06T10:00:00"/>
    <x v="2"/>
    <x v="10"/>
    <n v="2009"/>
    <x v="2"/>
    <n v="30"/>
    <n v="6650"/>
    <n v="199500"/>
    <x v="128"/>
    <n v="132"/>
    <x v="177"/>
    <x v="5"/>
    <d v="2024-01-06T00:00:00"/>
    <d v="1899-12-30T10:00:00"/>
    <n v="16"/>
    <n v="0"/>
  </r>
  <r>
    <d v="2024-01-06T10:00:00"/>
    <x v="2"/>
    <x v="10"/>
    <n v="2009"/>
    <x v="1"/>
    <n v="30"/>
    <n v="3750"/>
    <n v="112500"/>
    <x v="128"/>
    <n v="132"/>
    <x v="177"/>
    <x v="5"/>
    <d v="2024-01-06T00:00:00"/>
    <d v="1899-12-30T10:00:00"/>
    <n v="16"/>
    <n v="0"/>
  </r>
  <r>
    <d v="2024-01-06T10:00:00"/>
    <x v="2"/>
    <x v="4"/>
    <n v="2009"/>
    <x v="2"/>
    <n v="27"/>
    <n v="6800"/>
    <n v="183600"/>
    <x v="128"/>
    <n v="132"/>
    <x v="177"/>
    <x v="5"/>
    <d v="2024-01-06T00:00:00"/>
    <d v="1899-12-30T10:00:00"/>
    <n v="10"/>
    <n v="0"/>
  </r>
  <r>
    <d v="2024-01-06T10:00:00"/>
    <x v="2"/>
    <x v="8"/>
    <n v="2009"/>
    <x v="1"/>
    <n v="30"/>
    <n v="3650"/>
    <n v="109500"/>
    <x v="128"/>
    <n v="132"/>
    <x v="177"/>
    <x v="5"/>
    <d v="2024-01-06T00:00:00"/>
    <d v="1899-12-30T10:00:00"/>
    <n v="7"/>
    <n v="0"/>
  </r>
  <r>
    <d v="2024-01-06T10:00:00"/>
    <x v="2"/>
    <x v="7"/>
    <n v="2009"/>
    <x v="1"/>
    <n v="30"/>
    <n v="3750"/>
    <n v="112500"/>
    <x v="128"/>
    <n v="120"/>
    <x v="177"/>
    <x v="5"/>
    <d v="2024-01-06T00:00:00"/>
    <d v="1899-12-30T10:00:00"/>
    <n v="12"/>
    <n v="0"/>
  </r>
  <r>
    <d v="2024-01-06T10:00:00"/>
    <x v="2"/>
    <x v="8"/>
    <n v="2009"/>
    <x v="2"/>
    <n v="30"/>
    <n v="6650"/>
    <n v="199500"/>
    <x v="125"/>
    <n v="132"/>
    <x v="154"/>
    <x v="5"/>
    <d v="2024-01-06T00:00:00"/>
    <d v="1899-12-30T10:00:00"/>
    <n v="7"/>
    <n v="0"/>
  </r>
  <r>
    <d v="2024-01-06T10:00:00"/>
    <x v="2"/>
    <x v="7"/>
    <n v="2009"/>
    <x v="2"/>
    <n v="30"/>
    <n v="6700"/>
    <n v="201000"/>
    <x v="135"/>
    <n v="120"/>
    <x v="164"/>
    <x v="5"/>
    <d v="2024-01-06T00:00:00"/>
    <d v="1899-12-30T10:00:00"/>
    <n v="12"/>
    <n v="0"/>
  </r>
  <r>
    <d v="2024-01-06T10:00:00"/>
    <x v="2"/>
    <x v="4"/>
    <n v="2009"/>
    <x v="1"/>
    <n v="50"/>
    <n v="3900"/>
    <n v="195000"/>
    <x v="128"/>
    <n v="84"/>
    <x v="135"/>
    <x v="5"/>
    <d v="2024-01-06T00:00:00"/>
    <d v="1899-12-30T10:00:00"/>
    <n v="10"/>
    <n v="0"/>
  </r>
  <r>
    <d v="2024-01-06T11:00:00"/>
    <x v="3"/>
    <x v="8"/>
    <n v="3002"/>
    <x v="1"/>
    <n v="4"/>
    <n v="4200"/>
    <n v="16800"/>
    <x v="148"/>
    <n v="288"/>
    <x v="178"/>
    <x v="5"/>
    <d v="2024-01-06T00:00:00"/>
    <d v="1899-12-30T11:00:00"/>
    <n v="7"/>
    <n v="0"/>
  </r>
  <r>
    <d v="2024-01-06T11:00:00"/>
    <x v="3"/>
    <x v="4"/>
    <n v="3006"/>
    <x v="1"/>
    <n v="7"/>
    <n v="4300"/>
    <n v="30100"/>
    <x v="126"/>
    <n v="288"/>
    <x v="179"/>
    <x v="5"/>
    <d v="2024-01-06T00:00:00"/>
    <d v="1899-12-30T11:00:00"/>
    <n v="10"/>
    <n v="0"/>
  </r>
  <r>
    <d v="2024-01-06T11:00:00"/>
    <x v="3"/>
    <x v="4"/>
    <n v="3005"/>
    <x v="1"/>
    <n v="12"/>
    <n v="4300"/>
    <n v="51600"/>
    <x v="126"/>
    <n v="288"/>
    <x v="179"/>
    <x v="5"/>
    <d v="2024-01-06T00:00:00"/>
    <d v="1899-12-30T11:00:00"/>
    <n v="10"/>
    <n v="0"/>
  </r>
  <r>
    <d v="2024-01-06T11:00:00"/>
    <x v="3"/>
    <x v="8"/>
    <n v="3001"/>
    <x v="1"/>
    <n v="4"/>
    <n v="4200"/>
    <n v="16800"/>
    <x v="148"/>
    <n v="288"/>
    <x v="178"/>
    <x v="5"/>
    <d v="2024-01-06T00:00:00"/>
    <d v="1899-12-30T11:00:00"/>
    <n v="7"/>
    <n v="0"/>
  </r>
  <r>
    <d v="2024-01-06T11:00:00"/>
    <x v="1"/>
    <x v="10"/>
    <n v="1002"/>
    <x v="2"/>
    <n v="8"/>
    <n v="6650"/>
    <n v="53200"/>
    <x v="126"/>
    <n v="96"/>
    <x v="115"/>
    <x v="5"/>
    <d v="2024-01-06T00:00:00"/>
    <d v="1899-12-30T11:00:00"/>
    <n v="16"/>
    <n v="0"/>
  </r>
  <r>
    <d v="2024-01-06T11:00:00"/>
    <x v="1"/>
    <x v="8"/>
    <n v="1002"/>
    <x v="2"/>
    <n v="7"/>
    <n v="6650"/>
    <n v="46550"/>
    <x v="122"/>
    <n v="96"/>
    <x v="167"/>
    <x v="5"/>
    <d v="2024-01-06T00:00:00"/>
    <d v="1899-12-30T11:00:00"/>
    <n v="7"/>
    <n v="0"/>
  </r>
  <r>
    <d v="2024-01-06T11:00:00"/>
    <x v="3"/>
    <x v="4"/>
    <n v="3003"/>
    <x v="1"/>
    <n v="12"/>
    <n v="4300"/>
    <n v="51600"/>
    <x v="126"/>
    <n v="288"/>
    <x v="179"/>
    <x v="5"/>
    <d v="2024-01-06T00:00:00"/>
    <d v="1899-12-30T11:00:00"/>
    <n v="10"/>
    <n v="0"/>
  </r>
  <r>
    <d v="2024-01-06T11:00:00"/>
    <x v="3"/>
    <x v="8"/>
    <n v="3005"/>
    <x v="1"/>
    <n v="16"/>
    <n v="4200"/>
    <n v="67200"/>
    <x v="148"/>
    <n v="288"/>
    <x v="180"/>
    <x v="5"/>
    <d v="2024-01-06T00:00:00"/>
    <d v="1899-12-30T11:00:00"/>
    <n v="7"/>
    <n v="0"/>
  </r>
  <r>
    <d v="2024-01-06T11:00:00"/>
    <x v="1"/>
    <x v="1"/>
    <n v="1002"/>
    <x v="2"/>
    <n v="6"/>
    <n v="6400"/>
    <n v="38400"/>
    <x v="149"/>
    <n v="96"/>
    <x v="146"/>
    <x v="5"/>
    <d v="2024-01-06T00:00:00"/>
    <d v="1899-12-30T11:00:00"/>
    <n v="13"/>
    <n v="0"/>
  </r>
  <r>
    <d v="2024-01-06T11:00:00"/>
    <x v="3"/>
    <x v="8"/>
    <n v="3006"/>
    <x v="1"/>
    <n v="5"/>
    <n v="4200"/>
    <n v="21000"/>
    <x v="148"/>
    <n v="288"/>
    <x v="178"/>
    <x v="5"/>
    <d v="2024-01-06T00:00:00"/>
    <d v="1899-12-30T11:00:00"/>
    <n v="7"/>
    <n v="0"/>
  </r>
  <r>
    <d v="2024-01-06T11:00:00"/>
    <x v="3"/>
    <x v="4"/>
    <n v="3002"/>
    <x v="1"/>
    <n v="5"/>
    <n v="4300"/>
    <n v="21500"/>
    <x v="126"/>
    <n v="288"/>
    <x v="179"/>
    <x v="5"/>
    <d v="2024-01-06T00:00:00"/>
    <d v="1899-12-30T11:00:00"/>
    <n v="10"/>
    <n v="0"/>
  </r>
  <r>
    <d v="2024-01-06T11:00:00"/>
    <x v="1"/>
    <x v="9"/>
    <n v="1002"/>
    <x v="2"/>
    <n v="5"/>
    <n v="6650"/>
    <n v="33250"/>
    <x v="129"/>
    <n v="96"/>
    <x v="168"/>
    <x v="5"/>
    <d v="2024-01-06T00:00:00"/>
    <d v="1899-12-30T11:00:00"/>
    <n v="14"/>
    <n v="0"/>
  </r>
  <r>
    <d v="2024-01-06T11:00:00"/>
    <x v="3"/>
    <x v="8"/>
    <n v="3003"/>
    <x v="1"/>
    <n v="16"/>
    <n v="4200"/>
    <n v="67200"/>
    <x v="148"/>
    <n v="288"/>
    <x v="178"/>
    <x v="5"/>
    <d v="2024-01-06T00:00:00"/>
    <d v="1899-12-30T11:00:00"/>
    <n v="7"/>
    <n v="0"/>
  </r>
  <r>
    <d v="2024-01-06T11:00:00"/>
    <x v="1"/>
    <x v="2"/>
    <n v="1002"/>
    <x v="2"/>
    <n v="5"/>
    <n v="6650"/>
    <n v="33250"/>
    <x v="149"/>
    <n v="96"/>
    <x v="141"/>
    <x v="5"/>
    <d v="2024-01-06T00:00:00"/>
    <d v="1899-12-30T11:00:00"/>
    <n v="9"/>
    <n v="0"/>
  </r>
  <r>
    <d v="2024-01-06T11:00:00"/>
    <x v="1"/>
    <x v="7"/>
    <n v="1002"/>
    <x v="2"/>
    <n v="9"/>
    <n v="6850"/>
    <n v="61650"/>
    <x v="122"/>
    <n v="84"/>
    <x v="120"/>
    <x v="5"/>
    <d v="2024-01-06T00:00:00"/>
    <d v="1899-12-30T11:00:00"/>
    <n v="12"/>
    <n v="0"/>
  </r>
  <r>
    <d v="2024-01-06T11:00:00"/>
    <x v="1"/>
    <x v="6"/>
    <n v="1002"/>
    <x v="2"/>
    <n v="4"/>
    <n v="6650"/>
    <n v="26600"/>
    <x v="96"/>
    <n v="96"/>
    <x v="120"/>
    <x v="5"/>
    <d v="2024-01-06T00:00:00"/>
    <d v="1899-12-30T11:00:00"/>
    <n v="15"/>
    <n v="0"/>
  </r>
  <r>
    <d v="2024-01-06T11:00:00"/>
    <x v="1"/>
    <x v="4"/>
    <n v="1002"/>
    <x v="2"/>
    <n v="3"/>
    <n v="6800"/>
    <n v="20400"/>
    <x v="128"/>
    <n v="96"/>
    <x v="135"/>
    <x v="5"/>
    <d v="2024-01-06T00:00:00"/>
    <d v="1899-12-30T11:00:00"/>
    <n v="10"/>
    <n v="0"/>
  </r>
  <r>
    <d v="2024-01-06T12:00:00"/>
    <x v="0"/>
    <x v="12"/>
    <n v="9"/>
    <x v="0"/>
    <n v="2000"/>
    <n v="115"/>
    <n v="230000"/>
    <x v="126"/>
    <n v="48"/>
    <x v="148"/>
    <x v="5"/>
    <d v="2024-01-06T00:00:00"/>
    <d v="1899-12-30T12:00:00"/>
    <n v="5"/>
    <n v="0"/>
  </r>
  <r>
    <d v="2024-01-06T12:00:00"/>
    <x v="0"/>
    <x v="15"/>
    <n v="12"/>
    <x v="3"/>
    <n v="200"/>
    <n v="1500"/>
    <n v="300000"/>
    <x v="123"/>
    <n v="24"/>
    <x v="107"/>
    <x v="5"/>
    <d v="2024-01-06T00:00:00"/>
    <d v="1899-12-30T12:00:00"/>
    <n v="1"/>
    <n v="0"/>
  </r>
  <r>
    <d v="2024-01-06T13:00:00"/>
    <x v="0"/>
    <x v="3"/>
    <n v="1"/>
    <x v="5"/>
    <n v="243"/>
    <n v="9"/>
    <n v="2187"/>
    <x v="150"/>
    <n v="72"/>
    <x v="123"/>
    <x v="5"/>
    <d v="2024-01-06T00:00:00"/>
    <d v="1899-12-30T13:00:00"/>
    <n v="11"/>
    <n v="0"/>
  </r>
  <r>
    <d v="2024-01-06T15:00:00"/>
    <x v="1"/>
    <x v="8"/>
    <n v="1003"/>
    <x v="1"/>
    <n v="30"/>
    <n v="3650"/>
    <n v="109500"/>
    <x v="150"/>
    <n v="96"/>
    <x v="123"/>
    <x v="5"/>
    <d v="2024-01-06T00:00:00"/>
    <d v="1899-12-30T15:00:00"/>
    <n v="7"/>
    <n v="0"/>
  </r>
  <r>
    <d v="2024-01-06T15:00:00"/>
    <x v="3"/>
    <x v="4"/>
    <n v="3010"/>
    <x v="1"/>
    <n v="3"/>
    <n v="4700"/>
    <n v="14100"/>
    <x v="96"/>
    <n v="288"/>
    <x v="181"/>
    <x v="5"/>
    <d v="2024-01-06T00:00:00"/>
    <d v="1899-12-30T15:00:00"/>
    <n v="10"/>
    <n v="0"/>
  </r>
  <r>
    <d v="2024-01-06T15:00:00"/>
    <x v="1"/>
    <x v="4"/>
    <n v="1003"/>
    <x v="1"/>
    <n v="30"/>
    <n v="3950"/>
    <n v="118500"/>
    <x v="127"/>
    <n v="48"/>
    <x v="71"/>
    <x v="5"/>
    <d v="2024-01-06T00:00:00"/>
    <d v="1899-12-30T15:00:00"/>
    <n v="10"/>
    <n v="0"/>
  </r>
  <r>
    <d v="2024-01-06T15:00:00"/>
    <x v="3"/>
    <x v="4"/>
    <n v="3008"/>
    <x v="1"/>
    <n v="4"/>
    <n v="4700"/>
    <n v="18800"/>
    <x v="96"/>
    <n v="288"/>
    <x v="181"/>
    <x v="5"/>
    <d v="2024-01-06T00:00:00"/>
    <d v="1899-12-30T15:00:00"/>
    <n v="10"/>
    <n v="0"/>
  </r>
  <r>
    <d v="2024-01-06T15:00:00"/>
    <x v="1"/>
    <x v="3"/>
    <n v="1003"/>
    <x v="1"/>
    <n v="27"/>
    <n v="3750"/>
    <n v="101250"/>
    <x v="115"/>
    <n v="96"/>
    <x v="146"/>
    <x v="5"/>
    <d v="2024-01-06T00:00:00"/>
    <d v="1899-12-30T15:00:00"/>
    <n v="11"/>
    <n v="0"/>
  </r>
  <r>
    <d v="2024-01-06T15:00:00"/>
    <x v="1"/>
    <x v="5"/>
    <n v="1003"/>
    <x v="1"/>
    <n v="30"/>
    <n v="3300"/>
    <n v="99000"/>
    <x v="151"/>
    <n v="96"/>
    <x v="147"/>
    <x v="5"/>
    <d v="2024-01-06T00:00:00"/>
    <d v="1899-12-30T15:00:00"/>
    <n v="8"/>
    <n v="0"/>
  </r>
  <r>
    <d v="2024-01-06T15:00:00"/>
    <x v="1"/>
    <x v="2"/>
    <n v="1003"/>
    <x v="1"/>
    <n v="30"/>
    <n v="3550"/>
    <n v="106500"/>
    <x v="151"/>
    <n v="96"/>
    <x v="147"/>
    <x v="5"/>
    <d v="2024-01-06T00:00:00"/>
    <d v="1899-12-30T15:00:00"/>
    <n v="9"/>
    <n v="0"/>
  </r>
  <r>
    <d v="2024-01-06T15:00:00"/>
    <x v="3"/>
    <x v="4"/>
    <n v="3007"/>
    <x v="1"/>
    <n v="3"/>
    <n v="4700"/>
    <n v="14100"/>
    <x v="96"/>
    <n v="288"/>
    <x v="181"/>
    <x v="5"/>
    <d v="2024-01-06T00:00:00"/>
    <d v="1899-12-30T15:00:00"/>
    <n v="10"/>
    <n v="0"/>
  </r>
  <r>
    <d v="2024-01-06T15:00:00"/>
    <x v="1"/>
    <x v="1"/>
    <n v="1003"/>
    <x v="1"/>
    <n v="23"/>
    <n v="3750"/>
    <n v="86250"/>
    <x v="152"/>
    <n v="96"/>
    <x v="157"/>
    <x v="5"/>
    <d v="2024-01-06T00:00:00"/>
    <d v="1899-12-30T15:00:00"/>
    <n v="13"/>
    <n v="0"/>
  </r>
  <r>
    <d v="2024-01-06T15:00:00"/>
    <x v="0"/>
    <x v="0"/>
    <n v="11"/>
    <x v="3"/>
    <n v="400"/>
    <n v="1350"/>
    <n v="540000"/>
    <x v="127"/>
    <n v="72"/>
    <x v="117"/>
    <x v="5"/>
    <d v="2024-01-06T00:00:00"/>
    <d v="1899-12-30T15:00:00"/>
    <n v="4"/>
    <n v="0"/>
  </r>
  <r>
    <d v="2024-01-06T15:00:00"/>
    <x v="1"/>
    <x v="10"/>
    <n v="1003"/>
    <x v="1"/>
    <n v="30"/>
    <n v="3750"/>
    <n v="112500"/>
    <x v="96"/>
    <n v="96"/>
    <x v="120"/>
    <x v="5"/>
    <d v="2024-01-06T00:00:00"/>
    <d v="1899-12-30T15:00:00"/>
    <n v="16"/>
    <n v="0"/>
  </r>
  <r>
    <d v="2024-01-06T15:00:00"/>
    <x v="3"/>
    <x v="4"/>
    <n v="3004"/>
    <x v="1"/>
    <n v="3"/>
    <n v="4700"/>
    <n v="14100"/>
    <x v="96"/>
    <n v="288"/>
    <x v="181"/>
    <x v="5"/>
    <d v="2024-01-06T00:00:00"/>
    <d v="1899-12-30T15:00:00"/>
    <n v="10"/>
    <n v="0"/>
  </r>
  <r>
    <d v="2024-01-06T15:00:00"/>
    <x v="1"/>
    <x v="9"/>
    <n v="1003"/>
    <x v="1"/>
    <n v="30"/>
    <n v="3750"/>
    <n v="112500"/>
    <x v="134"/>
    <n v="96"/>
    <x v="163"/>
    <x v="5"/>
    <d v="2024-01-06T00:00:00"/>
    <d v="1899-12-30T15:00:00"/>
    <n v="14"/>
    <n v="0"/>
  </r>
  <r>
    <d v="2024-01-06T15:00:00"/>
    <x v="1"/>
    <x v="7"/>
    <n v="1003"/>
    <x v="1"/>
    <n v="15"/>
    <n v="3950"/>
    <n v="59250"/>
    <x v="109"/>
    <n v="60"/>
    <x v="138"/>
    <x v="5"/>
    <d v="2024-01-06T00:00:00"/>
    <d v="1899-12-30T15:00:00"/>
    <n v="12"/>
    <n v="0"/>
  </r>
  <r>
    <d v="2024-01-06T17:00:00"/>
    <x v="0"/>
    <x v="11"/>
    <n v="15"/>
    <x v="3"/>
    <n v="119"/>
    <n v="1200"/>
    <n v="142800"/>
    <x v="109"/>
    <n v="72"/>
    <x v="134"/>
    <x v="5"/>
    <d v="2024-01-06T00:00:00"/>
    <d v="1899-12-30T17:00:00"/>
    <d v="1900-01-05T00:00:00"/>
    <n v="0"/>
  </r>
  <r>
    <d v="2024-01-06T17:00:00"/>
    <x v="0"/>
    <x v="15"/>
    <n v="14"/>
    <x v="3"/>
    <n v="600"/>
    <n v="1550"/>
    <n v="930000"/>
    <x v="109"/>
    <n v="24"/>
    <x v="72"/>
    <x v="5"/>
    <d v="2024-01-06T00:00:00"/>
    <d v="1899-12-30T17:00:00"/>
    <d v="1899-12-31T00:00:00"/>
    <n v="0"/>
  </r>
  <r>
    <d v="2024-01-06T21:00:00"/>
    <x v="1"/>
    <x v="3"/>
    <n v="1004"/>
    <x v="1"/>
    <n v="30"/>
    <n v="3750"/>
    <n v="112500"/>
    <x v="153"/>
    <n v="96"/>
    <x v="182"/>
    <x v="5"/>
    <d v="2024-01-06T00:00:00"/>
    <d v="1899-12-30T21:00:00"/>
    <n v="11"/>
    <n v="0"/>
  </r>
  <r>
    <d v="2024-01-06T21:00:00"/>
    <x v="1"/>
    <x v="4"/>
    <n v="1004"/>
    <x v="1"/>
    <n v="26"/>
    <n v="3950"/>
    <n v="102700"/>
    <x v="154"/>
    <n v="48"/>
    <x v="145"/>
    <x v="5"/>
    <d v="2024-01-06T00:00:00"/>
    <d v="1899-12-30T21:00:00"/>
    <n v="10"/>
    <n v="0"/>
  </r>
  <r>
    <d v="2024-01-06T21:00:00"/>
    <x v="1"/>
    <x v="6"/>
    <n v="1004"/>
    <x v="1"/>
    <n v="23"/>
    <n v="3850"/>
    <n v="88550"/>
    <x v="103"/>
    <n v="92"/>
    <x v="128"/>
    <x v="5"/>
    <d v="2024-01-06T00:00:00"/>
    <d v="1899-12-30T21:00:00"/>
    <n v="15"/>
    <n v="0"/>
  </r>
  <r>
    <d v="2024-01-06T21:00:00"/>
    <x v="1"/>
    <x v="10"/>
    <n v="1004"/>
    <x v="1"/>
    <n v="30"/>
    <n v="3750"/>
    <n v="112500"/>
    <x v="141"/>
    <n v="96"/>
    <x v="132"/>
    <x v="5"/>
    <d v="2024-01-06T00:00:00"/>
    <d v="1899-12-30T21:00:00"/>
    <n v="16"/>
    <n v="0"/>
  </r>
  <r>
    <d v="2024-01-06T21:00:00"/>
    <x v="1"/>
    <x v="7"/>
    <n v="1004"/>
    <x v="1"/>
    <n v="30"/>
    <n v="3800"/>
    <n v="114000"/>
    <x v="141"/>
    <n v="96"/>
    <x v="132"/>
    <x v="5"/>
    <d v="2024-01-06T00:00:00"/>
    <d v="1899-12-30T21:00:00"/>
    <n v="12"/>
    <n v="0"/>
  </r>
  <r>
    <d v="2024-01-06T21:00:00"/>
    <x v="1"/>
    <x v="8"/>
    <n v="1004"/>
    <x v="1"/>
    <n v="30"/>
    <n v="3650"/>
    <n v="109500"/>
    <x v="141"/>
    <n v="96"/>
    <x v="132"/>
    <x v="5"/>
    <d v="2024-01-06T00:00:00"/>
    <d v="1899-12-30T21:00:00"/>
    <n v="7"/>
    <n v="0"/>
  </r>
  <r>
    <d v="2024-01-06T21:00:00"/>
    <x v="1"/>
    <x v="9"/>
    <n v="1004"/>
    <x v="1"/>
    <n v="30"/>
    <n v="3750"/>
    <n v="112500"/>
    <x v="134"/>
    <n v="96"/>
    <x v="163"/>
    <x v="5"/>
    <d v="2024-01-06T00:00:00"/>
    <d v="1899-12-30T21:00:00"/>
    <n v="14"/>
    <n v="0"/>
  </r>
  <r>
    <d v="2024-01-06T21:00:00"/>
    <x v="1"/>
    <x v="1"/>
    <n v="1004"/>
    <x v="1"/>
    <n v="30"/>
    <n v="3750"/>
    <n v="112500"/>
    <x v="155"/>
    <n v="96"/>
    <x v="183"/>
    <x v="5"/>
    <d v="2024-01-06T00:00:00"/>
    <d v="1899-12-30T21:00:00"/>
    <n v="13"/>
    <n v="0"/>
  </r>
  <r>
    <d v="2024-01-06T21:00:00"/>
    <x v="1"/>
    <x v="5"/>
    <n v="1004"/>
    <x v="1"/>
    <n v="30"/>
    <n v="3300"/>
    <n v="99000"/>
    <x v="153"/>
    <n v="96"/>
    <x v="182"/>
    <x v="5"/>
    <d v="2024-01-06T00:00:00"/>
    <d v="1899-12-30T21:00:00"/>
    <n v="8"/>
    <n v="0"/>
  </r>
  <r>
    <d v="2024-01-06T21:00:00"/>
    <x v="1"/>
    <x v="2"/>
    <n v="1004"/>
    <x v="1"/>
    <n v="30"/>
    <n v="3750"/>
    <n v="112500"/>
    <x v="137"/>
    <n v="96"/>
    <x v="166"/>
    <x v="5"/>
    <d v="2024-01-06T00:00:00"/>
    <d v="1899-12-30T21:00:00"/>
    <n v="9"/>
    <n v="0"/>
  </r>
  <r>
    <d v="2024-01-06T21:00:00"/>
    <x v="0"/>
    <x v="0"/>
    <n v="9"/>
    <x v="0"/>
    <n v="3000"/>
    <n v="105"/>
    <n v="315000"/>
    <x v="156"/>
    <n v="72"/>
    <x v="184"/>
    <x v="5"/>
    <d v="2024-01-06T00:00:00"/>
    <d v="1899-12-30T21:00:00"/>
    <n v="4"/>
    <n v="0"/>
  </r>
  <r>
    <d v="2024-01-06T22:00:00"/>
    <x v="0"/>
    <x v="13"/>
    <n v="9"/>
    <x v="3"/>
    <n v="341"/>
    <n v="1250"/>
    <n v="426250"/>
    <x v="141"/>
    <n v="72"/>
    <x v="132"/>
    <x v="5"/>
    <d v="2024-01-06T00:00:00"/>
    <d v="1899-12-30T22:00:00"/>
    <n v="2"/>
    <n v="0"/>
  </r>
  <r>
    <d v="2024-01-07T01:00:00"/>
    <x v="0"/>
    <x v="11"/>
    <n v="10"/>
    <x v="0"/>
    <n v="3000"/>
    <n v="100"/>
    <n v="300000"/>
    <x v="145"/>
    <n v="72"/>
    <x v="152"/>
    <x v="6"/>
    <d v="2024-01-07T00:00:00"/>
    <d v="1899-12-30T01:00:00"/>
    <n v="6"/>
    <n v="0"/>
  </r>
  <r>
    <d v="2024-01-07T02:00:00"/>
    <x v="0"/>
    <x v="12"/>
    <n v="16"/>
    <x v="3"/>
    <n v="180"/>
    <n v="1020"/>
    <n v="183600"/>
    <x v="140"/>
    <n v="24"/>
    <x v="98"/>
    <x v="6"/>
    <d v="2024-01-07T00:00:00"/>
    <d v="1899-12-30T02:00:00"/>
    <n v="5"/>
    <n v="0"/>
  </r>
  <r>
    <d v="2024-01-07T03:00:00"/>
    <x v="1"/>
    <x v="2"/>
    <n v="1004"/>
    <x v="2"/>
    <n v="5"/>
    <n v="6650"/>
    <n v="33250"/>
    <x v="157"/>
    <n v="96"/>
    <x v="159"/>
    <x v="6"/>
    <d v="2024-01-07T00:00:00"/>
    <d v="1899-12-30T03:00:00"/>
    <n v="9"/>
    <n v="0"/>
  </r>
  <r>
    <d v="2024-01-07T03:00:00"/>
    <x v="1"/>
    <x v="1"/>
    <n v="1004"/>
    <x v="2"/>
    <n v="8"/>
    <n v="6400"/>
    <n v="51200"/>
    <x v="158"/>
    <n v="96"/>
    <x v="185"/>
    <x v="6"/>
    <d v="2024-01-07T00:00:00"/>
    <d v="1899-12-30T03:00:00"/>
    <n v="13"/>
    <n v="0"/>
  </r>
  <r>
    <d v="2024-01-07T03:00:00"/>
    <x v="1"/>
    <x v="9"/>
    <n v="1004"/>
    <x v="2"/>
    <n v="6"/>
    <n v="6650"/>
    <n v="39900"/>
    <x v="148"/>
    <n v="96"/>
    <x v="184"/>
    <x v="6"/>
    <d v="2024-01-07T00:00:00"/>
    <d v="1899-12-30T03:00:00"/>
    <n v="14"/>
    <n v="0"/>
  </r>
  <r>
    <d v="2024-01-07T03:00:00"/>
    <x v="1"/>
    <x v="5"/>
    <n v="1004"/>
    <x v="2"/>
    <n v="13"/>
    <n v="5350"/>
    <n v="69550"/>
    <x v="159"/>
    <n v="96"/>
    <x v="186"/>
    <x v="6"/>
    <d v="2024-01-07T00:00:00"/>
    <d v="1899-12-30T03:00:00"/>
    <n v="8"/>
    <n v="0"/>
  </r>
  <r>
    <d v="2024-01-07T03:00:00"/>
    <x v="1"/>
    <x v="8"/>
    <n v="1004"/>
    <x v="2"/>
    <n v="9"/>
    <n v="6650"/>
    <n v="59850"/>
    <x v="145"/>
    <n v="96"/>
    <x v="152"/>
    <x v="6"/>
    <d v="2024-01-07T00:00:00"/>
    <d v="1899-12-30T03:00:00"/>
    <n v="7"/>
    <n v="0"/>
  </r>
  <r>
    <d v="2024-01-07T03:00:00"/>
    <x v="1"/>
    <x v="10"/>
    <n v="1004"/>
    <x v="2"/>
    <n v="10"/>
    <n v="6650"/>
    <n v="66500"/>
    <x v="140"/>
    <n v="96"/>
    <x v="129"/>
    <x v="6"/>
    <d v="2024-01-07T00:00:00"/>
    <d v="1899-12-30T03:00:00"/>
    <n v="16"/>
    <n v="0"/>
  </r>
  <r>
    <d v="2024-01-07T04:00:00"/>
    <x v="1"/>
    <x v="1"/>
    <n v="1009"/>
    <x v="2"/>
    <n v="7"/>
    <n v="6400"/>
    <n v="44800"/>
    <x v="160"/>
    <n v="96"/>
    <x v="187"/>
    <x v="6"/>
    <d v="2024-01-07T00:00:00"/>
    <d v="1899-12-30T04:00:00"/>
    <n v="13"/>
    <n v="0"/>
  </r>
  <r>
    <d v="2024-01-07T04:00:00"/>
    <x v="1"/>
    <x v="9"/>
    <n v="1009"/>
    <x v="2"/>
    <n v="3"/>
    <n v="6650"/>
    <n v="19950"/>
    <x v="148"/>
    <n v="96"/>
    <x v="188"/>
    <x v="6"/>
    <d v="2024-01-07T00:00:00"/>
    <d v="1899-12-30T04:00:00"/>
    <n v="14"/>
    <n v="0"/>
  </r>
  <r>
    <d v="2024-01-07T04:00:00"/>
    <x v="1"/>
    <x v="7"/>
    <n v="1009"/>
    <x v="2"/>
    <n v="6"/>
    <n v="6650"/>
    <n v="39900"/>
    <x v="148"/>
    <n v="96"/>
    <x v="188"/>
    <x v="6"/>
    <d v="2024-01-07T00:00:00"/>
    <d v="1899-12-30T04:00:00"/>
    <n v="12"/>
    <n v="0"/>
  </r>
  <r>
    <d v="2024-01-07T04:00:00"/>
    <x v="1"/>
    <x v="10"/>
    <n v="1009"/>
    <x v="2"/>
    <n v="5"/>
    <n v="6650"/>
    <n v="33250"/>
    <x v="145"/>
    <n v="96"/>
    <x v="152"/>
    <x v="6"/>
    <d v="2024-01-07T00:00:00"/>
    <d v="1899-12-30T04:00:00"/>
    <n v="16"/>
    <n v="0"/>
  </r>
  <r>
    <d v="2024-01-07T04:00:00"/>
    <x v="0"/>
    <x v="13"/>
    <n v="8"/>
    <x v="0"/>
    <n v="1000"/>
    <n v="120"/>
    <n v="120000"/>
    <x v="145"/>
    <n v="72"/>
    <x v="152"/>
    <x v="6"/>
    <d v="2024-01-07T00:00:00"/>
    <d v="1899-12-30T04:00:00"/>
    <n v="2"/>
    <n v="0"/>
  </r>
  <r>
    <d v="2024-01-07T04:00:00"/>
    <x v="1"/>
    <x v="2"/>
    <n v="1009"/>
    <x v="2"/>
    <n v="3"/>
    <n v="6650"/>
    <n v="19950"/>
    <x v="161"/>
    <n v="96"/>
    <x v="186"/>
    <x v="6"/>
    <d v="2024-01-07T00:00:00"/>
    <d v="1899-12-30T04:00:00"/>
    <n v="9"/>
    <n v="0"/>
  </r>
  <r>
    <d v="2024-01-07T04:00:00"/>
    <x v="1"/>
    <x v="8"/>
    <n v="1009"/>
    <x v="2"/>
    <n v="5"/>
    <n v="6650"/>
    <n v="33250"/>
    <x v="148"/>
    <n v="96"/>
    <x v="188"/>
    <x v="6"/>
    <d v="2024-01-07T00:00:00"/>
    <d v="1899-12-30T04:00:00"/>
    <n v="7"/>
    <n v="0"/>
  </r>
  <r>
    <d v="2024-01-07T04:00:00"/>
    <x v="1"/>
    <x v="5"/>
    <n v="1009"/>
    <x v="2"/>
    <n v="8"/>
    <n v="5350"/>
    <n v="42800"/>
    <x v="159"/>
    <n v="96"/>
    <x v="177"/>
    <x v="6"/>
    <d v="2024-01-07T00:00:00"/>
    <d v="1899-12-30T04:00:00"/>
    <n v="8"/>
    <n v="0"/>
  </r>
  <r>
    <d v="2024-01-07T05:00:00"/>
    <x v="0"/>
    <x v="15"/>
    <n v="10"/>
    <x v="3"/>
    <n v="400"/>
    <n v="1550"/>
    <n v="620000"/>
    <x v="145"/>
    <n v="24"/>
    <x v="112"/>
    <x v="6"/>
    <d v="2024-01-07T00:00:00"/>
    <d v="1899-12-30T05:00:00"/>
    <n v="1"/>
    <n v="0"/>
  </r>
  <r>
    <d v="2024-01-07T06:00:00"/>
    <x v="2"/>
    <x v="8"/>
    <n v="2010"/>
    <x v="2"/>
    <n v="30"/>
    <n v="6650"/>
    <n v="199500"/>
    <x v="156"/>
    <n v="132"/>
    <x v="189"/>
    <x v="6"/>
    <d v="2024-01-07T00:00:00"/>
    <d v="1899-12-30T06:00:00"/>
    <n v="7"/>
    <n v="0"/>
  </r>
  <r>
    <d v="2024-01-07T06:00:00"/>
    <x v="2"/>
    <x v="1"/>
    <n v="2010"/>
    <x v="1"/>
    <n v="30"/>
    <n v="3500"/>
    <n v="105000"/>
    <x v="162"/>
    <n v="132"/>
    <x v="190"/>
    <x v="6"/>
    <d v="2024-01-07T00:00:00"/>
    <d v="1899-12-30T06:00:00"/>
    <n v="13"/>
    <n v="0"/>
  </r>
  <r>
    <d v="2024-01-07T06:00:00"/>
    <x v="2"/>
    <x v="5"/>
    <n v="2010"/>
    <x v="2"/>
    <n v="30"/>
    <n v="5700"/>
    <n v="171000"/>
    <x v="163"/>
    <n v="132"/>
    <x v="191"/>
    <x v="6"/>
    <d v="2024-01-07T00:00:00"/>
    <d v="1899-12-30T06:00:00"/>
    <n v="8"/>
    <n v="0"/>
  </r>
  <r>
    <d v="2024-01-07T06:00:00"/>
    <x v="2"/>
    <x v="9"/>
    <n v="2010"/>
    <x v="1"/>
    <n v="30"/>
    <n v="3750"/>
    <n v="112500"/>
    <x v="153"/>
    <n v="132"/>
    <x v="192"/>
    <x v="6"/>
    <d v="2024-01-07T00:00:00"/>
    <d v="1899-12-30T06:00:00"/>
    <n v="14"/>
    <n v="0"/>
  </r>
  <r>
    <d v="2024-01-07T06:00:00"/>
    <x v="2"/>
    <x v="2"/>
    <n v="2010"/>
    <x v="2"/>
    <n v="30"/>
    <n v="6650"/>
    <n v="199500"/>
    <x v="164"/>
    <n v="132"/>
    <x v="193"/>
    <x v="6"/>
    <d v="2024-01-07T00:00:00"/>
    <d v="1899-12-30T06:00:00"/>
    <n v="9"/>
    <n v="0"/>
  </r>
  <r>
    <d v="2024-01-07T06:00:00"/>
    <x v="2"/>
    <x v="5"/>
    <n v="2010"/>
    <x v="1"/>
    <n v="30"/>
    <n v="3380"/>
    <n v="101400"/>
    <x v="163"/>
    <n v="132"/>
    <x v="191"/>
    <x v="6"/>
    <d v="2024-01-07T00:00:00"/>
    <d v="1899-12-30T06:00:00"/>
    <n v="8"/>
    <n v="0"/>
  </r>
  <r>
    <d v="2024-01-07T06:00:00"/>
    <x v="2"/>
    <x v="1"/>
    <n v="2010"/>
    <x v="2"/>
    <n v="30"/>
    <n v="6400"/>
    <n v="192000"/>
    <x v="165"/>
    <n v="132"/>
    <x v="194"/>
    <x v="6"/>
    <d v="2024-01-07T00:00:00"/>
    <d v="1899-12-30T06:00:00"/>
    <n v="13"/>
    <n v="0"/>
  </r>
  <r>
    <d v="2024-01-07T06:00:00"/>
    <x v="2"/>
    <x v="2"/>
    <n v="2010"/>
    <x v="1"/>
    <n v="30"/>
    <n v="3750"/>
    <n v="112500"/>
    <x v="166"/>
    <n v="132"/>
    <x v="195"/>
    <x v="6"/>
    <d v="2024-01-07T00:00:00"/>
    <d v="1899-12-30T06:00:00"/>
    <n v="9"/>
    <n v="0"/>
  </r>
  <r>
    <d v="2024-01-07T06:00:00"/>
    <x v="2"/>
    <x v="9"/>
    <n v="2010"/>
    <x v="2"/>
    <n v="30"/>
    <n v="6650"/>
    <n v="199500"/>
    <x v="153"/>
    <n v="132"/>
    <x v="192"/>
    <x v="6"/>
    <d v="2024-01-07T00:00:00"/>
    <d v="1899-12-30T06:00:00"/>
    <n v="14"/>
    <n v="0"/>
  </r>
  <r>
    <d v="2024-01-07T06:00:00"/>
    <x v="2"/>
    <x v="8"/>
    <n v="2010"/>
    <x v="1"/>
    <n v="30"/>
    <n v="3650"/>
    <n v="109500"/>
    <x v="135"/>
    <n v="132"/>
    <x v="196"/>
    <x v="6"/>
    <d v="2024-01-07T00:00:00"/>
    <d v="1899-12-30T06:00:00"/>
    <n v="7"/>
    <n v="0"/>
  </r>
  <r>
    <d v="2024-01-07T06:00:00"/>
    <x v="2"/>
    <x v="4"/>
    <n v="2010"/>
    <x v="2"/>
    <n v="30"/>
    <n v="6800"/>
    <n v="204000"/>
    <x v="167"/>
    <n v="132"/>
    <x v="197"/>
    <x v="6"/>
    <d v="2024-01-07T00:00:00"/>
    <d v="1899-12-30T06:00:00"/>
    <n v="10"/>
    <n v="0"/>
  </r>
  <r>
    <d v="2024-01-07T06:00:00"/>
    <x v="2"/>
    <x v="6"/>
    <n v="2010"/>
    <x v="2"/>
    <n v="30"/>
    <n v="6900"/>
    <n v="207000"/>
    <x v="148"/>
    <n v="60"/>
    <x v="97"/>
    <x v="6"/>
    <d v="2024-01-07T00:00:00"/>
    <d v="1899-12-30T06:00:00"/>
    <n v="15"/>
    <n v="0"/>
  </r>
  <r>
    <d v="2024-01-07T06:00:00"/>
    <x v="2"/>
    <x v="3"/>
    <n v="2010"/>
    <x v="1"/>
    <n v="30"/>
    <n v="3750"/>
    <n v="112500"/>
    <x v="136"/>
    <n v="132"/>
    <x v="198"/>
    <x v="6"/>
    <d v="2024-01-07T00:00:00"/>
    <d v="1899-12-30T06:00:00"/>
    <n v="11"/>
    <n v="0"/>
  </r>
  <r>
    <d v="2024-01-07T06:00:00"/>
    <x v="2"/>
    <x v="7"/>
    <n v="2010"/>
    <x v="1"/>
    <n v="30"/>
    <n v="3750"/>
    <n v="112500"/>
    <x v="147"/>
    <n v="120"/>
    <x v="176"/>
    <x v="6"/>
    <d v="2024-01-07T00:00:00"/>
    <d v="1899-12-30T06:00:00"/>
    <n v="12"/>
    <n v="0"/>
  </r>
  <r>
    <d v="2024-01-07T06:00:00"/>
    <x v="2"/>
    <x v="3"/>
    <n v="2010"/>
    <x v="2"/>
    <n v="30"/>
    <n v="6650"/>
    <n v="199500"/>
    <x v="167"/>
    <n v="132"/>
    <x v="197"/>
    <x v="6"/>
    <d v="2024-01-07T00:00:00"/>
    <d v="1899-12-30T06:00:00"/>
    <n v="11"/>
    <n v="0"/>
  </r>
  <r>
    <d v="2024-01-07T06:00:00"/>
    <x v="2"/>
    <x v="10"/>
    <n v="2010"/>
    <x v="2"/>
    <n v="30"/>
    <n v="6650"/>
    <n v="199500"/>
    <x v="147"/>
    <n v="132"/>
    <x v="176"/>
    <x v="6"/>
    <d v="2024-01-07T00:00:00"/>
    <d v="1899-12-30T06:00:00"/>
    <n v="16"/>
    <n v="0"/>
  </r>
  <r>
    <d v="2024-01-07T06:00:00"/>
    <x v="2"/>
    <x v="10"/>
    <n v="2010"/>
    <x v="1"/>
    <n v="30"/>
    <n v="3750"/>
    <n v="112500"/>
    <x v="134"/>
    <n v="132"/>
    <x v="175"/>
    <x v="6"/>
    <d v="2024-01-07T00:00:00"/>
    <d v="1899-12-30T06:00:00"/>
    <n v="16"/>
    <n v="0"/>
  </r>
  <r>
    <d v="2024-01-07T06:00:00"/>
    <x v="2"/>
    <x v="7"/>
    <n v="2010"/>
    <x v="2"/>
    <n v="30"/>
    <n v="6700"/>
    <n v="201000"/>
    <x v="115"/>
    <n v="120"/>
    <x v="199"/>
    <x v="6"/>
    <d v="2024-01-07T00:00:00"/>
    <d v="1899-12-30T06:00:00"/>
    <n v="12"/>
    <n v="0"/>
  </r>
  <r>
    <d v="2024-01-07T06:00:00"/>
    <x v="2"/>
    <x v="4"/>
    <n v="2010"/>
    <x v="1"/>
    <n v="50"/>
    <n v="3900"/>
    <n v="195000"/>
    <x v="134"/>
    <n v="84"/>
    <x v="163"/>
    <x v="6"/>
    <d v="2024-01-07T00:00:00"/>
    <d v="1899-12-30T06:00:00"/>
    <n v="10"/>
    <n v="0"/>
  </r>
  <r>
    <d v="2024-01-07T06:00:00"/>
    <x v="2"/>
    <x v="6"/>
    <n v="2010"/>
    <x v="1"/>
    <n v="30"/>
    <n v="3850"/>
    <n v="115500"/>
    <x v="134"/>
    <n v="120"/>
    <x v="175"/>
    <x v="6"/>
    <d v="2024-01-07T00:00:00"/>
    <d v="1899-12-30T06:00:00"/>
    <n v="15"/>
    <n v="0"/>
  </r>
  <r>
    <d v="2024-01-07T07:00:00"/>
    <x v="1"/>
    <x v="8"/>
    <n v="1005"/>
    <x v="1"/>
    <n v="30"/>
    <n v="3650"/>
    <n v="109500"/>
    <x v="152"/>
    <n v="96"/>
    <x v="157"/>
    <x v="6"/>
    <d v="2024-01-07T00:00:00"/>
    <d v="1899-12-30T07:00:00"/>
    <n v="7"/>
    <n v="0"/>
  </r>
  <r>
    <d v="2024-01-07T07:00:00"/>
    <x v="1"/>
    <x v="9"/>
    <n v="1005"/>
    <x v="1"/>
    <n v="30"/>
    <n v="3750"/>
    <n v="112500"/>
    <x v="153"/>
    <n v="96"/>
    <x v="182"/>
    <x v="6"/>
    <d v="2024-01-07T00:00:00"/>
    <d v="1899-12-30T07:00:00"/>
    <n v="14"/>
    <n v="0"/>
  </r>
  <r>
    <d v="2024-01-07T07:00:00"/>
    <x v="1"/>
    <x v="10"/>
    <n v="1005"/>
    <x v="1"/>
    <n v="30"/>
    <n v="3750"/>
    <n v="112500"/>
    <x v="149"/>
    <n v="96"/>
    <x v="141"/>
    <x v="6"/>
    <d v="2024-01-07T00:00:00"/>
    <d v="1899-12-30T07:00:00"/>
    <n v="16"/>
    <n v="0"/>
  </r>
  <r>
    <d v="2024-01-07T07:00:00"/>
    <x v="0"/>
    <x v="13"/>
    <n v="15"/>
    <x v="0"/>
    <n v="1800"/>
    <n v="140"/>
    <n v="252000"/>
    <x v="147"/>
    <n v="72"/>
    <x v="144"/>
    <x v="6"/>
    <d v="2024-01-07T00:00:00"/>
    <d v="1899-12-30T07:00:00"/>
    <n v="2"/>
    <n v="0"/>
  </r>
  <r>
    <d v="2024-01-07T07:00:00"/>
    <x v="1"/>
    <x v="2"/>
    <n v="1005"/>
    <x v="1"/>
    <n v="15"/>
    <n v="3825"/>
    <n v="57375"/>
    <x v="163"/>
    <n v="72"/>
    <x v="131"/>
    <x v="6"/>
    <d v="2024-01-07T00:00:00"/>
    <d v="1899-12-30T07:00:00"/>
    <n v="9"/>
    <n v="0"/>
  </r>
  <r>
    <d v="2024-01-07T07:00:00"/>
    <x v="0"/>
    <x v="12"/>
    <n v="7"/>
    <x v="0"/>
    <n v="3000"/>
    <n v="120"/>
    <n v="360000"/>
    <x v="149"/>
    <n v="24"/>
    <x v="125"/>
    <x v="6"/>
    <d v="2024-01-07T00:00:00"/>
    <d v="1899-12-30T07:00:00"/>
    <n v="5"/>
    <n v="0"/>
  </r>
  <r>
    <d v="2024-01-07T07:00:00"/>
    <x v="1"/>
    <x v="5"/>
    <n v="1005"/>
    <x v="1"/>
    <n v="30"/>
    <n v="3300"/>
    <n v="99000"/>
    <x v="163"/>
    <n v="96"/>
    <x v="155"/>
    <x v="6"/>
    <d v="2024-01-07T00:00:00"/>
    <d v="1899-12-30T07:00:00"/>
    <n v="8"/>
    <n v="0"/>
  </r>
  <r>
    <d v="2024-01-07T07:00:00"/>
    <x v="1"/>
    <x v="7"/>
    <n v="1005"/>
    <x v="1"/>
    <n v="15"/>
    <n v="3950"/>
    <n v="59250"/>
    <x v="147"/>
    <n v="60"/>
    <x v="130"/>
    <x v="6"/>
    <d v="2024-01-07T00:00:00"/>
    <d v="1899-12-30T07:00:00"/>
    <n v="12"/>
    <n v="0"/>
  </r>
  <r>
    <d v="2024-01-07T07:00:00"/>
    <x v="1"/>
    <x v="6"/>
    <n v="1005"/>
    <x v="1"/>
    <n v="33"/>
    <n v="3750"/>
    <n v="123750"/>
    <x v="135"/>
    <n v="96"/>
    <x v="164"/>
    <x v="6"/>
    <d v="2024-01-07T00:00:00"/>
    <d v="1899-12-30T07:00:00"/>
    <n v="15"/>
    <n v="0"/>
  </r>
  <r>
    <d v="2024-01-07T07:00:00"/>
    <x v="1"/>
    <x v="4"/>
    <n v="1005"/>
    <x v="1"/>
    <n v="30"/>
    <n v="3950"/>
    <n v="118500"/>
    <x v="149"/>
    <n v="48"/>
    <x v="135"/>
    <x v="6"/>
    <d v="2024-01-07T00:00:00"/>
    <d v="1899-12-30T07:00:00"/>
    <n v="10"/>
    <n v="3"/>
  </r>
  <r>
    <d v="2024-01-07T07:00:00"/>
    <x v="1"/>
    <x v="1"/>
    <n v="1005"/>
    <x v="1"/>
    <n v="30"/>
    <n v="3750"/>
    <n v="112500"/>
    <x v="168"/>
    <n v="96"/>
    <x v="156"/>
    <x v="6"/>
    <d v="2024-01-07T00:00:00"/>
    <d v="1899-12-30T07:00:00"/>
    <n v="13"/>
    <n v="0"/>
  </r>
  <r>
    <d v="2024-01-07T07:00:00"/>
    <x v="1"/>
    <x v="3"/>
    <n v="1005"/>
    <x v="1"/>
    <n v="30"/>
    <n v="3750"/>
    <n v="112500"/>
    <x v="135"/>
    <n v="96"/>
    <x v="164"/>
    <x v="6"/>
    <d v="2024-01-07T00:00:00"/>
    <d v="1899-12-30T07:00:00"/>
    <n v="11"/>
    <n v="0"/>
  </r>
  <r>
    <d v="2024-01-07T08:00:00"/>
    <x v="0"/>
    <x v="11"/>
    <n v="13"/>
    <x v="0"/>
    <n v="2545"/>
    <n v="100"/>
    <n v="254500"/>
    <x v="149"/>
    <n v="72"/>
    <x v="141"/>
    <x v="6"/>
    <d v="2024-01-07T00:00:00"/>
    <d v="1899-12-30T08:00:00"/>
    <n v="6"/>
    <n v="0"/>
  </r>
  <r>
    <d v="2024-01-07T09:00:00"/>
    <x v="0"/>
    <x v="0"/>
    <n v="10"/>
    <x v="0"/>
    <n v="3000"/>
    <n v="120"/>
    <n v="360000"/>
    <x v="136"/>
    <n v="72"/>
    <x v="165"/>
    <x v="6"/>
    <d v="2024-01-07T00:00:00"/>
    <d v="1899-12-30T09:00:00"/>
    <n v="4"/>
    <n v="0"/>
  </r>
  <r>
    <d v="2024-01-07T10:00:00"/>
    <x v="1"/>
    <x v="9"/>
    <n v="1009"/>
    <x v="1"/>
    <n v="17"/>
    <n v="3750"/>
    <n v="63750"/>
    <x v="155"/>
    <n v="96"/>
    <x v="183"/>
    <x v="6"/>
    <d v="2024-01-07T00:00:00"/>
    <d v="1899-12-30T10:00:00"/>
    <n v="14"/>
    <n v="0"/>
  </r>
  <r>
    <d v="2024-01-07T10:00:00"/>
    <x v="1"/>
    <x v="3"/>
    <n v="1009"/>
    <x v="1"/>
    <n v="11"/>
    <n v="3850"/>
    <n v="42350"/>
    <x v="137"/>
    <n v="96"/>
    <x v="166"/>
    <x v="6"/>
    <d v="2024-01-07T00:00:00"/>
    <d v="1899-12-30T10:00:00"/>
    <n v="11"/>
    <n v="0"/>
  </r>
  <r>
    <d v="2024-01-07T10:00:00"/>
    <x v="1"/>
    <x v="2"/>
    <n v="1009"/>
    <x v="1"/>
    <n v="15"/>
    <n v="3825"/>
    <n v="57375"/>
    <x v="115"/>
    <n v="72"/>
    <x v="146"/>
    <x v="6"/>
    <d v="2024-01-07T00:00:00"/>
    <d v="1899-12-30T10:00:00"/>
    <n v="9"/>
    <n v="0"/>
  </r>
  <r>
    <d v="2024-01-07T10:00:00"/>
    <x v="1"/>
    <x v="4"/>
    <n v="1009"/>
    <x v="1"/>
    <n v="30"/>
    <n v="3950"/>
    <n v="118500"/>
    <x v="148"/>
    <n v="48"/>
    <x v="135"/>
    <x v="6"/>
    <d v="2024-01-07T00:00:00"/>
    <d v="1899-12-30T10:00:00"/>
    <n v="10"/>
    <n v="0"/>
  </r>
  <r>
    <d v="2024-01-07T10:00:00"/>
    <x v="1"/>
    <x v="8"/>
    <n v="1009"/>
    <x v="1"/>
    <n v="30"/>
    <n v="3650"/>
    <n v="109500"/>
    <x v="151"/>
    <n v="96"/>
    <x v="147"/>
    <x v="6"/>
    <d v="2024-01-07T00:00:00"/>
    <d v="1899-12-30T10:00:00"/>
    <n v="7"/>
    <n v="0"/>
  </r>
  <r>
    <d v="2024-01-07T10:00:00"/>
    <x v="1"/>
    <x v="1"/>
    <n v="1009"/>
    <x v="1"/>
    <n v="15"/>
    <n v="3750"/>
    <n v="56250"/>
    <x v="163"/>
    <n v="96"/>
    <x v="155"/>
    <x v="6"/>
    <d v="2024-01-07T00:00:00"/>
    <d v="1899-12-30T10:00:00"/>
    <n v="13"/>
    <n v="0"/>
  </r>
  <r>
    <d v="2024-01-07T10:00:00"/>
    <x v="1"/>
    <x v="5"/>
    <n v="1009"/>
    <x v="1"/>
    <n v="30"/>
    <n v="3300"/>
    <n v="99000"/>
    <x v="166"/>
    <n v="96"/>
    <x v="200"/>
    <x v="6"/>
    <d v="2024-01-07T00:00:00"/>
    <d v="1899-12-30T10:00:00"/>
    <n v="8"/>
    <n v="0"/>
  </r>
  <r>
    <d v="2024-01-07T10:00:00"/>
    <x v="1"/>
    <x v="10"/>
    <n v="1009"/>
    <x v="1"/>
    <n v="26"/>
    <n v="3750"/>
    <n v="97500"/>
    <x v="136"/>
    <n v="96"/>
    <x v="165"/>
    <x v="6"/>
    <d v="2024-01-07T00:00:00"/>
    <d v="1899-12-30T10:00:00"/>
    <n v="16"/>
    <n v="0"/>
  </r>
  <r>
    <d v="2024-01-07T10:00:00"/>
    <x v="1"/>
    <x v="7"/>
    <n v="1009"/>
    <x v="1"/>
    <n v="15"/>
    <n v="3950"/>
    <n v="59250"/>
    <x v="165"/>
    <n v="60"/>
    <x v="136"/>
    <x v="6"/>
    <d v="2024-01-07T00:00:00"/>
    <d v="1899-12-30T10:00:00"/>
    <n v="12"/>
    <n v="0"/>
  </r>
  <r>
    <d v="2024-01-07T11:00:00"/>
    <x v="1"/>
    <x v="5"/>
    <n v="1005"/>
    <x v="2"/>
    <n v="19"/>
    <n v="5350"/>
    <n v="101650"/>
    <x v="169"/>
    <n v="96"/>
    <x v="201"/>
    <x v="6"/>
    <d v="2024-01-07T00:00:00"/>
    <d v="1899-12-30T11:00:00"/>
    <n v="8"/>
    <n v="0"/>
  </r>
  <r>
    <d v="2024-01-07T11:00:00"/>
    <x v="1"/>
    <x v="7"/>
    <n v="1005"/>
    <x v="2"/>
    <n v="15"/>
    <n v="6850"/>
    <n v="102750"/>
    <x v="153"/>
    <n v="84"/>
    <x v="182"/>
    <x v="6"/>
    <d v="2024-01-07T00:00:00"/>
    <d v="1899-12-30T11:00:00"/>
    <n v="12"/>
    <n v="0"/>
  </r>
  <r>
    <d v="2024-01-07T11:00:00"/>
    <x v="1"/>
    <x v="4"/>
    <n v="1005"/>
    <x v="2"/>
    <n v="5"/>
    <n v="6800"/>
    <n v="34000"/>
    <x v="135"/>
    <n v="96"/>
    <x v="164"/>
    <x v="6"/>
    <d v="2024-01-07T00:00:00"/>
    <d v="1899-12-30T11:00:00"/>
    <n v="10"/>
    <n v="0"/>
  </r>
  <r>
    <d v="2024-01-07T11:00:00"/>
    <x v="1"/>
    <x v="2"/>
    <n v="1005"/>
    <x v="2"/>
    <n v="8"/>
    <n v="6650"/>
    <n v="53200"/>
    <x v="170"/>
    <n v="96"/>
    <x v="202"/>
    <x v="6"/>
    <d v="2024-01-07T00:00:00"/>
    <d v="1899-12-30T11:00:00"/>
    <n v="9"/>
    <n v="0"/>
  </r>
  <r>
    <d v="2024-01-07T11:00:00"/>
    <x v="1"/>
    <x v="1"/>
    <n v="1005"/>
    <x v="2"/>
    <n v="14"/>
    <n v="6400"/>
    <n v="89600"/>
    <x v="171"/>
    <n v="96"/>
    <x v="172"/>
    <x v="6"/>
    <d v="2024-01-07T00:00:00"/>
    <d v="1899-12-30T11:00:00"/>
    <n v="13"/>
    <n v="0"/>
  </r>
  <r>
    <d v="2024-01-07T11:00:00"/>
    <x v="3"/>
    <x v="4"/>
    <n v="3009"/>
    <x v="1"/>
    <n v="3"/>
    <n v="4700"/>
    <n v="14100"/>
    <x v="172"/>
    <n v="288"/>
    <x v="203"/>
    <x v="6"/>
    <d v="2024-01-07T00:00:00"/>
    <d v="1899-12-30T11:00:00"/>
    <n v="10"/>
    <n v="0"/>
  </r>
  <r>
    <d v="2024-01-07T11:00:00"/>
    <x v="1"/>
    <x v="9"/>
    <n v="1005"/>
    <x v="2"/>
    <n v="7"/>
    <n v="6650"/>
    <n v="46550"/>
    <x v="160"/>
    <n v="96"/>
    <x v="187"/>
    <x v="6"/>
    <d v="2024-01-07T00:00:00"/>
    <d v="1899-12-30T11:00:00"/>
    <n v="14"/>
    <n v="0"/>
  </r>
  <r>
    <d v="2024-01-07T11:00:00"/>
    <x v="1"/>
    <x v="8"/>
    <n v="1005"/>
    <x v="2"/>
    <n v="11"/>
    <n v="6650"/>
    <n v="73150"/>
    <x v="151"/>
    <n v="96"/>
    <x v="147"/>
    <x v="6"/>
    <d v="2024-01-07T00:00:00"/>
    <d v="1899-12-30T11:00:00"/>
    <n v="7"/>
    <n v="0"/>
  </r>
  <r>
    <d v="2024-01-07T11:00:00"/>
    <x v="1"/>
    <x v="10"/>
    <n v="1005"/>
    <x v="2"/>
    <n v="12"/>
    <n v="6650"/>
    <n v="79800"/>
    <x v="136"/>
    <n v="96"/>
    <x v="165"/>
    <x v="6"/>
    <d v="2024-01-07T00:00:00"/>
    <d v="1899-12-30T11:00:00"/>
    <n v="16"/>
    <n v="0"/>
  </r>
  <r>
    <d v="2024-01-07T11:00:00"/>
    <x v="1"/>
    <x v="6"/>
    <n v="1005"/>
    <x v="2"/>
    <n v="6"/>
    <n v="6650"/>
    <n v="39900"/>
    <x v="155"/>
    <n v="96"/>
    <x v="183"/>
    <x v="6"/>
    <d v="2024-01-07T00:00:00"/>
    <d v="1899-12-30T11:00:00"/>
    <n v="15"/>
    <n v="0"/>
  </r>
  <r>
    <d v="2024-01-07T13:00:00"/>
    <x v="0"/>
    <x v="12"/>
    <n v="16"/>
    <x v="3"/>
    <n v="60"/>
    <n v="1020"/>
    <n v="61200"/>
    <x v="136"/>
    <n v="24"/>
    <x v="104"/>
    <x v="6"/>
    <d v="2024-01-07T00:00:00"/>
    <d v="1899-12-30T13:00:00"/>
    <n v="5"/>
    <n v="0"/>
  </r>
  <r>
    <d v="2024-01-07T15:00:00"/>
    <x v="1"/>
    <x v="9"/>
    <n v="1006"/>
    <x v="1"/>
    <n v="30"/>
    <n v="3750"/>
    <n v="112500"/>
    <x v="170"/>
    <n v="96"/>
    <x v="202"/>
    <x v="6"/>
    <d v="2024-01-07T00:00:00"/>
    <d v="1899-12-30T15:00:00"/>
    <n v="14"/>
    <n v="0"/>
  </r>
  <r>
    <d v="2024-01-07T15:00:00"/>
    <x v="1"/>
    <x v="6"/>
    <n v="1006"/>
    <x v="1"/>
    <n v="33"/>
    <n v="3750"/>
    <n v="123750"/>
    <x v="173"/>
    <n v="96"/>
    <x v="154"/>
    <x v="6"/>
    <d v="2024-01-07T00:00:00"/>
    <d v="1899-12-30T15:00:00"/>
    <n v="15"/>
    <n v="0"/>
  </r>
  <r>
    <d v="2024-01-07T15:00:00"/>
    <x v="1"/>
    <x v="2"/>
    <n v="1006"/>
    <x v="1"/>
    <n v="15"/>
    <n v="3825"/>
    <n v="57375"/>
    <x v="174"/>
    <n v="72"/>
    <x v="188"/>
    <x v="6"/>
    <d v="2024-01-07T00:00:00"/>
    <d v="1899-12-30T15:00:00"/>
    <n v="9"/>
    <n v="0"/>
  </r>
  <r>
    <d v="2024-01-07T15:00:00"/>
    <x v="1"/>
    <x v="10"/>
    <n v="1006"/>
    <x v="1"/>
    <n v="30"/>
    <n v="3750"/>
    <n v="112500"/>
    <x v="137"/>
    <n v="96"/>
    <x v="166"/>
    <x v="6"/>
    <d v="2024-01-07T00:00:00"/>
    <d v="1899-12-30T15:00:00"/>
    <n v="16"/>
    <n v="0"/>
  </r>
  <r>
    <d v="2024-01-07T15:00:00"/>
    <x v="1"/>
    <x v="8"/>
    <n v="1006"/>
    <x v="1"/>
    <n v="30"/>
    <n v="3650"/>
    <n v="109500"/>
    <x v="135"/>
    <n v="96"/>
    <x v="164"/>
    <x v="6"/>
    <d v="2024-01-07T00:00:00"/>
    <d v="1899-12-30T15:00:00"/>
    <n v="7"/>
    <n v="0"/>
  </r>
  <r>
    <d v="2024-01-07T15:00:00"/>
    <x v="1"/>
    <x v="3"/>
    <n v="1006"/>
    <x v="1"/>
    <n v="29"/>
    <n v="3850"/>
    <n v="111650"/>
    <x v="155"/>
    <n v="96"/>
    <x v="156"/>
    <x v="6"/>
    <d v="2024-01-07T00:00:00"/>
    <d v="1899-12-30T15:00:00"/>
    <n v="11"/>
    <n v="0"/>
  </r>
  <r>
    <d v="2024-01-07T15:00:00"/>
    <x v="1"/>
    <x v="1"/>
    <n v="1006"/>
    <x v="1"/>
    <n v="30"/>
    <n v="3750"/>
    <n v="112500"/>
    <x v="175"/>
    <n v="96"/>
    <x v="204"/>
    <x v="6"/>
    <d v="2024-01-07T00:00:00"/>
    <d v="1899-12-30T15:00:00"/>
    <n v="13"/>
    <n v="0"/>
  </r>
  <r>
    <d v="2024-01-07T15:00:00"/>
    <x v="1"/>
    <x v="5"/>
    <n v="1006"/>
    <x v="1"/>
    <n v="30"/>
    <n v="3600"/>
    <n v="108000"/>
    <x v="174"/>
    <n v="96"/>
    <x v="205"/>
    <x v="6"/>
    <d v="2024-01-07T00:00:00"/>
    <d v="1899-12-30T15:00:00"/>
    <n v="8"/>
    <n v="0"/>
  </r>
  <r>
    <d v="2024-01-07T15:00:00"/>
    <x v="1"/>
    <x v="4"/>
    <n v="1006"/>
    <x v="1"/>
    <n v="30"/>
    <n v="3950"/>
    <n v="118500"/>
    <x v="153"/>
    <n v="48"/>
    <x v="120"/>
    <x v="6"/>
    <d v="2024-01-07T00:00:00"/>
    <d v="1899-12-30T15:00:00"/>
    <n v="10"/>
    <n v="0"/>
  </r>
  <r>
    <d v="2024-01-07T15:00:00"/>
    <x v="1"/>
    <x v="7"/>
    <n v="1006"/>
    <x v="1"/>
    <n v="15"/>
    <n v="3950"/>
    <n v="59250"/>
    <x v="165"/>
    <n v="60"/>
    <x v="136"/>
    <x v="6"/>
    <d v="2024-01-07T00:00:00"/>
    <d v="1899-12-30T15:00:00"/>
    <n v="12"/>
    <n v="0"/>
  </r>
  <r>
    <d v="2024-01-07T16:00:00"/>
    <x v="2"/>
    <x v="5"/>
    <n v="2011"/>
    <x v="2"/>
    <n v="30"/>
    <n v="5700"/>
    <n v="171000"/>
    <x v="176"/>
    <n v="132"/>
    <x v="206"/>
    <x v="6"/>
    <d v="2024-01-07T00:00:00"/>
    <d v="1899-12-30T16:00:00"/>
    <n v="8"/>
    <n v="0"/>
  </r>
  <r>
    <d v="2024-01-07T16:00:00"/>
    <x v="2"/>
    <x v="4"/>
    <n v="2011"/>
    <x v="2"/>
    <n v="3"/>
    <n v="6800"/>
    <n v="20400"/>
    <x v="177"/>
    <n v="132"/>
    <x v="207"/>
    <x v="6"/>
    <d v="2024-01-07T00:00:00"/>
    <d v="1899-12-30T16:00:00"/>
    <n v="10"/>
    <n v="0"/>
  </r>
  <r>
    <d v="2024-01-07T16:00:00"/>
    <x v="2"/>
    <x v="1"/>
    <n v="2011"/>
    <x v="1"/>
    <n v="30"/>
    <n v="3500"/>
    <n v="105000"/>
    <x v="178"/>
    <n v="132"/>
    <x v="208"/>
    <x v="6"/>
    <d v="2024-01-07T00:00:00"/>
    <d v="1899-12-30T16:00:00"/>
    <n v="13"/>
    <n v="0"/>
  </r>
  <r>
    <d v="2024-01-07T16:00:00"/>
    <x v="0"/>
    <x v="15"/>
    <n v="15"/>
    <x v="3"/>
    <n v="200"/>
    <n v="1600"/>
    <n v="320000"/>
    <x v="135"/>
    <n v="24"/>
    <x v="160"/>
    <x v="6"/>
    <d v="2024-01-07T00:00:00"/>
    <d v="1899-12-30T16:00:00"/>
    <n v="1"/>
    <n v="0"/>
  </r>
  <r>
    <d v="2024-01-07T16:00:00"/>
    <x v="2"/>
    <x v="6"/>
    <n v="2011"/>
    <x v="1"/>
    <n v="30"/>
    <n v="3850"/>
    <n v="115500"/>
    <x v="135"/>
    <n v="120"/>
    <x v="196"/>
    <x v="6"/>
    <d v="2024-01-07T00:00:00"/>
    <d v="1899-12-30T16:00:00"/>
    <n v="15"/>
    <n v="0"/>
  </r>
  <r>
    <d v="2024-01-07T16:00:00"/>
    <x v="0"/>
    <x v="10"/>
    <n v="5"/>
    <x v="5"/>
    <n v="466"/>
    <n v="6"/>
    <n v="2796"/>
    <x v="153"/>
    <n v="72"/>
    <x v="182"/>
    <x v="6"/>
    <d v="2024-01-07T00:00:00"/>
    <d v="1899-12-30T16:00:00"/>
    <n v="16"/>
    <n v="0"/>
  </r>
  <r>
    <d v="2024-01-07T16:00:00"/>
    <x v="2"/>
    <x v="8"/>
    <n v="2011"/>
    <x v="1"/>
    <n v="30"/>
    <n v="3650"/>
    <n v="109500"/>
    <x v="153"/>
    <n v="132"/>
    <x v="192"/>
    <x v="6"/>
    <d v="2024-01-07T00:00:00"/>
    <d v="1899-12-30T16:00:00"/>
    <n v="7"/>
    <n v="0"/>
  </r>
  <r>
    <d v="2024-01-07T16:00:00"/>
    <x v="2"/>
    <x v="10"/>
    <n v="2011"/>
    <x v="2"/>
    <n v="30"/>
    <n v="6650"/>
    <n v="199500"/>
    <x v="137"/>
    <n v="132"/>
    <x v="209"/>
    <x v="6"/>
    <d v="2024-01-07T00:00:00"/>
    <d v="1899-12-30T16:00:00"/>
    <n v="16"/>
    <n v="0"/>
  </r>
  <r>
    <d v="2024-01-07T16:00:00"/>
    <x v="2"/>
    <x v="10"/>
    <n v="2011"/>
    <x v="1"/>
    <n v="30"/>
    <n v="3750"/>
    <n v="112500"/>
    <x v="137"/>
    <n v="132"/>
    <x v="209"/>
    <x v="6"/>
    <d v="2024-01-07T00:00:00"/>
    <d v="1899-12-30T16:00:00"/>
    <n v="16"/>
    <n v="0"/>
  </r>
  <r>
    <d v="2024-01-07T16:00:00"/>
    <x v="0"/>
    <x v="15"/>
    <n v="14"/>
    <x v="0"/>
    <n v="4500"/>
    <n v="150"/>
    <n v="675000"/>
    <x v="173"/>
    <n v="72"/>
    <x v="154"/>
    <x v="6"/>
    <d v="2024-01-07T00:00:00"/>
    <d v="1899-12-30T16:00:00"/>
    <d v="1899-12-31T00:00:00"/>
    <n v="0"/>
  </r>
  <r>
    <d v="2024-01-07T16:00:00"/>
    <x v="2"/>
    <x v="7"/>
    <n v="2011"/>
    <x v="1"/>
    <n v="30"/>
    <n v="3750"/>
    <n v="112500"/>
    <x v="157"/>
    <n v="120"/>
    <x v="210"/>
    <x v="6"/>
    <d v="2024-01-07T00:00:00"/>
    <d v="1899-12-30T16:00:00"/>
    <n v="12"/>
    <n v="0"/>
  </r>
  <r>
    <d v="2024-01-07T16:00:00"/>
    <x v="2"/>
    <x v="3"/>
    <n v="2011"/>
    <x v="1"/>
    <n v="40"/>
    <n v="4000"/>
    <n v="160000"/>
    <x v="157"/>
    <n v="132"/>
    <x v="210"/>
    <x v="6"/>
    <d v="2024-01-07T00:00:00"/>
    <d v="1899-12-30T16:00:00"/>
    <n v="11"/>
    <n v="0"/>
  </r>
  <r>
    <d v="2024-01-07T16:00:00"/>
    <x v="2"/>
    <x v="8"/>
    <n v="2011"/>
    <x v="2"/>
    <n v="30"/>
    <n v="6650"/>
    <n v="199500"/>
    <x v="135"/>
    <n v="132"/>
    <x v="196"/>
    <x v="6"/>
    <d v="2024-01-07T00:00:00"/>
    <d v="1899-12-30T16:00:00"/>
    <n v="7"/>
    <n v="0"/>
  </r>
  <r>
    <d v="2024-01-07T16:00:00"/>
    <x v="2"/>
    <x v="3"/>
    <n v="2011"/>
    <x v="2"/>
    <n v="28"/>
    <n v="6650"/>
    <n v="186200"/>
    <x v="173"/>
    <n v="132"/>
    <x v="211"/>
    <x v="6"/>
    <d v="2024-01-07T00:00:00"/>
    <d v="1899-12-30T16:00:00"/>
    <n v="11"/>
    <n v="0"/>
  </r>
  <r>
    <d v="2024-01-07T16:00:00"/>
    <x v="2"/>
    <x v="9"/>
    <n v="2011"/>
    <x v="2"/>
    <n v="24"/>
    <n v="6650"/>
    <n v="159600"/>
    <x v="170"/>
    <n v="132"/>
    <x v="193"/>
    <x v="6"/>
    <d v="2024-01-07T00:00:00"/>
    <d v="1899-12-30T16:00:00"/>
    <n v="14"/>
    <n v="0"/>
  </r>
  <r>
    <d v="2024-01-07T16:00:00"/>
    <x v="2"/>
    <x v="9"/>
    <n v="2011"/>
    <x v="1"/>
    <n v="30"/>
    <n v="3750"/>
    <n v="112500"/>
    <x v="170"/>
    <n v="132"/>
    <x v="193"/>
    <x v="6"/>
    <d v="2024-01-07T00:00:00"/>
    <d v="1899-12-30T16:00:00"/>
    <n v="14"/>
    <n v="0"/>
  </r>
  <r>
    <d v="2024-01-07T16:00:00"/>
    <x v="2"/>
    <x v="7"/>
    <n v="2011"/>
    <x v="2"/>
    <n v="30"/>
    <n v="6750"/>
    <n v="202500"/>
    <x v="155"/>
    <n v="120"/>
    <x v="212"/>
    <x v="6"/>
    <d v="2024-01-07T00:00:00"/>
    <d v="1899-12-30T16:00:00"/>
    <n v="12"/>
    <n v="0"/>
  </r>
  <r>
    <d v="2024-01-07T16:00:00"/>
    <x v="2"/>
    <x v="2"/>
    <n v="2011"/>
    <x v="2"/>
    <n v="30"/>
    <n v="6650"/>
    <n v="199500"/>
    <x v="172"/>
    <n v="132"/>
    <x v="213"/>
    <x v="6"/>
    <d v="2024-01-07T00:00:00"/>
    <d v="1899-12-30T16:00:00"/>
    <n v="9"/>
    <n v="0"/>
  </r>
  <r>
    <d v="2024-01-07T16:00:00"/>
    <x v="2"/>
    <x v="6"/>
    <n v="2011"/>
    <x v="2"/>
    <n v="30"/>
    <n v="6900"/>
    <n v="207000"/>
    <x v="163"/>
    <n v="60"/>
    <x v="124"/>
    <x v="6"/>
    <d v="2024-01-07T00:00:00"/>
    <d v="1899-12-30T16:00:00"/>
    <n v="15"/>
    <n v="0"/>
  </r>
  <r>
    <d v="2024-01-07T16:00:00"/>
    <x v="2"/>
    <x v="4"/>
    <n v="2011"/>
    <x v="1"/>
    <n v="50"/>
    <n v="3900"/>
    <n v="195000"/>
    <x v="153"/>
    <n v="84"/>
    <x v="182"/>
    <x v="6"/>
    <d v="2024-01-07T00:00:00"/>
    <d v="1899-12-30T16:00:00"/>
    <n v="10"/>
    <n v="0"/>
  </r>
  <r>
    <d v="2024-01-07T16:00:00"/>
    <x v="2"/>
    <x v="4"/>
    <n v="2011"/>
    <x v="2"/>
    <n v="18"/>
    <n v="6800"/>
    <n v="142800"/>
    <x v="179"/>
    <n v="132"/>
    <x v="208"/>
    <x v="6"/>
    <d v="2024-01-07T00:00:00"/>
    <d v="1899-12-30T16:00:00"/>
    <n v="10"/>
    <n v="0"/>
  </r>
  <r>
    <d v="2024-01-07T16:00:00"/>
    <x v="2"/>
    <x v="2"/>
    <n v="2011"/>
    <x v="1"/>
    <n v="50"/>
    <n v="3900"/>
    <n v="195000"/>
    <x v="180"/>
    <n v="72"/>
    <x v="143"/>
    <x v="6"/>
    <d v="2024-01-07T00:00:00"/>
    <d v="1899-12-30T16:00:00"/>
    <n v="9"/>
    <n v="0"/>
  </r>
  <r>
    <d v="2024-01-07T16:00:00"/>
    <x v="2"/>
    <x v="5"/>
    <n v="2011"/>
    <x v="1"/>
    <n v="30"/>
    <n v="3380"/>
    <n v="101400"/>
    <x v="176"/>
    <n v="132"/>
    <x v="206"/>
    <x v="6"/>
    <d v="2024-01-07T00:00:00"/>
    <d v="1899-12-30T16:00:00"/>
    <n v="8"/>
    <n v="0"/>
  </r>
  <r>
    <d v="2024-01-07T16:00:00"/>
    <x v="2"/>
    <x v="1"/>
    <n v="2011"/>
    <x v="2"/>
    <n v="30"/>
    <n v="6400"/>
    <n v="192000"/>
    <x v="174"/>
    <n v="132"/>
    <x v="214"/>
    <x v="6"/>
    <d v="2024-01-07T00:00:00"/>
    <d v="1899-12-30T16:00:00"/>
    <n v="13"/>
    <n v="0"/>
  </r>
  <r>
    <d v="2024-01-07T19:00:00"/>
    <x v="1"/>
    <x v="3"/>
    <n v="1006"/>
    <x v="2"/>
    <n v="11"/>
    <n v="6600"/>
    <n v="72600"/>
    <x v="173"/>
    <n v="96"/>
    <x v="154"/>
    <x v="6"/>
    <d v="2024-01-07T00:00:00"/>
    <d v="1899-12-30T19:00:00"/>
    <n v="11"/>
    <n v="0"/>
  </r>
  <r>
    <d v="2024-01-07T19:00:00"/>
    <x v="1"/>
    <x v="1"/>
    <n v="1006"/>
    <x v="2"/>
    <n v="16"/>
    <n v="6400"/>
    <n v="102400"/>
    <x v="181"/>
    <n v="96"/>
    <x v="170"/>
    <x v="6"/>
    <d v="2024-01-07T00:00:00"/>
    <d v="1899-12-30T19:00:00"/>
    <n v="13"/>
    <n v="0"/>
  </r>
  <r>
    <d v="2024-01-07T19:00:00"/>
    <x v="1"/>
    <x v="10"/>
    <n v="1006"/>
    <x v="2"/>
    <n v="14"/>
    <n v="6650"/>
    <n v="93100"/>
    <x v="155"/>
    <n v="96"/>
    <x v="183"/>
    <x v="6"/>
    <d v="2024-01-07T00:00:00"/>
    <d v="1899-12-30T19:00:00"/>
    <n v="16"/>
    <n v="0"/>
  </r>
  <r>
    <d v="2024-01-07T19:00:00"/>
    <x v="1"/>
    <x v="5"/>
    <n v="1006"/>
    <x v="2"/>
    <n v="19"/>
    <n v="5350"/>
    <n v="101650"/>
    <x v="172"/>
    <n v="96"/>
    <x v="204"/>
    <x v="6"/>
    <d v="2024-01-07T00:00:00"/>
    <d v="1899-12-30T19:00:00"/>
    <n v="8"/>
    <n v="0"/>
  </r>
  <r>
    <d v="2024-01-07T19:00:00"/>
    <x v="1"/>
    <x v="8"/>
    <n v="1006"/>
    <x v="2"/>
    <n v="9"/>
    <n v="6650"/>
    <n v="59850"/>
    <x v="157"/>
    <n v="96"/>
    <x v="159"/>
    <x v="6"/>
    <d v="2024-01-07T00:00:00"/>
    <d v="1899-12-30T19:00:00"/>
    <n v="7"/>
    <n v="0"/>
  </r>
  <r>
    <d v="2024-01-07T19:00:00"/>
    <x v="1"/>
    <x v="7"/>
    <n v="1006"/>
    <x v="2"/>
    <n v="12"/>
    <n v="6900"/>
    <n v="82800"/>
    <x v="155"/>
    <n v="84"/>
    <x v="183"/>
    <x v="6"/>
    <d v="2024-01-07T00:00:00"/>
    <d v="1899-12-30T19:00:00"/>
    <n v="12"/>
    <n v="0"/>
  </r>
  <r>
    <d v="2024-01-07T19:00:00"/>
    <x v="1"/>
    <x v="2"/>
    <n v="1006"/>
    <x v="2"/>
    <n v="8"/>
    <n v="6650"/>
    <n v="53200"/>
    <x v="182"/>
    <n v="96"/>
    <x v="215"/>
    <x v="6"/>
    <d v="2024-01-07T00:00:00"/>
    <d v="1899-12-30T19:00:00"/>
    <n v="9"/>
    <n v="0"/>
  </r>
  <r>
    <d v="2024-01-07T19:00:00"/>
    <x v="1"/>
    <x v="6"/>
    <n v="1006"/>
    <x v="2"/>
    <n v="6"/>
    <n v="6650"/>
    <n v="39900"/>
    <x v="170"/>
    <n v="96"/>
    <x v="202"/>
    <x v="6"/>
    <d v="2024-01-07T00:00:00"/>
    <d v="1899-12-30T19:00:00"/>
    <n v="15"/>
    <n v="0"/>
  </r>
  <r>
    <d v="2024-01-07T19:00:00"/>
    <x v="1"/>
    <x v="9"/>
    <n v="1006"/>
    <x v="2"/>
    <n v="7"/>
    <n v="6650"/>
    <n v="46550"/>
    <x v="170"/>
    <n v="96"/>
    <x v="202"/>
    <x v="6"/>
    <d v="2024-01-07T00:00:00"/>
    <d v="1899-12-30T19:00:00"/>
    <n v="14"/>
    <n v="0"/>
  </r>
  <r>
    <d v="2024-01-07T20:00:00"/>
    <x v="1"/>
    <x v="10"/>
    <n v="1011"/>
    <x v="2"/>
    <n v="7"/>
    <n v="6650"/>
    <n v="46550"/>
    <x v="165"/>
    <n v="96"/>
    <x v="156"/>
    <x v="6"/>
    <d v="2024-01-07T00:00:00"/>
    <d v="1899-12-30T20:00:00"/>
    <n v="16"/>
    <n v="0"/>
  </r>
  <r>
    <d v="2024-01-07T20:00:00"/>
    <x v="1"/>
    <x v="7"/>
    <n v="1011"/>
    <x v="2"/>
    <n v="5"/>
    <n v="6700"/>
    <n v="33500"/>
    <x v="165"/>
    <n v="96"/>
    <x v="156"/>
    <x v="6"/>
    <d v="2024-01-07T00:00:00"/>
    <d v="1899-12-30T20:00:00"/>
    <n v="12"/>
    <n v="0"/>
  </r>
  <r>
    <d v="2024-01-07T20:00:00"/>
    <x v="1"/>
    <x v="8"/>
    <n v="1011"/>
    <x v="2"/>
    <n v="6"/>
    <n v="6650"/>
    <n v="39900"/>
    <x v="163"/>
    <n v="96"/>
    <x v="155"/>
    <x v="6"/>
    <d v="2024-01-07T00:00:00"/>
    <d v="1899-12-30T20:00:00"/>
    <n v="7"/>
    <n v="0"/>
  </r>
  <r>
    <d v="2024-01-07T20:00:00"/>
    <x v="1"/>
    <x v="2"/>
    <n v="1011"/>
    <x v="2"/>
    <n v="4"/>
    <n v="6650"/>
    <n v="26600"/>
    <x v="183"/>
    <n v="96"/>
    <x v="170"/>
    <x v="6"/>
    <d v="2024-01-07T00:00:00"/>
    <d v="1899-12-30T20:00:00"/>
    <n v="9"/>
    <n v="0"/>
  </r>
  <r>
    <d v="2024-01-07T20:00:00"/>
    <x v="1"/>
    <x v="9"/>
    <n v="1011"/>
    <x v="2"/>
    <n v="3"/>
    <n v="6650"/>
    <n v="19950"/>
    <x v="169"/>
    <n v="96"/>
    <x v="201"/>
    <x v="6"/>
    <d v="2024-01-07T00:00:00"/>
    <d v="1899-12-30T20:00:00"/>
    <n v="14"/>
    <n v="0"/>
  </r>
  <r>
    <d v="2024-01-07T20:00:00"/>
    <x v="1"/>
    <x v="5"/>
    <n v="1011"/>
    <x v="2"/>
    <n v="9"/>
    <n v="5350"/>
    <n v="48150"/>
    <x v="184"/>
    <n v="96"/>
    <x v="175"/>
    <x v="6"/>
    <d v="2024-01-07T00:00:00"/>
    <d v="1899-12-30T20:00:00"/>
    <n v="8"/>
    <n v="0"/>
  </r>
  <r>
    <d v="2024-01-07T20:00:00"/>
    <x v="1"/>
    <x v="1"/>
    <n v="1011"/>
    <x v="2"/>
    <n v="8"/>
    <n v="6400"/>
    <n v="51200"/>
    <x v="174"/>
    <n v="96"/>
    <x v="205"/>
    <x v="6"/>
    <d v="2024-01-07T00:00:00"/>
    <d v="1899-12-30T20:00:00"/>
    <n v="13"/>
    <n v="0"/>
  </r>
  <r>
    <d v="2024-01-07T22:00:00"/>
    <x v="0"/>
    <x v="8"/>
    <n v="6"/>
    <x v="5"/>
    <n v="197"/>
    <n v="6"/>
    <n v="1182"/>
    <x v="165"/>
    <n v="72"/>
    <x v="156"/>
    <x v="6"/>
    <d v="2024-01-07T00:00:00"/>
    <d v="1899-12-30T22:00:00"/>
    <n v="7"/>
    <n v="0"/>
  </r>
  <r>
    <d v="2024-01-07T22:00:00"/>
    <x v="1"/>
    <x v="10"/>
    <n v="1001"/>
    <x v="1"/>
    <n v="30"/>
    <n v="3750"/>
    <n v="112500"/>
    <x v="157"/>
    <n v="96"/>
    <x v="159"/>
    <x v="6"/>
    <d v="2024-01-07T00:00:00"/>
    <d v="1899-12-30T22:00:00"/>
    <n v="16"/>
    <n v="0"/>
  </r>
  <r>
    <d v="2024-01-07T22:00:00"/>
    <x v="1"/>
    <x v="3"/>
    <n v="1001"/>
    <x v="1"/>
    <n v="20"/>
    <n v="3950"/>
    <n v="79000"/>
    <x v="164"/>
    <n v="96"/>
    <x v="171"/>
    <x v="6"/>
    <d v="2024-01-07T00:00:00"/>
    <d v="1899-12-30T22:00:00"/>
    <n v="11"/>
    <n v="0"/>
  </r>
  <r>
    <d v="2024-01-07T22:00:00"/>
    <x v="1"/>
    <x v="4"/>
    <n v="1001"/>
    <x v="1"/>
    <n v="30"/>
    <n v="3950"/>
    <n v="118500"/>
    <x v="157"/>
    <n v="48"/>
    <x v="162"/>
    <x v="6"/>
    <d v="2024-01-07T00:00:00"/>
    <d v="1899-12-30T22:00:00"/>
    <n v="10"/>
    <n v="0"/>
  </r>
  <r>
    <d v="2024-01-07T22:00:00"/>
    <x v="1"/>
    <x v="7"/>
    <n v="1001"/>
    <x v="1"/>
    <n v="27"/>
    <n v="3800"/>
    <n v="102600"/>
    <x v="179"/>
    <n v="96"/>
    <x v="173"/>
    <x v="6"/>
    <d v="2024-01-07T00:00:00"/>
    <d v="1899-12-30T22:00:00"/>
    <n v="12"/>
    <n v="0"/>
  </r>
  <r>
    <d v="2024-01-07T22:00:00"/>
    <x v="1"/>
    <x v="9"/>
    <n v="1001"/>
    <x v="1"/>
    <n v="30"/>
    <n v="3750"/>
    <n v="112500"/>
    <x v="185"/>
    <n v="96"/>
    <x v="216"/>
    <x v="6"/>
    <d v="2024-01-07T00:00:00"/>
    <d v="1899-12-30T22:00:00"/>
    <n v="14"/>
    <n v="0"/>
  </r>
  <r>
    <d v="2024-01-07T22:00:00"/>
    <x v="1"/>
    <x v="5"/>
    <n v="1001"/>
    <x v="1"/>
    <n v="50"/>
    <n v="3300"/>
    <n v="165000"/>
    <x v="186"/>
    <n v="120"/>
    <x v="217"/>
    <x v="6"/>
    <d v="2024-01-07T00:00:00"/>
    <d v="1899-12-30T22:00:00"/>
    <n v="8"/>
    <n v="0"/>
  </r>
  <r>
    <d v="2024-01-07T22:00:00"/>
    <x v="1"/>
    <x v="6"/>
    <n v="1001"/>
    <x v="1"/>
    <n v="23"/>
    <n v="3750"/>
    <n v="86250"/>
    <x v="170"/>
    <n v="96"/>
    <x v="202"/>
    <x v="6"/>
    <d v="2024-01-07T00:00:00"/>
    <d v="1899-12-30T22:00:00"/>
    <n v="15"/>
    <n v="0"/>
  </r>
  <r>
    <d v="2024-01-07T22:00:00"/>
    <x v="1"/>
    <x v="8"/>
    <n v="1001"/>
    <x v="1"/>
    <n v="30"/>
    <n v="3650"/>
    <n v="109500"/>
    <x v="179"/>
    <n v="96"/>
    <x v="173"/>
    <x v="6"/>
    <d v="2024-01-07T00:00:00"/>
    <d v="1899-12-30T22:00:00"/>
    <n v="7"/>
    <n v="0"/>
  </r>
  <r>
    <d v="2024-01-07T22:00:00"/>
    <x v="1"/>
    <x v="2"/>
    <n v="1001"/>
    <x v="1"/>
    <n v="15"/>
    <n v="3825"/>
    <n v="57375"/>
    <x v="165"/>
    <n v="72"/>
    <x v="156"/>
    <x v="6"/>
    <d v="2024-01-07T00:00:00"/>
    <d v="1899-12-30T22:00:00"/>
    <n v="9"/>
    <n v="0"/>
  </r>
  <r>
    <d v="2024-01-07T22:00:00"/>
    <x v="1"/>
    <x v="1"/>
    <n v="1001"/>
    <x v="1"/>
    <n v="30"/>
    <n v="3750"/>
    <n v="112500"/>
    <x v="187"/>
    <n v="96"/>
    <x v="170"/>
    <x v="6"/>
    <d v="2024-01-07T00:00:00"/>
    <d v="1899-12-30T22:00:00"/>
    <n v="13"/>
    <n v="0"/>
  </r>
  <r>
    <d v="2024-01-08T00:00:00"/>
    <x v="0"/>
    <x v="12"/>
    <n v="16"/>
    <x v="3"/>
    <n v="240"/>
    <n v="1020"/>
    <n v="244800"/>
    <x v="164"/>
    <n v="24"/>
    <x v="118"/>
    <x v="7"/>
    <d v="2024-01-08T00:00:00"/>
    <d v="1899-12-30T00:00:00"/>
    <n v="5"/>
    <n v="0"/>
  </r>
  <r>
    <d v="2024-01-08T01:00:00"/>
    <x v="1"/>
    <x v="2"/>
    <n v="1001"/>
    <x v="2"/>
    <n v="3"/>
    <n v="6650"/>
    <n v="19950"/>
    <x v="188"/>
    <n v="96"/>
    <x v="198"/>
    <x v="7"/>
    <d v="2024-01-08T00:00:00"/>
    <d v="1899-12-30T01:00:00"/>
    <n v="9"/>
    <n v="0"/>
  </r>
  <r>
    <d v="2024-01-08T01:00:00"/>
    <x v="1"/>
    <x v="7"/>
    <n v="1001"/>
    <x v="2"/>
    <n v="5"/>
    <n v="6700"/>
    <n v="33500"/>
    <x v="161"/>
    <n v="96"/>
    <x v="186"/>
    <x v="7"/>
    <d v="2024-01-08T00:00:00"/>
    <d v="1899-12-30T01:00:00"/>
    <n v="12"/>
    <n v="0"/>
  </r>
  <r>
    <d v="2024-01-08T01:00:00"/>
    <x v="1"/>
    <x v="1"/>
    <n v="1001"/>
    <x v="2"/>
    <n v="5"/>
    <n v="6400"/>
    <n v="32000"/>
    <x v="182"/>
    <n v="96"/>
    <x v="215"/>
    <x v="7"/>
    <d v="2024-01-08T00:00:00"/>
    <d v="1899-12-30T01:00:00"/>
    <n v="13"/>
    <n v="0"/>
  </r>
  <r>
    <d v="2024-01-08T01:00:00"/>
    <x v="1"/>
    <x v="5"/>
    <n v="1001"/>
    <x v="2"/>
    <n v="7"/>
    <n v="5350"/>
    <n v="37450"/>
    <x v="110"/>
    <n v="96"/>
    <x v="218"/>
    <x v="7"/>
    <d v="2024-01-08T00:00:00"/>
    <d v="1899-12-30T01:00:00"/>
    <n v="8"/>
    <n v="0"/>
  </r>
  <r>
    <d v="2024-01-08T01:00:00"/>
    <x v="1"/>
    <x v="9"/>
    <n v="1001"/>
    <x v="2"/>
    <n v="2"/>
    <n v="6650"/>
    <n v="13300"/>
    <x v="181"/>
    <n v="96"/>
    <x v="219"/>
    <x v="7"/>
    <d v="2024-01-08T00:00:00"/>
    <d v="1899-12-30T01:00:00"/>
    <n v="14"/>
    <n v="0"/>
  </r>
  <r>
    <d v="2024-01-08T01:00:00"/>
    <x v="1"/>
    <x v="8"/>
    <n v="1001"/>
    <x v="2"/>
    <n v="3"/>
    <n v="6650"/>
    <n v="19950"/>
    <x v="179"/>
    <n v="96"/>
    <x v="173"/>
    <x v="7"/>
    <d v="2024-01-08T00:00:00"/>
    <d v="1899-12-30T01:00:00"/>
    <n v="7"/>
    <n v="0"/>
  </r>
  <r>
    <d v="2024-01-08T01:00:00"/>
    <x v="1"/>
    <x v="10"/>
    <n v="1001"/>
    <x v="2"/>
    <n v="6"/>
    <n v="6650"/>
    <n v="39900"/>
    <x v="166"/>
    <n v="96"/>
    <x v="200"/>
    <x v="7"/>
    <d v="2024-01-08T00:00:00"/>
    <d v="1899-12-30T01:00:00"/>
    <n v="16"/>
    <n v="0"/>
  </r>
  <r>
    <d v="2024-01-08T02:00:00"/>
    <x v="1"/>
    <x v="4"/>
    <n v="1011"/>
    <x v="1"/>
    <n v="30"/>
    <n v="3950"/>
    <n v="118500"/>
    <x v="163"/>
    <n v="48"/>
    <x v="131"/>
    <x v="7"/>
    <d v="2024-01-08T00:00:00"/>
    <d v="1899-12-30T02:00:00"/>
    <n v="10"/>
    <n v="0"/>
  </r>
  <r>
    <d v="2024-01-08T02:00:00"/>
    <x v="1"/>
    <x v="1"/>
    <n v="1011"/>
    <x v="1"/>
    <n v="20"/>
    <n v="3750"/>
    <n v="75000"/>
    <x v="186"/>
    <n v="96"/>
    <x v="176"/>
    <x v="7"/>
    <d v="2024-01-08T00:00:00"/>
    <d v="1899-12-30T02:00:00"/>
    <n v="13"/>
    <n v="0"/>
  </r>
  <r>
    <d v="2024-01-08T02:00:00"/>
    <x v="1"/>
    <x v="3"/>
    <n v="1011"/>
    <x v="1"/>
    <n v="12"/>
    <n v="3950"/>
    <n v="47400"/>
    <x v="185"/>
    <n v="96"/>
    <x v="216"/>
    <x v="7"/>
    <d v="2024-01-08T00:00:00"/>
    <d v="1899-12-30T02:00:00"/>
    <n v="11"/>
    <n v="0"/>
  </r>
  <r>
    <d v="2024-01-08T02:00:00"/>
    <x v="1"/>
    <x v="7"/>
    <n v="1011"/>
    <x v="1"/>
    <n v="15"/>
    <n v="3800"/>
    <n v="57000"/>
    <x v="174"/>
    <n v="96"/>
    <x v="205"/>
    <x v="7"/>
    <d v="2024-01-08T00:00:00"/>
    <d v="1899-12-30T02:00:00"/>
    <n v="12"/>
    <n v="0"/>
  </r>
  <r>
    <d v="2024-01-08T02:00:00"/>
    <x v="1"/>
    <x v="2"/>
    <n v="1011"/>
    <x v="1"/>
    <n v="15"/>
    <n v="3825"/>
    <n v="57375"/>
    <x v="180"/>
    <n v="72"/>
    <x v="155"/>
    <x v="7"/>
    <d v="2024-01-08T00:00:00"/>
    <d v="1899-12-30T02:00:00"/>
    <n v="9"/>
    <n v="0"/>
  </r>
  <r>
    <d v="2024-01-08T02:00:00"/>
    <x v="1"/>
    <x v="5"/>
    <n v="1011"/>
    <x v="1"/>
    <n v="40"/>
    <n v="3300"/>
    <n v="132000"/>
    <x v="189"/>
    <n v="120"/>
    <x v="214"/>
    <x v="7"/>
    <d v="2024-01-08T00:00:00"/>
    <d v="1899-12-30T02:00:00"/>
    <n v="8"/>
    <n v="0"/>
  </r>
  <r>
    <d v="2024-01-08T02:00:00"/>
    <x v="1"/>
    <x v="9"/>
    <n v="1011"/>
    <x v="1"/>
    <n v="18"/>
    <n v="3750"/>
    <n v="67500"/>
    <x v="182"/>
    <n v="96"/>
    <x v="215"/>
    <x v="7"/>
    <d v="2024-01-08T00:00:00"/>
    <d v="1899-12-30T02:00:00"/>
    <n v="14"/>
    <n v="0"/>
  </r>
  <r>
    <d v="2024-01-08T02:00:00"/>
    <x v="1"/>
    <x v="8"/>
    <n v="1011"/>
    <x v="1"/>
    <n v="30"/>
    <n v="3650"/>
    <n v="109500"/>
    <x v="179"/>
    <n v="96"/>
    <x v="173"/>
    <x v="7"/>
    <d v="2024-01-08T00:00:00"/>
    <d v="1899-12-30T02:00:00"/>
    <n v="7"/>
    <n v="0"/>
  </r>
  <r>
    <d v="2024-01-08T02:00:00"/>
    <x v="1"/>
    <x v="10"/>
    <n v="1011"/>
    <x v="1"/>
    <n v="26"/>
    <n v="3750"/>
    <n v="97500"/>
    <x v="170"/>
    <n v="96"/>
    <x v="202"/>
    <x v="7"/>
    <d v="2024-01-08T00:00:00"/>
    <d v="1899-12-30T02:00:00"/>
    <n v="16"/>
    <n v="0"/>
  </r>
  <r>
    <d v="2024-01-08T03:00:00"/>
    <x v="0"/>
    <x v="0"/>
    <n v="8"/>
    <x v="3"/>
    <n v="400"/>
    <n v="1350"/>
    <n v="540000"/>
    <x v="161"/>
    <n v="48"/>
    <x v="151"/>
    <x v="7"/>
    <d v="2024-01-08T00:00:00"/>
    <d v="1899-12-30T03:00:00"/>
    <n v="4"/>
    <n v="0"/>
  </r>
  <r>
    <d v="2024-01-08T04:00:00"/>
    <x v="0"/>
    <x v="12"/>
    <n v="16"/>
    <x v="0"/>
    <n v="2000"/>
    <n v="120"/>
    <n v="240000"/>
    <x v="184"/>
    <n v="24"/>
    <x v="134"/>
    <x v="7"/>
    <d v="2024-01-08T00:00:00"/>
    <d v="1899-12-30T04:00:00"/>
    <n v="5"/>
    <n v="0"/>
  </r>
  <r>
    <d v="2024-01-08T04:00:00"/>
    <x v="0"/>
    <x v="13"/>
    <n v="15"/>
    <x v="0"/>
    <n v="1800"/>
    <n v="140"/>
    <n v="252000"/>
    <x v="169"/>
    <n v="72"/>
    <x v="201"/>
    <x v="7"/>
    <d v="2024-01-08T00:00:00"/>
    <d v="1899-12-30T04:00:00"/>
    <n v="2"/>
    <n v="0"/>
  </r>
  <r>
    <d v="2024-01-08T08:00:00"/>
    <x v="2"/>
    <x v="4"/>
    <n v="2001"/>
    <x v="2"/>
    <n v="12"/>
    <n v="7100"/>
    <n v="85200"/>
    <x v="190"/>
    <n v="144"/>
    <x v="220"/>
    <x v="7"/>
    <d v="2024-01-08T00:00:00"/>
    <d v="1899-12-30T08:00:00"/>
    <n v="10"/>
    <n v="0"/>
  </r>
  <r>
    <d v="2024-01-08T08:00:00"/>
    <x v="2"/>
    <x v="1"/>
    <n v="2001"/>
    <x v="1"/>
    <n v="30"/>
    <n v="3500"/>
    <n v="105000"/>
    <x v="180"/>
    <n v="132"/>
    <x v="221"/>
    <x v="7"/>
    <d v="2024-01-08T00:00:00"/>
    <d v="1899-12-30T08:00:00"/>
    <n v="13"/>
    <n v="0"/>
  </r>
  <r>
    <d v="2024-01-08T08:00:00"/>
    <x v="2"/>
    <x v="7"/>
    <n v="2001"/>
    <x v="2"/>
    <n v="28"/>
    <n v="6750"/>
    <n v="189000"/>
    <x v="179"/>
    <n v="120"/>
    <x v="222"/>
    <x v="7"/>
    <d v="2024-01-08T00:00:00"/>
    <d v="1899-12-30T08:00:00"/>
    <n v="12"/>
    <n v="0"/>
  </r>
  <r>
    <d v="2024-01-08T08:00:00"/>
    <x v="2"/>
    <x v="10"/>
    <n v="2001"/>
    <x v="2"/>
    <n v="30"/>
    <n v="6650"/>
    <n v="199500"/>
    <x v="181"/>
    <n v="132"/>
    <x v="223"/>
    <x v="7"/>
    <d v="2024-01-08T00:00:00"/>
    <d v="1899-12-30T08:00:00"/>
    <n v="16"/>
    <n v="0"/>
  </r>
  <r>
    <d v="2024-01-08T08:00:00"/>
    <x v="2"/>
    <x v="4"/>
    <n v="2001"/>
    <x v="1"/>
    <n v="30"/>
    <n v="4200"/>
    <n v="126000"/>
    <x v="172"/>
    <n v="132"/>
    <x v="213"/>
    <x v="7"/>
    <d v="2024-01-08T00:00:00"/>
    <d v="1899-12-30T08:00:00"/>
    <n v="10"/>
    <n v="0"/>
  </r>
  <r>
    <d v="2024-01-08T08:00:00"/>
    <x v="2"/>
    <x v="3"/>
    <n v="2001"/>
    <x v="1"/>
    <n v="40"/>
    <n v="4000"/>
    <n v="160000"/>
    <x v="182"/>
    <n v="132"/>
    <x v="224"/>
    <x v="7"/>
    <d v="2024-01-08T00:00:00"/>
    <d v="1899-12-30T08:00:00"/>
    <n v="11"/>
    <n v="0"/>
  </r>
  <r>
    <d v="2024-01-08T08:00:00"/>
    <x v="2"/>
    <x v="2"/>
    <n v="2001"/>
    <x v="1"/>
    <n v="50"/>
    <n v="3980"/>
    <n v="199000"/>
    <x v="179"/>
    <n v="72"/>
    <x v="173"/>
    <x v="7"/>
    <d v="2024-01-08T00:00:00"/>
    <d v="1899-12-30T08:00:00"/>
    <n v="9"/>
    <n v="0"/>
  </r>
  <r>
    <d v="2024-01-08T08:00:00"/>
    <x v="2"/>
    <x v="6"/>
    <n v="2001"/>
    <x v="1"/>
    <n v="30"/>
    <n v="3850"/>
    <n v="115500"/>
    <x v="171"/>
    <n v="120"/>
    <x v="225"/>
    <x v="7"/>
    <d v="2024-01-08T00:00:00"/>
    <d v="1899-12-30T08:00:00"/>
    <n v="15"/>
    <n v="0"/>
  </r>
  <r>
    <d v="2024-01-08T08:00:00"/>
    <x v="2"/>
    <x v="6"/>
    <n v="2001"/>
    <x v="2"/>
    <n v="35"/>
    <n v="6900"/>
    <n v="241500"/>
    <x v="171"/>
    <n v="54"/>
    <x v="136"/>
    <x v="7"/>
    <d v="2024-01-08T00:00:00"/>
    <d v="1899-12-30T08:00:00"/>
    <n v="15"/>
    <n v="0"/>
  </r>
  <r>
    <d v="2024-01-08T08:00:00"/>
    <x v="2"/>
    <x v="9"/>
    <n v="2001"/>
    <x v="1"/>
    <n v="30"/>
    <n v="3750"/>
    <n v="112500"/>
    <x v="184"/>
    <n v="132"/>
    <x v="226"/>
    <x v="7"/>
    <d v="2024-01-08T00:00:00"/>
    <d v="1899-12-30T08:00:00"/>
    <n v="14"/>
    <n v="0"/>
  </r>
  <r>
    <d v="2024-01-08T08:00:00"/>
    <x v="2"/>
    <x v="7"/>
    <n v="2001"/>
    <x v="1"/>
    <n v="30"/>
    <n v="3800"/>
    <n v="114000"/>
    <x v="174"/>
    <n v="120"/>
    <x v="214"/>
    <x v="7"/>
    <d v="2024-01-08T00:00:00"/>
    <d v="1899-12-30T08:00:00"/>
    <n v="12"/>
    <n v="0"/>
  </r>
  <r>
    <d v="2024-01-08T08:00:00"/>
    <x v="2"/>
    <x v="9"/>
    <n v="2001"/>
    <x v="2"/>
    <n v="16"/>
    <n v="6650"/>
    <n v="106400"/>
    <x v="183"/>
    <n v="132"/>
    <x v="227"/>
    <x v="7"/>
    <d v="2024-01-08T00:00:00"/>
    <d v="1899-12-30T08:00:00"/>
    <n v="14"/>
    <n v="0"/>
  </r>
  <r>
    <d v="2024-01-08T08:00:00"/>
    <x v="2"/>
    <x v="3"/>
    <n v="2001"/>
    <x v="2"/>
    <n v="14"/>
    <n v="6650"/>
    <n v="93100"/>
    <x v="182"/>
    <n v="132"/>
    <x v="224"/>
    <x v="7"/>
    <d v="2024-01-08T00:00:00"/>
    <d v="1899-12-30T08:00:00"/>
    <n v="11"/>
    <n v="0"/>
  </r>
  <r>
    <d v="2024-01-08T08:00:00"/>
    <x v="2"/>
    <x v="2"/>
    <n v="2001"/>
    <x v="2"/>
    <n v="18"/>
    <n v="6650"/>
    <n v="119700"/>
    <x v="190"/>
    <n v="132"/>
    <x v="84"/>
    <x v="7"/>
    <d v="2024-01-08T00:00:00"/>
    <d v="1899-12-30T08:00:00"/>
    <n v="9"/>
    <n v="0"/>
  </r>
  <r>
    <d v="2024-01-08T08:00:00"/>
    <x v="2"/>
    <x v="5"/>
    <n v="2001"/>
    <x v="1"/>
    <n v="30"/>
    <n v="3380"/>
    <n v="101400"/>
    <x v="190"/>
    <n v="132"/>
    <x v="84"/>
    <x v="7"/>
    <d v="2024-01-08T00:00:00"/>
    <d v="1899-12-30T08:00:00"/>
    <n v="8"/>
    <n v="0"/>
  </r>
  <r>
    <d v="2024-01-08T08:00:00"/>
    <x v="2"/>
    <x v="10"/>
    <n v="2001"/>
    <x v="1"/>
    <n v="30"/>
    <n v="3750"/>
    <n v="112500"/>
    <x v="181"/>
    <n v="132"/>
    <x v="223"/>
    <x v="7"/>
    <d v="2024-01-08T00:00:00"/>
    <d v="1899-12-30T08:00:00"/>
    <n v="16"/>
    <n v="0"/>
  </r>
  <r>
    <d v="2024-01-08T08:00:00"/>
    <x v="2"/>
    <x v="5"/>
    <n v="2001"/>
    <x v="2"/>
    <n v="30"/>
    <n v="5700"/>
    <n v="171000"/>
    <x v="190"/>
    <n v="132"/>
    <x v="84"/>
    <x v="7"/>
    <d v="2024-01-08T00:00:00"/>
    <d v="1899-12-30T08:00:00"/>
    <n v="8"/>
    <n v="0"/>
  </r>
  <r>
    <d v="2024-01-08T08:00:00"/>
    <x v="2"/>
    <x v="1"/>
    <n v="2001"/>
    <x v="2"/>
    <n v="24"/>
    <n v="6400"/>
    <n v="153600"/>
    <x v="188"/>
    <n v="132"/>
    <x v="228"/>
    <x v="7"/>
    <d v="2024-01-08T00:00:00"/>
    <d v="1899-12-30T08:00:00"/>
    <n v="13"/>
    <n v="0"/>
  </r>
  <r>
    <d v="2024-01-08T08:00:00"/>
    <x v="2"/>
    <x v="8"/>
    <n v="2001"/>
    <x v="1"/>
    <n v="30"/>
    <n v="3650"/>
    <n v="109500"/>
    <x v="191"/>
    <n v="132"/>
    <x v="229"/>
    <x v="7"/>
    <d v="2024-01-08T00:00:00"/>
    <d v="1899-12-30T08:00:00"/>
    <n v="7"/>
    <n v="0"/>
  </r>
  <r>
    <d v="2024-01-08T08:00:00"/>
    <x v="2"/>
    <x v="8"/>
    <n v="2001"/>
    <x v="2"/>
    <n v="21"/>
    <n v="6650"/>
    <n v="139650"/>
    <x v="191"/>
    <n v="132"/>
    <x v="229"/>
    <x v="7"/>
    <d v="2024-01-08T00:00:00"/>
    <d v="1899-12-30T08:00:00"/>
    <n v="7"/>
    <n v="0"/>
  </r>
  <r>
    <d v="2024-01-08T11:00:00"/>
    <x v="1"/>
    <x v="8"/>
    <n v="1007"/>
    <x v="1"/>
    <n v="30"/>
    <n v="3650"/>
    <n v="109500"/>
    <x v="110"/>
    <n v="96"/>
    <x v="230"/>
    <x v="7"/>
    <d v="2024-01-08T00:00:00"/>
    <d v="1899-12-30T11:00:00"/>
    <n v="7"/>
    <n v="0"/>
  </r>
  <r>
    <d v="2024-01-08T11:00:00"/>
    <x v="1"/>
    <x v="2"/>
    <n v="1007"/>
    <x v="1"/>
    <n v="15"/>
    <n v="3900"/>
    <n v="58500"/>
    <x v="174"/>
    <n v="72"/>
    <x v="205"/>
    <x v="7"/>
    <d v="2024-01-08T00:00:00"/>
    <d v="1899-12-30T11:00:00"/>
    <n v="9"/>
    <n v="0"/>
  </r>
  <r>
    <d v="2024-01-08T11:00:00"/>
    <x v="0"/>
    <x v="14"/>
    <n v="12"/>
    <x v="0"/>
    <n v="2700"/>
    <n v="120"/>
    <n v="324000"/>
    <x v="174"/>
    <n v="72"/>
    <x v="205"/>
    <x v="7"/>
    <d v="2024-01-08T00:00:00"/>
    <d v="1899-12-30T11:00:00"/>
    <n v="3"/>
    <n v="0"/>
  </r>
  <r>
    <d v="2024-01-08T11:00:00"/>
    <x v="1"/>
    <x v="1"/>
    <n v="1007"/>
    <x v="1"/>
    <n v="30"/>
    <n v="3750"/>
    <n v="112500"/>
    <x v="192"/>
    <n v="96"/>
    <x v="231"/>
    <x v="7"/>
    <d v="2024-01-08T00:00:00"/>
    <d v="1899-12-30T11:00:00"/>
    <n v="13"/>
    <n v="0"/>
  </r>
  <r>
    <d v="2024-01-08T11:00:00"/>
    <x v="1"/>
    <x v="9"/>
    <n v="1007"/>
    <x v="1"/>
    <n v="30"/>
    <n v="3750"/>
    <n v="112500"/>
    <x v="110"/>
    <n v="96"/>
    <x v="218"/>
    <x v="7"/>
    <d v="2024-01-08T00:00:00"/>
    <d v="1899-12-30T11:00:00"/>
    <n v="14"/>
    <n v="0"/>
  </r>
  <r>
    <d v="2024-01-08T11:00:00"/>
    <x v="1"/>
    <x v="5"/>
    <n v="1007"/>
    <x v="1"/>
    <n v="30"/>
    <n v="3600"/>
    <n v="108000"/>
    <x v="190"/>
    <n v="96"/>
    <x v="209"/>
    <x v="7"/>
    <d v="2024-01-08T00:00:00"/>
    <d v="1899-12-30T11:00:00"/>
    <n v="8"/>
    <n v="0"/>
  </r>
  <r>
    <d v="2024-01-08T11:00:00"/>
    <x v="1"/>
    <x v="7"/>
    <n v="1007"/>
    <x v="1"/>
    <n v="15"/>
    <n v="4000"/>
    <n v="60000"/>
    <x v="174"/>
    <n v="60"/>
    <x v="147"/>
    <x v="7"/>
    <d v="2024-01-08T00:00:00"/>
    <d v="1899-12-30T11:00:00"/>
    <n v="12"/>
    <n v="0"/>
  </r>
  <r>
    <d v="2024-01-08T11:00:00"/>
    <x v="1"/>
    <x v="3"/>
    <n v="1007"/>
    <x v="1"/>
    <n v="30"/>
    <n v="4000"/>
    <n v="120000"/>
    <x v="183"/>
    <n v="96"/>
    <x v="170"/>
    <x v="7"/>
    <d v="2024-01-08T00:00:00"/>
    <d v="1899-12-30T11:00:00"/>
    <n v="11"/>
    <n v="0"/>
  </r>
  <r>
    <d v="2024-01-08T11:00:00"/>
    <x v="1"/>
    <x v="6"/>
    <n v="1007"/>
    <x v="1"/>
    <n v="30"/>
    <n v="3850"/>
    <n v="115500"/>
    <x v="182"/>
    <n v="92"/>
    <x v="215"/>
    <x v="7"/>
    <d v="2024-01-08T00:00:00"/>
    <d v="1899-12-30T11:00:00"/>
    <n v="15"/>
    <n v="0"/>
  </r>
  <r>
    <d v="2024-01-08T11:00:00"/>
    <x v="1"/>
    <x v="10"/>
    <n v="1007"/>
    <x v="1"/>
    <n v="30"/>
    <n v="3750"/>
    <n v="112500"/>
    <x v="172"/>
    <n v="96"/>
    <x v="204"/>
    <x v="7"/>
    <d v="2024-01-08T00:00:00"/>
    <d v="1899-12-30T11:00:00"/>
    <n v="16"/>
    <n v="0"/>
  </r>
  <r>
    <d v="2024-01-08T14:00:00"/>
    <x v="0"/>
    <x v="14"/>
    <n v="12"/>
    <x v="3"/>
    <n v="100"/>
    <n v="1130"/>
    <n v="113000"/>
    <x v="158"/>
    <n v="72"/>
    <x v="176"/>
    <x v="7"/>
    <d v="2024-01-08T00:00:00"/>
    <d v="1899-12-30T14:00:00"/>
    <n v="3"/>
    <n v="0"/>
  </r>
  <r>
    <d v="2024-01-08T15:00:00"/>
    <x v="0"/>
    <x v="11"/>
    <n v="11"/>
    <x v="0"/>
    <n v="1944"/>
    <n v="100"/>
    <n v="194400"/>
    <x v="177"/>
    <n v="72"/>
    <x v="232"/>
    <x v="7"/>
    <d v="2024-01-08T00:00:00"/>
    <d v="1899-12-30T15:00:00"/>
    <n v="6"/>
    <n v="0"/>
  </r>
  <r>
    <d v="2024-01-08T17:00:00"/>
    <x v="1"/>
    <x v="6"/>
    <n v="1007"/>
    <x v="2"/>
    <n v="15"/>
    <n v="6650"/>
    <n v="99750"/>
    <x v="144"/>
    <n v="72"/>
    <x v="159"/>
    <x v="7"/>
    <d v="2024-01-08T00:00:00"/>
    <d v="1899-12-30T17:00:00"/>
    <n v="15"/>
    <n v="0"/>
  </r>
  <r>
    <d v="2024-01-08T17:00:00"/>
    <x v="1"/>
    <x v="1"/>
    <n v="1007"/>
    <x v="2"/>
    <n v="11"/>
    <n v="6400"/>
    <n v="70400"/>
    <x v="193"/>
    <n v="96"/>
    <x v="212"/>
    <x v="7"/>
    <d v="2024-01-08T00:00:00"/>
    <d v="1899-12-30T17:00:00"/>
    <n v="13"/>
    <n v="0"/>
  </r>
  <r>
    <d v="2024-01-08T17:00:00"/>
    <x v="1"/>
    <x v="7"/>
    <n v="1007"/>
    <x v="2"/>
    <n v="13"/>
    <n v="6900"/>
    <n v="89700"/>
    <x v="158"/>
    <n v="84"/>
    <x v="176"/>
    <x v="7"/>
    <d v="2024-01-08T00:00:00"/>
    <d v="1899-12-30T17:00:00"/>
    <n v="12"/>
    <n v="0"/>
  </r>
  <r>
    <d v="2024-01-08T17:00:00"/>
    <x v="0"/>
    <x v="0"/>
    <n v="8"/>
    <x v="0"/>
    <n v="2000"/>
    <n v="110"/>
    <n v="220000"/>
    <x v="177"/>
    <n v="48"/>
    <x v="182"/>
    <x v="7"/>
    <d v="2024-01-08T00:00:00"/>
    <d v="1899-12-30T17:00:00"/>
    <n v="4"/>
    <n v="0"/>
  </r>
  <r>
    <d v="2024-01-08T17:00:00"/>
    <x v="1"/>
    <x v="5"/>
    <n v="1007"/>
    <x v="2"/>
    <n v="20"/>
    <n v="5350"/>
    <n v="107000"/>
    <x v="192"/>
    <n v="96"/>
    <x v="231"/>
    <x v="7"/>
    <d v="2024-01-08T00:00:00"/>
    <d v="1899-12-30T17:00:00"/>
    <n v="8"/>
    <n v="0"/>
  </r>
  <r>
    <d v="2024-01-08T17:00:00"/>
    <x v="1"/>
    <x v="10"/>
    <n v="1007"/>
    <x v="2"/>
    <n v="17"/>
    <n v="6650"/>
    <n v="113050"/>
    <x v="194"/>
    <n v="96"/>
    <x v="230"/>
    <x v="7"/>
    <d v="2024-01-08T00:00:00"/>
    <d v="1899-12-30T17:00:00"/>
    <n v="16"/>
    <n v="0"/>
  </r>
  <r>
    <d v="2024-01-08T17:00:00"/>
    <x v="1"/>
    <x v="8"/>
    <n v="1007"/>
    <x v="2"/>
    <n v="10"/>
    <n v="6650"/>
    <n v="66500"/>
    <x v="195"/>
    <n v="96"/>
    <x v="192"/>
    <x v="7"/>
    <d v="2024-01-08T00:00:00"/>
    <d v="1899-12-30T17:00:00"/>
    <n v="7"/>
    <n v="0"/>
  </r>
  <r>
    <d v="2024-01-08T17:00:00"/>
    <x v="0"/>
    <x v="13"/>
    <n v="15"/>
    <x v="3"/>
    <n v="240"/>
    <n v="1400"/>
    <n v="336000"/>
    <x v="184"/>
    <n v="24"/>
    <x v="134"/>
    <x v="7"/>
    <d v="2024-01-08T00:00:00"/>
    <d v="1899-12-30T17:00:00"/>
    <n v="2"/>
    <n v="0"/>
  </r>
  <r>
    <d v="2024-01-08T17:00:00"/>
    <x v="0"/>
    <x v="13"/>
    <n v="15"/>
    <x v="3"/>
    <n v="240"/>
    <n v="1400"/>
    <n v="336000"/>
    <x v="184"/>
    <n v="24"/>
    <x v="134"/>
    <x v="7"/>
    <d v="2024-01-08T00:00:00"/>
    <d v="1899-12-30T17:00:00"/>
    <n v="2"/>
    <n v="0"/>
  </r>
  <r>
    <d v="2024-01-08T17:00:00"/>
    <x v="1"/>
    <x v="2"/>
    <n v="1007"/>
    <x v="2"/>
    <n v="7"/>
    <n v="6650"/>
    <n v="46550"/>
    <x v="196"/>
    <n v="96"/>
    <x v="233"/>
    <x v="7"/>
    <d v="2024-01-08T00:00:00"/>
    <d v="1899-12-30T17:00:00"/>
    <n v="9"/>
    <n v="0"/>
  </r>
  <r>
    <d v="2024-01-08T17:00:00"/>
    <x v="1"/>
    <x v="9"/>
    <n v="1007"/>
    <x v="2"/>
    <n v="6"/>
    <n v="6650"/>
    <n v="39900"/>
    <x v="197"/>
    <n v="96"/>
    <x v="196"/>
    <x v="7"/>
    <d v="2024-01-08T00:00:00"/>
    <d v="1899-12-30T17:00:00"/>
    <n v="14"/>
    <n v="0"/>
  </r>
  <r>
    <d v="2024-01-08T20:00:00"/>
    <x v="2"/>
    <x v="10"/>
    <n v="2002"/>
    <x v="1"/>
    <n v="30"/>
    <n v="3750"/>
    <n v="112500"/>
    <x v="144"/>
    <n v="132"/>
    <x v="234"/>
    <x v="7"/>
    <d v="2024-01-08T00:00:00"/>
    <d v="1899-12-30T20:00:00"/>
    <n v="16"/>
    <n v="0"/>
  </r>
  <r>
    <d v="2024-01-08T20:00:00"/>
    <x v="2"/>
    <x v="7"/>
    <n v="2002"/>
    <x v="1"/>
    <n v="30"/>
    <n v="3800"/>
    <n v="114000"/>
    <x v="110"/>
    <n v="120"/>
    <x v="235"/>
    <x v="7"/>
    <d v="2024-01-08T00:00:00"/>
    <d v="1899-12-30T20:00:00"/>
    <n v="12"/>
    <n v="0"/>
  </r>
  <r>
    <d v="2024-01-08T20:00:00"/>
    <x v="2"/>
    <x v="7"/>
    <n v="2002"/>
    <x v="2"/>
    <n v="26"/>
    <n v="6750"/>
    <n v="175500"/>
    <x v="186"/>
    <n v="120"/>
    <x v="236"/>
    <x v="7"/>
    <d v="2024-01-08T00:00:00"/>
    <d v="1899-12-30T20:00:00"/>
    <n v="12"/>
    <n v="0"/>
  </r>
  <r>
    <d v="2024-01-08T20:00:00"/>
    <x v="2"/>
    <x v="1"/>
    <n v="2002"/>
    <x v="2"/>
    <n v="22"/>
    <n v="6400"/>
    <n v="140800"/>
    <x v="196"/>
    <n v="132"/>
    <x v="237"/>
    <x v="7"/>
    <d v="2024-01-08T00:00:00"/>
    <d v="1899-12-30T20:00:00"/>
    <n v="13"/>
    <n v="0"/>
  </r>
  <r>
    <d v="2024-01-08T20:00:00"/>
    <x v="2"/>
    <x v="5"/>
    <n v="2002"/>
    <x v="2"/>
    <n v="30"/>
    <n v="5700"/>
    <n v="171000"/>
    <x v="196"/>
    <n v="132"/>
    <x v="237"/>
    <x v="7"/>
    <d v="2024-01-08T00:00:00"/>
    <d v="1899-12-30T20:00:00"/>
    <n v="8"/>
    <n v="0"/>
  </r>
  <r>
    <d v="2024-01-08T20:00:00"/>
    <x v="2"/>
    <x v="1"/>
    <n v="2002"/>
    <x v="1"/>
    <n v="30"/>
    <n v="3500"/>
    <n v="105000"/>
    <x v="198"/>
    <n v="132"/>
    <x v="238"/>
    <x v="7"/>
    <d v="2024-01-08T00:00:00"/>
    <d v="1899-12-30T20:00:00"/>
    <n v="13"/>
    <n v="0"/>
  </r>
  <r>
    <d v="2024-01-08T20:00:00"/>
    <x v="2"/>
    <x v="8"/>
    <n v="2002"/>
    <x v="2"/>
    <n v="19"/>
    <n v="6650"/>
    <n v="126350"/>
    <x v="193"/>
    <n v="132"/>
    <x v="220"/>
    <x v="7"/>
    <d v="2024-01-08T00:00:00"/>
    <d v="1899-12-30T20:00:00"/>
    <n v="7"/>
    <n v="0"/>
  </r>
  <r>
    <d v="2024-01-08T20:00:00"/>
    <x v="2"/>
    <x v="6"/>
    <n v="2002"/>
    <x v="2"/>
    <n v="34"/>
    <n v="6900"/>
    <n v="234600"/>
    <x v="191"/>
    <n v="54"/>
    <x v="157"/>
    <x v="7"/>
    <d v="2024-01-08T00:00:00"/>
    <d v="1899-12-30T20:00:00"/>
    <n v="15"/>
    <n v="0"/>
  </r>
  <r>
    <d v="2024-01-08T20:00:00"/>
    <x v="2"/>
    <x v="2"/>
    <n v="2002"/>
    <x v="2"/>
    <n v="13"/>
    <n v="6650"/>
    <n v="86450"/>
    <x v="199"/>
    <n v="132"/>
    <x v="239"/>
    <x v="7"/>
    <d v="2024-01-08T00:00:00"/>
    <d v="1899-12-30T20:00:00"/>
    <n v="9"/>
    <n v="0"/>
  </r>
  <r>
    <d v="2024-01-08T20:00:00"/>
    <x v="2"/>
    <x v="8"/>
    <n v="2002"/>
    <x v="1"/>
    <n v="30"/>
    <n v="3650"/>
    <n v="109500"/>
    <x v="200"/>
    <n v="132"/>
    <x v="240"/>
    <x v="7"/>
    <d v="2024-01-08T00:00:00"/>
    <d v="1899-12-30T20:00:00"/>
    <n v="7"/>
    <n v="0"/>
  </r>
  <r>
    <d v="2024-01-08T20:00:00"/>
    <x v="2"/>
    <x v="10"/>
    <n v="2002"/>
    <x v="2"/>
    <n v="29"/>
    <n v="6650"/>
    <n v="192850"/>
    <x v="194"/>
    <n v="132"/>
    <x v="241"/>
    <x v="7"/>
    <d v="2024-01-08T00:00:00"/>
    <d v="1899-12-30T20:00:00"/>
    <n v="16"/>
    <n v="0"/>
  </r>
  <r>
    <d v="2024-01-08T20:00:00"/>
    <x v="2"/>
    <x v="5"/>
    <n v="2002"/>
    <x v="1"/>
    <n v="30"/>
    <n v="3380"/>
    <n v="101400"/>
    <x v="196"/>
    <n v="132"/>
    <x v="237"/>
    <x v="7"/>
    <d v="2024-01-08T00:00:00"/>
    <d v="1899-12-30T20:00:00"/>
    <n v="8"/>
    <n v="0"/>
  </r>
  <r>
    <d v="2024-01-08T20:00:00"/>
    <x v="2"/>
    <x v="9"/>
    <n v="2002"/>
    <x v="2"/>
    <n v="17"/>
    <n v="6650"/>
    <n v="113050"/>
    <x v="198"/>
    <n v="132"/>
    <x v="238"/>
    <x v="7"/>
    <d v="2024-01-08T00:00:00"/>
    <d v="1899-12-30T20:00:00"/>
    <n v="14"/>
    <n v="0"/>
  </r>
  <r>
    <d v="2024-01-08T20:00:00"/>
    <x v="2"/>
    <x v="6"/>
    <n v="2002"/>
    <x v="1"/>
    <n v="50"/>
    <n v="3750"/>
    <n v="187500"/>
    <x v="195"/>
    <n v="132"/>
    <x v="82"/>
    <x v="7"/>
    <d v="2024-01-08T00:00:00"/>
    <d v="1899-12-30T20:00:00"/>
    <n v="15"/>
    <n v="0"/>
  </r>
  <r>
    <d v="2024-01-08T20:00:00"/>
    <x v="2"/>
    <x v="4"/>
    <n v="2002"/>
    <x v="1"/>
    <n v="30"/>
    <n v="4200"/>
    <n v="126000"/>
    <x v="201"/>
    <n v="132"/>
    <x v="242"/>
    <x v="7"/>
    <d v="2024-01-08T00:00:00"/>
    <d v="1899-12-30T20:00:00"/>
    <n v="10"/>
    <n v="0"/>
  </r>
  <r>
    <d v="2024-01-08T20:00:00"/>
    <x v="2"/>
    <x v="3"/>
    <n v="2002"/>
    <x v="1"/>
    <n v="40"/>
    <n v="4000"/>
    <n v="160000"/>
    <x v="201"/>
    <n v="132"/>
    <x v="242"/>
    <x v="7"/>
    <d v="2024-01-08T00:00:00"/>
    <d v="1899-12-30T20:00:00"/>
    <n v="11"/>
    <n v="0"/>
  </r>
  <r>
    <d v="2024-01-08T20:00:00"/>
    <x v="2"/>
    <x v="3"/>
    <n v="2002"/>
    <x v="2"/>
    <n v="15"/>
    <n v="6650"/>
    <n v="99750"/>
    <x v="193"/>
    <n v="132"/>
    <x v="220"/>
    <x v="7"/>
    <d v="2024-01-08T00:00:00"/>
    <d v="1899-12-30T20:00:00"/>
    <n v="11"/>
    <n v="0"/>
  </r>
  <r>
    <d v="2024-01-08T20:00:00"/>
    <x v="2"/>
    <x v="9"/>
    <n v="2002"/>
    <x v="1"/>
    <n v="30"/>
    <n v="3750"/>
    <n v="112500"/>
    <x v="195"/>
    <n v="132"/>
    <x v="82"/>
    <x v="7"/>
    <d v="2024-01-08T00:00:00"/>
    <d v="1899-12-30T20:00:00"/>
    <n v="14"/>
    <n v="0"/>
  </r>
  <r>
    <d v="2024-01-08T20:00:00"/>
    <x v="2"/>
    <x v="2"/>
    <n v="2002"/>
    <x v="1"/>
    <n v="50"/>
    <n v="3980"/>
    <n v="199000"/>
    <x v="202"/>
    <n v="72"/>
    <x v="175"/>
    <x v="7"/>
    <d v="2024-01-08T00:00:00"/>
    <d v="1899-12-30T20:00:00"/>
    <n v="9"/>
    <n v="0"/>
  </r>
  <r>
    <d v="2024-01-08T21:00:00"/>
    <x v="0"/>
    <x v="15"/>
    <n v="10"/>
    <x v="3"/>
    <n v="300"/>
    <n v="1600"/>
    <n v="480000"/>
    <x v="191"/>
    <n v="72"/>
    <x v="174"/>
    <x v="7"/>
    <d v="2024-01-08T00:00:00"/>
    <d v="1899-12-30T21:00:00"/>
    <n v="1"/>
    <n v="0"/>
  </r>
  <r>
    <d v="2024-01-08T22:00:00"/>
    <x v="1"/>
    <x v="9"/>
    <n v="1002"/>
    <x v="1"/>
    <n v="25"/>
    <n v="3750"/>
    <n v="93750"/>
    <x v="162"/>
    <n v="96"/>
    <x v="190"/>
    <x v="7"/>
    <d v="2024-01-08T00:00:00"/>
    <d v="1899-12-30T22:00:00"/>
    <n v="14"/>
    <n v="0"/>
  </r>
  <r>
    <d v="2024-01-08T22:00:00"/>
    <x v="1"/>
    <x v="3"/>
    <n v="1002"/>
    <x v="1"/>
    <n v="19"/>
    <n v="4000"/>
    <n v="76000"/>
    <x v="162"/>
    <n v="96"/>
    <x v="190"/>
    <x v="7"/>
    <d v="2024-01-08T00:00:00"/>
    <d v="1899-12-30T22:00:00"/>
    <n v="11"/>
    <n v="0"/>
  </r>
  <r>
    <d v="2024-01-08T22:00:00"/>
    <x v="1"/>
    <x v="8"/>
    <n v="1002"/>
    <x v="1"/>
    <n v="30"/>
    <n v="3650"/>
    <n v="109500"/>
    <x v="162"/>
    <n v="96"/>
    <x v="190"/>
    <x v="7"/>
    <d v="2024-01-08T00:00:00"/>
    <d v="1899-12-30T22:00:00"/>
    <n v="7"/>
    <n v="0"/>
  </r>
  <r>
    <d v="2024-01-08T22:00:00"/>
    <x v="1"/>
    <x v="6"/>
    <n v="1003"/>
    <x v="2"/>
    <n v="3"/>
    <n v="6650"/>
    <n v="19950"/>
    <x v="195"/>
    <n v="72"/>
    <x v="200"/>
    <x v="7"/>
    <d v="2024-01-08T00:00:00"/>
    <d v="1899-12-30T22:00:00"/>
    <n v="15"/>
    <n v="0"/>
  </r>
  <r>
    <d v="2024-01-08T22:00:00"/>
    <x v="1"/>
    <x v="1"/>
    <n v="1002"/>
    <x v="1"/>
    <n v="28"/>
    <n v="3750"/>
    <n v="105000"/>
    <x v="196"/>
    <n v="96"/>
    <x v="233"/>
    <x v="7"/>
    <d v="2024-01-08T00:00:00"/>
    <d v="1899-12-30T22:00:00"/>
    <n v="13"/>
    <n v="0"/>
  </r>
  <r>
    <d v="2024-01-08T22:00:00"/>
    <x v="1"/>
    <x v="1"/>
    <n v="1003"/>
    <x v="2"/>
    <n v="3"/>
    <n v="6400"/>
    <n v="19200"/>
    <x v="196"/>
    <n v="96"/>
    <x v="233"/>
    <x v="7"/>
    <d v="2024-01-08T00:00:00"/>
    <d v="1899-12-30T22:00:00"/>
    <n v="13"/>
    <n v="0"/>
  </r>
  <r>
    <d v="2024-01-08T22:00:00"/>
    <x v="1"/>
    <x v="6"/>
    <n v="1002"/>
    <x v="1"/>
    <n v="22"/>
    <n v="3850"/>
    <n v="84700"/>
    <x v="180"/>
    <n v="92"/>
    <x v="197"/>
    <x v="7"/>
    <d v="2024-01-08T00:00:00"/>
    <d v="1899-12-30T22:00:00"/>
    <n v="15"/>
    <n v="0"/>
  </r>
  <r>
    <d v="2024-01-08T22:00:00"/>
    <x v="1"/>
    <x v="8"/>
    <n v="1003"/>
    <x v="2"/>
    <n v="2"/>
    <n v="6650"/>
    <n v="13300"/>
    <x v="195"/>
    <n v="96"/>
    <x v="192"/>
    <x v="7"/>
    <d v="2024-01-08T00:00:00"/>
    <d v="1899-12-30T22:00:00"/>
    <n v="7"/>
    <n v="0"/>
  </r>
  <r>
    <d v="2024-01-08T22:00:00"/>
    <x v="1"/>
    <x v="2"/>
    <n v="1002"/>
    <x v="1"/>
    <n v="15"/>
    <n v="3900"/>
    <n v="58500"/>
    <x v="203"/>
    <n v="72"/>
    <x v="175"/>
    <x v="7"/>
    <d v="2024-01-08T00:00:00"/>
    <d v="1899-12-30T22:00:00"/>
    <n v="9"/>
    <n v="0"/>
  </r>
  <r>
    <d v="2024-01-08T22:00:00"/>
    <x v="1"/>
    <x v="5"/>
    <n v="1002"/>
    <x v="1"/>
    <n v="30"/>
    <n v="3600"/>
    <n v="108000"/>
    <x v="178"/>
    <n v="96"/>
    <x v="223"/>
    <x v="7"/>
    <d v="2024-01-08T00:00:00"/>
    <d v="1899-12-30T22:00:00"/>
    <n v="8"/>
    <n v="0"/>
  </r>
  <r>
    <d v="2024-01-08T22:00:00"/>
    <x v="1"/>
    <x v="5"/>
    <n v="1003"/>
    <x v="2"/>
    <n v="4"/>
    <n v="5350"/>
    <n v="21400"/>
    <x v="204"/>
    <n v="96"/>
    <x v="243"/>
    <x v="7"/>
    <d v="2024-01-08T00:00:00"/>
    <d v="1899-12-30T22:00:00"/>
    <n v="8"/>
    <n v="0"/>
  </r>
  <r>
    <d v="2024-01-08T22:00:00"/>
    <x v="1"/>
    <x v="10"/>
    <n v="1002"/>
    <x v="1"/>
    <n v="30"/>
    <n v="3750"/>
    <n v="112500"/>
    <x v="201"/>
    <n v="96"/>
    <x v="189"/>
    <x v="7"/>
    <d v="2024-01-08T00:00:00"/>
    <d v="1899-12-30T22:00:00"/>
    <n v="16"/>
    <n v="0"/>
  </r>
  <r>
    <d v="2024-01-08T22:00:00"/>
    <x v="1"/>
    <x v="7"/>
    <n v="1002"/>
    <x v="1"/>
    <n v="15"/>
    <n v="4000"/>
    <n v="60000"/>
    <x v="188"/>
    <n v="60"/>
    <x v="154"/>
    <x v="7"/>
    <d v="2024-01-08T00:00:00"/>
    <d v="1899-12-30T22:00:00"/>
    <n v="12"/>
    <n v="0"/>
  </r>
  <r>
    <d v="2024-01-08T22:00:00"/>
    <x v="1"/>
    <x v="10"/>
    <n v="1003"/>
    <x v="2"/>
    <n v="4"/>
    <n v="6650"/>
    <n v="26600"/>
    <x v="180"/>
    <n v="96"/>
    <x v="197"/>
    <x v="7"/>
    <d v="2024-01-08T00:00:00"/>
    <d v="1899-12-30T22:00:00"/>
    <n v="16"/>
    <n v="0"/>
  </r>
  <r>
    <d v="2024-01-08T22:00:00"/>
    <x v="1"/>
    <x v="7"/>
    <n v="1003"/>
    <x v="2"/>
    <n v="2"/>
    <n v="6700"/>
    <n v="13400"/>
    <x v="188"/>
    <n v="96"/>
    <x v="198"/>
    <x v="7"/>
    <d v="2024-01-08T00:00:00"/>
    <d v="1899-12-30T22:00:00"/>
    <n v="12"/>
    <n v="0"/>
  </r>
  <r>
    <d v="2024-01-09T00:00:00"/>
    <x v="0"/>
    <x v="13"/>
    <n v="8"/>
    <x v="0"/>
    <n v="1000"/>
    <n v="120"/>
    <n v="120000"/>
    <x v="188"/>
    <n v="72"/>
    <x v="198"/>
    <x v="8"/>
    <d v="2024-01-09T00:00:00"/>
    <d v="1899-12-30T00:00:00"/>
    <d v="1900-01-01T00:00:00"/>
    <n v="0"/>
  </r>
  <r>
    <d v="2024-01-09T01:00:00"/>
    <x v="0"/>
    <x v="1"/>
    <n v="4"/>
    <x v="5"/>
    <n v="205"/>
    <n v="5"/>
    <n v="1025"/>
    <x v="195"/>
    <n v="72"/>
    <x v="192"/>
    <x v="8"/>
    <d v="2024-01-09T00:00:00"/>
    <d v="1899-12-30T01:00:00"/>
    <n v="13"/>
    <n v="0"/>
  </r>
  <r>
    <d v="2024-01-09T02:00:00"/>
    <x v="0"/>
    <x v="12"/>
    <n v="16"/>
    <x v="3"/>
    <n v="300"/>
    <n v="1020"/>
    <n v="306000"/>
    <x v="201"/>
    <n v="24"/>
    <x v="151"/>
    <x v="8"/>
    <d v="2024-01-09T00:00:00"/>
    <d v="1899-12-30T02:00:00"/>
    <n v="5"/>
    <n v="0"/>
  </r>
  <r>
    <d v="2024-01-09T03:00:00"/>
    <x v="0"/>
    <x v="12"/>
    <n v="16"/>
    <x v="0"/>
    <n v="1500"/>
    <n v="120"/>
    <n v="180000"/>
    <x v="193"/>
    <n v="24"/>
    <x v="141"/>
    <x v="8"/>
    <d v="2024-01-09T00:00:00"/>
    <d v="1899-12-30T03:00:00"/>
    <n v="5"/>
    <n v="0"/>
  </r>
  <r>
    <d v="2024-01-09T04:00:00"/>
    <x v="1"/>
    <x v="7"/>
    <n v="1002"/>
    <x v="2"/>
    <n v="7"/>
    <n v="6900"/>
    <n v="48300"/>
    <x v="195"/>
    <n v="84"/>
    <x v="192"/>
    <x v="8"/>
    <d v="2024-01-09T00:00:00"/>
    <d v="1899-12-30T04:00:00"/>
    <n v="12"/>
    <n v="0"/>
  </r>
  <r>
    <d v="2024-01-09T04:00:00"/>
    <x v="1"/>
    <x v="2"/>
    <n v="1002"/>
    <x v="2"/>
    <n v="3"/>
    <n v="6650"/>
    <n v="19950"/>
    <x v="205"/>
    <n v="96"/>
    <x v="206"/>
    <x v="8"/>
    <d v="2024-01-09T00:00:00"/>
    <d v="1899-12-30T04:00:00"/>
    <n v="9"/>
    <n v="0"/>
  </r>
  <r>
    <d v="2024-01-09T04:00:00"/>
    <x v="1"/>
    <x v="5"/>
    <n v="1002"/>
    <x v="2"/>
    <n v="9"/>
    <n v="5450"/>
    <n v="49050"/>
    <x v="206"/>
    <n v="96"/>
    <x v="224"/>
    <x v="8"/>
    <d v="2024-01-09T00:00:00"/>
    <d v="1899-12-30T04:00:00"/>
    <n v="8"/>
    <n v="0"/>
  </r>
  <r>
    <d v="2024-01-09T04:00:00"/>
    <x v="1"/>
    <x v="1"/>
    <n v="1002"/>
    <x v="2"/>
    <n v="4"/>
    <n v="6400"/>
    <n v="25600"/>
    <x v="178"/>
    <n v="96"/>
    <x v="208"/>
    <x v="8"/>
    <d v="2024-01-09T00:00:00"/>
    <d v="1899-12-30T04:00:00"/>
    <n v="13"/>
    <n v="0"/>
  </r>
  <r>
    <d v="2024-01-09T04:00:00"/>
    <x v="1"/>
    <x v="10"/>
    <n v="1002"/>
    <x v="2"/>
    <n v="6"/>
    <n v="6650"/>
    <n v="39900"/>
    <x v="190"/>
    <n v="96"/>
    <x v="209"/>
    <x v="8"/>
    <d v="2024-01-09T00:00:00"/>
    <d v="1899-12-30T04:00:00"/>
    <n v="16"/>
    <n v="0"/>
  </r>
  <r>
    <d v="2024-01-09T04:00:00"/>
    <x v="1"/>
    <x v="6"/>
    <n v="1002"/>
    <x v="2"/>
    <n v="8"/>
    <n v="6650"/>
    <n v="53200"/>
    <x v="207"/>
    <n v="68"/>
    <x v="201"/>
    <x v="8"/>
    <d v="2024-01-09T00:00:00"/>
    <d v="1899-12-30T04:00:00"/>
    <n v="15"/>
    <n v="0"/>
  </r>
  <r>
    <d v="2024-01-09T04:00:00"/>
    <x v="1"/>
    <x v="9"/>
    <n v="1002"/>
    <x v="2"/>
    <n v="3"/>
    <n v="6650"/>
    <n v="19950"/>
    <x v="198"/>
    <n v="96"/>
    <x v="211"/>
    <x v="8"/>
    <d v="2024-01-09T00:00:00"/>
    <d v="1899-12-30T04:00:00"/>
    <n v="14"/>
    <n v="0"/>
  </r>
  <r>
    <d v="2024-01-09T04:00:00"/>
    <x v="1"/>
    <x v="8"/>
    <n v="1002"/>
    <x v="2"/>
    <n v="5"/>
    <n v="6650"/>
    <n v="33250"/>
    <x v="198"/>
    <n v="96"/>
    <x v="211"/>
    <x v="8"/>
    <d v="2024-01-09T00:00:00"/>
    <d v="1899-12-30T04:00:00"/>
    <n v="7"/>
    <n v="0"/>
  </r>
  <r>
    <d v="2024-01-09T05:00:00"/>
    <x v="0"/>
    <x v="13"/>
    <n v="15"/>
    <x v="0"/>
    <n v="1800"/>
    <n v="140"/>
    <n v="252000"/>
    <x v="190"/>
    <n v="72"/>
    <x v="209"/>
    <x v="8"/>
    <d v="2024-01-09T00:00:00"/>
    <d v="1899-12-30T05:00:00"/>
    <n v="2"/>
    <n v="0"/>
  </r>
  <r>
    <d v="2024-01-09T07:00:00"/>
    <x v="0"/>
    <x v="13"/>
    <n v="15"/>
    <x v="3"/>
    <n v="240"/>
    <n v="1400"/>
    <n v="336000"/>
    <x v="207"/>
    <n v="48"/>
    <x v="201"/>
    <x v="8"/>
    <d v="2024-01-09T00:00:00"/>
    <d v="1899-12-30T07:00:00"/>
    <n v="2"/>
    <n v="0"/>
  </r>
  <r>
    <d v="2024-01-09T07:00:00"/>
    <x v="0"/>
    <x v="13"/>
    <n v="15"/>
    <x v="3"/>
    <n v="240"/>
    <n v="1400"/>
    <n v="336000"/>
    <x v="207"/>
    <n v="48"/>
    <x v="201"/>
    <x v="8"/>
    <d v="2024-01-09T00:00:00"/>
    <d v="1899-12-30T07:00:00"/>
    <n v="2"/>
    <n v="0"/>
  </r>
  <r>
    <d v="2024-01-09T09:00:00"/>
    <x v="1"/>
    <x v="1"/>
    <n v="1010"/>
    <x v="2"/>
    <n v="6"/>
    <n v="6400"/>
    <n v="38400"/>
    <x v="205"/>
    <n v="96"/>
    <x v="206"/>
    <x v="8"/>
    <d v="2024-01-09T00:00:00"/>
    <d v="1899-12-30T09:00:00"/>
    <n v="13"/>
    <n v="0"/>
  </r>
  <r>
    <d v="2024-01-09T09:00:00"/>
    <x v="1"/>
    <x v="10"/>
    <n v="1010"/>
    <x v="2"/>
    <n v="7"/>
    <n v="6650"/>
    <n v="46550"/>
    <x v="198"/>
    <n v="96"/>
    <x v="211"/>
    <x v="8"/>
    <d v="2024-01-09T00:00:00"/>
    <d v="1899-12-30T09:00:00"/>
    <n v="16"/>
    <n v="0"/>
  </r>
  <r>
    <d v="2024-01-09T09:00:00"/>
    <x v="1"/>
    <x v="5"/>
    <n v="1010"/>
    <x v="2"/>
    <n v="10"/>
    <n v="5450"/>
    <n v="54500"/>
    <x v="206"/>
    <n v="96"/>
    <x v="224"/>
    <x v="8"/>
    <d v="2024-01-09T00:00:00"/>
    <d v="1899-12-30T09:00:00"/>
    <n v="8"/>
    <n v="0"/>
  </r>
  <r>
    <d v="2024-01-09T09:00:00"/>
    <x v="1"/>
    <x v="9"/>
    <n v="1010"/>
    <x v="2"/>
    <n v="3"/>
    <n v="6650"/>
    <n v="19950"/>
    <x v="199"/>
    <n v="96"/>
    <x v="195"/>
    <x v="8"/>
    <d v="2024-01-09T00:00:00"/>
    <d v="1899-12-30T09:00:00"/>
    <n v="14"/>
    <n v="0"/>
  </r>
  <r>
    <d v="2024-01-09T09:00:00"/>
    <x v="1"/>
    <x v="7"/>
    <n v="1010"/>
    <x v="2"/>
    <n v="8"/>
    <n v="6900"/>
    <n v="55200"/>
    <x v="198"/>
    <n v="84"/>
    <x v="211"/>
    <x v="8"/>
    <d v="2024-01-09T00:00:00"/>
    <d v="1899-12-30T09:00:00"/>
    <n v="12"/>
    <n v="0"/>
  </r>
  <r>
    <d v="2024-01-09T09:00:00"/>
    <x v="1"/>
    <x v="8"/>
    <n v="1010"/>
    <x v="2"/>
    <n v="5"/>
    <n v="6650"/>
    <n v="33250"/>
    <x v="187"/>
    <n v="96"/>
    <x v="243"/>
    <x v="8"/>
    <d v="2024-01-09T00:00:00"/>
    <d v="1899-12-30T09:00:00"/>
    <n v="7"/>
    <n v="0"/>
  </r>
  <r>
    <d v="2024-01-09T09:00:00"/>
    <x v="1"/>
    <x v="6"/>
    <n v="1010"/>
    <x v="2"/>
    <n v="9"/>
    <n v="6650"/>
    <n v="59850"/>
    <x v="198"/>
    <n v="68"/>
    <x v="244"/>
    <x v="8"/>
    <d v="2024-01-09T00:00:00"/>
    <d v="1899-12-30T09:00:00"/>
    <n v="15"/>
    <n v="0"/>
  </r>
  <r>
    <d v="2024-01-09T09:00:00"/>
    <x v="1"/>
    <x v="2"/>
    <n v="1010"/>
    <x v="2"/>
    <n v="4"/>
    <n v="6650"/>
    <n v="26600"/>
    <x v="208"/>
    <n v="96"/>
    <x v="235"/>
    <x v="8"/>
    <d v="2024-01-09T00:00:00"/>
    <d v="1899-12-30T09:00:00"/>
    <n v="9"/>
    <n v="0"/>
  </r>
  <r>
    <d v="2024-01-09T10:00:00"/>
    <x v="1"/>
    <x v="8"/>
    <n v="1003"/>
    <x v="1"/>
    <n v="30"/>
    <n v="3650"/>
    <n v="109500"/>
    <x v="209"/>
    <n v="96"/>
    <x v="243"/>
    <x v="8"/>
    <d v="2024-01-09T00:00:00"/>
    <d v="1899-12-30T10:00:00"/>
    <n v="7"/>
    <n v="0"/>
  </r>
  <r>
    <d v="2024-01-09T10:00:00"/>
    <x v="0"/>
    <x v="3"/>
    <n v="4"/>
    <x v="5"/>
    <n v="101"/>
    <n v="15"/>
    <n v="1515"/>
    <x v="200"/>
    <n v="72"/>
    <x v="194"/>
    <x v="8"/>
    <d v="2024-01-09T00:00:00"/>
    <d v="1899-12-30T10:00:00"/>
    <n v="11"/>
    <n v="0"/>
  </r>
  <r>
    <d v="2024-01-09T10:00:00"/>
    <x v="1"/>
    <x v="3"/>
    <n v="1003"/>
    <x v="1"/>
    <n v="22"/>
    <n v="4000"/>
    <n v="88000"/>
    <x v="196"/>
    <n v="96"/>
    <x v="233"/>
    <x v="8"/>
    <d v="2024-01-09T00:00:00"/>
    <d v="1899-12-30T10:00:00"/>
    <n v="11"/>
    <n v="0"/>
  </r>
  <r>
    <d v="2024-01-09T10:00:00"/>
    <x v="1"/>
    <x v="1"/>
    <n v="1003"/>
    <x v="1"/>
    <n v="30"/>
    <n v="3750"/>
    <n v="112500"/>
    <x v="205"/>
    <n v="96"/>
    <x v="206"/>
    <x v="8"/>
    <d v="2024-01-09T00:00:00"/>
    <d v="1899-12-30T10:00:00"/>
    <n v="13"/>
    <n v="0"/>
  </r>
  <r>
    <d v="2024-01-09T10:00:00"/>
    <x v="1"/>
    <x v="5"/>
    <n v="1003"/>
    <x v="1"/>
    <n v="50"/>
    <n v="3300"/>
    <n v="165000"/>
    <x v="210"/>
    <n v="120"/>
    <x v="234"/>
    <x v="8"/>
    <d v="2024-01-09T00:00:00"/>
    <d v="1899-12-30T10:00:00"/>
    <n v="8"/>
    <n v="0"/>
  </r>
  <r>
    <d v="2024-01-09T10:00:00"/>
    <x v="1"/>
    <x v="7"/>
    <n v="1003"/>
    <x v="1"/>
    <n v="15"/>
    <n v="4000"/>
    <n v="60000"/>
    <x v="192"/>
    <n v="60"/>
    <x v="205"/>
    <x v="8"/>
    <d v="2024-01-09T00:00:00"/>
    <d v="1899-12-30T10:00:00"/>
    <n v="12"/>
    <n v="0"/>
  </r>
  <r>
    <d v="2024-01-09T10:00:00"/>
    <x v="1"/>
    <x v="2"/>
    <n v="1003"/>
    <x v="1"/>
    <n v="30"/>
    <n v="3750"/>
    <n v="112500"/>
    <x v="208"/>
    <n v="96"/>
    <x v="235"/>
    <x v="8"/>
    <d v="2024-01-09T00:00:00"/>
    <d v="1899-12-30T10:00:00"/>
    <n v="9"/>
    <n v="0"/>
  </r>
  <r>
    <d v="2024-01-09T10:00:00"/>
    <x v="1"/>
    <x v="10"/>
    <n v="1003"/>
    <x v="1"/>
    <n v="30"/>
    <n v="3750"/>
    <n v="112500"/>
    <x v="175"/>
    <n v="96"/>
    <x v="191"/>
    <x v="8"/>
    <d v="2024-01-09T00:00:00"/>
    <d v="1899-12-30T10:00:00"/>
    <n v="16"/>
    <n v="0"/>
  </r>
  <r>
    <d v="2024-01-09T10:00:00"/>
    <x v="1"/>
    <x v="6"/>
    <n v="1003"/>
    <x v="1"/>
    <n v="25"/>
    <n v="3750"/>
    <n v="93750"/>
    <x v="203"/>
    <n v="96"/>
    <x v="193"/>
    <x v="8"/>
    <d v="2024-01-09T00:00:00"/>
    <d v="1899-12-30T10:00:00"/>
    <n v="15"/>
    <n v="0"/>
  </r>
  <r>
    <d v="2024-01-09T10:00:00"/>
    <x v="1"/>
    <x v="9"/>
    <n v="1003"/>
    <x v="1"/>
    <n v="29"/>
    <n v="3750"/>
    <n v="108750"/>
    <x v="186"/>
    <n v="96"/>
    <x v="217"/>
    <x v="8"/>
    <d v="2024-01-09T00:00:00"/>
    <d v="1899-12-30T10:00:00"/>
    <n v="14"/>
    <n v="0"/>
  </r>
  <r>
    <d v="2024-01-09T11:00:00"/>
    <x v="0"/>
    <x v="0"/>
    <n v="11"/>
    <x v="0"/>
    <n v="2500"/>
    <n v="110"/>
    <n v="275000"/>
    <x v="199"/>
    <n v="72"/>
    <x v="195"/>
    <x v="8"/>
    <d v="2024-01-09T00:00:00"/>
    <d v="1899-12-30T11:00:00"/>
    <n v="4"/>
    <n v="0"/>
  </r>
  <r>
    <d v="2024-01-09T11:00:00"/>
    <x v="0"/>
    <x v="2"/>
    <n v="4"/>
    <x v="5"/>
    <n v="453"/>
    <n v="11"/>
    <n v="4983"/>
    <x v="211"/>
    <n v="48"/>
    <x v="219"/>
    <x v="8"/>
    <d v="2024-01-09T00:00:00"/>
    <d v="1899-12-30T11:00:00"/>
    <n v="9"/>
    <n v="0"/>
  </r>
  <r>
    <d v="2024-01-09T12:00:00"/>
    <x v="1"/>
    <x v="6"/>
    <n v="1010"/>
    <x v="1"/>
    <n v="20"/>
    <n v="3850"/>
    <n v="77000"/>
    <x v="187"/>
    <n v="92"/>
    <x v="243"/>
    <x v="8"/>
    <d v="2024-01-09T00:00:00"/>
    <d v="1899-12-30T12:00:00"/>
    <n v="15"/>
    <n v="0"/>
  </r>
  <r>
    <d v="2024-01-09T12:00:00"/>
    <x v="1"/>
    <x v="10"/>
    <n v="1010"/>
    <x v="1"/>
    <n v="30"/>
    <n v="3750"/>
    <n v="112500"/>
    <x v="175"/>
    <n v="96"/>
    <x v="191"/>
    <x v="8"/>
    <d v="2024-01-09T00:00:00"/>
    <d v="1899-12-30T12:00:00"/>
    <n v="16"/>
    <n v="0"/>
  </r>
  <r>
    <d v="2024-01-09T12:00:00"/>
    <x v="1"/>
    <x v="1"/>
    <n v="1010"/>
    <x v="1"/>
    <n v="26"/>
    <n v="3750"/>
    <n v="97500"/>
    <x v="212"/>
    <n v="96"/>
    <x v="207"/>
    <x v="8"/>
    <d v="2024-01-09T00:00:00"/>
    <d v="1899-12-30T12:00:00"/>
    <n v="13"/>
    <n v="0"/>
  </r>
  <r>
    <d v="2024-01-09T12:00:00"/>
    <x v="1"/>
    <x v="7"/>
    <n v="1010"/>
    <x v="1"/>
    <n v="15"/>
    <n v="4000"/>
    <n v="60000"/>
    <x v="211"/>
    <n v="60"/>
    <x v="219"/>
    <x v="8"/>
    <d v="2024-01-09T00:00:00"/>
    <d v="1899-12-30T12:00:00"/>
    <n v="12"/>
    <n v="0"/>
  </r>
  <r>
    <d v="2024-01-09T12:00:00"/>
    <x v="1"/>
    <x v="3"/>
    <n v="1010"/>
    <x v="1"/>
    <n v="17"/>
    <n v="4000"/>
    <n v="68000"/>
    <x v="186"/>
    <n v="96"/>
    <x v="217"/>
    <x v="8"/>
    <d v="2024-01-09T00:00:00"/>
    <d v="1899-12-30T12:00:00"/>
    <n v="11"/>
    <n v="0"/>
  </r>
  <r>
    <d v="2024-01-09T12:00:00"/>
    <x v="1"/>
    <x v="5"/>
    <n v="1010"/>
    <x v="1"/>
    <n v="30"/>
    <n v="3600"/>
    <n v="108000"/>
    <x v="213"/>
    <n v="96"/>
    <x v="226"/>
    <x v="8"/>
    <d v="2024-01-09T00:00:00"/>
    <d v="1899-12-30T12:00:00"/>
    <n v="8"/>
    <n v="0"/>
  </r>
  <r>
    <d v="2024-01-09T12:00:00"/>
    <x v="1"/>
    <x v="9"/>
    <n v="1010"/>
    <x v="1"/>
    <n v="23"/>
    <n v="3750"/>
    <n v="86250"/>
    <x v="168"/>
    <n v="96"/>
    <x v="225"/>
    <x v="8"/>
    <d v="2024-01-09T00:00:00"/>
    <d v="1899-12-30T12:00:00"/>
    <n v="14"/>
    <n v="0"/>
  </r>
  <r>
    <d v="2024-01-09T12:00:00"/>
    <x v="1"/>
    <x v="8"/>
    <n v="1010"/>
    <x v="1"/>
    <n v="30"/>
    <n v="3650"/>
    <n v="109500"/>
    <x v="214"/>
    <n v="96"/>
    <x v="193"/>
    <x v="8"/>
    <d v="2024-01-09T00:00:00"/>
    <d v="1899-12-30T12:00:00"/>
    <n v="7"/>
    <n v="0"/>
  </r>
  <r>
    <d v="2024-01-09T12:00:00"/>
    <x v="1"/>
    <x v="2"/>
    <n v="1010"/>
    <x v="1"/>
    <n v="15"/>
    <n v="3900"/>
    <n v="58500"/>
    <x v="211"/>
    <n v="72"/>
    <x v="243"/>
    <x v="8"/>
    <d v="2024-01-09T00:00:00"/>
    <d v="1899-12-30T12:00:00"/>
    <n v="9"/>
    <n v="3.9999999999417923"/>
  </r>
  <r>
    <d v="2024-01-09T16:00:00"/>
    <x v="2"/>
    <x v="3"/>
    <n v="2003"/>
    <x v="2"/>
    <n v="29"/>
    <n v="6650"/>
    <n v="192850"/>
    <x v="168"/>
    <n v="132"/>
    <x v="245"/>
    <x v="8"/>
    <d v="2024-01-09T00:00:00"/>
    <d v="1899-12-30T16:00:00"/>
    <n v="11"/>
    <n v="0"/>
  </r>
  <r>
    <d v="2024-01-09T16:00:00"/>
    <x v="2"/>
    <x v="4"/>
    <n v="2003"/>
    <x v="2"/>
    <n v="43"/>
    <n v="6500"/>
    <n v="279500"/>
    <x v="187"/>
    <n v="120"/>
    <x v="246"/>
    <x v="8"/>
    <d v="2024-01-09T00:00:00"/>
    <d v="1899-12-30T16:00:00"/>
    <n v="10"/>
    <n v="0"/>
  </r>
  <r>
    <d v="2024-01-09T16:00:00"/>
    <x v="2"/>
    <x v="6"/>
    <n v="2003"/>
    <x v="2"/>
    <n v="40"/>
    <n v="6900"/>
    <n v="276000"/>
    <x v="203"/>
    <n v="54"/>
    <x v="202"/>
    <x v="8"/>
    <d v="2024-01-09T00:00:00"/>
    <d v="1899-12-30T16:00:00"/>
    <n v="15"/>
    <n v="0"/>
  </r>
  <r>
    <d v="2024-01-09T16:00:00"/>
    <x v="2"/>
    <x v="6"/>
    <n v="2003"/>
    <x v="1"/>
    <n v="30"/>
    <n v="3850"/>
    <n v="115500"/>
    <x v="199"/>
    <n v="120"/>
    <x v="239"/>
    <x v="8"/>
    <d v="2024-01-09T00:00:00"/>
    <d v="1899-12-30T16:00:00"/>
    <n v="15"/>
    <n v="0"/>
  </r>
  <r>
    <d v="2024-01-09T16:00:00"/>
    <x v="2"/>
    <x v="10"/>
    <n v="2003"/>
    <x v="2"/>
    <n v="30"/>
    <n v="6650"/>
    <n v="199500"/>
    <x v="186"/>
    <n v="132"/>
    <x v="236"/>
    <x v="8"/>
    <d v="2024-01-09T00:00:00"/>
    <d v="1899-12-30T16:00:00"/>
    <n v="16"/>
    <n v="0"/>
  </r>
  <r>
    <d v="2024-01-09T16:00:00"/>
    <x v="2"/>
    <x v="4"/>
    <n v="2003"/>
    <x v="1"/>
    <n v="30"/>
    <n v="4200"/>
    <n v="126000"/>
    <x v="178"/>
    <n v="132"/>
    <x v="247"/>
    <x v="8"/>
    <d v="2024-01-09T00:00:00"/>
    <d v="1899-12-30T16:00:00"/>
    <n v="10"/>
    <n v="0"/>
  </r>
  <r>
    <d v="2024-01-09T16:00:00"/>
    <x v="2"/>
    <x v="3"/>
    <n v="2003"/>
    <x v="1"/>
    <n v="40"/>
    <n v="4200"/>
    <n v="168000"/>
    <x v="168"/>
    <n v="132"/>
    <x v="247"/>
    <x v="8"/>
    <d v="2024-01-09T00:00:00"/>
    <d v="1899-12-30T16:00:00"/>
    <n v="11"/>
    <n v="0"/>
  </r>
  <r>
    <d v="2024-01-09T16:00:00"/>
    <x v="2"/>
    <x v="7"/>
    <n v="2003"/>
    <x v="2"/>
    <n v="30"/>
    <n v="6750"/>
    <n v="202500"/>
    <x v="199"/>
    <n v="120"/>
    <x v="239"/>
    <x v="8"/>
    <d v="2024-01-09T00:00:00"/>
    <d v="1899-12-30T16:00:00"/>
    <n v="12"/>
    <n v="0"/>
  </r>
  <r>
    <d v="2024-01-09T16:00:00"/>
    <x v="2"/>
    <x v="9"/>
    <n v="2003"/>
    <x v="2"/>
    <n v="22"/>
    <n v="6650"/>
    <n v="146300"/>
    <x v="168"/>
    <n v="132"/>
    <x v="247"/>
    <x v="8"/>
    <d v="2024-01-09T00:00:00"/>
    <d v="1899-12-30T16:00:00"/>
    <n v="14"/>
    <n v="0"/>
  </r>
  <r>
    <d v="2024-01-09T16:00:00"/>
    <x v="2"/>
    <x v="10"/>
    <n v="2003"/>
    <x v="1"/>
    <n v="30"/>
    <n v="3750"/>
    <n v="112500"/>
    <x v="168"/>
    <n v="132"/>
    <x v="247"/>
    <x v="8"/>
    <d v="2024-01-09T00:00:00"/>
    <d v="1899-12-30T16:00:00"/>
    <n v="16"/>
    <n v="0"/>
  </r>
  <r>
    <d v="2024-01-09T16:00:00"/>
    <x v="2"/>
    <x v="9"/>
    <n v="2003"/>
    <x v="1"/>
    <n v="30"/>
    <n v="3750"/>
    <n v="112500"/>
    <x v="213"/>
    <n v="132"/>
    <x v="248"/>
    <x v="8"/>
    <d v="2024-01-09T00:00:00"/>
    <d v="1899-12-30T16:00:00"/>
    <n v="14"/>
    <n v="0"/>
  </r>
  <r>
    <d v="2024-01-09T16:00:00"/>
    <x v="2"/>
    <x v="8"/>
    <n v="2003"/>
    <x v="2"/>
    <n v="30"/>
    <n v="6650"/>
    <n v="199500"/>
    <x v="212"/>
    <n v="132"/>
    <x v="249"/>
    <x v="8"/>
    <d v="2024-01-09T00:00:00"/>
    <d v="1899-12-30T16:00:00"/>
    <n v="7"/>
    <n v="0"/>
  </r>
  <r>
    <d v="2024-01-09T16:00:00"/>
    <x v="2"/>
    <x v="1"/>
    <n v="2003"/>
    <x v="1"/>
    <n v="30"/>
    <n v="3500"/>
    <n v="105000"/>
    <x v="204"/>
    <n v="132"/>
    <x v="109"/>
    <x v="8"/>
    <d v="2024-01-09T00:00:00"/>
    <d v="1899-12-30T16:00:00"/>
    <n v="13"/>
    <n v="0"/>
  </r>
  <r>
    <d v="2024-01-09T16:00:00"/>
    <x v="2"/>
    <x v="1"/>
    <n v="2003"/>
    <x v="2"/>
    <n v="30"/>
    <n v="6400"/>
    <n v="192000"/>
    <x v="215"/>
    <n v="132"/>
    <x v="250"/>
    <x v="8"/>
    <d v="2024-01-09T00:00:00"/>
    <d v="1899-12-30T16:00:00"/>
    <n v="13"/>
    <n v="0"/>
  </r>
  <r>
    <d v="2024-01-09T16:00:00"/>
    <x v="2"/>
    <x v="5"/>
    <n v="2003"/>
    <x v="1"/>
    <n v="30"/>
    <n v="3380"/>
    <n v="101400"/>
    <x v="216"/>
    <n v="132"/>
    <x v="251"/>
    <x v="8"/>
    <d v="2024-01-09T00:00:00"/>
    <d v="1899-12-30T16:00:00"/>
    <n v="8"/>
    <n v="0"/>
  </r>
  <r>
    <d v="2024-01-09T16:00:00"/>
    <x v="2"/>
    <x v="2"/>
    <n v="2003"/>
    <x v="2"/>
    <n v="25"/>
    <n v="6650"/>
    <n v="166250"/>
    <x v="217"/>
    <n v="132"/>
    <x v="252"/>
    <x v="8"/>
    <d v="2024-01-09T00:00:00"/>
    <d v="1899-12-30T16:00:00"/>
    <n v="9"/>
    <n v="0"/>
  </r>
  <r>
    <d v="2024-01-09T16:00:00"/>
    <x v="2"/>
    <x v="5"/>
    <n v="2003"/>
    <x v="2"/>
    <n v="30"/>
    <n v="5700"/>
    <n v="171000"/>
    <x v="218"/>
    <n v="132"/>
    <x v="253"/>
    <x v="8"/>
    <d v="2024-01-09T00:00:00"/>
    <d v="1899-12-30T16:00:00"/>
    <n v="8"/>
    <n v="0"/>
  </r>
  <r>
    <d v="2024-01-09T16:00:00"/>
    <x v="2"/>
    <x v="2"/>
    <n v="2003"/>
    <x v="1"/>
    <n v="50"/>
    <n v="3980"/>
    <n v="199000"/>
    <x v="216"/>
    <n v="96"/>
    <x v="228"/>
    <x v="8"/>
    <d v="2024-01-09T00:00:00"/>
    <d v="1899-12-30T16:00:00"/>
    <n v="9"/>
    <n v="0"/>
  </r>
  <r>
    <d v="2024-01-09T16:00:00"/>
    <x v="2"/>
    <x v="8"/>
    <n v="2003"/>
    <x v="1"/>
    <n v="30"/>
    <n v="3750"/>
    <n v="112500"/>
    <x v="219"/>
    <n v="132"/>
    <x v="254"/>
    <x v="8"/>
    <d v="2024-01-09T00:00:00"/>
    <d v="1899-12-30T16:00:00"/>
    <n v="7"/>
    <n v="0"/>
  </r>
  <r>
    <d v="2024-01-09T16:00:00"/>
    <x v="2"/>
    <x v="7"/>
    <n v="2003"/>
    <x v="1"/>
    <n v="30"/>
    <n v="3800"/>
    <n v="114000"/>
    <x v="220"/>
    <n v="120"/>
    <x v="255"/>
    <x v="8"/>
    <d v="2024-01-09T00:00:00"/>
    <d v="1899-12-30T16:00:00"/>
    <n v="12"/>
    <n v="0"/>
  </r>
  <r>
    <d v="2024-01-09T17:00:00"/>
    <x v="0"/>
    <x v="11"/>
    <n v="15"/>
    <x v="3"/>
    <n v="318"/>
    <n v="1100"/>
    <n v="349800"/>
    <x v="199"/>
    <n v="72"/>
    <x v="195"/>
    <x v="8"/>
    <d v="2024-01-09T00:00:00"/>
    <d v="1899-12-30T17:00:00"/>
    <n v="6"/>
    <n v="0"/>
  </r>
  <r>
    <d v="2024-01-09T17:00:00"/>
    <x v="0"/>
    <x v="14"/>
    <n v="12"/>
    <x v="3"/>
    <n v="213"/>
    <n v="1170"/>
    <n v="249210"/>
    <x v="199"/>
    <n v="24"/>
    <x v="182"/>
    <x v="8"/>
    <d v="2024-01-09T00:00:00"/>
    <d v="1899-12-30T17:00:00"/>
    <n v="3"/>
    <n v="0"/>
  </r>
  <r>
    <d v="2024-01-09T17:00:00"/>
    <x v="0"/>
    <x v="11"/>
    <n v="15"/>
    <x v="3"/>
    <n v="318"/>
    <n v="1100"/>
    <n v="349800"/>
    <x v="186"/>
    <n v="72"/>
    <x v="217"/>
    <x v="8"/>
    <d v="2024-01-09T00:00:00"/>
    <d v="1899-12-30T17:00:00"/>
    <n v="6"/>
    <n v="0"/>
  </r>
  <r>
    <d v="2024-01-09T18:00:00"/>
    <x v="1"/>
    <x v="1"/>
    <n v="1008"/>
    <x v="1"/>
    <n v="48"/>
    <n v="3650"/>
    <n v="175200"/>
    <x v="221"/>
    <n v="120"/>
    <x v="247"/>
    <x v="8"/>
    <d v="2024-01-09T00:00:00"/>
    <d v="1899-12-30T18:00:00"/>
    <n v="13"/>
    <n v="0"/>
  </r>
  <r>
    <d v="2024-01-09T18:00:00"/>
    <x v="1"/>
    <x v="10"/>
    <n v="1008"/>
    <x v="1"/>
    <n v="50"/>
    <n v="3650"/>
    <n v="182500"/>
    <x v="222"/>
    <n v="120"/>
    <x v="256"/>
    <x v="8"/>
    <d v="2024-01-09T00:00:00"/>
    <d v="1899-12-30T18:00:00"/>
    <n v="16"/>
    <n v="0"/>
  </r>
  <r>
    <d v="2024-01-09T18:00:00"/>
    <x v="1"/>
    <x v="8"/>
    <n v="1008"/>
    <x v="1"/>
    <n v="30"/>
    <n v="3650"/>
    <n v="109500"/>
    <x v="219"/>
    <n v="96"/>
    <x v="225"/>
    <x v="8"/>
    <d v="2024-01-09T00:00:00"/>
    <d v="1899-12-30T18:00:00"/>
    <n v="7"/>
    <n v="0"/>
  </r>
  <r>
    <d v="2024-01-09T18:00:00"/>
    <x v="1"/>
    <x v="6"/>
    <n v="1008"/>
    <x v="1"/>
    <n v="28"/>
    <n v="3750"/>
    <n v="105000"/>
    <x v="205"/>
    <n v="96"/>
    <x v="213"/>
    <x v="8"/>
    <d v="2024-01-09T00:00:00"/>
    <d v="1899-12-30T18:00:00"/>
    <n v="15"/>
    <n v="0"/>
  </r>
  <r>
    <d v="2024-01-09T18:00:00"/>
    <x v="1"/>
    <x v="2"/>
    <n v="1008"/>
    <x v="1"/>
    <n v="42"/>
    <n v="3650"/>
    <n v="153300"/>
    <x v="223"/>
    <n v="120"/>
    <x v="257"/>
    <x v="8"/>
    <d v="2024-01-09T00:00:00"/>
    <d v="1899-12-30T18:00:00"/>
    <n v="9"/>
    <n v="0"/>
  </r>
  <r>
    <d v="2024-01-09T18:00:00"/>
    <x v="1"/>
    <x v="5"/>
    <n v="1008"/>
    <x v="1"/>
    <n v="50"/>
    <n v="3300"/>
    <n v="165000"/>
    <x v="224"/>
    <n v="120"/>
    <x v="255"/>
    <x v="8"/>
    <d v="2024-01-09T00:00:00"/>
    <d v="1899-12-30T18:00:00"/>
    <n v="8"/>
    <n v="0"/>
  </r>
  <r>
    <d v="2024-01-09T18:00:00"/>
    <x v="0"/>
    <x v="15"/>
    <n v="14"/>
    <x v="3"/>
    <n v="300"/>
    <n v="1500"/>
    <n v="450000"/>
    <x v="186"/>
    <n v="24"/>
    <x v="185"/>
    <x v="8"/>
    <d v="2024-01-09T00:00:00"/>
    <d v="1899-12-30T18:00:00"/>
    <n v="1"/>
    <n v="0"/>
  </r>
  <r>
    <d v="2024-01-09T18:00:00"/>
    <x v="1"/>
    <x v="9"/>
    <n v="1008"/>
    <x v="1"/>
    <n v="37"/>
    <n v="3650"/>
    <n v="135050"/>
    <x v="222"/>
    <n v="120"/>
    <x v="256"/>
    <x v="8"/>
    <d v="2024-01-09T00:00:00"/>
    <d v="1899-12-30T18:00:00"/>
    <n v="14"/>
    <n v="0"/>
  </r>
  <r>
    <d v="2024-01-09T18:00:00"/>
    <x v="1"/>
    <x v="7"/>
    <n v="1008"/>
    <x v="1"/>
    <n v="32"/>
    <n v="3700"/>
    <n v="118400"/>
    <x v="225"/>
    <n v="120"/>
    <x v="258"/>
    <x v="8"/>
    <d v="2024-01-09T00:00:00"/>
    <d v="1899-12-30T18:00:00"/>
    <n v="12"/>
    <n v="0"/>
  </r>
  <r>
    <d v="2024-01-09T18:00:00"/>
    <x v="1"/>
    <x v="3"/>
    <n v="1008"/>
    <x v="1"/>
    <n v="24"/>
    <n v="4050"/>
    <n v="97200"/>
    <x v="226"/>
    <n v="120"/>
    <x v="238"/>
    <x v="8"/>
    <d v="2024-01-09T00:00:00"/>
    <d v="1899-12-30T18:00:00"/>
    <n v="11"/>
    <n v="0"/>
  </r>
  <r>
    <d v="2024-01-09T19:00:00"/>
    <x v="1"/>
    <x v="6"/>
    <n v="1004"/>
    <x v="1"/>
    <n v="30"/>
    <n v="3850"/>
    <n v="115500"/>
    <x v="178"/>
    <n v="92"/>
    <x v="208"/>
    <x v="8"/>
    <d v="2024-01-09T00:00:00"/>
    <d v="1899-12-30T19:00:00"/>
    <n v="15"/>
    <n v="0"/>
  </r>
  <r>
    <d v="2024-01-09T19:00:00"/>
    <x v="1"/>
    <x v="7"/>
    <n v="1004"/>
    <x v="1"/>
    <n v="30"/>
    <n v="3800"/>
    <n v="114000"/>
    <x v="214"/>
    <n v="96"/>
    <x v="84"/>
    <x v="8"/>
    <d v="2024-01-09T00:00:00"/>
    <d v="1899-12-30T19:00:00"/>
    <n v="12"/>
    <n v="0"/>
  </r>
  <r>
    <d v="2024-01-09T19:00:00"/>
    <x v="1"/>
    <x v="10"/>
    <n v="1004"/>
    <x v="1"/>
    <n v="30"/>
    <n v="3750"/>
    <n v="112500"/>
    <x v="212"/>
    <n v="96"/>
    <x v="207"/>
    <x v="8"/>
    <d v="2024-01-09T00:00:00"/>
    <d v="1899-12-30T19:00:00"/>
    <n v="16"/>
    <n v="0"/>
  </r>
  <r>
    <d v="2024-01-09T19:00:00"/>
    <x v="1"/>
    <x v="1"/>
    <n v="1004"/>
    <x v="1"/>
    <n v="30"/>
    <n v="3750"/>
    <n v="112500"/>
    <x v="204"/>
    <n v="96"/>
    <x v="234"/>
    <x v="8"/>
    <d v="2024-01-09T00:00:00"/>
    <d v="1899-12-30T19:00:00"/>
    <n v="13"/>
    <n v="0"/>
  </r>
  <r>
    <d v="2024-01-09T19:00:00"/>
    <x v="1"/>
    <x v="3"/>
    <n v="1004"/>
    <x v="1"/>
    <n v="26"/>
    <n v="4150"/>
    <n v="107900"/>
    <x v="227"/>
    <n v="96"/>
    <x v="213"/>
    <x v="8"/>
    <d v="2024-01-09T00:00:00"/>
    <d v="1899-12-30T19:00:00"/>
    <n v="11"/>
    <n v="0"/>
  </r>
  <r>
    <d v="2024-01-09T19:00:00"/>
    <x v="1"/>
    <x v="5"/>
    <n v="1004"/>
    <x v="1"/>
    <n v="50"/>
    <n v="3380"/>
    <n v="169000"/>
    <x v="228"/>
    <n v="120"/>
    <x v="259"/>
    <x v="8"/>
    <d v="2024-01-09T00:00:00"/>
    <d v="1899-12-30T19:00:00"/>
    <n v="8"/>
    <n v="0"/>
  </r>
  <r>
    <d v="2024-01-09T19:00:00"/>
    <x v="1"/>
    <x v="8"/>
    <n v="1004"/>
    <x v="1"/>
    <n v="30"/>
    <n v="3650"/>
    <n v="109500"/>
    <x v="229"/>
    <n v="96"/>
    <x v="214"/>
    <x v="8"/>
    <d v="2024-01-09T00:00:00"/>
    <d v="1899-12-30T19:00:00"/>
    <n v="7"/>
    <n v="0"/>
  </r>
  <r>
    <d v="2024-01-09T19:00:00"/>
    <x v="1"/>
    <x v="2"/>
    <n v="1004"/>
    <x v="1"/>
    <n v="30"/>
    <n v="3750"/>
    <n v="112500"/>
    <x v="209"/>
    <n v="96"/>
    <x v="85"/>
    <x v="8"/>
    <d v="2024-01-09T00:00:00"/>
    <d v="1899-12-30T19:00:00"/>
    <n v="9"/>
    <n v="0"/>
  </r>
  <r>
    <d v="2024-01-09T19:00:00"/>
    <x v="1"/>
    <x v="9"/>
    <n v="1004"/>
    <x v="1"/>
    <n v="30"/>
    <n v="3750"/>
    <n v="112500"/>
    <x v="212"/>
    <n v="96"/>
    <x v="207"/>
    <x v="8"/>
    <d v="2024-01-09T00:00:00"/>
    <d v="1899-12-30T19:00:00"/>
    <n v="14"/>
    <n v="0"/>
  </r>
  <r>
    <d v="2024-01-09T20:00:00"/>
    <x v="0"/>
    <x v="0"/>
    <n v="11"/>
    <x v="3"/>
    <n v="400"/>
    <n v="1350"/>
    <n v="540000"/>
    <x v="168"/>
    <n v="72"/>
    <x v="225"/>
    <x v="8"/>
    <d v="2024-01-09T00:00:00"/>
    <d v="1899-12-30T20:00:00"/>
    <n v="4"/>
    <n v="0"/>
  </r>
  <r>
    <d v="2024-01-09T20:00:00"/>
    <x v="0"/>
    <x v="11"/>
    <n v="10"/>
    <x v="0"/>
    <n v="3000"/>
    <n v="100"/>
    <n v="300000"/>
    <x v="178"/>
    <n v="72"/>
    <x v="208"/>
    <x v="8"/>
    <d v="2024-01-09T00:00:00"/>
    <d v="1899-12-30T20:00:00"/>
    <n v="6"/>
    <n v="0"/>
  </r>
  <r>
    <d v="2024-01-09T22:00:00"/>
    <x v="1"/>
    <x v="9"/>
    <n v="1009"/>
    <x v="2"/>
    <n v="2"/>
    <n v="6650"/>
    <n v="13300"/>
    <x v="230"/>
    <n v="96"/>
    <x v="241"/>
    <x v="8"/>
    <d v="2024-01-09T00:00:00"/>
    <d v="1899-12-30T22:00:00"/>
    <n v="14"/>
    <n v="0"/>
  </r>
  <r>
    <d v="2024-01-09T22:00:00"/>
    <x v="1"/>
    <x v="5"/>
    <n v="1009"/>
    <x v="2"/>
    <n v="7"/>
    <n v="5450"/>
    <n v="38150"/>
    <x v="209"/>
    <n v="96"/>
    <x v="85"/>
    <x v="8"/>
    <d v="2024-01-09T00:00:00"/>
    <d v="1899-12-30T22:00:00"/>
    <n v="8"/>
    <n v="0"/>
  </r>
  <r>
    <d v="2024-01-09T22:00:00"/>
    <x v="1"/>
    <x v="6"/>
    <n v="1009"/>
    <x v="2"/>
    <n v="5"/>
    <n v="6650"/>
    <n v="33250"/>
    <x v="227"/>
    <n v="68"/>
    <x v="197"/>
    <x v="8"/>
    <d v="2024-01-09T00:00:00"/>
    <d v="1899-12-30T22:00:00"/>
    <n v="15"/>
    <n v="0"/>
  </r>
  <r>
    <d v="2024-01-09T22:00:00"/>
    <x v="1"/>
    <x v="7"/>
    <n v="1009"/>
    <x v="2"/>
    <n v="4"/>
    <n v="6700"/>
    <n v="26800"/>
    <x v="212"/>
    <n v="96"/>
    <x v="207"/>
    <x v="8"/>
    <d v="2024-01-09T00:00:00"/>
    <d v="1899-12-30T22:00:00"/>
    <n v="12"/>
    <n v="0"/>
  </r>
  <r>
    <d v="2024-01-09T22:00:00"/>
    <x v="1"/>
    <x v="10"/>
    <n v="1009"/>
    <x v="2"/>
    <n v="6"/>
    <n v="6650"/>
    <n v="39900"/>
    <x v="212"/>
    <n v="96"/>
    <x v="207"/>
    <x v="8"/>
    <d v="2024-01-09T00:00:00"/>
    <d v="1899-12-30T22:00:00"/>
    <n v="16"/>
    <n v="0"/>
  </r>
  <r>
    <d v="2024-01-09T22:00:00"/>
    <x v="0"/>
    <x v="14"/>
    <n v="13"/>
    <x v="0"/>
    <n v="2000"/>
    <n v="125"/>
    <n v="250000"/>
    <x v="208"/>
    <n v="72"/>
    <x v="235"/>
    <x v="8"/>
    <d v="2024-01-09T00:00:00"/>
    <d v="1899-12-30T22:00:00"/>
    <n v="3"/>
    <n v="0"/>
  </r>
  <r>
    <d v="2024-01-09T22:00:00"/>
    <x v="1"/>
    <x v="2"/>
    <n v="1009"/>
    <x v="2"/>
    <n v="3"/>
    <n v="6650"/>
    <n v="19950"/>
    <x v="231"/>
    <n v="96"/>
    <x v="260"/>
    <x v="8"/>
    <d v="2024-01-09T00:00:00"/>
    <d v="1899-12-30T22:00:00"/>
    <n v="9"/>
    <n v="0"/>
  </r>
  <r>
    <d v="2024-01-09T22:00:00"/>
    <x v="1"/>
    <x v="1"/>
    <n v="1009"/>
    <x v="2"/>
    <n v="5"/>
    <n v="6400"/>
    <n v="32000"/>
    <x v="217"/>
    <n v="96"/>
    <x v="221"/>
    <x v="8"/>
    <d v="2024-01-09T00:00:00"/>
    <d v="1899-12-30T22:00:00"/>
    <n v="13"/>
    <n v="0"/>
  </r>
  <r>
    <d v="2024-01-09T22:00:00"/>
    <x v="1"/>
    <x v="8"/>
    <n v="1009"/>
    <x v="2"/>
    <n v="4"/>
    <n v="6650"/>
    <n v="26600"/>
    <x v="205"/>
    <n v="96"/>
    <x v="206"/>
    <x v="8"/>
    <d v="2024-01-09T00:00:00"/>
    <d v="1899-12-30T22:00:00"/>
    <n v="7"/>
    <n v="0"/>
  </r>
  <r>
    <d v="2024-01-09T23:00:00"/>
    <x v="3"/>
    <x v="8"/>
    <n v="3006"/>
    <x v="1"/>
    <n v="6"/>
    <n v="4350"/>
    <n v="26100"/>
    <x v="222"/>
    <n v="288"/>
    <x v="261"/>
    <x v="8"/>
    <d v="2024-01-09T00:00:00"/>
    <d v="1899-12-30T23:00:00"/>
    <n v="7"/>
    <n v="0"/>
  </r>
  <r>
    <d v="2024-01-09T23:00:00"/>
    <x v="3"/>
    <x v="8"/>
    <n v="3005"/>
    <x v="1"/>
    <n v="7"/>
    <n v="4350"/>
    <n v="30450"/>
    <x v="222"/>
    <n v="288"/>
    <x v="261"/>
    <x v="8"/>
    <d v="2024-01-09T00:00:00"/>
    <d v="1899-12-30T23:00:00"/>
    <n v="7"/>
    <n v="0"/>
  </r>
  <r>
    <d v="2024-01-09T23:00:00"/>
    <x v="0"/>
    <x v="8"/>
    <n v="6"/>
    <x v="5"/>
    <n v="58"/>
    <n v="23"/>
    <n v="1334"/>
    <x v="208"/>
    <n v="72"/>
    <x v="235"/>
    <x v="8"/>
    <d v="2024-01-09T00:00:00"/>
    <d v="1899-12-30T23:00:00"/>
    <n v="7"/>
    <n v="0"/>
  </r>
  <r>
    <d v="2024-01-09T23:00:00"/>
    <x v="3"/>
    <x v="8"/>
    <n v="3002"/>
    <x v="1"/>
    <n v="4"/>
    <n v="4350"/>
    <n v="17400"/>
    <x v="222"/>
    <n v="288"/>
    <x v="261"/>
    <x v="8"/>
    <d v="2024-01-09T00:00:00"/>
    <d v="1899-12-30T23:00:00"/>
    <n v="7"/>
    <n v="0"/>
  </r>
  <r>
    <d v="2024-01-09T23:00:00"/>
    <x v="3"/>
    <x v="8"/>
    <n v="3003"/>
    <x v="1"/>
    <n v="7"/>
    <n v="4350"/>
    <n v="30450"/>
    <x v="222"/>
    <n v="288"/>
    <x v="261"/>
    <x v="8"/>
    <d v="2024-01-09T00:00:00"/>
    <d v="1899-12-30T23:00:00"/>
    <n v="7"/>
    <n v="0"/>
  </r>
  <r>
    <d v="2024-01-10T03:00:00"/>
    <x v="0"/>
    <x v="12"/>
    <n v="16"/>
    <x v="3"/>
    <n v="310"/>
    <n v="1020"/>
    <n v="316200"/>
    <x v="208"/>
    <n v="24"/>
    <x v="173"/>
    <x v="9"/>
    <d v="2024-01-10T00:00:00"/>
    <d v="1899-12-30T03:00:00"/>
    <n v="5"/>
    <n v="0"/>
  </r>
  <r>
    <d v="2024-01-10T04:00:00"/>
    <x v="1"/>
    <x v="9"/>
    <n v="1004"/>
    <x v="2"/>
    <n v="4"/>
    <n v="6650"/>
    <n v="26600"/>
    <x v="204"/>
    <n v="96"/>
    <x v="234"/>
    <x v="9"/>
    <d v="2024-01-10T00:00:00"/>
    <d v="1899-12-30T04:00:00"/>
    <n v="14"/>
    <n v="0"/>
  </r>
  <r>
    <d v="2024-01-10T04:00:00"/>
    <x v="1"/>
    <x v="6"/>
    <n v="1004"/>
    <x v="2"/>
    <n v="6"/>
    <n v="6500"/>
    <n v="39000"/>
    <x v="202"/>
    <n v="68"/>
    <x v="212"/>
    <x v="9"/>
    <d v="2024-01-10T00:00:00"/>
    <d v="1899-12-30T04:00:00"/>
    <n v="15"/>
    <n v="0"/>
  </r>
  <r>
    <d v="2024-01-10T04:00:00"/>
    <x v="1"/>
    <x v="5"/>
    <n v="1004"/>
    <x v="2"/>
    <n v="13"/>
    <n v="5450"/>
    <n v="70850"/>
    <x v="232"/>
    <n v="96"/>
    <x v="262"/>
    <x v="9"/>
    <d v="2024-01-10T00:00:00"/>
    <d v="1899-12-30T04:00:00"/>
    <n v="8"/>
    <n v="0"/>
  </r>
  <r>
    <d v="2024-01-10T04:00:00"/>
    <x v="1"/>
    <x v="1"/>
    <n v="1004"/>
    <x v="2"/>
    <n v="7"/>
    <n v="6400"/>
    <n v="44800"/>
    <x v="232"/>
    <n v="96"/>
    <x v="262"/>
    <x v="9"/>
    <d v="2024-01-10T00:00:00"/>
    <d v="1899-12-30T04:00:00"/>
    <n v="13"/>
    <n v="0"/>
  </r>
  <r>
    <d v="2024-01-10T04:00:00"/>
    <x v="1"/>
    <x v="2"/>
    <n v="1004"/>
    <x v="2"/>
    <n v="5"/>
    <n v="6650"/>
    <n v="33250"/>
    <x v="222"/>
    <n v="96"/>
    <x v="256"/>
    <x v="9"/>
    <d v="2024-01-10T00:00:00"/>
    <d v="1899-12-30T04:00:00"/>
    <n v="9"/>
    <n v="0"/>
  </r>
  <r>
    <d v="2024-01-10T04:00:00"/>
    <x v="1"/>
    <x v="8"/>
    <n v="1004"/>
    <x v="2"/>
    <n v="9"/>
    <n v="6650"/>
    <n v="59850"/>
    <x v="233"/>
    <n v="96"/>
    <x v="263"/>
    <x v="9"/>
    <d v="2024-01-10T00:00:00"/>
    <d v="1899-12-30T04:00:00"/>
    <n v="7"/>
    <n v="0"/>
  </r>
  <r>
    <d v="2024-01-10T04:00:00"/>
    <x v="1"/>
    <x v="10"/>
    <n v="1004"/>
    <x v="2"/>
    <n v="12"/>
    <n v="6650"/>
    <n v="79800"/>
    <x v="234"/>
    <n v="96"/>
    <x v="82"/>
    <x v="9"/>
    <d v="2024-01-10T00:00:00"/>
    <d v="1899-12-30T04:00:00"/>
    <n v="16"/>
    <n v="0"/>
  </r>
  <r>
    <d v="2024-01-10T05:00:00"/>
    <x v="1"/>
    <x v="8"/>
    <n v="1001"/>
    <x v="1"/>
    <n v="30"/>
    <n v="3650"/>
    <n v="109500"/>
    <x v="226"/>
    <n v="96"/>
    <x v="238"/>
    <x v="9"/>
    <d v="2024-01-10T00:00:00"/>
    <d v="1899-12-30T05:00:00"/>
    <n v="7"/>
    <n v="0"/>
  </r>
  <r>
    <d v="2024-01-10T05:00:00"/>
    <x v="0"/>
    <x v="12"/>
    <n v="16"/>
    <x v="0"/>
    <n v="1500"/>
    <n v="120"/>
    <n v="180000"/>
    <x v="208"/>
    <n v="24"/>
    <x v="173"/>
    <x v="9"/>
    <d v="2024-01-10T00:00:00"/>
    <d v="1899-12-30T05:00:00"/>
    <n v="5"/>
    <n v="0"/>
  </r>
  <r>
    <d v="2024-01-10T05:00:00"/>
    <x v="1"/>
    <x v="5"/>
    <n v="1001"/>
    <x v="1"/>
    <n v="30"/>
    <n v="3600"/>
    <n v="108000"/>
    <x v="235"/>
    <n v="96"/>
    <x v="239"/>
    <x v="9"/>
    <d v="2024-01-10T00:00:00"/>
    <d v="1899-12-30T05:00:00"/>
    <n v="8"/>
    <n v="0"/>
  </r>
  <r>
    <d v="2024-01-10T05:00:00"/>
    <x v="1"/>
    <x v="9"/>
    <n v="1001"/>
    <x v="1"/>
    <n v="30"/>
    <n v="3750"/>
    <n v="112500"/>
    <x v="231"/>
    <n v="96"/>
    <x v="87"/>
    <x v="9"/>
    <d v="2024-01-10T00:00:00"/>
    <d v="1899-12-30T05:00:00"/>
    <n v="14"/>
    <n v="0"/>
  </r>
  <r>
    <d v="2024-01-10T05:00:00"/>
    <x v="1"/>
    <x v="2"/>
    <n v="1001"/>
    <x v="1"/>
    <n v="30"/>
    <n v="3750"/>
    <n v="112500"/>
    <x v="222"/>
    <n v="96"/>
    <x v="256"/>
    <x v="9"/>
    <d v="2024-01-10T00:00:00"/>
    <d v="1899-12-30T05:00:00"/>
    <n v="9"/>
    <n v="0"/>
  </r>
  <r>
    <d v="2024-01-10T05:00:00"/>
    <x v="1"/>
    <x v="10"/>
    <n v="1001"/>
    <x v="1"/>
    <n v="30"/>
    <n v="3750"/>
    <n v="112500"/>
    <x v="208"/>
    <n v="96"/>
    <x v="235"/>
    <x v="9"/>
    <d v="2024-01-10T00:00:00"/>
    <d v="1899-12-30T05:00:00"/>
    <n v="16"/>
    <n v="0"/>
  </r>
  <r>
    <d v="2024-01-10T05:00:00"/>
    <x v="1"/>
    <x v="7"/>
    <n v="1001"/>
    <x v="1"/>
    <n v="15"/>
    <n v="4000"/>
    <n v="60000"/>
    <x v="231"/>
    <n v="60"/>
    <x v="176"/>
    <x v="9"/>
    <d v="2024-01-10T00:00:00"/>
    <d v="1899-12-30T05:00:00"/>
    <n v="12"/>
    <n v="0"/>
  </r>
  <r>
    <d v="2024-01-10T05:00:00"/>
    <x v="1"/>
    <x v="3"/>
    <n v="1001"/>
    <x v="1"/>
    <n v="23"/>
    <n v="4050"/>
    <n v="93150"/>
    <x v="233"/>
    <n v="96"/>
    <x v="263"/>
    <x v="9"/>
    <d v="2024-01-10T00:00:00"/>
    <d v="1899-12-30T05:00:00"/>
    <n v="11"/>
    <n v="0"/>
  </r>
  <r>
    <d v="2024-01-10T05:00:00"/>
    <x v="1"/>
    <x v="6"/>
    <n v="1001"/>
    <x v="1"/>
    <n v="27"/>
    <n v="3750"/>
    <n v="101250"/>
    <x v="204"/>
    <n v="96"/>
    <x v="234"/>
    <x v="9"/>
    <d v="2024-01-10T00:00:00"/>
    <d v="1899-12-30T05:00:00"/>
    <n v="15"/>
    <n v="0"/>
  </r>
  <r>
    <d v="2024-01-10T05:00:00"/>
    <x v="1"/>
    <x v="1"/>
    <n v="1001"/>
    <x v="1"/>
    <n v="30"/>
    <n v="3750"/>
    <n v="112500"/>
    <x v="236"/>
    <n v="96"/>
    <x v="238"/>
    <x v="9"/>
    <d v="2024-01-10T00:00:00"/>
    <d v="1899-12-30T05:00:00"/>
    <n v="13"/>
    <n v="0"/>
  </r>
  <r>
    <d v="2024-01-10T06:00:00"/>
    <x v="1"/>
    <x v="8"/>
    <n v="1009"/>
    <x v="1"/>
    <n v="30"/>
    <n v="3650"/>
    <n v="109500"/>
    <x v="222"/>
    <n v="96"/>
    <x v="256"/>
    <x v="9"/>
    <d v="2024-01-10T00:00:00"/>
    <d v="1899-12-30T06:00:00"/>
    <n v="7"/>
    <n v="0"/>
  </r>
  <r>
    <d v="2024-01-10T06:00:00"/>
    <x v="1"/>
    <x v="2"/>
    <n v="1009"/>
    <x v="1"/>
    <n v="23"/>
    <n v="3750"/>
    <n v="86250"/>
    <x v="222"/>
    <n v="96"/>
    <x v="256"/>
    <x v="9"/>
    <d v="2024-01-10T00:00:00"/>
    <d v="1899-12-30T06:00:00"/>
    <n v="9"/>
    <n v="0"/>
  </r>
  <r>
    <d v="2024-01-10T06:00:00"/>
    <x v="1"/>
    <x v="7"/>
    <n v="1011"/>
    <x v="2"/>
    <n v="6"/>
    <n v="6700"/>
    <n v="40200"/>
    <x v="215"/>
    <n v="96"/>
    <x v="229"/>
    <x v="9"/>
    <d v="2024-01-10T00:00:00"/>
    <d v="1899-12-30T06:00:00"/>
    <n v="12"/>
    <n v="0"/>
  </r>
  <r>
    <d v="2024-01-10T06:00:00"/>
    <x v="0"/>
    <x v="13"/>
    <n v="15"/>
    <x v="0"/>
    <n v="1800"/>
    <n v="140"/>
    <n v="252000"/>
    <x v="237"/>
    <n v="72"/>
    <x v="264"/>
    <x v="9"/>
    <d v="2024-01-10T00:00:00"/>
    <d v="1899-12-30T06:00:00"/>
    <n v="2"/>
    <n v="0"/>
  </r>
  <r>
    <d v="2024-01-10T06:00:00"/>
    <x v="1"/>
    <x v="10"/>
    <n v="1011"/>
    <x v="2"/>
    <n v="8"/>
    <n v="6650"/>
    <n v="53200"/>
    <x v="233"/>
    <n v="96"/>
    <x v="263"/>
    <x v="9"/>
    <d v="2024-01-10T00:00:00"/>
    <d v="1899-12-30T06:00:00"/>
    <n v="16"/>
    <n v="0"/>
  </r>
  <r>
    <d v="2024-01-10T06:00:00"/>
    <x v="1"/>
    <x v="9"/>
    <n v="1011"/>
    <x v="2"/>
    <n v="3"/>
    <n v="6650"/>
    <n v="19950"/>
    <x v="204"/>
    <n v="96"/>
    <x v="234"/>
    <x v="9"/>
    <d v="2024-01-10T00:00:00"/>
    <d v="1899-12-30T06:00:00"/>
    <n v="14"/>
    <n v="0"/>
  </r>
  <r>
    <d v="2024-01-10T06:00:00"/>
    <x v="0"/>
    <x v="4"/>
    <n v="4"/>
    <x v="5"/>
    <n v="300"/>
    <n v="25"/>
    <n v="7500"/>
    <x v="208"/>
    <n v="72"/>
    <x v="235"/>
    <x v="9"/>
    <d v="2024-01-10T00:00:00"/>
    <d v="1899-12-30T06:00:00"/>
    <d v="1900-01-09T00:00:00"/>
    <n v="0"/>
  </r>
  <r>
    <d v="2024-01-10T06:00:00"/>
    <x v="1"/>
    <x v="6"/>
    <n v="1011"/>
    <x v="2"/>
    <n v="9"/>
    <n v="6500"/>
    <n v="58500"/>
    <x v="215"/>
    <n v="68"/>
    <x v="190"/>
    <x v="9"/>
    <d v="2024-01-10T00:00:00"/>
    <d v="1899-12-30T06:00:00"/>
    <n v="15"/>
    <n v="0"/>
  </r>
  <r>
    <d v="2024-01-10T06:00:00"/>
    <x v="1"/>
    <x v="10"/>
    <n v="1009"/>
    <x v="1"/>
    <n v="30"/>
    <n v="3750"/>
    <n v="112500"/>
    <x v="215"/>
    <n v="96"/>
    <x v="263"/>
    <x v="9"/>
    <d v="2024-01-10T00:00:00"/>
    <d v="1899-12-30T06:00:00"/>
    <n v="16"/>
    <n v="0"/>
  </r>
  <r>
    <d v="2024-01-10T06:00:00"/>
    <x v="1"/>
    <x v="8"/>
    <n v="1011"/>
    <x v="2"/>
    <n v="5"/>
    <n v="6650"/>
    <n v="33250"/>
    <x v="233"/>
    <n v="96"/>
    <x v="263"/>
    <x v="9"/>
    <d v="2024-01-10T00:00:00"/>
    <d v="1899-12-30T06:00:00"/>
    <n v="7"/>
    <n v="0"/>
  </r>
  <r>
    <d v="2024-01-10T06:00:00"/>
    <x v="1"/>
    <x v="1"/>
    <n v="1009"/>
    <x v="1"/>
    <n v="20"/>
    <n v="3750"/>
    <n v="75000"/>
    <x v="226"/>
    <n v="96"/>
    <x v="238"/>
    <x v="9"/>
    <d v="2024-01-10T00:00:00"/>
    <d v="1899-12-30T06:00:00"/>
    <n v="13"/>
    <n v="0"/>
  </r>
  <r>
    <d v="2024-01-10T06:00:00"/>
    <x v="1"/>
    <x v="9"/>
    <n v="1009"/>
    <x v="1"/>
    <n v="26"/>
    <n v="3750"/>
    <n v="97500"/>
    <x v="231"/>
    <n v="96"/>
    <x v="87"/>
    <x v="9"/>
    <d v="2024-01-10T00:00:00"/>
    <d v="1899-12-30T06:00:00"/>
    <n v="14"/>
    <n v="0"/>
  </r>
  <r>
    <d v="2024-01-10T06:00:00"/>
    <x v="1"/>
    <x v="7"/>
    <n v="1009"/>
    <x v="1"/>
    <n v="15"/>
    <n v="4000"/>
    <n v="60000"/>
    <x v="238"/>
    <n v="60"/>
    <x v="218"/>
    <x v="9"/>
    <d v="2024-01-10T00:00:00"/>
    <d v="1899-12-30T06:00:00"/>
    <n v="12"/>
    <n v="0"/>
  </r>
  <r>
    <d v="2024-01-10T06:00:00"/>
    <x v="1"/>
    <x v="1"/>
    <n v="1011"/>
    <x v="2"/>
    <n v="7"/>
    <n v="6400"/>
    <n v="44800"/>
    <x v="226"/>
    <n v="96"/>
    <x v="238"/>
    <x v="9"/>
    <d v="2024-01-10T00:00:00"/>
    <d v="1899-12-30T06:00:00"/>
    <n v="13"/>
    <n v="0"/>
  </r>
  <r>
    <d v="2024-01-10T06:00:00"/>
    <x v="1"/>
    <x v="4"/>
    <n v="1008"/>
    <x v="2"/>
    <n v="7"/>
    <n v="6600"/>
    <n v="46200"/>
    <x v="239"/>
    <n v="144"/>
    <x v="265"/>
    <x v="9"/>
    <d v="2024-01-10T00:00:00"/>
    <d v="1899-12-30T06:00:00"/>
    <n v="10"/>
    <n v="0"/>
  </r>
  <r>
    <d v="2024-01-10T06:00:00"/>
    <x v="1"/>
    <x v="5"/>
    <n v="1011"/>
    <x v="2"/>
    <n v="10"/>
    <n v="5450"/>
    <n v="54500"/>
    <x v="226"/>
    <n v="96"/>
    <x v="238"/>
    <x v="9"/>
    <d v="2024-01-10T00:00:00"/>
    <d v="1899-12-30T06:00:00"/>
    <n v="8"/>
    <n v="0"/>
  </r>
  <r>
    <d v="2024-01-10T06:00:00"/>
    <x v="1"/>
    <x v="10"/>
    <n v="1008"/>
    <x v="2"/>
    <n v="22"/>
    <n v="6550"/>
    <n v="144100"/>
    <x v="240"/>
    <n v="120"/>
    <x v="247"/>
    <x v="9"/>
    <d v="2024-01-10T00:00:00"/>
    <d v="1899-12-30T06:00:00"/>
    <n v="16"/>
    <n v="0"/>
  </r>
  <r>
    <d v="2024-01-10T06:00:00"/>
    <x v="1"/>
    <x v="5"/>
    <n v="1009"/>
    <x v="1"/>
    <n v="30"/>
    <n v="3600"/>
    <n v="108000"/>
    <x v="226"/>
    <n v="96"/>
    <x v="238"/>
    <x v="9"/>
    <d v="2024-01-10T00:00:00"/>
    <d v="1899-12-30T06:00:00"/>
    <n v="8"/>
    <n v="0"/>
  </r>
  <r>
    <d v="2024-01-10T07:00:00"/>
    <x v="0"/>
    <x v="6"/>
    <n v="6"/>
    <x v="5"/>
    <n v="93"/>
    <n v="23"/>
    <n v="2139"/>
    <x v="208"/>
    <n v="72"/>
    <x v="235"/>
    <x v="9"/>
    <d v="2024-01-10T00:00:00"/>
    <d v="1899-12-30T07:00:00"/>
    <n v="15"/>
    <n v="0"/>
  </r>
  <r>
    <d v="2024-01-10T07:00:00"/>
    <x v="0"/>
    <x v="13"/>
    <n v="13"/>
    <x v="0"/>
    <n v="1000"/>
    <n v="140"/>
    <n v="140000"/>
    <x v="208"/>
    <n v="72"/>
    <x v="235"/>
    <x v="9"/>
    <d v="2024-01-10T00:00:00"/>
    <d v="1899-12-30T07:00:00"/>
    <n v="2"/>
    <n v="0"/>
  </r>
  <r>
    <d v="2024-01-10T09:00:00"/>
    <x v="1"/>
    <x v="1"/>
    <n v="1001"/>
    <x v="2"/>
    <n v="5"/>
    <n v="6400"/>
    <n v="32000"/>
    <x v="222"/>
    <n v="96"/>
    <x v="256"/>
    <x v="9"/>
    <d v="2024-01-10T00:00:00"/>
    <d v="1899-12-30T09:00:00"/>
    <n v="13"/>
    <n v="0"/>
  </r>
  <r>
    <d v="2024-01-10T09:00:00"/>
    <x v="1"/>
    <x v="5"/>
    <n v="1001"/>
    <x v="2"/>
    <n v="8"/>
    <n v="5450"/>
    <n v="43600"/>
    <x v="241"/>
    <n v="96"/>
    <x v="246"/>
    <x v="9"/>
    <d v="2024-01-10T00:00:00"/>
    <d v="1899-12-30T09:00:00"/>
    <n v="8"/>
    <n v="0"/>
  </r>
  <r>
    <d v="2024-01-10T09:00:00"/>
    <x v="0"/>
    <x v="13"/>
    <n v="15"/>
    <x v="3"/>
    <n v="240"/>
    <n v="1400"/>
    <n v="336000"/>
    <x v="233"/>
    <n v="48"/>
    <x v="194"/>
    <x v="9"/>
    <d v="2024-01-10T00:00:00"/>
    <d v="1899-12-30T09:00:00"/>
    <n v="2"/>
    <n v="0"/>
  </r>
  <r>
    <d v="2024-01-10T09:00:00"/>
    <x v="0"/>
    <x v="2"/>
    <n v="6"/>
    <x v="5"/>
    <n v="82"/>
    <n v="23"/>
    <n v="1886"/>
    <x v="209"/>
    <n v="24"/>
    <x v="170"/>
    <x v="9"/>
    <d v="2024-01-10T00:00:00"/>
    <d v="1899-12-30T09:00:00"/>
    <n v="9"/>
    <n v="0"/>
  </r>
  <r>
    <d v="2024-01-10T09:00:00"/>
    <x v="1"/>
    <x v="6"/>
    <n v="1001"/>
    <x v="2"/>
    <n v="7"/>
    <n v="6500"/>
    <n v="45500"/>
    <x v="216"/>
    <n v="68"/>
    <x v="211"/>
    <x v="9"/>
    <d v="2024-01-10T00:00:00"/>
    <d v="1899-12-30T09:00:00"/>
    <n v="15"/>
    <n v="0"/>
  </r>
  <r>
    <d v="2024-01-10T09:00:00"/>
    <x v="1"/>
    <x v="8"/>
    <n v="1001"/>
    <x v="2"/>
    <n v="3"/>
    <n v="6650"/>
    <n v="19950"/>
    <x v="231"/>
    <n v="96"/>
    <x v="87"/>
    <x v="9"/>
    <d v="2024-01-10T00:00:00"/>
    <d v="1899-12-30T09:00:00"/>
    <n v="7"/>
    <n v="0"/>
  </r>
  <r>
    <d v="2024-01-10T09:00:00"/>
    <x v="1"/>
    <x v="10"/>
    <n v="1001"/>
    <x v="2"/>
    <n v="6"/>
    <n v="6650"/>
    <n v="39900"/>
    <x v="233"/>
    <n v="96"/>
    <x v="263"/>
    <x v="9"/>
    <d v="2024-01-10T00:00:00"/>
    <d v="1899-12-30T09:00:00"/>
    <n v="16"/>
    <n v="0"/>
  </r>
  <r>
    <d v="2024-01-10T09:00:00"/>
    <x v="0"/>
    <x v="7"/>
    <n v="3"/>
    <x v="5"/>
    <n v="161"/>
    <n v="7"/>
    <n v="1127"/>
    <x v="233"/>
    <n v="72"/>
    <x v="263"/>
    <x v="9"/>
    <d v="2024-01-10T00:00:00"/>
    <d v="1899-12-30T09:00:00"/>
    <n v="12"/>
    <n v="0"/>
  </r>
  <r>
    <d v="2024-01-10T09:00:00"/>
    <x v="1"/>
    <x v="9"/>
    <n v="1001"/>
    <x v="2"/>
    <n v="2"/>
    <n v="6650"/>
    <n v="13300"/>
    <x v="231"/>
    <n v="96"/>
    <x v="87"/>
    <x v="9"/>
    <d v="2024-01-10T00:00:00"/>
    <d v="1899-12-30T09:00:00"/>
    <n v="14"/>
    <n v="0"/>
  </r>
  <r>
    <d v="2024-01-10T09:00:00"/>
    <x v="1"/>
    <x v="7"/>
    <n v="1001"/>
    <x v="2"/>
    <n v="4"/>
    <n v="6700"/>
    <n v="26800"/>
    <x v="238"/>
    <n v="96"/>
    <x v="220"/>
    <x v="9"/>
    <d v="2024-01-10T00:00:00"/>
    <d v="1899-12-30T09:00:00"/>
    <n v="12"/>
    <n v="0"/>
  </r>
  <r>
    <d v="2024-01-10T10:00:00"/>
    <x v="1"/>
    <x v="10"/>
    <n v="1005"/>
    <x v="1"/>
    <n v="30"/>
    <n v="3750"/>
    <n v="112500"/>
    <x v="209"/>
    <n v="96"/>
    <x v="85"/>
    <x v="9"/>
    <d v="2024-01-10T00:00:00"/>
    <d v="1899-12-30T10:00:00"/>
    <n v="16"/>
    <n v="0"/>
  </r>
  <r>
    <d v="2024-01-10T10:00:00"/>
    <x v="1"/>
    <x v="5"/>
    <n v="1005"/>
    <x v="1"/>
    <n v="30"/>
    <n v="3600"/>
    <n v="108000"/>
    <x v="242"/>
    <n v="96"/>
    <x v="247"/>
    <x v="9"/>
    <d v="2024-01-10T00:00:00"/>
    <d v="1899-12-30T10:00:00"/>
    <n v="8"/>
    <n v="0"/>
  </r>
  <r>
    <d v="2024-01-10T10:00:00"/>
    <x v="1"/>
    <x v="8"/>
    <n v="1005"/>
    <x v="1"/>
    <n v="30"/>
    <n v="3650"/>
    <n v="109500"/>
    <x v="243"/>
    <n v="96"/>
    <x v="228"/>
    <x v="9"/>
    <d v="2024-01-10T00:00:00"/>
    <d v="1899-12-30T10:00:00"/>
    <n v="7"/>
    <n v="0"/>
  </r>
  <r>
    <d v="2024-01-10T10:00:00"/>
    <x v="1"/>
    <x v="2"/>
    <n v="1005"/>
    <x v="1"/>
    <n v="15"/>
    <n v="3900"/>
    <n v="58500"/>
    <x v="233"/>
    <n v="72"/>
    <x v="263"/>
    <x v="9"/>
    <d v="2024-01-10T00:00:00"/>
    <d v="1899-12-30T10:00:00"/>
    <n v="9"/>
    <n v="0"/>
  </r>
  <r>
    <d v="2024-01-10T10:00:00"/>
    <x v="1"/>
    <x v="7"/>
    <n v="1005"/>
    <x v="1"/>
    <n v="15"/>
    <n v="4000"/>
    <n v="60000"/>
    <x v="238"/>
    <n v="60"/>
    <x v="222"/>
    <x v="9"/>
    <d v="2024-01-10T00:00:00"/>
    <d v="1899-12-30T10:00:00"/>
    <n v="12"/>
    <n v="0"/>
  </r>
  <r>
    <d v="2024-01-10T10:00:00"/>
    <x v="1"/>
    <x v="3"/>
    <n v="1005"/>
    <x v="1"/>
    <n v="37"/>
    <n v="4050"/>
    <n v="149850"/>
    <x v="209"/>
    <n v="96"/>
    <x v="85"/>
    <x v="9"/>
    <d v="2024-01-10T00:00:00"/>
    <d v="1899-12-30T10:00:00"/>
    <n v="11"/>
    <n v="0"/>
  </r>
  <r>
    <d v="2024-01-10T10:00:00"/>
    <x v="1"/>
    <x v="1"/>
    <n v="1005"/>
    <x v="1"/>
    <n v="30"/>
    <n v="3750"/>
    <n v="112500"/>
    <x v="226"/>
    <n v="96"/>
    <x v="238"/>
    <x v="9"/>
    <d v="2024-01-10T00:00:00"/>
    <d v="1899-12-30T10:00:00"/>
    <n v="13"/>
    <n v="0"/>
  </r>
  <r>
    <d v="2024-01-10T10:00:00"/>
    <x v="1"/>
    <x v="9"/>
    <n v="1005"/>
    <x v="1"/>
    <n v="30"/>
    <n v="3750"/>
    <n v="112500"/>
    <x v="231"/>
    <n v="96"/>
    <x v="87"/>
    <x v="9"/>
    <d v="2024-01-10T00:00:00"/>
    <d v="1899-12-30T10:00:00"/>
    <n v="14"/>
    <n v="0"/>
  </r>
  <r>
    <d v="2024-01-10T10:00:00"/>
    <x v="1"/>
    <x v="6"/>
    <n v="1005"/>
    <x v="1"/>
    <n v="43"/>
    <n v="3750"/>
    <n v="161250"/>
    <x v="209"/>
    <n v="96"/>
    <x v="85"/>
    <x v="9"/>
    <d v="2024-01-10T00:00:00"/>
    <d v="1899-12-30T10:00:00"/>
    <n v="15"/>
    <n v="0"/>
  </r>
  <r>
    <d v="2024-01-10T12:00:00"/>
    <x v="2"/>
    <x v="10"/>
    <n v="2004"/>
    <x v="2"/>
    <n v="15"/>
    <n v="6650"/>
    <n v="99750"/>
    <x v="234"/>
    <n v="132"/>
    <x v="266"/>
    <x v="9"/>
    <d v="2024-01-10T00:00:00"/>
    <d v="1899-12-30T12:00:00"/>
    <n v="16"/>
    <n v="0"/>
  </r>
  <r>
    <d v="2024-01-10T12:00:00"/>
    <x v="2"/>
    <x v="6"/>
    <n v="2004"/>
    <x v="1"/>
    <n v="30"/>
    <n v="3850"/>
    <n v="115500"/>
    <x v="217"/>
    <n v="120"/>
    <x v="252"/>
    <x v="9"/>
    <d v="2024-01-10T00:00:00"/>
    <d v="1899-12-30T12:00:00"/>
    <n v="15"/>
    <n v="0"/>
  </r>
  <r>
    <d v="2024-01-10T12:00:00"/>
    <x v="2"/>
    <x v="2"/>
    <n v="2004"/>
    <x v="2"/>
    <n v="8"/>
    <n v="6650"/>
    <n v="53200"/>
    <x v="240"/>
    <n v="132"/>
    <x v="267"/>
    <x v="9"/>
    <d v="2024-01-10T00:00:00"/>
    <d v="1899-12-30T12:00:00"/>
    <n v="9"/>
    <n v="0"/>
  </r>
  <r>
    <d v="2024-01-10T12:00:00"/>
    <x v="2"/>
    <x v="9"/>
    <n v="2004"/>
    <x v="1"/>
    <n v="30"/>
    <n v="3750"/>
    <n v="112500"/>
    <x v="238"/>
    <n v="132"/>
    <x v="265"/>
    <x v="9"/>
    <d v="2024-01-10T00:00:00"/>
    <d v="1899-12-30T12:00:00"/>
    <n v="14"/>
    <n v="0"/>
  </r>
  <r>
    <d v="2024-01-10T12:00:00"/>
    <x v="2"/>
    <x v="7"/>
    <n v="2004"/>
    <x v="1"/>
    <n v="30"/>
    <n v="3800"/>
    <n v="114000"/>
    <x v="219"/>
    <n v="120"/>
    <x v="254"/>
    <x v="9"/>
    <d v="2024-01-10T00:00:00"/>
    <d v="1899-12-30T12:00:00"/>
    <n v="12"/>
    <n v="0"/>
  </r>
  <r>
    <d v="2024-01-10T12:00:00"/>
    <x v="2"/>
    <x v="5"/>
    <n v="2004"/>
    <x v="2"/>
    <n v="25"/>
    <n v="5700"/>
    <n v="142500"/>
    <x v="240"/>
    <n v="132"/>
    <x v="267"/>
    <x v="9"/>
    <d v="2024-01-10T00:00:00"/>
    <d v="1899-12-30T12:00:00"/>
    <n v="8"/>
    <n v="0"/>
  </r>
  <r>
    <d v="2024-01-10T12:00:00"/>
    <x v="2"/>
    <x v="5"/>
    <n v="2004"/>
    <x v="1"/>
    <n v="30"/>
    <n v="3800"/>
    <n v="114000"/>
    <x v="220"/>
    <n v="132"/>
    <x v="268"/>
    <x v="9"/>
    <d v="2024-01-10T00:00:00"/>
    <d v="1899-12-30T12:00:00"/>
    <n v="8"/>
    <n v="0"/>
  </r>
  <r>
    <d v="2024-01-10T12:00:00"/>
    <x v="2"/>
    <x v="4"/>
    <n v="2004"/>
    <x v="1"/>
    <n v="30"/>
    <n v="4200"/>
    <n v="126000"/>
    <x v="214"/>
    <n v="132"/>
    <x v="269"/>
    <x v="9"/>
    <d v="2024-01-10T00:00:00"/>
    <d v="1899-12-30T12:00:00"/>
    <n v="10"/>
    <n v="0"/>
  </r>
  <r>
    <d v="2024-01-10T12:00:00"/>
    <x v="2"/>
    <x v="1"/>
    <n v="2004"/>
    <x v="1"/>
    <n v="30"/>
    <n v="3500"/>
    <n v="105000"/>
    <x v="244"/>
    <n v="132"/>
    <x v="270"/>
    <x v="9"/>
    <d v="2024-01-10T00:00:00"/>
    <d v="1899-12-30T12:00:00"/>
    <n v="13"/>
    <n v="0"/>
  </r>
  <r>
    <d v="2024-01-10T12:00:00"/>
    <x v="2"/>
    <x v="1"/>
    <n v="2004"/>
    <x v="2"/>
    <n v="13"/>
    <n v="6400"/>
    <n v="83200"/>
    <x v="241"/>
    <n v="132"/>
    <x v="271"/>
    <x v="9"/>
    <d v="2024-01-10T00:00:00"/>
    <d v="1899-12-30T12:00:00"/>
    <n v="13"/>
    <n v="0"/>
  </r>
  <r>
    <d v="2024-01-10T12:00:00"/>
    <x v="2"/>
    <x v="9"/>
    <n v="2004"/>
    <x v="2"/>
    <n v="7"/>
    <n v="6650"/>
    <n v="46550"/>
    <x v="232"/>
    <n v="132"/>
    <x v="272"/>
    <x v="9"/>
    <d v="2024-01-10T00:00:00"/>
    <d v="1899-12-30T12:00:00"/>
    <n v="14"/>
    <n v="0"/>
  </r>
  <r>
    <d v="2024-01-10T12:00:00"/>
    <x v="2"/>
    <x v="8"/>
    <n v="2004"/>
    <x v="2"/>
    <n v="10"/>
    <n v="6650"/>
    <n v="66500"/>
    <x v="226"/>
    <n v="132"/>
    <x v="273"/>
    <x v="9"/>
    <d v="2024-01-10T00:00:00"/>
    <d v="1899-12-30T12:00:00"/>
    <n v="7"/>
    <n v="0"/>
  </r>
  <r>
    <d v="2024-01-10T12:00:00"/>
    <x v="2"/>
    <x v="8"/>
    <n v="2004"/>
    <x v="1"/>
    <n v="30"/>
    <n v="3750"/>
    <n v="112500"/>
    <x v="221"/>
    <n v="132"/>
    <x v="254"/>
    <x v="9"/>
    <d v="2024-01-10T00:00:00"/>
    <d v="1899-12-30T12:00:00"/>
    <n v="7"/>
    <n v="0"/>
  </r>
  <r>
    <d v="2024-01-10T12:00:00"/>
    <x v="0"/>
    <x v="13"/>
    <n v="9"/>
    <x v="3"/>
    <n v="100"/>
    <n v="1500"/>
    <n v="150000"/>
    <x v="204"/>
    <n v="24"/>
    <x v="219"/>
    <x v="9"/>
    <d v="2024-01-10T00:00:00"/>
    <d v="1899-12-30T12:00:00"/>
    <n v="2"/>
    <n v="0"/>
  </r>
  <r>
    <d v="2024-01-10T12:00:00"/>
    <x v="2"/>
    <x v="7"/>
    <n v="2004"/>
    <x v="2"/>
    <n v="17"/>
    <n v="6750"/>
    <n v="114750"/>
    <x v="204"/>
    <n v="120"/>
    <x v="109"/>
    <x v="9"/>
    <d v="2024-01-10T00:00:00"/>
    <d v="1899-12-30T12:00:00"/>
    <n v="12"/>
    <n v="0"/>
  </r>
  <r>
    <d v="2024-01-10T12:00:00"/>
    <x v="2"/>
    <x v="4"/>
    <n v="2004"/>
    <x v="2"/>
    <n v="19"/>
    <n v="6700"/>
    <n v="127300"/>
    <x v="222"/>
    <n v="72"/>
    <x v="191"/>
    <x v="9"/>
    <d v="2024-01-10T00:00:00"/>
    <d v="1899-12-30T12:00:00"/>
    <n v="10"/>
    <n v="0"/>
  </r>
  <r>
    <d v="2024-01-10T12:00:00"/>
    <x v="2"/>
    <x v="2"/>
    <n v="2004"/>
    <x v="1"/>
    <n v="30"/>
    <n v="3750"/>
    <n v="112500"/>
    <x v="240"/>
    <n v="132"/>
    <x v="274"/>
    <x v="9"/>
    <d v="2024-01-10T00:00:00"/>
    <d v="1899-12-30T12:00:00"/>
    <n v="9"/>
    <n v="0"/>
  </r>
  <r>
    <d v="2024-01-10T12:00:00"/>
    <x v="2"/>
    <x v="6"/>
    <n v="2004"/>
    <x v="2"/>
    <n v="22"/>
    <n v="6800"/>
    <n v="149600"/>
    <x v="217"/>
    <n v="54"/>
    <x v="197"/>
    <x v="9"/>
    <d v="2024-01-10T00:00:00"/>
    <d v="1899-12-30T12:00:00"/>
    <n v="15"/>
    <n v="0"/>
  </r>
  <r>
    <d v="2024-01-10T12:00:00"/>
    <x v="2"/>
    <x v="10"/>
    <n v="2004"/>
    <x v="1"/>
    <n v="30"/>
    <n v="3750"/>
    <n v="112500"/>
    <x v="234"/>
    <n v="132"/>
    <x v="266"/>
    <x v="9"/>
    <d v="2024-01-10T00:00:00"/>
    <d v="1899-12-30T12:00:00"/>
    <n v="16"/>
    <n v="0"/>
  </r>
  <r>
    <d v="2024-01-10T13:00:00"/>
    <x v="0"/>
    <x v="14"/>
    <n v="12"/>
    <x v="3"/>
    <n v="200"/>
    <n v="1180"/>
    <n v="236000"/>
    <x v="217"/>
    <n v="24"/>
    <x v="204"/>
    <x v="9"/>
    <d v="2024-01-10T00:00:00"/>
    <d v="1899-12-30T13:00:00"/>
    <d v="1900-01-02T00:00:00"/>
    <n v="0"/>
  </r>
  <r>
    <d v="2024-01-10T13:00:00"/>
    <x v="0"/>
    <x v="15"/>
    <n v="14"/>
    <x v="0"/>
    <n v="4500"/>
    <n v="140"/>
    <n v="630000"/>
    <x v="217"/>
    <n v="72"/>
    <x v="221"/>
    <x v="9"/>
    <d v="2024-01-10T00:00:00"/>
    <d v="1899-12-30T13:00:00"/>
    <d v="1899-12-31T00:00:00"/>
    <n v="0"/>
  </r>
  <r>
    <d v="2024-01-10T14:00:00"/>
    <x v="1"/>
    <x v="1"/>
    <n v="1011"/>
    <x v="1"/>
    <n v="23"/>
    <n v="3750"/>
    <n v="86250"/>
    <x v="244"/>
    <n v="96"/>
    <x v="275"/>
    <x v="9"/>
    <d v="2024-01-10T00:00:00"/>
    <d v="1899-12-30T14:00:00"/>
    <n v="13"/>
    <n v="0"/>
  </r>
  <r>
    <d v="2024-01-10T14:00:00"/>
    <x v="1"/>
    <x v="7"/>
    <n v="1011"/>
    <x v="1"/>
    <n v="15"/>
    <n v="4000"/>
    <n v="60000"/>
    <x v="229"/>
    <n v="60"/>
    <x v="214"/>
    <x v="9"/>
    <d v="2024-01-10T00:00:00"/>
    <d v="1899-12-30T14:00:00"/>
    <n v="12"/>
    <n v="0"/>
  </r>
  <r>
    <d v="2024-01-10T14:00:00"/>
    <x v="1"/>
    <x v="9"/>
    <n v="1011"/>
    <x v="1"/>
    <n v="30"/>
    <n v="3750"/>
    <n v="112500"/>
    <x v="232"/>
    <n v="96"/>
    <x v="262"/>
    <x v="9"/>
    <d v="2024-01-10T00:00:00"/>
    <d v="1899-12-30T14:00:00"/>
    <n v="14"/>
    <n v="0"/>
  </r>
  <r>
    <d v="2024-01-10T14:00:00"/>
    <x v="1"/>
    <x v="5"/>
    <n v="1011"/>
    <x v="1"/>
    <n v="20"/>
    <n v="3800"/>
    <n v="76000"/>
    <x v="210"/>
    <n v="96"/>
    <x v="245"/>
    <x v="9"/>
    <d v="2024-01-10T00:00:00"/>
    <d v="1899-12-30T14:00:00"/>
    <n v="8"/>
    <n v="0"/>
  </r>
  <r>
    <d v="2024-01-10T14:00:00"/>
    <x v="1"/>
    <x v="8"/>
    <n v="1011"/>
    <x v="1"/>
    <n v="30"/>
    <n v="3650"/>
    <n v="109500"/>
    <x v="221"/>
    <n v="96"/>
    <x v="247"/>
    <x v="9"/>
    <d v="2024-01-10T00:00:00"/>
    <d v="1899-12-30T14:00:00"/>
    <n v="7"/>
    <n v="0"/>
  </r>
  <r>
    <d v="2024-01-10T14:00:00"/>
    <x v="1"/>
    <x v="10"/>
    <n v="1011"/>
    <x v="1"/>
    <n v="30"/>
    <n v="3750"/>
    <n v="112500"/>
    <x v="234"/>
    <n v="96"/>
    <x v="82"/>
    <x v="9"/>
    <d v="2024-01-10T00:00:00"/>
    <d v="1899-12-30T14:00:00"/>
    <n v="16"/>
    <n v="0"/>
  </r>
  <r>
    <d v="2024-01-10T14:00:00"/>
    <x v="1"/>
    <x v="2"/>
    <n v="1011"/>
    <x v="1"/>
    <n v="26"/>
    <n v="3750"/>
    <n v="97500"/>
    <x v="225"/>
    <n v="96"/>
    <x v="258"/>
    <x v="9"/>
    <d v="2024-01-10T00:00:00"/>
    <d v="1899-12-30T14:00:00"/>
    <n v="9"/>
    <n v="0"/>
  </r>
  <r>
    <d v="2024-01-10T16:00:00"/>
    <x v="1"/>
    <x v="8"/>
    <n v="1005"/>
    <x v="2"/>
    <n v="6"/>
    <n v="6650"/>
    <n v="39900"/>
    <x v="226"/>
    <n v="96"/>
    <x v="238"/>
    <x v="9"/>
    <d v="2024-01-10T00:00:00"/>
    <d v="1899-12-30T16:00:00"/>
    <n v="7"/>
    <n v="0"/>
  </r>
  <r>
    <d v="2024-01-10T16:00:00"/>
    <x v="1"/>
    <x v="2"/>
    <n v="1005"/>
    <x v="2"/>
    <n v="13"/>
    <n v="6700"/>
    <n v="87100"/>
    <x v="209"/>
    <n v="72"/>
    <x v="85"/>
    <x v="9"/>
    <d v="2024-01-10T00:00:00"/>
    <d v="1899-12-30T16:00:00"/>
    <n v="9"/>
    <n v="0"/>
  </r>
  <r>
    <d v="2024-01-10T16:00:00"/>
    <x v="1"/>
    <x v="4"/>
    <n v="1005"/>
    <x v="2"/>
    <n v="10"/>
    <n v="6600"/>
    <n v="66000"/>
    <x v="234"/>
    <n v="84"/>
    <x v="82"/>
    <x v="9"/>
    <d v="2024-01-10T00:00:00"/>
    <d v="1899-12-30T16:00:00"/>
    <n v="10"/>
    <n v="0"/>
  </r>
  <r>
    <d v="2024-01-10T16:00:00"/>
    <x v="1"/>
    <x v="10"/>
    <n v="1005"/>
    <x v="2"/>
    <n v="12"/>
    <n v="6650"/>
    <n v="79800"/>
    <x v="234"/>
    <n v="96"/>
    <x v="82"/>
    <x v="9"/>
    <d v="2024-01-10T00:00:00"/>
    <d v="1899-12-30T16:00:00"/>
    <n v="16"/>
    <n v="0"/>
  </r>
  <r>
    <d v="2024-01-10T16:00:00"/>
    <x v="1"/>
    <x v="6"/>
    <n v="1005"/>
    <x v="2"/>
    <n v="15"/>
    <n v="6500"/>
    <n v="97500"/>
    <x v="214"/>
    <n v="68"/>
    <x v="193"/>
    <x v="9"/>
    <d v="2024-01-10T00:00:00"/>
    <d v="1899-12-30T16:00:00"/>
    <n v="15"/>
    <n v="0"/>
  </r>
  <r>
    <d v="2024-01-10T16:00:00"/>
    <x v="0"/>
    <x v="4"/>
    <n v="6"/>
    <x v="5"/>
    <n v="60"/>
    <n v="23"/>
    <n v="1380"/>
    <x v="219"/>
    <n v="72"/>
    <x v="240"/>
    <x v="9"/>
    <d v="2024-01-10T00:00:00"/>
    <d v="1899-12-30T16:00:00"/>
    <n v="10"/>
    <n v="0"/>
  </r>
  <r>
    <d v="2024-01-10T16:00:00"/>
    <x v="1"/>
    <x v="9"/>
    <n v="1005"/>
    <x v="2"/>
    <n v="5"/>
    <n v="6650"/>
    <n v="33250"/>
    <x v="232"/>
    <n v="96"/>
    <x v="238"/>
    <x v="9"/>
    <d v="2024-01-10T00:00:00"/>
    <d v="1899-12-30T16:00:00"/>
    <n v="14"/>
    <n v="0"/>
  </r>
  <r>
    <d v="2024-01-10T16:00:00"/>
    <x v="1"/>
    <x v="7"/>
    <n v="1005"/>
    <x v="2"/>
    <n v="9"/>
    <n v="6900"/>
    <n v="62100"/>
    <x v="219"/>
    <n v="84"/>
    <x v="240"/>
    <x v="9"/>
    <d v="2024-01-10T00:00:00"/>
    <d v="1899-12-30T16:00:00"/>
    <n v="12"/>
    <n v="0"/>
  </r>
  <r>
    <d v="2024-01-10T16:00:00"/>
    <x v="1"/>
    <x v="1"/>
    <n v="1005"/>
    <x v="2"/>
    <n v="8"/>
    <n v="6400"/>
    <n v="51200"/>
    <x v="245"/>
    <n v="96"/>
    <x v="276"/>
    <x v="9"/>
    <d v="2024-01-10T00:00:00"/>
    <d v="1899-12-30T16:00:00"/>
    <n v="13"/>
    <n v="0"/>
  </r>
  <r>
    <d v="2024-01-10T16:00:00"/>
    <x v="1"/>
    <x v="5"/>
    <n v="1005"/>
    <x v="2"/>
    <n v="18"/>
    <n v="5450"/>
    <n v="98100"/>
    <x v="240"/>
    <n v="96"/>
    <x v="247"/>
    <x v="9"/>
    <d v="2024-01-10T00:00:00"/>
    <d v="1899-12-30T16:00:00"/>
    <n v="8"/>
    <n v="0"/>
  </r>
  <r>
    <d v="2024-01-10T17:00:00"/>
    <x v="0"/>
    <x v="0"/>
    <n v="9"/>
    <x v="0"/>
    <n v="2987"/>
    <n v="105"/>
    <n v="313635"/>
    <x v="214"/>
    <n v="72"/>
    <x v="84"/>
    <x v="9"/>
    <d v="2024-01-10T00:00:00"/>
    <d v="1899-12-30T17:00:00"/>
    <d v="1900-01-03T00:00:00"/>
    <n v="0"/>
  </r>
  <r>
    <d v="2024-01-10T18:00:00"/>
    <x v="0"/>
    <x v="11"/>
    <n v="15"/>
    <x v="3"/>
    <n v="315"/>
    <n v="1100"/>
    <n v="346500"/>
    <x v="231"/>
    <n v="72"/>
    <x v="87"/>
    <x v="9"/>
    <d v="2024-01-10T00:00:00"/>
    <d v="1899-12-30T18:00:00"/>
    <d v="1900-01-05T00:00:00"/>
    <n v="0"/>
  </r>
  <r>
    <d v="2024-01-10T18:00:00"/>
    <x v="0"/>
    <x v="11"/>
    <n v="15"/>
    <x v="3"/>
    <n v="315"/>
    <n v="1100"/>
    <n v="346500"/>
    <x v="231"/>
    <n v="72"/>
    <x v="87"/>
    <x v="9"/>
    <d v="2024-01-10T00:00:00"/>
    <d v="1899-12-30T18:00:00"/>
    <n v="6"/>
    <n v="0"/>
  </r>
  <r>
    <d v="2024-01-10T21:00:00"/>
    <x v="0"/>
    <x v="13"/>
    <n v="7"/>
    <x v="3"/>
    <n v="100"/>
    <n v="1800"/>
    <n v="180000"/>
    <x v="219"/>
    <n v="24"/>
    <x v="199"/>
    <x v="9"/>
    <d v="2024-01-10T00:00:00"/>
    <d v="1899-12-30T21:00:00"/>
    <n v="2"/>
    <n v="0"/>
  </r>
  <r>
    <d v="2024-01-10T21:00:00"/>
    <x v="0"/>
    <x v="15"/>
    <n v="14"/>
    <x v="3"/>
    <n v="300"/>
    <n v="1500"/>
    <n v="450000"/>
    <x v="236"/>
    <n v="24"/>
    <x v="174"/>
    <x v="9"/>
    <d v="2024-01-10T00:00:00"/>
    <d v="1899-12-30T21:00:00"/>
    <n v="1"/>
    <n v="0"/>
  </r>
  <r>
    <d v="2024-01-10T22:00:00"/>
    <x v="1"/>
    <x v="3"/>
    <n v="1006"/>
    <x v="1"/>
    <n v="33"/>
    <n v="4050"/>
    <n v="133650"/>
    <x v="241"/>
    <n v="96"/>
    <x v="246"/>
    <x v="9"/>
    <d v="2024-01-10T00:00:00"/>
    <d v="1899-12-30T22:00:00"/>
    <n v="11"/>
    <n v="0"/>
  </r>
  <r>
    <d v="2024-01-10T22:00:00"/>
    <x v="1"/>
    <x v="10"/>
    <n v="1006"/>
    <x v="1"/>
    <n v="30"/>
    <n v="3750"/>
    <n v="112500"/>
    <x v="222"/>
    <n v="96"/>
    <x v="256"/>
    <x v="9"/>
    <d v="2024-01-10T00:00:00"/>
    <d v="1899-12-30T22:00:00"/>
    <n v="16"/>
    <n v="0"/>
  </r>
  <r>
    <d v="2024-01-10T22:00:00"/>
    <x v="0"/>
    <x v="11"/>
    <n v="7"/>
    <x v="0"/>
    <n v="2079"/>
    <n v="110"/>
    <n v="228690"/>
    <x v="219"/>
    <n v="72"/>
    <x v="240"/>
    <x v="9"/>
    <d v="2024-01-10T00:00:00"/>
    <d v="1899-12-30T22:00:00"/>
    <n v="6"/>
    <n v="0"/>
  </r>
  <r>
    <d v="2024-01-10T22:00:00"/>
    <x v="1"/>
    <x v="7"/>
    <n v="1006"/>
    <x v="1"/>
    <n v="15"/>
    <n v="4000"/>
    <n v="60000"/>
    <x v="229"/>
    <n v="60"/>
    <x v="214"/>
    <x v="9"/>
    <d v="2024-01-10T00:00:00"/>
    <d v="1899-12-30T22:00:00"/>
    <n v="12"/>
    <n v="0"/>
  </r>
  <r>
    <d v="2024-01-10T22:00:00"/>
    <x v="1"/>
    <x v="6"/>
    <n v="1006"/>
    <x v="1"/>
    <n v="38"/>
    <n v="3750"/>
    <n v="142500"/>
    <x v="244"/>
    <n v="96"/>
    <x v="275"/>
    <x v="9"/>
    <d v="2024-01-10T00:00:00"/>
    <d v="1899-12-30T22:00:00"/>
    <n v="15"/>
    <n v="0"/>
  </r>
  <r>
    <d v="2024-01-10T22:00:00"/>
    <x v="1"/>
    <x v="8"/>
    <n v="1006"/>
    <x v="1"/>
    <n v="30"/>
    <n v="3650"/>
    <n v="109500"/>
    <x v="246"/>
    <n v="96"/>
    <x v="258"/>
    <x v="9"/>
    <d v="2024-01-10T00:00:00"/>
    <d v="1899-12-30T22:00:00"/>
    <n v="7"/>
    <n v="0"/>
  </r>
  <r>
    <d v="2024-01-10T22:00:00"/>
    <x v="1"/>
    <x v="2"/>
    <n v="1006"/>
    <x v="1"/>
    <n v="15"/>
    <n v="3900"/>
    <n v="58500"/>
    <x v="219"/>
    <n v="72"/>
    <x v="240"/>
    <x v="9"/>
    <d v="2024-01-10T00:00:00"/>
    <d v="1899-12-30T22:00:00"/>
    <n v="9"/>
    <n v="0"/>
  </r>
  <r>
    <d v="2024-01-10T22:00:00"/>
    <x v="1"/>
    <x v="9"/>
    <n v="1006"/>
    <x v="1"/>
    <n v="30"/>
    <n v="3750"/>
    <n v="112500"/>
    <x v="245"/>
    <n v="96"/>
    <x v="276"/>
    <x v="9"/>
    <d v="2024-01-10T00:00:00"/>
    <d v="1899-12-30T22:00:00"/>
    <n v="14"/>
    <n v="0"/>
  </r>
  <r>
    <d v="2024-01-10T22:00:00"/>
    <x v="1"/>
    <x v="5"/>
    <n v="1006"/>
    <x v="1"/>
    <n v="30"/>
    <n v="3800"/>
    <n v="114000"/>
    <x v="247"/>
    <n v="96"/>
    <x v="250"/>
    <x v="9"/>
    <d v="2024-01-10T00:00:00"/>
    <d v="1899-12-30T22:00:00"/>
    <n v="8"/>
    <n v="0"/>
  </r>
  <r>
    <d v="2024-01-10T22:00:00"/>
    <x v="1"/>
    <x v="1"/>
    <n v="1006"/>
    <x v="1"/>
    <n v="30"/>
    <n v="3750"/>
    <n v="112500"/>
    <x v="248"/>
    <n v="96"/>
    <x v="277"/>
    <x v="9"/>
    <d v="2024-01-10T00:00:00"/>
    <d v="1899-12-30T22:00:00"/>
    <n v="13"/>
    <n v="0"/>
  </r>
  <r>
    <d v="2024-01-11T00:00:00"/>
    <x v="0"/>
    <x v="0"/>
    <n v="9"/>
    <x v="3"/>
    <n v="587"/>
    <n v="1350"/>
    <n v="792450"/>
    <x v="232"/>
    <n v="72"/>
    <x v="262"/>
    <x v="10"/>
    <d v="2024-01-11T00:00:00"/>
    <d v="1899-12-30T00:00:00"/>
    <n v="4"/>
    <n v="0"/>
  </r>
  <r>
    <d v="2024-01-11T01:00:00"/>
    <x v="0"/>
    <x v="12"/>
    <n v="16"/>
    <x v="3"/>
    <n v="333"/>
    <n v="1020"/>
    <n v="339660"/>
    <x v="222"/>
    <n v="24"/>
    <x v="197"/>
    <x v="10"/>
    <d v="2024-01-11T00:00:00"/>
    <d v="1899-12-30T01:00:00"/>
    <n v="5"/>
    <n v="0"/>
  </r>
  <r>
    <d v="2024-01-11T02:00:00"/>
    <x v="0"/>
    <x v="14"/>
    <n v="13"/>
    <x v="3"/>
    <n v="150"/>
    <n v="1240"/>
    <n v="186000"/>
    <x v="244"/>
    <n v="72"/>
    <x v="275"/>
    <x v="10"/>
    <d v="2024-01-11T00:00:00"/>
    <d v="1899-12-30T02:00:00"/>
    <n v="3"/>
    <n v="0"/>
  </r>
  <r>
    <d v="2024-01-11T02:00:00"/>
    <x v="0"/>
    <x v="12"/>
    <n v="16"/>
    <x v="0"/>
    <n v="1500"/>
    <n v="120"/>
    <n v="180000"/>
    <x v="222"/>
    <n v="24"/>
    <x v="197"/>
    <x v="10"/>
    <d v="2024-01-11T00:00:00"/>
    <d v="1899-12-30T02:00:00"/>
    <d v="1900-01-04T00:00:00"/>
    <n v="0"/>
  </r>
  <r>
    <d v="2024-01-11T02:00:00"/>
    <x v="0"/>
    <x v="10"/>
    <n v="5"/>
    <x v="5"/>
    <n v="408"/>
    <n v="5"/>
    <n v="2040"/>
    <x v="222"/>
    <n v="72"/>
    <x v="256"/>
    <x v="10"/>
    <d v="2024-01-11T00:00:00"/>
    <d v="1899-12-30T02:00:00"/>
    <n v="16"/>
    <n v="0"/>
  </r>
  <r>
    <d v="2024-01-11T02:00:00"/>
    <x v="0"/>
    <x v="15"/>
    <n v="10"/>
    <x v="3"/>
    <n v="300"/>
    <n v="1600"/>
    <n v="480000"/>
    <x v="222"/>
    <n v="72"/>
    <x v="256"/>
    <x v="10"/>
    <d v="2024-01-11T00:00:00"/>
    <d v="1899-12-30T02:00:00"/>
    <n v="1"/>
    <n v="0"/>
  </r>
  <r>
    <d v="2024-01-11T02:00:00"/>
    <x v="0"/>
    <x v="13"/>
    <n v="9"/>
    <x v="3"/>
    <n v="20"/>
    <n v="1800"/>
    <n v="36000"/>
    <x v="222"/>
    <n v="24"/>
    <x v="197"/>
    <x v="10"/>
    <d v="2024-01-11T00:00:00"/>
    <d v="1899-12-30T02:00:00"/>
    <n v="2"/>
    <n v="0"/>
  </r>
  <r>
    <d v="2024-01-11T02:00:00"/>
    <x v="0"/>
    <x v="14"/>
    <n v="12"/>
    <x v="0"/>
    <n v="2700"/>
    <n v="120"/>
    <n v="324000"/>
    <x v="222"/>
    <n v="72"/>
    <x v="256"/>
    <x v="10"/>
    <d v="2024-01-11T00:00:00"/>
    <d v="1899-12-30T02:00:00"/>
    <d v="1900-01-02T00:00:00"/>
    <n v="0"/>
  </r>
  <r>
    <d v="2024-01-11T02:00:00"/>
    <x v="0"/>
    <x v="14"/>
    <n v="12"/>
    <x v="3"/>
    <n v="150"/>
    <n v="1190"/>
    <n v="178500"/>
    <x v="222"/>
    <n v="24"/>
    <x v="197"/>
    <x v="10"/>
    <d v="2024-01-11T00:00:00"/>
    <d v="1899-12-30T02:00:00"/>
    <d v="1900-01-02T00:00:00"/>
    <n v="0"/>
  </r>
  <r>
    <d v="2024-01-11T04:00:00"/>
    <x v="1"/>
    <x v="2"/>
    <n v="1006"/>
    <x v="2"/>
    <n v="15"/>
    <n v="6700"/>
    <n v="100500"/>
    <x v="241"/>
    <n v="72"/>
    <x v="239"/>
    <x v="10"/>
    <d v="2024-01-11T00:00:00"/>
    <d v="1899-12-30T04:00:00"/>
    <n v="9"/>
    <n v="1.0000000001164153"/>
  </r>
  <r>
    <d v="2024-01-11T04:00:00"/>
    <x v="1"/>
    <x v="4"/>
    <n v="1006"/>
    <x v="2"/>
    <n v="10"/>
    <n v="6600"/>
    <n v="66000"/>
    <x v="235"/>
    <n v="84"/>
    <x v="255"/>
    <x v="10"/>
    <d v="2024-01-11T00:00:00"/>
    <d v="1899-12-30T04:00:00"/>
    <n v="10"/>
    <n v="0"/>
  </r>
  <r>
    <d v="2024-01-11T04:00:00"/>
    <x v="1"/>
    <x v="9"/>
    <n v="1006"/>
    <x v="2"/>
    <n v="6"/>
    <n v="6650"/>
    <n v="39900"/>
    <x v="249"/>
    <n v="96"/>
    <x v="278"/>
    <x v="10"/>
    <d v="2024-01-11T00:00:00"/>
    <d v="1899-12-30T04:00:00"/>
    <n v="14"/>
    <n v="0"/>
  </r>
  <r>
    <d v="2024-01-11T04:00:00"/>
    <x v="1"/>
    <x v="6"/>
    <n v="1006"/>
    <x v="2"/>
    <n v="17"/>
    <n v="6000"/>
    <n v="102000"/>
    <x v="245"/>
    <n v="68"/>
    <x v="235"/>
    <x v="10"/>
    <d v="2024-01-11T00:00:00"/>
    <d v="1899-12-30T04:00:00"/>
    <n v="15"/>
    <n v="0"/>
  </r>
  <r>
    <d v="2024-01-11T04:00:00"/>
    <x v="1"/>
    <x v="5"/>
    <n v="1006"/>
    <x v="2"/>
    <n v="20"/>
    <n v="5450"/>
    <n v="109000"/>
    <x v="250"/>
    <n v="96"/>
    <x v="279"/>
    <x v="10"/>
    <d v="2024-01-11T00:00:00"/>
    <d v="1899-12-30T04:00:00"/>
    <n v="8"/>
    <n v="0"/>
  </r>
  <r>
    <d v="2024-01-11T04:00:00"/>
    <x v="0"/>
    <x v="2"/>
    <n v="4"/>
    <x v="5"/>
    <n v="56"/>
    <n v="25"/>
    <n v="1400"/>
    <x v="210"/>
    <n v="72"/>
    <x v="245"/>
    <x v="10"/>
    <d v="2024-01-11T00:00:00"/>
    <d v="1899-12-30T04:00:00"/>
    <n v="9"/>
    <n v="0"/>
  </r>
  <r>
    <d v="2024-01-11T04:00:00"/>
    <x v="1"/>
    <x v="10"/>
    <n v="1006"/>
    <x v="2"/>
    <n v="13"/>
    <n v="6650"/>
    <n v="86450"/>
    <x v="244"/>
    <n v="96"/>
    <x v="275"/>
    <x v="10"/>
    <d v="2024-01-11T00:00:00"/>
    <d v="1899-12-30T04:00:00"/>
    <n v="16"/>
    <n v="0"/>
  </r>
  <r>
    <d v="2024-01-11T04:00:00"/>
    <x v="1"/>
    <x v="7"/>
    <n v="1006"/>
    <x v="2"/>
    <n v="12"/>
    <n v="6900"/>
    <n v="82800"/>
    <x v="241"/>
    <n v="84"/>
    <x v="246"/>
    <x v="10"/>
    <d v="2024-01-11T00:00:00"/>
    <d v="1899-12-30T04:00:00"/>
    <n v="12"/>
    <n v="0"/>
  </r>
  <r>
    <d v="2024-01-11T04:00:00"/>
    <x v="1"/>
    <x v="8"/>
    <n v="1006"/>
    <x v="2"/>
    <n v="8"/>
    <n v="6650"/>
    <n v="53200"/>
    <x v="243"/>
    <n v="96"/>
    <x v="259"/>
    <x v="10"/>
    <d v="2024-01-11T00:00:00"/>
    <d v="1899-12-30T04:00:00"/>
    <n v="7"/>
    <n v="0"/>
  </r>
  <r>
    <d v="2024-01-11T04:00:00"/>
    <x v="1"/>
    <x v="1"/>
    <n v="1006"/>
    <x v="2"/>
    <n v="9"/>
    <n v="6400"/>
    <n v="57600"/>
    <x v="250"/>
    <n v="96"/>
    <x v="257"/>
    <x v="10"/>
    <d v="2024-01-11T00:00:00"/>
    <d v="1899-12-30T04:00:00"/>
    <n v="13"/>
    <n v="0"/>
  </r>
  <r>
    <d v="2024-01-11T05:00:00"/>
    <x v="0"/>
    <x v="1"/>
    <n v="4"/>
    <x v="5"/>
    <n v="206"/>
    <n v="5"/>
    <n v="1030"/>
    <x v="210"/>
    <n v="72"/>
    <x v="245"/>
    <x v="10"/>
    <d v="2024-01-11T00:00:00"/>
    <d v="1899-12-30T05:00:00"/>
    <n v="13"/>
    <n v="0"/>
  </r>
  <r>
    <d v="2024-01-11T06:00:00"/>
    <x v="0"/>
    <x v="13"/>
    <n v="15"/>
    <x v="0"/>
    <n v="2700"/>
    <n v="130"/>
    <n v="351000"/>
    <x v="242"/>
    <n v="72"/>
    <x v="236"/>
    <x v="10"/>
    <d v="2024-01-11T00:00:00"/>
    <d v="1899-12-30T06:00:00"/>
    <n v="2"/>
    <n v="0"/>
  </r>
  <r>
    <d v="2024-01-11T06:00:00"/>
    <x v="0"/>
    <x v="6"/>
    <n v="6"/>
    <x v="5"/>
    <n v="27"/>
    <n v="23"/>
    <n v="621"/>
    <x v="245"/>
    <n v="72"/>
    <x v="276"/>
    <x v="10"/>
    <d v="2024-01-11T00:00:00"/>
    <d v="1899-12-30T06:00:00"/>
    <d v="1900-01-14T00:00:00"/>
    <n v="0"/>
  </r>
  <r>
    <d v="2024-01-11T08:00:00"/>
    <x v="2"/>
    <x v="4"/>
    <n v="2005"/>
    <x v="1"/>
    <n v="30"/>
    <n v="4200"/>
    <n v="126000"/>
    <x v="240"/>
    <n v="120"/>
    <x v="267"/>
    <x v="10"/>
    <d v="2024-01-11T00:00:00"/>
    <d v="1899-12-30T08:00:00"/>
    <n v="10"/>
    <n v="0"/>
  </r>
  <r>
    <d v="2024-01-11T08:00:00"/>
    <x v="2"/>
    <x v="5"/>
    <n v="2005"/>
    <x v="1"/>
    <n v="30"/>
    <n v="3800"/>
    <n v="114000"/>
    <x v="251"/>
    <n v="132"/>
    <x v="280"/>
    <x v="10"/>
    <d v="2024-01-11T00:00:00"/>
    <d v="1899-12-30T08:00:00"/>
    <n v="8"/>
    <n v="0"/>
  </r>
  <r>
    <d v="2024-01-11T08:00:00"/>
    <x v="2"/>
    <x v="8"/>
    <n v="2005"/>
    <x v="1"/>
    <n v="30"/>
    <n v="3800"/>
    <n v="114000"/>
    <x v="252"/>
    <n v="132"/>
    <x v="281"/>
    <x v="10"/>
    <d v="2024-01-11T00:00:00"/>
    <d v="1899-12-30T08:00:00"/>
    <n v="7"/>
    <n v="0"/>
  </r>
  <r>
    <d v="2024-01-11T08:00:00"/>
    <x v="2"/>
    <x v="2"/>
    <n v="2005"/>
    <x v="2"/>
    <n v="30"/>
    <n v="6650"/>
    <n v="199500"/>
    <x v="253"/>
    <n v="132"/>
    <x v="282"/>
    <x v="10"/>
    <d v="2024-01-11T00:00:00"/>
    <d v="1899-12-30T08:00:00"/>
    <n v="9"/>
    <n v="0"/>
  </r>
  <r>
    <d v="2024-01-11T08:00:00"/>
    <x v="2"/>
    <x v="2"/>
    <n v="2005"/>
    <x v="1"/>
    <n v="30"/>
    <n v="3750"/>
    <n v="112500"/>
    <x v="254"/>
    <n v="132"/>
    <x v="280"/>
    <x v="10"/>
    <d v="2024-01-11T00:00:00"/>
    <d v="1899-12-30T08:00:00"/>
    <n v="9"/>
    <n v="0"/>
  </r>
  <r>
    <d v="2024-01-11T08:00:00"/>
    <x v="2"/>
    <x v="1"/>
    <n v="2005"/>
    <x v="2"/>
    <n v="30"/>
    <n v="6400"/>
    <n v="192000"/>
    <x v="255"/>
    <n v="132"/>
    <x v="283"/>
    <x v="10"/>
    <d v="2024-01-11T00:00:00"/>
    <d v="1899-12-30T08:00:00"/>
    <n v="13"/>
    <n v="0"/>
  </r>
  <r>
    <d v="2024-01-11T08:00:00"/>
    <x v="2"/>
    <x v="8"/>
    <n v="2005"/>
    <x v="2"/>
    <n v="30"/>
    <n v="6650"/>
    <n v="199500"/>
    <x v="250"/>
    <n v="132"/>
    <x v="284"/>
    <x v="10"/>
    <d v="2024-01-11T00:00:00"/>
    <d v="1899-12-30T08:00:00"/>
    <n v="7"/>
    <n v="0"/>
  </r>
  <r>
    <d v="2024-01-11T08:00:00"/>
    <x v="2"/>
    <x v="3"/>
    <n v="2005"/>
    <x v="2"/>
    <n v="49"/>
    <n v="6550"/>
    <n v="320950"/>
    <x v="256"/>
    <n v="132"/>
    <x v="179"/>
    <x v="10"/>
    <d v="2024-01-11T00:00:00"/>
    <d v="1899-12-30T08:00:00"/>
    <n v="11"/>
    <n v="0"/>
  </r>
  <r>
    <d v="2024-01-11T08:00:00"/>
    <x v="2"/>
    <x v="9"/>
    <n v="2005"/>
    <x v="1"/>
    <n v="30"/>
    <n v="3750"/>
    <n v="112500"/>
    <x v="257"/>
    <n v="132"/>
    <x v="285"/>
    <x v="10"/>
    <d v="2024-01-11T00:00:00"/>
    <d v="1899-12-30T08:00:00"/>
    <n v="14"/>
    <n v="0"/>
  </r>
  <r>
    <d v="2024-01-11T08:00:00"/>
    <x v="2"/>
    <x v="5"/>
    <n v="2005"/>
    <x v="2"/>
    <n v="30"/>
    <n v="5700"/>
    <n v="171000"/>
    <x v="258"/>
    <n v="132"/>
    <x v="181"/>
    <x v="10"/>
    <d v="2024-01-11T00:00:00"/>
    <d v="1899-12-30T08:00:00"/>
    <n v="8"/>
    <n v="0"/>
  </r>
  <r>
    <d v="2024-01-11T08:00:00"/>
    <x v="2"/>
    <x v="1"/>
    <n v="2005"/>
    <x v="1"/>
    <n v="30"/>
    <n v="3500"/>
    <n v="105000"/>
    <x v="256"/>
    <n v="132"/>
    <x v="179"/>
    <x v="10"/>
    <d v="2024-01-11T00:00:00"/>
    <d v="1899-12-30T08:00:00"/>
    <n v="13"/>
    <n v="0"/>
  </r>
  <r>
    <d v="2024-01-11T08:00:00"/>
    <x v="2"/>
    <x v="6"/>
    <n v="2005"/>
    <x v="1"/>
    <n v="50"/>
    <n v="3750"/>
    <n v="187500"/>
    <x v="257"/>
    <n v="132"/>
    <x v="286"/>
    <x v="10"/>
    <d v="2024-01-11T00:00:00"/>
    <d v="1899-12-30T08:00:00"/>
    <n v="15"/>
    <n v="0"/>
  </r>
  <r>
    <d v="2024-01-11T08:00:00"/>
    <x v="2"/>
    <x v="10"/>
    <n v="2005"/>
    <x v="2"/>
    <n v="30"/>
    <n v="6650"/>
    <n v="199500"/>
    <x v="225"/>
    <n v="132"/>
    <x v="287"/>
    <x v="10"/>
    <d v="2024-01-11T00:00:00"/>
    <d v="1899-12-30T08:00:00"/>
    <n v="16"/>
    <n v="0"/>
  </r>
  <r>
    <d v="2024-01-11T08:00:00"/>
    <x v="2"/>
    <x v="10"/>
    <n v="2005"/>
    <x v="1"/>
    <n v="30"/>
    <n v="3750"/>
    <n v="112500"/>
    <x v="210"/>
    <n v="132"/>
    <x v="288"/>
    <x v="10"/>
    <d v="2024-01-11T00:00:00"/>
    <d v="1899-12-30T08:00:00"/>
    <n v="16"/>
    <n v="0"/>
  </r>
  <r>
    <d v="2024-01-11T08:00:00"/>
    <x v="2"/>
    <x v="6"/>
    <n v="2005"/>
    <x v="2"/>
    <n v="40"/>
    <n v="6000"/>
    <n v="240000"/>
    <x v="225"/>
    <n v="54"/>
    <x v="214"/>
    <x v="10"/>
    <d v="2024-01-11T00:00:00"/>
    <d v="1899-12-30T08:00:00"/>
    <n v="15"/>
    <n v="0"/>
  </r>
  <r>
    <d v="2024-01-11T08:00:00"/>
    <x v="2"/>
    <x v="4"/>
    <n v="2005"/>
    <x v="2"/>
    <n v="37"/>
    <n v="6700"/>
    <n v="247900"/>
    <x v="240"/>
    <n v="120"/>
    <x v="267"/>
    <x v="10"/>
    <d v="2024-01-11T00:00:00"/>
    <d v="1899-12-30T08:00:00"/>
    <n v="10"/>
    <n v="0"/>
  </r>
  <r>
    <d v="2024-01-11T08:00:00"/>
    <x v="2"/>
    <x v="9"/>
    <n v="2005"/>
    <x v="2"/>
    <n v="30"/>
    <n v="6650"/>
    <n v="199500"/>
    <x v="259"/>
    <n v="132"/>
    <x v="289"/>
    <x v="10"/>
    <d v="2024-01-11T00:00:00"/>
    <d v="1899-12-30T08:00:00"/>
    <n v="14"/>
    <n v="0"/>
  </r>
  <r>
    <d v="2024-01-11T08:00:00"/>
    <x v="2"/>
    <x v="7"/>
    <n v="2005"/>
    <x v="1"/>
    <n v="30"/>
    <n v="3800"/>
    <n v="114000"/>
    <x v="210"/>
    <n v="120"/>
    <x v="288"/>
    <x v="10"/>
    <d v="2024-01-11T00:00:00"/>
    <d v="1899-12-30T08:00:00"/>
    <n v="12"/>
    <n v="0"/>
  </r>
  <r>
    <d v="2024-01-11T08:00:00"/>
    <x v="2"/>
    <x v="7"/>
    <n v="2005"/>
    <x v="2"/>
    <n v="30"/>
    <n v="6750"/>
    <n v="202500"/>
    <x v="240"/>
    <n v="120"/>
    <x v="267"/>
    <x v="10"/>
    <d v="2024-01-11T00:00:00"/>
    <d v="1899-12-30T08:00:00"/>
    <n v="12"/>
    <n v="0"/>
  </r>
  <r>
    <d v="2024-01-11T09:00:00"/>
    <x v="0"/>
    <x v="13"/>
    <n v="15"/>
    <x v="3"/>
    <n v="187"/>
    <n v="1800"/>
    <n v="336600"/>
    <x v="220"/>
    <n v="48"/>
    <x v="229"/>
    <x v="10"/>
    <d v="2024-01-11T00:00:00"/>
    <d v="1899-12-30T09:00:00"/>
    <n v="2"/>
    <n v="0"/>
  </r>
  <r>
    <d v="2024-01-11T10:00:00"/>
    <x v="0"/>
    <x v="0"/>
    <n v="9"/>
    <x v="3"/>
    <n v="168"/>
    <n v="1340"/>
    <n v="225120"/>
    <x v="225"/>
    <n v="48"/>
    <x v="241"/>
    <x v="10"/>
    <d v="2024-01-11T00:00:00"/>
    <d v="1899-12-30T10:00:00"/>
    <n v="4"/>
    <n v="0"/>
  </r>
  <r>
    <d v="2024-01-11T13:00:00"/>
    <x v="1"/>
    <x v="5"/>
    <n v="1002"/>
    <x v="1"/>
    <n v="27"/>
    <n v="3800"/>
    <n v="102600"/>
    <x v="260"/>
    <n v="96"/>
    <x v="290"/>
    <x v="10"/>
    <d v="2024-01-11T00:00:00"/>
    <d v="1899-12-30T13:00:00"/>
    <n v="8"/>
    <n v="0"/>
  </r>
  <r>
    <d v="2024-01-11T13:00:00"/>
    <x v="1"/>
    <x v="9"/>
    <n v="1002"/>
    <x v="1"/>
    <n v="30"/>
    <n v="3750"/>
    <n v="112500"/>
    <x v="256"/>
    <n v="96"/>
    <x v="251"/>
    <x v="10"/>
    <d v="2024-01-11T00:00:00"/>
    <d v="1899-12-30T13:00:00"/>
    <n v="14"/>
    <n v="0"/>
  </r>
  <r>
    <d v="2024-01-11T13:00:00"/>
    <x v="1"/>
    <x v="6"/>
    <n v="1002"/>
    <x v="1"/>
    <n v="20"/>
    <n v="3850"/>
    <n v="77000"/>
    <x v="261"/>
    <n v="92"/>
    <x v="249"/>
    <x v="10"/>
    <d v="2024-01-11T00:00:00"/>
    <d v="1899-12-30T13:00:00"/>
    <n v="15"/>
    <n v="0"/>
  </r>
  <r>
    <d v="2024-01-11T13:00:00"/>
    <x v="1"/>
    <x v="8"/>
    <n v="1002"/>
    <x v="1"/>
    <n v="23"/>
    <n v="3850"/>
    <n v="88550"/>
    <x v="252"/>
    <n v="96"/>
    <x v="249"/>
    <x v="10"/>
    <d v="2024-01-11T00:00:00"/>
    <d v="1899-12-30T13:00:00"/>
    <n v="7"/>
    <n v="0"/>
  </r>
  <r>
    <d v="2024-01-11T13:00:00"/>
    <x v="1"/>
    <x v="10"/>
    <n v="1002"/>
    <x v="1"/>
    <n v="30"/>
    <n v="3750"/>
    <n v="112500"/>
    <x v="223"/>
    <n v="96"/>
    <x v="291"/>
    <x v="10"/>
    <d v="2024-01-11T00:00:00"/>
    <d v="1899-12-30T13:00:00"/>
    <n v="16"/>
    <n v="0"/>
  </r>
  <r>
    <d v="2024-01-11T13:00:00"/>
    <x v="1"/>
    <x v="3"/>
    <n v="1002"/>
    <x v="1"/>
    <n v="18"/>
    <n v="4150"/>
    <n v="74700"/>
    <x v="247"/>
    <n v="96"/>
    <x v="250"/>
    <x v="10"/>
    <d v="2024-01-11T00:00:00"/>
    <d v="1899-12-30T13:00:00"/>
    <n v="11"/>
    <n v="0"/>
  </r>
  <r>
    <d v="2024-01-11T13:00:00"/>
    <x v="1"/>
    <x v="1"/>
    <n v="1002"/>
    <x v="1"/>
    <n v="30"/>
    <n v="3600"/>
    <n v="108000"/>
    <x v="246"/>
    <n v="96"/>
    <x v="292"/>
    <x v="10"/>
    <d v="2024-01-11T00:00:00"/>
    <d v="1899-12-30T13:00:00"/>
    <n v="13"/>
    <n v="0"/>
  </r>
  <r>
    <d v="2024-01-11T13:00:00"/>
    <x v="1"/>
    <x v="2"/>
    <n v="1002"/>
    <x v="1"/>
    <n v="15"/>
    <n v="3900"/>
    <n v="58500"/>
    <x v="243"/>
    <n v="72"/>
    <x v="259"/>
    <x v="10"/>
    <d v="2024-01-11T00:00:00"/>
    <d v="1899-12-30T13:00:00"/>
    <n v="9"/>
    <n v="0"/>
  </r>
  <r>
    <d v="2024-01-11T13:00:00"/>
    <x v="1"/>
    <x v="7"/>
    <n v="1002"/>
    <x v="1"/>
    <n v="15"/>
    <n v="4000"/>
    <n v="60000"/>
    <x v="243"/>
    <n v="60"/>
    <x v="228"/>
    <x v="10"/>
    <d v="2024-01-11T00:00:00"/>
    <d v="1899-12-30T13:00:00"/>
    <n v="12"/>
    <n v="0"/>
  </r>
  <r>
    <d v="2024-01-11T14:00:00"/>
    <x v="0"/>
    <x v="11"/>
    <n v="7"/>
    <x v="0"/>
    <n v="1000"/>
    <n v="110"/>
    <n v="110000"/>
    <x v="253"/>
    <n v="24"/>
    <x v="226"/>
    <x v="10"/>
    <d v="2024-01-11T00:00:00"/>
    <d v="1899-12-30T14:00:00"/>
    <n v="6"/>
    <n v="0"/>
  </r>
  <r>
    <d v="2024-01-11T17:00:00"/>
    <x v="0"/>
    <x v="0"/>
    <n v="8"/>
    <x v="0"/>
    <n v="2000"/>
    <n v="110"/>
    <n v="220000"/>
    <x v="262"/>
    <n v="48"/>
    <x v="248"/>
    <x v="10"/>
    <d v="2024-01-11T00:00:00"/>
    <d v="1899-12-30T17:00:00"/>
    <n v="4"/>
    <n v="0"/>
  </r>
  <r>
    <d v="2024-01-11T18:00:00"/>
    <x v="2"/>
    <x v="2"/>
    <n v="2006"/>
    <x v="2"/>
    <n v="30"/>
    <n v="6650"/>
    <n v="199500"/>
    <x v="248"/>
    <n v="132"/>
    <x v="293"/>
    <x v="10"/>
    <d v="2024-01-11T00:00:00"/>
    <d v="1899-12-30T18:00:00"/>
    <n v="9"/>
    <n v="0"/>
  </r>
  <r>
    <d v="2024-01-11T18:00:00"/>
    <x v="2"/>
    <x v="9"/>
    <n v="2006"/>
    <x v="1"/>
    <n v="30"/>
    <n v="3750"/>
    <n v="112500"/>
    <x v="256"/>
    <n v="132"/>
    <x v="179"/>
    <x v="10"/>
    <d v="2024-01-11T00:00:00"/>
    <d v="1899-12-30T18:00:00"/>
    <n v="14"/>
    <n v="0"/>
  </r>
  <r>
    <d v="2024-01-11T18:00:00"/>
    <x v="2"/>
    <x v="2"/>
    <n v="2006"/>
    <x v="1"/>
    <n v="30"/>
    <n v="3750"/>
    <n v="112500"/>
    <x v="248"/>
    <n v="132"/>
    <x v="293"/>
    <x v="10"/>
    <d v="2024-01-11T00:00:00"/>
    <d v="1899-12-30T18:00:00"/>
    <n v="9"/>
    <n v="0"/>
  </r>
  <r>
    <d v="2024-01-11T18:00:00"/>
    <x v="2"/>
    <x v="5"/>
    <n v="2006"/>
    <x v="1"/>
    <n v="30"/>
    <n v="3800"/>
    <n v="114000"/>
    <x v="263"/>
    <n v="132"/>
    <x v="294"/>
    <x v="10"/>
    <d v="2024-01-11T00:00:00"/>
    <d v="1899-12-30T18:00:00"/>
    <n v="8"/>
    <n v="0"/>
  </r>
  <r>
    <d v="2024-01-11T18:00:00"/>
    <x v="2"/>
    <x v="10"/>
    <n v="2006"/>
    <x v="2"/>
    <n v="30"/>
    <n v="6650"/>
    <n v="199500"/>
    <x v="247"/>
    <n v="132"/>
    <x v="295"/>
    <x v="10"/>
    <d v="2024-01-11T00:00:00"/>
    <d v="1899-12-30T18:00:00"/>
    <n v="16"/>
    <n v="0"/>
  </r>
  <r>
    <d v="2024-01-11T18:00:00"/>
    <x v="2"/>
    <x v="6"/>
    <n v="2006"/>
    <x v="2"/>
    <n v="40"/>
    <n v="6000"/>
    <n v="240000"/>
    <x v="247"/>
    <n v="54"/>
    <x v="229"/>
    <x v="10"/>
    <d v="2024-01-11T00:00:00"/>
    <d v="1899-12-30T18:00:00"/>
    <n v="15"/>
    <n v="0"/>
  </r>
  <r>
    <d v="2024-01-11T18:00:00"/>
    <x v="2"/>
    <x v="7"/>
    <n v="2006"/>
    <x v="1"/>
    <n v="50"/>
    <n v="3700"/>
    <n v="185000"/>
    <x v="264"/>
    <n v="144"/>
    <x v="296"/>
    <x v="10"/>
    <d v="2024-01-11T00:00:00"/>
    <d v="1899-12-30T18:00:00"/>
    <n v="12"/>
    <n v="0"/>
  </r>
  <r>
    <d v="2024-01-11T18:00:00"/>
    <x v="2"/>
    <x v="6"/>
    <n v="2006"/>
    <x v="1"/>
    <n v="50"/>
    <n v="3750"/>
    <n v="187500"/>
    <x v="254"/>
    <n v="132"/>
    <x v="280"/>
    <x v="10"/>
    <d v="2024-01-11T00:00:00"/>
    <d v="1899-12-30T18:00:00"/>
    <n v="15"/>
    <n v="0"/>
  </r>
  <r>
    <d v="2024-01-11T18:00:00"/>
    <x v="2"/>
    <x v="1"/>
    <n v="2006"/>
    <x v="2"/>
    <n v="30"/>
    <n v="6300"/>
    <n v="189000"/>
    <x v="265"/>
    <n v="132"/>
    <x v="297"/>
    <x v="10"/>
    <d v="2024-01-11T00:00:00"/>
    <d v="1899-12-30T18:00:00"/>
    <n v="13"/>
    <n v="0"/>
  </r>
  <r>
    <d v="2024-01-11T18:00:00"/>
    <x v="2"/>
    <x v="8"/>
    <n v="2006"/>
    <x v="1"/>
    <n v="30"/>
    <n v="3800"/>
    <n v="114000"/>
    <x v="252"/>
    <n v="132"/>
    <x v="281"/>
    <x v="10"/>
    <d v="2024-01-11T00:00:00"/>
    <d v="1899-12-30T18:00:00"/>
    <n v="7"/>
    <n v="0"/>
  </r>
  <r>
    <d v="2024-01-11T18:00:00"/>
    <x v="2"/>
    <x v="4"/>
    <n v="2006"/>
    <x v="1"/>
    <n v="30"/>
    <n v="4200"/>
    <n v="126000"/>
    <x v="249"/>
    <n v="84"/>
    <x v="278"/>
    <x v="10"/>
    <d v="2024-01-11T00:00:00"/>
    <d v="1899-12-30T18:00:00"/>
    <n v="10"/>
    <n v="0"/>
  </r>
  <r>
    <d v="2024-01-11T18:00:00"/>
    <x v="2"/>
    <x v="3"/>
    <n v="2006"/>
    <x v="2"/>
    <n v="50"/>
    <n v="6550"/>
    <n v="327500"/>
    <x v="258"/>
    <n v="132"/>
    <x v="298"/>
    <x v="10"/>
    <d v="2024-01-11T00:00:00"/>
    <d v="1899-12-30T18:00:00"/>
    <n v="11"/>
    <n v="0"/>
  </r>
  <r>
    <d v="2024-01-11T18:00:00"/>
    <x v="2"/>
    <x v="4"/>
    <n v="2006"/>
    <x v="2"/>
    <n v="40"/>
    <n v="6700"/>
    <n v="268000"/>
    <x v="266"/>
    <n v="120"/>
    <x v="299"/>
    <x v="10"/>
    <d v="2024-01-11T00:00:00"/>
    <d v="1899-12-30T18:00:00"/>
    <n v="10"/>
    <n v="0"/>
  </r>
  <r>
    <d v="2024-01-11T18:00:00"/>
    <x v="2"/>
    <x v="7"/>
    <n v="2006"/>
    <x v="2"/>
    <n v="30"/>
    <n v="6750"/>
    <n v="202500"/>
    <x v="250"/>
    <n v="120"/>
    <x v="284"/>
    <x v="10"/>
    <d v="2024-01-11T00:00:00"/>
    <d v="1899-12-30T18:00:00"/>
    <n v="12"/>
    <n v="0"/>
  </r>
  <r>
    <d v="2024-01-11T18:00:00"/>
    <x v="2"/>
    <x v="8"/>
    <n v="2006"/>
    <x v="2"/>
    <n v="30"/>
    <n v="6700"/>
    <n v="201000"/>
    <x v="221"/>
    <n v="132"/>
    <x v="300"/>
    <x v="10"/>
    <d v="2024-01-11T00:00:00"/>
    <d v="1899-12-30T18:00:00"/>
    <n v="7"/>
    <n v="0"/>
  </r>
  <r>
    <d v="2024-01-11T18:00:00"/>
    <x v="2"/>
    <x v="1"/>
    <n v="2006"/>
    <x v="1"/>
    <n v="30"/>
    <n v="3500"/>
    <n v="105000"/>
    <x v="228"/>
    <n v="132"/>
    <x v="301"/>
    <x v="10"/>
    <d v="2024-01-11T00:00:00"/>
    <d v="1899-12-30T18:00:00"/>
    <n v="13"/>
    <n v="0"/>
  </r>
  <r>
    <d v="2024-01-11T18:00:00"/>
    <x v="2"/>
    <x v="5"/>
    <n v="2006"/>
    <x v="2"/>
    <n v="30"/>
    <n v="5700"/>
    <n v="171000"/>
    <x v="248"/>
    <n v="132"/>
    <x v="293"/>
    <x v="10"/>
    <d v="2024-01-11T00:00:00"/>
    <d v="1899-12-30T18:00:00"/>
    <n v="8"/>
    <n v="0"/>
  </r>
  <r>
    <d v="2024-01-11T18:00:00"/>
    <x v="2"/>
    <x v="9"/>
    <n v="2006"/>
    <x v="2"/>
    <n v="30"/>
    <n v="6650"/>
    <n v="199500"/>
    <x v="256"/>
    <n v="132"/>
    <x v="179"/>
    <x v="10"/>
    <d v="2024-01-11T00:00:00"/>
    <d v="1899-12-30T18:00:00"/>
    <n v="14"/>
    <n v="0"/>
  </r>
  <r>
    <d v="2024-01-11T18:00:00"/>
    <x v="2"/>
    <x v="10"/>
    <n v="2006"/>
    <x v="1"/>
    <n v="30"/>
    <n v="3750"/>
    <n v="112500"/>
    <x v="247"/>
    <n v="132"/>
    <x v="295"/>
    <x v="10"/>
    <d v="2024-01-11T00:00:00"/>
    <d v="1899-12-30T18:00:00"/>
    <n v="16"/>
    <n v="0"/>
  </r>
  <r>
    <d v="2024-01-11T19:00:00"/>
    <x v="0"/>
    <x v="14"/>
    <n v="13"/>
    <x v="0"/>
    <n v="2000"/>
    <n v="125"/>
    <n v="250000"/>
    <x v="246"/>
    <n v="72"/>
    <x v="292"/>
    <x v="10"/>
    <d v="2024-01-11T00:00:00"/>
    <d v="1899-12-30T19:00:00"/>
    <n v="3"/>
    <n v="0"/>
  </r>
  <r>
    <d v="2024-01-11T19:00:00"/>
    <x v="1"/>
    <x v="7"/>
    <n v="1003"/>
    <x v="2"/>
    <n v="3"/>
    <n v="6700"/>
    <n v="20100"/>
    <x v="267"/>
    <n v="96"/>
    <x v="302"/>
    <x v="10"/>
    <d v="2024-01-11T00:00:00"/>
    <d v="1899-12-30T19:00:00"/>
    <n v="12"/>
    <n v="0"/>
  </r>
  <r>
    <d v="2024-01-11T19:00:00"/>
    <x v="1"/>
    <x v="5"/>
    <n v="1003"/>
    <x v="2"/>
    <n v="4"/>
    <n v="5450"/>
    <n v="21800"/>
    <x v="248"/>
    <n v="96"/>
    <x v="303"/>
    <x v="10"/>
    <d v="2024-01-11T00:00:00"/>
    <d v="1899-12-30T19:00:00"/>
    <n v="8"/>
    <n v="0"/>
  </r>
  <r>
    <d v="2024-01-11T19:00:00"/>
    <x v="1"/>
    <x v="10"/>
    <n v="1003"/>
    <x v="2"/>
    <n v="3"/>
    <n v="6650"/>
    <n v="19950"/>
    <x v="268"/>
    <n v="96"/>
    <x v="279"/>
    <x v="10"/>
    <d v="2024-01-11T00:00:00"/>
    <d v="1899-12-30T19:00:00"/>
    <n v="16"/>
    <n v="0"/>
  </r>
  <r>
    <d v="2024-01-11T19:00:00"/>
    <x v="1"/>
    <x v="1"/>
    <n v="1003"/>
    <x v="2"/>
    <n v="2"/>
    <n v="6300"/>
    <n v="12600"/>
    <x v="221"/>
    <n v="96"/>
    <x v="254"/>
    <x v="10"/>
    <d v="2024-01-11T00:00:00"/>
    <d v="1899-12-30T19:00:00"/>
    <n v="13"/>
    <n v="0"/>
  </r>
  <r>
    <d v="2024-01-11T19:00:00"/>
    <x v="1"/>
    <x v="8"/>
    <n v="1003"/>
    <x v="2"/>
    <n v="2"/>
    <n v="6700"/>
    <n v="13400"/>
    <x v="246"/>
    <n v="96"/>
    <x v="292"/>
    <x v="10"/>
    <d v="2024-01-11T00:00:00"/>
    <d v="1899-12-30T19:00:00"/>
    <n v="7"/>
    <n v="0"/>
  </r>
  <r>
    <d v="2024-01-11T19:00:00"/>
    <x v="1"/>
    <x v="6"/>
    <n v="1003"/>
    <x v="2"/>
    <n v="4"/>
    <n v="6000"/>
    <n v="24000"/>
    <x v="249"/>
    <n v="68"/>
    <x v="304"/>
    <x v="10"/>
    <d v="2024-01-11T00:00:00"/>
    <d v="1899-12-30T19:00:00"/>
    <n v="15"/>
    <n v="0"/>
  </r>
  <r>
    <d v="2024-01-11T21:00:00"/>
    <x v="1"/>
    <x v="9"/>
    <n v="1002"/>
    <x v="2"/>
    <n v="2"/>
    <n v="6650"/>
    <n v="13300"/>
    <x v="269"/>
    <n v="96"/>
    <x v="305"/>
    <x v="10"/>
    <d v="2024-01-11T00:00:00"/>
    <d v="1899-12-30T21:00:00"/>
    <n v="14"/>
    <n v="0"/>
  </r>
  <r>
    <d v="2024-01-11T21:00:00"/>
    <x v="0"/>
    <x v="13"/>
    <n v="9"/>
    <x v="0"/>
    <n v="500"/>
    <n v="140"/>
    <n v="70000"/>
    <x v="268"/>
    <n v="24"/>
    <x v="225"/>
    <x v="10"/>
    <d v="2024-01-11T00:00:00"/>
    <d v="1899-12-30T21:00:00"/>
    <n v="2"/>
    <n v="0"/>
  </r>
  <r>
    <d v="2024-01-11T21:00:00"/>
    <x v="1"/>
    <x v="5"/>
    <n v="1002"/>
    <x v="2"/>
    <n v="8"/>
    <n v="5450"/>
    <n v="43600"/>
    <x v="248"/>
    <n v="96"/>
    <x v="303"/>
    <x v="10"/>
    <d v="2024-01-11T00:00:00"/>
    <d v="1899-12-30T21:00:00"/>
    <n v="8"/>
    <n v="0"/>
  </r>
  <r>
    <d v="2024-01-11T21:00:00"/>
    <x v="1"/>
    <x v="6"/>
    <n v="1002"/>
    <x v="2"/>
    <n v="9"/>
    <n v="6000"/>
    <n v="54000"/>
    <x v="255"/>
    <n v="68"/>
    <x v="256"/>
    <x v="10"/>
    <d v="2024-01-11T00:00:00"/>
    <d v="1899-12-30T21:00:00"/>
    <n v="15"/>
    <n v="0"/>
  </r>
  <r>
    <d v="2024-01-11T21:00:00"/>
    <x v="1"/>
    <x v="8"/>
    <n v="1002"/>
    <x v="2"/>
    <n v="4"/>
    <n v="6700"/>
    <n v="26800"/>
    <x v="246"/>
    <n v="96"/>
    <x v="292"/>
    <x v="10"/>
    <d v="2024-01-11T00:00:00"/>
    <d v="1899-12-30T21:00:00"/>
    <n v="7"/>
    <n v="0"/>
  </r>
  <r>
    <d v="2024-01-11T21:00:00"/>
    <x v="1"/>
    <x v="4"/>
    <n v="1002"/>
    <x v="2"/>
    <n v="5"/>
    <n v="6600"/>
    <n v="33000"/>
    <x v="249"/>
    <n v="84"/>
    <x v="278"/>
    <x v="10"/>
    <d v="2024-01-11T00:00:00"/>
    <d v="1899-12-30T21:00:00"/>
    <n v="10"/>
    <n v="0"/>
  </r>
  <r>
    <d v="2024-01-11T21:00:00"/>
    <x v="1"/>
    <x v="10"/>
    <n v="1002"/>
    <x v="2"/>
    <n v="5"/>
    <n v="6650"/>
    <n v="33250"/>
    <x v="249"/>
    <n v="96"/>
    <x v="278"/>
    <x v="10"/>
    <d v="2024-01-11T00:00:00"/>
    <d v="1899-12-30T21:00:00"/>
    <n v="16"/>
    <n v="0"/>
  </r>
  <r>
    <d v="2024-01-11T21:00:00"/>
    <x v="1"/>
    <x v="7"/>
    <n v="1002"/>
    <x v="2"/>
    <n v="7"/>
    <n v="6900"/>
    <n v="48300"/>
    <x v="249"/>
    <n v="84"/>
    <x v="278"/>
    <x v="10"/>
    <d v="2024-01-11T00:00:00"/>
    <d v="1899-12-30T21:00:00"/>
    <n v="12"/>
    <n v="0"/>
  </r>
  <r>
    <d v="2024-01-11T21:00:00"/>
    <x v="1"/>
    <x v="1"/>
    <n v="1002"/>
    <x v="2"/>
    <n v="3"/>
    <n v="6300"/>
    <n v="18900"/>
    <x v="265"/>
    <n v="96"/>
    <x v="272"/>
    <x v="10"/>
    <d v="2024-01-11T00:00:00"/>
    <d v="1899-12-30T21:00:00"/>
    <n v="13"/>
    <n v="0"/>
  </r>
  <r>
    <d v="2024-01-11T21:00:00"/>
    <x v="1"/>
    <x v="2"/>
    <n v="1002"/>
    <x v="2"/>
    <n v="6"/>
    <n v="6700"/>
    <n v="40200"/>
    <x v="252"/>
    <n v="72"/>
    <x v="249"/>
    <x v="10"/>
    <d v="2024-01-11T00:00:00"/>
    <d v="1899-12-30T21:00:00"/>
    <n v="9"/>
    <n v="0"/>
  </r>
  <r>
    <d v="2024-01-11T22:00:00"/>
    <x v="1"/>
    <x v="3"/>
    <n v="1007"/>
    <x v="1"/>
    <n v="30"/>
    <n v="4150"/>
    <n v="124500"/>
    <x v="258"/>
    <n v="96"/>
    <x v="253"/>
    <x v="10"/>
    <d v="2024-01-11T00:00:00"/>
    <d v="1899-12-30T22:00:00"/>
    <n v="11"/>
    <n v="0"/>
  </r>
  <r>
    <d v="2024-01-11T22:00:00"/>
    <x v="1"/>
    <x v="10"/>
    <n v="1007"/>
    <x v="1"/>
    <n v="30"/>
    <n v="3750"/>
    <n v="112500"/>
    <x v="254"/>
    <n v="96"/>
    <x v="290"/>
    <x v="10"/>
    <d v="2024-01-11T00:00:00"/>
    <d v="1899-12-30T22:00:00"/>
    <n v="16"/>
    <n v="0"/>
  </r>
  <r>
    <d v="2024-01-11T22:00:00"/>
    <x v="1"/>
    <x v="7"/>
    <n v="1007"/>
    <x v="1"/>
    <n v="15"/>
    <n v="4000"/>
    <n v="60000"/>
    <x v="268"/>
    <n v="60"/>
    <x v="240"/>
    <x v="10"/>
    <d v="2024-01-11T00:00:00"/>
    <d v="1899-12-30T22:00:00"/>
    <n v="12"/>
    <n v="0"/>
  </r>
  <r>
    <d v="2024-01-11T22:00:00"/>
    <x v="1"/>
    <x v="1"/>
    <n v="1007"/>
    <x v="1"/>
    <n v="30"/>
    <n v="3600"/>
    <n v="108000"/>
    <x v="262"/>
    <n v="96"/>
    <x v="271"/>
    <x v="10"/>
    <d v="2024-01-11T00:00:00"/>
    <d v="1899-12-30T22:00:00"/>
    <n v="13"/>
    <n v="0"/>
  </r>
  <r>
    <d v="2024-01-11T22:00:00"/>
    <x v="1"/>
    <x v="9"/>
    <n v="1007"/>
    <x v="1"/>
    <n v="30"/>
    <n v="3750"/>
    <n v="112500"/>
    <x v="265"/>
    <n v="96"/>
    <x v="272"/>
    <x v="10"/>
    <d v="2024-01-11T00:00:00"/>
    <d v="1899-12-30T22:00:00"/>
    <n v="14"/>
    <n v="0"/>
  </r>
  <r>
    <d v="2024-01-11T22:00:00"/>
    <x v="1"/>
    <x v="6"/>
    <n v="1007"/>
    <x v="1"/>
    <n v="30"/>
    <n v="3850"/>
    <n v="115500"/>
    <x v="255"/>
    <n v="92"/>
    <x v="252"/>
    <x v="10"/>
    <d v="2024-01-11T00:00:00"/>
    <d v="1899-12-30T22:00:00"/>
    <n v="15"/>
    <n v="0"/>
  </r>
  <r>
    <d v="2024-01-11T22:00:00"/>
    <x v="1"/>
    <x v="2"/>
    <n v="1007"/>
    <x v="1"/>
    <n v="15"/>
    <n v="3900"/>
    <n v="58500"/>
    <x v="270"/>
    <n v="72"/>
    <x v="257"/>
    <x v="10"/>
    <d v="2024-01-11T00:00:00"/>
    <d v="1899-12-30T22:00:00"/>
    <n v="9"/>
    <n v="0"/>
  </r>
  <r>
    <d v="2024-01-11T22:00:00"/>
    <x v="1"/>
    <x v="5"/>
    <n v="1007"/>
    <x v="1"/>
    <n v="30"/>
    <n v="3800"/>
    <n v="114000"/>
    <x v="262"/>
    <n v="96"/>
    <x v="271"/>
    <x v="10"/>
    <d v="2024-01-11T00:00:00"/>
    <d v="1899-12-30T22:00:00"/>
    <n v="8"/>
    <n v="0"/>
  </r>
  <r>
    <d v="2024-01-11T22:00:00"/>
    <x v="1"/>
    <x v="8"/>
    <n v="1007"/>
    <x v="1"/>
    <n v="30"/>
    <n v="3850"/>
    <n v="115500"/>
    <x v="252"/>
    <n v="96"/>
    <x v="306"/>
    <x v="10"/>
    <d v="2024-01-11T00:00:00"/>
    <d v="1899-12-30T22:00:00"/>
    <n v="7"/>
    <n v="0"/>
  </r>
  <r>
    <d v="2024-01-12T00:00:00"/>
    <x v="0"/>
    <x v="12"/>
    <n v="16"/>
    <x v="3"/>
    <n v="400"/>
    <n v="1020"/>
    <n v="408000"/>
    <x v="269"/>
    <n v="24"/>
    <x v="264"/>
    <x v="11"/>
    <d v="2024-01-12T00:00:00"/>
    <d v="1899-12-30T00:00:00"/>
    <n v="5"/>
    <n v="0"/>
  </r>
  <r>
    <d v="2024-01-12T02:00:00"/>
    <x v="0"/>
    <x v="12"/>
    <n v="16"/>
    <x v="0"/>
    <n v="4000"/>
    <n v="120"/>
    <n v="480000"/>
    <x v="253"/>
    <n v="24"/>
    <x v="226"/>
    <x v="11"/>
    <d v="2024-01-12T00:00:00"/>
    <d v="1899-12-30T02:00:00"/>
    <n v="5"/>
    <n v="0"/>
  </r>
  <r>
    <d v="2024-01-12T04:00:00"/>
    <x v="2"/>
    <x v="6"/>
    <n v="2007"/>
    <x v="2"/>
    <n v="29"/>
    <n v="6000"/>
    <n v="174000"/>
    <x v="253"/>
    <n v="54"/>
    <x v="84"/>
    <x v="11"/>
    <d v="2024-01-12T00:00:00"/>
    <d v="1899-12-30T04:00:00"/>
    <n v="15"/>
    <n v="0"/>
  </r>
  <r>
    <d v="2024-01-12T04:00:00"/>
    <x v="2"/>
    <x v="6"/>
    <n v="2007"/>
    <x v="1"/>
    <n v="30"/>
    <n v="3850"/>
    <n v="115500"/>
    <x v="271"/>
    <n v="120"/>
    <x v="181"/>
    <x v="11"/>
    <d v="2024-01-12T00:00:00"/>
    <d v="1899-12-30T04:00:00"/>
    <n v="15"/>
    <n v="0"/>
  </r>
  <r>
    <d v="2024-01-12T04:00:00"/>
    <x v="2"/>
    <x v="2"/>
    <n v="2007"/>
    <x v="1"/>
    <n v="30"/>
    <n v="3750"/>
    <n v="112500"/>
    <x v="260"/>
    <n v="132"/>
    <x v="307"/>
    <x v="11"/>
    <d v="2024-01-12T00:00:00"/>
    <d v="1899-12-30T04:00:00"/>
    <n v="9"/>
    <n v="0"/>
  </r>
  <r>
    <d v="2024-01-12T04:00:00"/>
    <x v="2"/>
    <x v="4"/>
    <n v="2007"/>
    <x v="1"/>
    <n v="30"/>
    <n v="4200"/>
    <n v="126000"/>
    <x v="246"/>
    <n v="84"/>
    <x v="292"/>
    <x v="11"/>
    <d v="2024-01-12T00:00:00"/>
    <d v="1899-12-30T04:00:00"/>
    <n v="10"/>
    <n v="0"/>
  </r>
  <r>
    <d v="2024-01-12T04:00:00"/>
    <x v="2"/>
    <x v="9"/>
    <n v="2007"/>
    <x v="2"/>
    <n v="8"/>
    <n v="6650"/>
    <n v="53200"/>
    <x v="265"/>
    <n v="132"/>
    <x v="296"/>
    <x v="11"/>
    <d v="2024-01-12T00:00:00"/>
    <d v="1899-12-30T04:00:00"/>
    <n v="14"/>
    <n v="0"/>
  </r>
  <r>
    <d v="2024-01-12T04:00:00"/>
    <x v="2"/>
    <x v="2"/>
    <n v="2007"/>
    <x v="2"/>
    <n v="10"/>
    <n v="6650"/>
    <n v="66500"/>
    <x v="260"/>
    <n v="132"/>
    <x v="307"/>
    <x v="11"/>
    <d v="2024-01-12T00:00:00"/>
    <d v="1899-12-30T04:00:00"/>
    <n v="9"/>
    <n v="0"/>
  </r>
  <r>
    <d v="2024-01-12T04:00:00"/>
    <x v="2"/>
    <x v="9"/>
    <n v="2007"/>
    <x v="1"/>
    <n v="30"/>
    <n v="3750"/>
    <n v="112500"/>
    <x v="228"/>
    <n v="132"/>
    <x v="301"/>
    <x v="11"/>
    <d v="2024-01-12T00:00:00"/>
    <d v="1899-12-30T04:00:00"/>
    <n v="14"/>
    <n v="0"/>
  </r>
  <r>
    <d v="2024-01-12T04:00:00"/>
    <x v="2"/>
    <x v="7"/>
    <n v="2007"/>
    <x v="1"/>
    <n v="30"/>
    <n v="3800"/>
    <n v="114000"/>
    <x v="224"/>
    <n v="120"/>
    <x v="282"/>
    <x v="11"/>
    <d v="2024-01-12T00:00:00"/>
    <d v="1899-12-30T04:00:00"/>
    <n v="12"/>
    <n v="0"/>
  </r>
  <r>
    <d v="2024-01-12T04:00:00"/>
    <x v="2"/>
    <x v="1"/>
    <n v="2007"/>
    <x v="2"/>
    <n v="17"/>
    <n v="6300"/>
    <n v="107100"/>
    <x v="272"/>
    <n v="132"/>
    <x v="308"/>
    <x v="11"/>
    <d v="2024-01-12T00:00:00"/>
    <d v="1899-12-30T04:00:00"/>
    <n v="13"/>
    <n v="0"/>
  </r>
  <r>
    <d v="2024-01-12T04:00:00"/>
    <x v="2"/>
    <x v="5"/>
    <n v="2007"/>
    <x v="2"/>
    <n v="25"/>
    <n v="5700"/>
    <n v="142500"/>
    <x v="273"/>
    <n v="132"/>
    <x v="309"/>
    <x v="11"/>
    <d v="2024-01-12T00:00:00"/>
    <d v="1899-12-30T04:00:00"/>
    <n v="8"/>
    <n v="0"/>
  </r>
  <r>
    <d v="2024-01-12T04:00:00"/>
    <x v="2"/>
    <x v="8"/>
    <n v="2007"/>
    <x v="1"/>
    <n v="30"/>
    <n v="3800"/>
    <n v="114000"/>
    <x v="270"/>
    <n v="132"/>
    <x v="310"/>
    <x v="11"/>
    <d v="2024-01-12T00:00:00"/>
    <d v="1899-12-30T04:00:00"/>
    <n v="7"/>
    <n v="0"/>
  </r>
  <r>
    <d v="2024-01-12T04:00:00"/>
    <x v="2"/>
    <x v="7"/>
    <n v="2007"/>
    <x v="2"/>
    <n v="22"/>
    <n v="6750"/>
    <n v="148500"/>
    <x v="273"/>
    <n v="120"/>
    <x v="309"/>
    <x v="11"/>
    <d v="2024-01-12T00:00:00"/>
    <d v="1899-12-30T04:00:00"/>
    <n v="12"/>
    <n v="0"/>
  </r>
  <r>
    <d v="2024-01-12T04:00:00"/>
    <x v="2"/>
    <x v="4"/>
    <n v="2007"/>
    <x v="2"/>
    <n v="14"/>
    <n v="6700"/>
    <n v="93800"/>
    <x v="271"/>
    <n v="120"/>
    <x v="181"/>
    <x v="11"/>
    <d v="2024-01-12T00:00:00"/>
    <d v="1899-12-30T04:00:00"/>
    <n v="10"/>
    <n v="0"/>
  </r>
  <r>
    <d v="2024-01-12T04:00:00"/>
    <x v="2"/>
    <x v="10"/>
    <n v="2007"/>
    <x v="2"/>
    <n v="19"/>
    <n v="6650"/>
    <n v="126350"/>
    <x v="228"/>
    <n v="132"/>
    <x v="301"/>
    <x v="11"/>
    <d v="2024-01-12T00:00:00"/>
    <d v="1899-12-30T04:00:00"/>
    <n v="16"/>
    <n v="0"/>
  </r>
  <r>
    <d v="2024-01-12T04:00:00"/>
    <x v="2"/>
    <x v="10"/>
    <n v="2007"/>
    <x v="1"/>
    <n v="30"/>
    <n v="3750"/>
    <n v="112500"/>
    <x v="228"/>
    <n v="132"/>
    <x v="301"/>
    <x v="11"/>
    <d v="2024-01-12T00:00:00"/>
    <d v="1899-12-30T04:00:00"/>
    <n v="16"/>
    <n v="0"/>
  </r>
  <r>
    <d v="2024-01-12T04:00:00"/>
    <x v="2"/>
    <x v="1"/>
    <n v="2007"/>
    <x v="1"/>
    <n v="30"/>
    <n v="3500"/>
    <n v="105000"/>
    <x v="272"/>
    <n v="132"/>
    <x v="308"/>
    <x v="11"/>
    <d v="2024-01-12T00:00:00"/>
    <d v="1899-12-30T04:00:00"/>
    <n v="13"/>
    <n v="0"/>
  </r>
  <r>
    <d v="2024-01-12T04:00:00"/>
    <x v="2"/>
    <x v="5"/>
    <n v="2007"/>
    <x v="1"/>
    <n v="30"/>
    <n v="3800"/>
    <n v="114000"/>
    <x v="274"/>
    <n v="132"/>
    <x v="311"/>
    <x v="11"/>
    <d v="2024-01-12T00:00:00"/>
    <d v="1899-12-30T04:00:00"/>
    <n v="8"/>
    <n v="0"/>
  </r>
  <r>
    <d v="2024-01-12T04:00:00"/>
    <x v="2"/>
    <x v="8"/>
    <n v="2007"/>
    <x v="2"/>
    <n v="11"/>
    <n v="6700"/>
    <n v="73700"/>
    <x v="270"/>
    <n v="132"/>
    <x v="310"/>
    <x v="11"/>
    <d v="2024-01-12T00:00:00"/>
    <d v="1899-12-30T04:00:00"/>
    <n v="7"/>
    <n v="0"/>
  </r>
  <r>
    <d v="2024-01-12T05:00:00"/>
    <x v="1"/>
    <x v="2"/>
    <n v="1003"/>
    <x v="1"/>
    <n v="30"/>
    <n v="3750"/>
    <n v="112500"/>
    <x v="275"/>
    <n v="96"/>
    <x v="289"/>
    <x v="11"/>
    <d v="2024-01-12T00:00:00"/>
    <d v="1899-12-30T05:00:00"/>
    <n v="9"/>
    <n v="0"/>
  </r>
  <r>
    <d v="2024-01-12T05:00:00"/>
    <x v="1"/>
    <x v="6"/>
    <n v="1003"/>
    <x v="1"/>
    <n v="50"/>
    <n v="3550"/>
    <n v="177500"/>
    <x v="265"/>
    <n v="96"/>
    <x v="272"/>
    <x v="11"/>
    <d v="2024-01-12T00:00:00"/>
    <d v="1899-12-30T05:00:00"/>
    <n v="15"/>
    <n v="0"/>
  </r>
  <r>
    <d v="2024-01-12T05:00:00"/>
    <x v="1"/>
    <x v="3"/>
    <n v="1003"/>
    <x v="1"/>
    <n v="21"/>
    <n v="4100"/>
    <n v="86100"/>
    <x v="221"/>
    <n v="96"/>
    <x v="254"/>
    <x v="11"/>
    <d v="2024-01-12T00:00:00"/>
    <d v="1899-12-30T05:00:00"/>
    <n v="11"/>
    <n v="0"/>
  </r>
  <r>
    <d v="2024-01-12T05:00:00"/>
    <x v="1"/>
    <x v="10"/>
    <n v="1003"/>
    <x v="1"/>
    <n v="30"/>
    <n v="3750"/>
    <n v="112500"/>
    <x v="248"/>
    <n v="96"/>
    <x v="303"/>
    <x v="11"/>
    <d v="2024-01-12T00:00:00"/>
    <d v="1899-12-30T05:00:00"/>
    <n v="16"/>
    <n v="0"/>
  </r>
  <r>
    <d v="2024-01-12T05:00:00"/>
    <x v="1"/>
    <x v="8"/>
    <n v="1003"/>
    <x v="1"/>
    <n v="24"/>
    <n v="3850"/>
    <n v="92400"/>
    <x v="272"/>
    <n v="96"/>
    <x v="312"/>
    <x v="11"/>
    <d v="2024-01-12T00:00:00"/>
    <d v="1899-12-30T05:00:00"/>
    <n v="7"/>
    <n v="0"/>
  </r>
  <r>
    <d v="2024-01-12T05:00:00"/>
    <x v="1"/>
    <x v="5"/>
    <n v="1003"/>
    <x v="1"/>
    <n v="27"/>
    <n v="3800"/>
    <n v="102600"/>
    <x v="273"/>
    <n v="96"/>
    <x v="267"/>
    <x v="11"/>
    <d v="2024-01-12T00:00:00"/>
    <d v="1899-12-30T05:00:00"/>
    <n v="8"/>
    <n v="0"/>
  </r>
  <r>
    <d v="2024-01-12T05:00:00"/>
    <x v="1"/>
    <x v="7"/>
    <n v="1003"/>
    <x v="1"/>
    <n v="15"/>
    <n v="4000"/>
    <n v="60000"/>
    <x v="253"/>
    <n v="60"/>
    <x v="275"/>
    <x v="11"/>
    <d v="2024-01-12T00:00:00"/>
    <d v="1899-12-30T05:00:00"/>
    <n v="12"/>
    <n v="0"/>
  </r>
  <r>
    <d v="2024-01-12T05:00:00"/>
    <x v="1"/>
    <x v="1"/>
    <n v="1003"/>
    <x v="1"/>
    <n v="30"/>
    <n v="3600"/>
    <n v="108000"/>
    <x v="276"/>
    <n v="96"/>
    <x v="268"/>
    <x v="11"/>
    <d v="2024-01-12T00:00:00"/>
    <d v="1899-12-30T05:00:00"/>
    <n v="13"/>
    <n v="0"/>
  </r>
  <r>
    <d v="2024-01-12T05:00:00"/>
    <x v="1"/>
    <x v="9"/>
    <n v="1003"/>
    <x v="1"/>
    <n v="30"/>
    <n v="3750"/>
    <n v="112500"/>
    <x v="264"/>
    <n v="96"/>
    <x v="313"/>
    <x v="11"/>
    <d v="2024-01-12T00:00:00"/>
    <d v="1899-12-30T05:00:00"/>
    <n v="14"/>
    <n v="0"/>
  </r>
  <r>
    <d v="2024-01-12T06:00:00"/>
    <x v="1"/>
    <x v="2"/>
    <n v="1007"/>
    <x v="2"/>
    <n v="11"/>
    <n v="6700"/>
    <n v="73700"/>
    <x v="277"/>
    <n v="72"/>
    <x v="253"/>
    <x v="11"/>
    <d v="2024-01-12T00:00:00"/>
    <d v="1899-12-30T06:00:00"/>
    <n v="9"/>
    <n v="0"/>
  </r>
  <r>
    <d v="2024-01-12T06:00:00"/>
    <x v="1"/>
    <x v="4"/>
    <n v="1007"/>
    <x v="2"/>
    <n v="10"/>
    <n v="6600"/>
    <n v="66000"/>
    <x v="266"/>
    <n v="84"/>
    <x v="314"/>
    <x v="11"/>
    <d v="2024-01-12T00:00:00"/>
    <d v="1899-12-30T06:00:00"/>
    <n v="10"/>
    <n v="0"/>
  </r>
  <r>
    <d v="2024-01-12T06:00:00"/>
    <x v="1"/>
    <x v="6"/>
    <n v="1007"/>
    <x v="2"/>
    <n v="17"/>
    <n v="6000"/>
    <n v="102000"/>
    <x v="221"/>
    <n v="68"/>
    <x v="259"/>
    <x v="11"/>
    <d v="2024-01-12T00:00:00"/>
    <d v="1899-12-30T06:00:00"/>
    <n v="15"/>
    <n v="0"/>
  </r>
  <r>
    <d v="2024-01-12T06:00:00"/>
    <x v="1"/>
    <x v="7"/>
    <n v="1007"/>
    <x v="2"/>
    <n v="13"/>
    <n v="6900"/>
    <n v="89700"/>
    <x v="267"/>
    <n v="84"/>
    <x v="302"/>
    <x v="11"/>
    <d v="2024-01-12T00:00:00"/>
    <d v="1899-12-30T06:00:00"/>
    <n v="12"/>
    <n v="0"/>
  </r>
  <r>
    <d v="2024-01-12T06:00:00"/>
    <x v="1"/>
    <x v="8"/>
    <n v="1007"/>
    <x v="2"/>
    <n v="7"/>
    <n v="6700"/>
    <n v="46900"/>
    <x v="263"/>
    <n v="96"/>
    <x v="315"/>
    <x v="11"/>
    <d v="2024-01-12T00:00:00"/>
    <d v="1899-12-30T06:00:00"/>
    <n v="7"/>
    <n v="0"/>
  </r>
  <r>
    <d v="2024-01-12T06:00:00"/>
    <x v="1"/>
    <x v="5"/>
    <n v="1007"/>
    <x v="2"/>
    <n v="20"/>
    <n v="5450"/>
    <n v="109000"/>
    <x v="278"/>
    <n v="96"/>
    <x v="287"/>
    <x v="11"/>
    <d v="2024-01-12T00:00:00"/>
    <d v="1899-12-30T06:00:00"/>
    <n v="8"/>
    <n v="0"/>
  </r>
  <r>
    <d v="2024-01-12T06:00:00"/>
    <x v="1"/>
    <x v="10"/>
    <n v="1007"/>
    <x v="2"/>
    <n v="15"/>
    <n v="6650"/>
    <n v="99750"/>
    <x v="248"/>
    <n v="96"/>
    <x v="303"/>
    <x v="11"/>
    <d v="2024-01-12T00:00:00"/>
    <d v="1899-12-30T06:00:00"/>
    <n v="16"/>
    <n v="0"/>
  </r>
  <r>
    <d v="2024-01-12T06:00:00"/>
    <x v="1"/>
    <x v="9"/>
    <n v="1007"/>
    <x v="2"/>
    <n v="6"/>
    <n v="6650"/>
    <n v="39900"/>
    <x v="248"/>
    <n v="96"/>
    <x v="303"/>
    <x v="11"/>
    <d v="2024-01-12T00:00:00"/>
    <d v="1899-12-30T06:00:00"/>
    <n v="14"/>
    <n v="0"/>
  </r>
  <r>
    <d v="2024-01-12T06:00:00"/>
    <x v="1"/>
    <x v="1"/>
    <n v="1007"/>
    <x v="2"/>
    <n v="6"/>
    <n v="6300"/>
    <n v="37800"/>
    <x v="273"/>
    <n v="96"/>
    <x v="267"/>
    <x v="11"/>
    <d v="2024-01-12T00:00:00"/>
    <d v="1899-12-30T06:00:00"/>
    <n v="13"/>
    <n v="0"/>
  </r>
  <r>
    <d v="2024-01-12T06:00:00"/>
    <x v="0"/>
    <x v="13"/>
    <n v="15"/>
    <x v="0"/>
    <n v="2700"/>
    <n v="130"/>
    <n v="351000"/>
    <x v="269"/>
    <n v="72"/>
    <x v="305"/>
    <x v="11"/>
    <d v="2024-01-12T00:00:00"/>
    <d v="1899-12-30T06:00:00"/>
    <n v="2"/>
    <n v="0"/>
  </r>
  <r>
    <d v="2024-01-12T07:00:00"/>
    <x v="0"/>
    <x v="0"/>
    <n v="11"/>
    <x v="0"/>
    <n v="2500"/>
    <n v="110"/>
    <n v="275000"/>
    <x v="246"/>
    <n v="72"/>
    <x v="292"/>
    <x v="11"/>
    <d v="2024-01-12T00:00:00"/>
    <d v="1899-12-30T07:00:00"/>
    <n v="4"/>
    <n v="0"/>
  </r>
  <r>
    <d v="2024-01-12T09:00:00"/>
    <x v="0"/>
    <x v="15"/>
    <n v="14"/>
    <x v="3"/>
    <n v="300"/>
    <n v="1400"/>
    <n v="420000"/>
    <x v="224"/>
    <n v="24"/>
    <x v="229"/>
    <x v="11"/>
    <d v="2024-01-12T00:00:00"/>
    <d v="1899-12-30T09:00:00"/>
    <n v="1"/>
    <n v="0"/>
  </r>
  <r>
    <d v="2024-01-12T10:00:00"/>
    <x v="0"/>
    <x v="13"/>
    <n v="15"/>
    <x v="3"/>
    <n v="234"/>
    <n v="1800"/>
    <n v="421200"/>
    <x v="221"/>
    <n v="48"/>
    <x v="247"/>
    <x v="11"/>
    <d v="2024-01-12T00:00:00"/>
    <d v="1899-12-30T10:00:00"/>
    <n v="2"/>
    <n v="0"/>
  </r>
  <r>
    <d v="2024-01-12T12:00:00"/>
    <x v="1"/>
    <x v="10"/>
    <n v="1001"/>
    <x v="1"/>
    <n v="30"/>
    <n v="3750"/>
    <n v="112500"/>
    <x v="248"/>
    <n v="96"/>
    <x v="303"/>
    <x v="11"/>
    <d v="2024-01-12T00:00:00"/>
    <d v="1899-12-30T12:00:00"/>
    <n v="16"/>
    <n v="0"/>
  </r>
  <r>
    <d v="2024-01-12T12:00:00"/>
    <x v="1"/>
    <x v="2"/>
    <n v="1001"/>
    <x v="1"/>
    <n v="30"/>
    <n v="3750"/>
    <n v="112500"/>
    <x v="279"/>
    <n v="96"/>
    <x v="298"/>
    <x v="11"/>
    <d v="2024-01-12T00:00:00"/>
    <d v="1899-12-30T12:00:00"/>
    <n v="9"/>
    <n v="0"/>
  </r>
  <r>
    <d v="2024-01-12T12:00:00"/>
    <x v="1"/>
    <x v="7"/>
    <n v="1001"/>
    <x v="1"/>
    <n v="15"/>
    <n v="4000"/>
    <n v="60000"/>
    <x v="264"/>
    <n v="60"/>
    <x v="291"/>
    <x v="11"/>
    <d v="2024-01-12T00:00:00"/>
    <d v="1899-12-30T12:00:00"/>
    <n v="12"/>
    <n v="0"/>
  </r>
  <r>
    <d v="2024-01-12T12:00:00"/>
    <x v="1"/>
    <x v="6"/>
    <n v="1001"/>
    <x v="1"/>
    <n v="30"/>
    <n v="3550"/>
    <n v="106500"/>
    <x v="248"/>
    <n v="92"/>
    <x v="303"/>
    <x v="11"/>
    <d v="2024-01-12T00:00:00"/>
    <d v="1899-12-30T12:00:00"/>
    <n v="15"/>
    <n v="0"/>
  </r>
  <r>
    <d v="2024-01-12T12:00:00"/>
    <x v="1"/>
    <x v="3"/>
    <n v="1001"/>
    <x v="1"/>
    <n v="23"/>
    <n v="4100"/>
    <n v="94300"/>
    <x v="263"/>
    <n v="96"/>
    <x v="315"/>
    <x v="11"/>
    <d v="2024-01-12T00:00:00"/>
    <d v="1899-12-30T12:00:00"/>
    <n v="11"/>
    <n v="0"/>
  </r>
  <r>
    <d v="2024-01-12T12:00:00"/>
    <x v="1"/>
    <x v="8"/>
    <n v="1001"/>
    <x v="1"/>
    <n v="27"/>
    <n v="3850"/>
    <n v="103950"/>
    <x v="278"/>
    <n v="96"/>
    <x v="287"/>
    <x v="11"/>
    <d v="2024-01-12T00:00:00"/>
    <d v="1899-12-30T12:00:00"/>
    <n v="7"/>
    <n v="0"/>
  </r>
  <r>
    <d v="2024-01-12T12:00:00"/>
    <x v="1"/>
    <x v="9"/>
    <n v="1001"/>
    <x v="1"/>
    <n v="30"/>
    <n v="3750"/>
    <n v="112500"/>
    <x v="280"/>
    <n v="96"/>
    <x v="288"/>
    <x v="11"/>
    <d v="2024-01-12T00:00:00"/>
    <d v="1899-12-30T12:00:00"/>
    <n v="14"/>
    <n v="0"/>
  </r>
  <r>
    <d v="2024-01-12T12:00:00"/>
    <x v="1"/>
    <x v="5"/>
    <n v="1001"/>
    <x v="1"/>
    <n v="30"/>
    <n v="3800"/>
    <n v="114000"/>
    <x v="281"/>
    <n v="96"/>
    <x v="284"/>
    <x v="11"/>
    <d v="2024-01-12T00:00:00"/>
    <d v="1899-12-30T12:00:00"/>
    <n v="8"/>
    <n v="0"/>
  </r>
  <r>
    <d v="2024-01-12T12:00:00"/>
    <x v="1"/>
    <x v="1"/>
    <n v="1001"/>
    <x v="1"/>
    <n v="30"/>
    <n v="3600"/>
    <n v="108000"/>
    <x v="277"/>
    <n v="96"/>
    <x v="316"/>
    <x v="11"/>
    <d v="2024-01-12T00:00:00"/>
    <d v="1899-12-30T12:00:00"/>
    <n v="13"/>
    <n v="0"/>
  </r>
  <r>
    <d v="2024-01-12T13:00:00"/>
    <x v="0"/>
    <x v="6"/>
    <n v="6"/>
    <x v="5"/>
    <n v="36"/>
    <n v="23"/>
    <n v="828"/>
    <x v="263"/>
    <n v="72"/>
    <x v="315"/>
    <x v="11"/>
    <d v="2024-01-12T00:00:00"/>
    <d v="1899-12-30T13:00:00"/>
    <n v="15"/>
    <n v="0"/>
  </r>
  <r>
    <d v="2024-01-12T14:00:00"/>
    <x v="2"/>
    <x v="8"/>
    <n v="2008"/>
    <x v="2"/>
    <n v="30"/>
    <n v="6700"/>
    <n v="201000"/>
    <x v="282"/>
    <n v="132"/>
    <x v="180"/>
    <x v="11"/>
    <d v="2024-01-12T00:00:00"/>
    <d v="1899-12-30T14:00:00"/>
    <n v="7"/>
    <n v="0"/>
  </r>
  <r>
    <d v="2024-01-12T14:00:00"/>
    <x v="2"/>
    <x v="2"/>
    <n v="2008"/>
    <x v="2"/>
    <n v="25"/>
    <n v="6650"/>
    <n v="166250"/>
    <x v="279"/>
    <n v="132"/>
    <x v="317"/>
    <x v="11"/>
    <d v="2024-01-12T00:00:00"/>
    <d v="1899-12-30T14:00:00"/>
    <n v="9"/>
    <n v="0"/>
  </r>
  <r>
    <d v="2024-01-12T14:00:00"/>
    <x v="2"/>
    <x v="8"/>
    <n v="2008"/>
    <x v="1"/>
    <n v="30"/>
    <n v="3800"/>
    <n v="114000"/>
    <x v="274"/>
    <n v="132"/>
    <x v="311"/>
    <x v="11"/>
    <d v="2024-01-12T00:00:00"/>
    <d v="1899-12-30T14:00:00"/>
    <n v="7"/>
    <n v="0"/>
  </r>
  <r>
    <d v="2024-01-12T14:00:00"/>
    <x v="1"/>
    <x v="5"/>
    <n v="1010"/>
    <x v="2"/>
    <n v="9"/>
    <n v="5450"/>
    <n v="49050"/>
    <x v="283"/>
    <n v="96"/>
    <x v="318"/>
    <x v="11"/>
    <d v="2024-01-12T00:00:00"/>
    <d v="1899-12-30T14:00:00"/>
    <n v="8"/>
    <n v="0"/>
  </r>
  <r>
    <d v="2024-01-12T14:00:00"/>
    <x v="2"/>
    <x v="7"/>
    <n v="2008"/>
    <x v="2"/>
    <n v="30"/>
    <n v="6750"/>
    <n v="202500"/>
    <x v="280"/>
    <n v="120"/>
    <x v="319"/>
    <x v="11"/>
    <d v="2024-01-12T00:00:00"/>
    <d v="1899-12-30T14:00:00"/>
    <n v="12"/>
    <n v="0"/>
  </r>
  <r>
    <d v="2024-01-12T14:00:00"/>
    <x v="2"/>
    <x v="3"/>
    <n v="2008"/>
    <x v="2"/>
    <n v="30"/>
    <n v="6650"/>
    <n v="199500"/>
    <x v="273"/>
    <n v="132"/>
    <x v="309"/>
    <x v="11"/>
    <d v="2024-01-12T00:00:00"/>
    <d v="1899-12-30T14:00:00"/>
    <n v="11"/>
    <n v="0"/>
  </r>
  <r>
    <d v="2024-01-12T14:00:00"/>
    <x v="2"/>
    <x v="10"/>
    <n v="2008"/>
    <x v="2"/>
    <n v="30"/>
    <n v="6650"/>
    <n v="199500"/>
    <x v="263"/>
    <n v="132"/>
    <x v="294"/>
    <x v="11"/>
    <d v="2024-01-12T00:00:00"/>
    <d v="1899-12-30T14:00:00"/>
    <n v="16"/>
    <n v="0"/>
  </r>
  <r>
    <d v="2024-01-12T14:00:00"/>
    <x v="2"/>
    <x v="5"/>
    <n v="2008"/>
    <x v="1"/>
    <n v="30"/>
    <n v="3800"/>
    <n v="114000"/>
    <x v="279"/>
    <n v="132"/>
    <x v="317"/>
    <x v="11"/>
    <d v="2024-01-12T00:00:00"/>
    <d v="1899-12-30T14:00:00"/>
    <n v="8"/>
    <n v="0"/>
  </r>
  <r>
    <d v="2024-01-12T14:00:00"/>
    <x v="2"/>
    <x v="9"/>
    <n v="2008"/>
    <x v="1"/>
    <n v="30"/>
    <n v="3750"/>
    <n v="112500"/>
    <x v="275"/>
    <n v="132"/>
    <x v="320"/>
    <x v="11"/>
    <d v="2024-01-12T00:00:00"/>
    <d v="1899-12-30T14:00:00"/>
    <n v="14"/>
    <n v="0"/>
  </r>
  <r>
    <d v="2024-01-12T14:00:00"/>
    <x v="2"/>
    <x v="6"/>
    <n v="2008"/>
    <x v="2"/>
    <n v="40"/>
    <n v="6000"/>
    <n v="240000"/>
    <x v="252"/>
    <n v="54"/>
    <x v="239"/>
    <x v="11"/>
    <d v="2024-01-12T00:00:00"/>
    <d v="1899-12-30T14:00:00"/>
    <n v="15"/>
    <n v="0"/>
  </r>
  <r>
    <d v="2024-01-12T14:00:00"/>
    <x v="2"/>
    <x v="6"/>
    <n v="2008"/>
    <x v="1"/>
    <n v="30"/>
    <n v="3850"/>
    <n v="115500"/>
    <x v="264"/>
    <n v="120"/>
    <x v="281"/>
    <x v="11"/>
    <d v="2024-01-12T00:00:00"/>
    <d v="1899-12-30T14:00:00"/>
    <n v="15"/>
    <n v="0"/>
  </r>
  <r>
    <d v="2024-01-12T14:00:00"/>
    <x v="2"/>
    <x v="10"/>
    <n v="2008"/>
    <x v="1"/>
    <n v="30"/>
    <n v="3750"/>
    <n v="112500"/>
    <x v="272"/>
    <n v="132"/>
    <x v="321"/>
    <x v="11"/>
    <d v="2024-01-12T00:00:00"/>
    <d v="1899-12-30T14:00:00"/>
    <n v="16"/>
    <n v="0"/>
  </r>
  <r>
    <d v="2024-01-12T14:00:00"/>
    <x v="1"/>
    <x v="8"/>
    <n v="1010"/>
    <x v="2"/>
    <n v="5"/>
    <n v="6700"/>
    <n v="33500"/>
    <x v="272"/>
    <n v="96"/>
    <x v="312"/>
    <x v="11"/>
    <d v="2024-01-12T00:00:00"/>
    <d v="1899-12-30T14:00:00"/>
    <n v="7"/>
    <n v="0"/>
  </r>
  <r>
    <d v="2024-01-12T14:00:00"/>
    <x v="2"/>
    <x v="2"/>
    <n v="2008"/>
    <x v="1"/>
    <n v="30"/>
    <n v="3750"/>
    <n v="112500"/>
    <x v="279"/>
    <n v="132"/>
    <x v="317"/>
    <x v="11"/>
    <d v="2024-01-12T00:00:00"/>
    <d v="1899-12-30T14:00:00"/>
    <n v="9"/>
    <n v="0"/>
  </r>
  <r>
    <d v="2024-01-12T14:00:00"/>
    <x v="1"/>
    <x v="2"/>
    <n v="1010"/>
    <x v="2"/>
    <n v="8"/>
    <n v="6700"/>
    <n v="53600"/>
    <x v="284"/>
    <n v="72"/>
    <x v="254"/>
    <x v="11"/>
    <d v="2024-01-12T00:00:00"/>
    <d v="1899-12-30T14:00:00"/>
    <n v="9"/>
    <n v="0"/>
  </r>
  <r>
    <d v="2024-01-12T14:00:00"/>
    <x v="2"/>
    <x v="5"/>
    <n v="2008"/>
    <x v="2"/>
    <n v="30"/>
    <n v="5700"/>
    <n v="171000"/>
    <x v="285"/>
    <n v="132"/>
    <x v="307"/>
    <x v="11"/>
    <d v="2024-01-12T00:00:00"/>
    <d v="1899-12-30T14:00:00"/>
    <n v="8"/>
    <n v="0"/>
  </r>
  <r>
    <d v="2024-01-12T14:00:00"/>
    <x v="2"/>
    <x v="4"/>
    <n v="2008"/>
    <x v="1"/>
    <n v="30"/>
    <n v="4200"/>
    <n v="126000"/>
    <x v="264"/>
    <n v="84"/>
    <x v="313"/>
    <x v="11"/>
    <d v="2024-01-12T00:00:00"/>
    <d v="1899-12-30T14:00:00"/>
    <n v="10"/>
    <n v="0"/>
  </r>
  <r>
    <d v="2024-01-12T14:00:00"/>
    <x v="1"/>
    <x v="9"/>
    <n v="1010"/>
    <x v="2"/>
    <n v="3"/>
    <n v="6650"/>
    <n v="19950"/>
    <x v="273"/>
    <n v="96"/>
    <x v="287"/>
    <x v="11"/>
    <d v="2024-01-12T00:00:00"/>
    <d v="1899-12-30T14:00:00"/>
    <n v="14"/>
    <n v="0"/>
  </r>
  <r>
    <d v="2024-01-12T14:00:00"/>
    <x v="1"/>
    <x v="10"/>
    <n v="1010"/>
    <x v="2"/>
    <n v="6"/>
    <n v="6650"/>
    <n v="39900"/>
    <x v="270"/>
    <n v="96"/>
    <x v="315"/>
    <x v="11"/>
    <d v="2024-01-12T00:00:00"/>
    <d v="1899-12-30T14:00:00"/>
    <n v="16"/>
    <n v="0"/>
  </r>
  <r>
    <d v="2024-01-12T14:00:00"/>
    <x v="2"/>
    <x v="9"/>
    <n v="2008"/>
    <x v="2"/>
    <n v="22"/>
    <n v="6650"/>
    <n v="146300"/>
    <x v="278"/>
    <n v="132"/>
    <x v="178"/>
    <x v="11"/>
    <d v="2024-01-12T00:00:00"/>
    <d v="1899-12-30T14:00:00"/>
    <n v="14"/>
    <n v="0"/>
  </r>
  <r>
    <d v="2024-01-12T14:00:00"/>
    <x v="2"/>
    <x v="1"/>
    <n v="2008"/>
    <x v="1"/>
    <n v="30"/>
    <n v="3500"/>
    <n v="105000"/>
    <x v="267"/>
    <n v="132"/>
    <x v="322"/>
    <x v="11"/>
    <d v="2024-01-12T00:00:00"/>
    <d v="1899-12-30T14:00:00"/>
    <n v="13"/>
    <n v="0"/>
  </r>
  <r>
    <d v="2024-01-12T14:00:00"/>
    <x v="2"/>
    <x v="1"/>
    <n v="2008"/>
    <x v="2"/>
    <n v="29"/>
    <n v="6300"/>
    <n v="182700"/>
    <x v="281"/>
    <n v="132"/>
    <x v="317"/>
    <x v="11"/>
    <d v="2024-01-12T00:00:00"/>
    <d v="1899-12-30T14:00:00"/>
    <n v="13"/>
    <n v="0"/>
  </r>
  <r>
    <d v="2024-01-12T14:00:00"/>
    <x v="1"/>
    <x v="6"/>
    <n v="1010"/>
    <x v="2"/>
    <n v="10"/>
    <n v="6000"/>
    <n v="60000"/>
    <x v="252"/>
    <n v="68"/>
    <x v="249"/>
    <x v="11"/>
    <d v="2024-01-12T00:00:00"/>
    <d v="1899-12-30T14:00:00"/>
    <n v="15"/>
    <n v="0"/>
  </r>
  <r>
    <d v="2024-01-12T14:00:00"/>
    <x v="2"/>
    <x v="7"/>
    <n v="2008"/>
    <x v="1"/>
    <n v="30"/>
    <n v="3800"/>
    <n v="114000"/>
    <x v="264"/>
    <n v="120"/>
    <x v="296"/>
    <x v="11"/>
    <d v="2024-01-12T00:00:00"/>
    <d v="1899-12-30T14:00:00"/>
    <n v="12"/>
    <n v="0"/>
  </r>
  <r>
    <d v="2024-01-12T14:00:00"/>
    <x v="1"/>
    <x v="7"/>
    <n v="1010"/>
    <x v="2"/>
    <n v="7"/>
    <n v="6900"/>
    <n v="48300"/>
    <x v="276"/>
    <n v="84"/>
    <x v="268"/>
    <x v="11"/>
    <d v="2024-01-12T00:00:00"/>
    <d v="1899-12-30T14:00:00"/>
    <n v="12"/>
    <n v="0"/>
  </r>
  <r>
    <d v="2024-01-12T14:00:00"/>
    <x v="1"/>
    <x v="1"/>
    <n v="1010"/>
    <x v="2"/>
    <n v="4"/>
    <n v="6300"/>
    <n v="25200"/>
    <x v="281"/>
    <n v="96"/>
    <x v="284"/>
    <x v="11"/>
    <d v="2024-01-12T00:00:00"/>
    <d v="1899-12-30T14:00:00"/>
    <n v="13"/>
    <n v="0"/>
  </r>
  <r>
    <d v="2024-01-12T14:00:00"/>
    <x v="2"/>
    <x v="3"/>
    <n v="2008"/>
    <x v="1"/>
    <n v="40"/>
    <n v="4200"/>
    <n v="168000"/>
    <x v="248"/>
    <n v="120"/>
    <x v="293"/>
    <x v="11"/>
    <d v="2024-01-12T00:00:00"/>
    <d v="1899-12-30T14:00:00"/>
    <n v="11"/>
    <n v="0"/>
  </r>
  <r>
    <d v="2024-01-12T16:00:00"/>
    <x v="1"/>
    <x v="9"/>
    <n v="1009"/>
    <x v="2"/>
    <n v="2"/>
    <n v="6650"/>
    <n v="13300"/>
    <x v="275"/>
    <n v="96"/>
    <x v="289"/>
    <x v="11"/>
    <d v="2024-01-12T00:00:00"/>
    <d v="1899-12-30T16:00:00"/>
    <n v="14"/>
    <n v="0"/>
  </r>
  <r>
    <d v="2024-01-12T16:00:00"/>
    <x v="1"/>
    <x v="1"/>
    <n v="1009"/>
    <x v="2"/>
    <n v="5"/>
    <n v="6300"/>
    <n v="31500"/>
    <x v="283"/>
    <n v="96"/>
    <x v="318"/>
    <x v="11"/>
    <d v="2024-01-12T00:00:00"/>
    <d v="1899-12-30T16:00:00"/>
    <n v="13"/>
    <n v="0"/>
  </r>
  <r>
    <d v="2024-01-12T16:00:00"/>
    <x v="1"/>
    <x v="6"/>
    <n v="1011"/>
    <x v="2"/>
    <n v="8"/>
    <n v="6000"/>
    <n v="48000"/>
    <x v="263"/>
    <n v="68"/>
    <x v="257"/>
    <x v="11"/>
    <d v="2024-01-12T00:00:00"/>
    <d v="1899-12-30T16:00:00"/>
    <n v="15"/>
    <n v="0"/>
  </r>
  <r>
    <d v="2024-01-12T16:00:00"/>
    <x v="1"/>
    <x v="8"/>
    <n v="1011"/>
    <x v="2"/>
    <n v="3"/>
    <n v="6700"/>
    <n v="20100"/>
    <x v="286"/>
    <n v="96"/>
    <x v="323"/>
    <x v="11"/>
    <d v="2024-01-12T00:00:00"/>
    <d v="1899-12-30T16:00:00"/>
    <n v="7"/>
    <n v="0"/>
  </r>
  <r>
    <d v="2024-01-12T16:00:00"/>
    <x v="1"/>
    <x v="8"/>
    <n v="1009"/>
    <x v="2"/>
    <n v="3"/>
    <n v="6700"/>
    <n v="20100"/>
    <x v="286"/>
    <n v="96"/>
    <x v="323"/>
    <x v="11"/>
    <d v="2024-01-12T00:00:00"/>
    <d v="1899-12-30T16:00:00"/>
    <n v="7"/>
    <n v="0"/>
  </r>
  <r>
    <d v="2024-01-12T16:00:00"/>
    <x v="1"/>
    <x v="5"/>
    <n v="1011"/>
    <x v="2"/>
    <n v="9"/>
    <n v="5450"/>
    <n v="49050"/>
    <x v="287"/>
    <n v="96"/>
    <x v="324"/>
    <x v="11"/>
    <d v="2024-01-12T00:00:00"/>
    <d v="1899-12-30T16:00:00"/>
    <n v="8"/>
    <n v="0"/>
  </r>
  <r>
    <d v="2024-01-12T16:00:00"/>
    <x v="1"/>
    <x v="2"/>
    <n v="1011"/>
    <x v="2"/>
    <n v="5"/>
    <n v="6700"/>
    <n v="33500"/>
    <x v="288"/>
    <n v="72"/>
    <x v="273"/>
    <x v="11"/>
    <d v="2024-01-12T00:00:00"/>
    <d v="1899-12-30T16:00:00"/>
    <n v="9"/>
    <n v="0"/>
  </r>
  <r>
    <d v="2024-01-12T16:00:00"/>
    <x v="1"/>
    <x v="9"/>
    <n v="1011"/>
    <x v="2"/>
    <n v="3"/>
    <n v="6650"/>
    <n v="19950"/>
    <x v="274"/>
    <n v="96"/>
    <x v="325"/>
    <x v="11"/>
    <d v="2024-01-12T00:00:00"/>
    <d v="1899-12-30T16:00:00"/>
    <n v="14"/>
    <n v="0"/>
  </r>
  <r>
    <d v="2024-01-12T16:00:00"/>
    <x v="1"/>
    <x v="7"/>
    <n v="1009"/>
    <x v="2"/>
    <n v="4"/>
    <n v="6700"/>
    <n v="26800"/>
    <x v="284"/>
    <n v="96"/>
    <x v="324"/>
    <x v="11"/>
    <d v="2024-01-12T00:00:00"/>
    <d v="1899-12-30T16:00:00"/>
    <n v="12"/>
    <n v="0"/>
  </r>
  <r>
    <d v="2024-01-12T16:00:00"/>
    <x v="1"/>
    <x v="10"/>
    <n v="1011"/>
    <x v="2"/>
    <n v="7"/>
    <n v="6650"/>
    <n v="46550"/>
    <x v="273"/>
    <n v="96"/>
    <x v="267"/>
    <x v="11"/>
    <d v="2024-01-12T00:00:00"/>
    <d v="1899-12-30T16:00:00"/>
    <n v="16"/>
    <n v="0"/>
  </r>
  <r>
    <d v="2024-01-12T16:00:00"/>
    <x v="1"/>
    <x v="1"/>
    <n v="1011"/>
    <x v="2"/>
    <n v="6"/>
    <n v="6300"/>
    <n v="37800"/>
    <x v="283"/>
    <n v="96"/>
    <x v="295"/>
    <x v="11"/>
    <d v="2024-01-12T00:00:00"/>
    <d v="1899-12-30T16:00:00"/>
    <n v="13"/>
    <n v="0"/>
  </r>
  <r>
    <d v="2024-01-12T16:00:00"/>
    <x v="1"/>
    <x v="5"/>
    <n v="1009"/>
    <x v="2"/>
    <n v="7"/>
    <n v="5450"/>
    <n v="38150"/>
    <x v="279"/>
    <n v="96"/>
    <x v="326"/>
    <x v="11"/>
    <d v="2024-01-12T00:00:00"/>
    <d v="1899-12-30T16:00:00"/>
    <n v="8"/>
    <n v="0"/>
  </r>
  <r>
    <d v="2024-01-12T16:00:00"/>
    <x v="1"/>
    <x v="7"/>
    <n v="1011"/>
    <x v="2"/>
    <n v="5"/>
    <n v="6700"/>
    <n v="33500"/>
    <x v="284"/>
    <n v="96"/>
    <x v="324"/>
    <x v="11"/>
    <d v="2024-01-12T00:00:00"/>
    <d v="1899-12-30T16:00:00"/>
    <n v="12"/>
    <n v="0"/>
  </r>
  <r>
    <d v="2024-01-12T16:00:00"/>
    <x v="1"/>
    <x v="6"/>
    <n v="1009"/>
    <x v="2"/>
    <n v="6"/>
    <n v="6000"/>
    <n v="36000"/>
    <x v="263"/>
    <n v="68"/>
    <x v="257"/>
    <x v="11"/>
    <d v="2024-01-12T00:00:00"/>
    <d v="1899-12-30T16:00:00"/>
    <n v="15"/>
    <n v="0"/>
  </r>
  <r>
    <d v="2024-01-12T16:00:00"/>
    <x v="1"/>
    <x v="10"/>
    <n v="1009"/>
    <x v="2"/>
    <n v="5"/>
    <n v="6650"/>
    <n v="33250"/>
    <x v="272"/>
    <n v="96"/>
    <x v="312"/>
    <x v="11"/>
    <d v="2024-01-12T00:00:00"/>
    <d v="1899-12-30T16:00:00"/>
    <n v="16"/>
    <n v="0"/>
  </r>
  <r>
    <d v="2024-01-12T17:00:00"/>
    <x v="1"/>
    <x v="1"/>
    <n v="1001"/>
    <x v="2"/>
    <n v="5"/>
    <n v="6300"/>
    <n v="31500"/>
    <x v="283"/>
    <n v="96"/>
    <x v="295"/>
    <x v="11"/>
    <d v="2024-01-12T00:00:00"/>
    <d v="1899-12-30T17:00:00"/>
    <n v="13"/>
    <n v="0"/>
  </r>
  <r>
    <d v="2024-01-12T17:00:00"/>
    <x v="1"/>
    <x v="5"/>
    <n v="1001"/>
    <x v="2"/>
    <n v="7"/>
    <n v="5450"/>
    <n v="38150"/>
    <x v="287"/>
    <n v="96"/>
    <x v="324"/>
    <x v="11"/>
    <d v="2024-01-12T00:00:00"/>
    <d v="1899-12-30T17:00:00"/>
    <n v="8"/>
    <n v="0"/>
  </r>
  <r>
    <d v="2024-01-12T17:00:00"/>
    <x v="1"/>
    <x v="8"/>
    <n v="1004"/>
    <x v="1"/>
    <n v="30"/>
    <n v="3850"/>
    <n v="115500"/>
    <x v="274"/>
    <n v="96"/>
    <x v="274"/>
    <x v="11"/>
    <d v="2024-01-12T00:00:00"/>
    <d v="1899-12-30T17:00:00"/>
    <n v="7"/>
    <n v="0"/>
  </r>
  <r>
    <d v="2024-01-12T17:00:00"/>
    <x v="1"/>
    <x v="3"/>
    <n v="1004"/>
    <x v="1"/>
    <n v="26"/>
    <n v="4150"/>
    <n v="107900"/>
    <x v="278"/>
    <n v="96"/>
    <x v="287"/>
    <x v="11"/>
    <d v="2024-01-12T00:00:00"/>
    <d v="1899-12-30T17:00:00"/>
    <n v="11"/>
    <n v="0"/>
  </r>
  <r>
    <d v="2024-01-12T17:00:00"/>
    <x v="1"/>
    <x v="8"/>
    <n v="1001"/>
    <x v="2"/>
    <n v="2"/>
    <n v="6700"/>
    <n v="13400"/>
    <x v="289"/>
    <n v="96"/>
    <x v="327"/>
    <x v="11"/>
    <d v="2024-01-12T00:00:00"/>
    <d v="1899-12-30T17:00:00"/>
    <n v="7"/>
    <n v="0"/>
  </r>
  <r>
    <d v="2024-01-12T17:00:00"/>
    <x v="1"/>
    <x v="9"/>
    <n v="1004"/>
    <x v="1"/>
    <n v="30"/>
    <n v="3750"/>
    <n v="112500"/>
    <x v="260"/>
    <n v="96"/>
    <x v="285"/>
    <x v="11"/>
    <d v="2024-01-12T00:00:00"/>
    <d v="1899-12-30T17:00:00"/>
    <n v="14"/>
    <n v="0"/>
  </r>
  <r>
    <d v="2024-01-12T17:00:00"/>
    <x v="1"/>
    <x v="7"/>
    <n v="1004"/>
    <x v="1"/>
    <n v="30"/>
    <n v="3700"/>
    <n v="111000"/>
    <x v="290"/>
    <n v="120"/>
    <x v="321"/>
    <x v="11"/>
    <d v="2024-01-12T00:00:00"/>
    <d v="1899-12-30T17:00:00"/>
    <n v="12"/>
    <n v="0"/>
  </r>
  <r>
    <d v="2024-01-12T17:00:00"/>
    <x v="1"/>
    <x v="6"/>
    <n v="1001"/>
    <x v="2"/>
    <n v="6"/>
    <n v="6000"/>
    <n v="36000"/>
    <x v="273"/>
    <n v="68"/>
    <x v="279"/>
    <x v="11"/>
    <d v="2024-01-12T00:00:00"/>
    <d v="1899-12-30T17:00:00"/>
    <n v="15"/>
    <n v="0"/>
  </r>
  <r>
    <d v="2024-01-12T17:00:00"/>
    <x v="1"/>
    <x v="6"/>
    <n v="1004"/>
    <x v="1"/>
    <n v="30"/>
    <n v="3550"/>
    <n v="106500"/>
    <x v="276"/>
    <n v="92"/>
    <x v="268"/>
    <x v="11"/>
    <d v="2024-01-12T00:00:00"/>
    <d v="1899-12-30T17:00:00"/>
    <n v="15"/>
    <n v="0"/>
  </r>
  <r>
    <d v="2024-01-12T17:00:00"/>
    <x v="1"/>
    <x v="1"/>
    <n v="1004"/>
    <x v="1"/>
    <n v="30"/>
    <n v="3600"/>
    <n v="108000"/>
    <x v="267"/>
    <n v="96"/>
    <x v="295"/>
    <x v="11"/>
    <d v="2024-01-12T00:00:00"/>
    <d v="1899-12-30T17:00:00"/>
    <n v="13"/>
    <n v="0"/>
  </r>
  <r>
    <d v="2024-01-12T17:00:00"/>
    <x v="1"/>
    <x v="5"/>
    <n v="1004"/>
    <x v="1"/>
    <n v="30"/>
    <n v="3800"/>
    <n v="114000"/>
    <x v="288"/>
    <n v="96"/>
    <x v="328"/>
    <x v="11"/>
    <d v="2024-01-12T00:00:00"/>
    <d v="1899-12-30T17:00:00"/>
    <n v="8"/>
    <n v="0"/>
  </r>
  <r>
    <d v="2024-01-12T17:00:00"/>
    <x v="1"/>
    <x v="2"/>
    <n v="1004"/>
    <x v="1"/>
    <n v="30"/>
    <n v="3750"/>
    <n v="112500"/>
    <x v="288"/>
    <n v="96"/>
    <x v="328"/>
    <x v="11"/>
    <d v="2024-01-12T00:00:00"/>
    <d v="1899-12-30T17:00:00"/>
    <n v="9"/>
    <n v="0"/>
  </r>
  <r>
    <d v="2024-01-12T17:00:00"/>
    <x v="1"/>
    <x v="10"/>
    <n v="1004"/>
    <x v="1"/>
    <n v="30"/>
    <n v="3750"/>
    <n v="112500"/>
    <x v="275"/>
    <n v="96"/>
    <x v="289"/>
    <x v="11"/>
    <d v="2024-01-12T00:00:00"/>
    <d v="1899-12-30T17:00:00"/>
    <n v="16"/>
    <n v="0"/>
  </r>
  <r>
    <d v="2024-01-12T17:00:00"/>
    <x v="1"/>
    <x v="7"/>
    <n v="1001"/>
    <x v="2"/>
    <n v="4"/>
    <n v="6700"/>
    <n v="26800"/>
    <x v="284"/>
    <n v="96"/>
    <x v="324"/>
    <x v="11"/>
    <d v="2024-01-12T00:00:00"/>
    <d v="1899-12-30T17:00:00"/>
    <n v="12"/>
    <n v="0"/>
  </r>
  <r>
    <d v="2024-01-12T17:00:00"/>
    <x v="1"/>
    <x v="9"/>
    <n v="1001"/>
    <x v="2"/>
    <n v="2"/>
    <n v="6650"/>
    <n v="13300"/>
    <x v="277"/>
    <n v="96"/>
    <x v="316"/>
    <x v="11"/>
    <d v="2024-01-12T00:00:00"/>
    <d v="1899-12-30T17:00:00"/>
    <n v="14"/>
    <n v="0"/>
  </r>
  <r>
    <d v="2024-01-12T17:00:00"/>
    <x v="1"/>
    <x v="10"/>
    <n v="1001"/>
    <x v="2"/>
    <n v="5"/>
    <n v="6650"/>
    <n v="33250"/>
    <x v="275"/>
    <n v="96"/>
    <x v="289"/>
    <x v="11"/>
    <d v="2024-01-12T00:00:00"/>
    <d v="1899-12-30T17:00:00"/>
    <n v="16"/>
    <n v="0"/>
  </r>
  <r>
    <d v="2024-01-12T18:00:00"/>
    <x v="1"/>
    <x v="9"/>
    <n v="1010"/>
    <x v="1"/>
    <n v="26"/>
    <n v="3750"/>
    <n v="97500"/>
    <x v="260"/>
    <n v="96"/>
    <x v="285"/>
    <x v="11"/>
    <d v="2024-01-12T00:00:00"/>
    <d v="1899-12-30T18:00:00"/>
    <n v="14"/>
    <n v="0"/>
  </r>
  <r>
    <d v="2024-01-12T18:00:00"/>
    <x v="0"/>
    <x v="11"/>
    <n v="15"/>
    <x v="3"/>
    <n v="93"/>
    <n v="1100"/>
    <n v="102300"/>
    <x v="270"/>
    <n v="72"/>
    <x v="270"/>
    <x v="11"/>
    <d v="2024-01-12T00:00:00"/>
    <d v="1899-12-30T18:00:00"/>
    <n v="6"/>
    <n v="0"/>
  </r>
  <r>
    <d v="2024-01-12T18:00:00"/>
    <x v="1"/>
    <x v="7"/>
    <n v="1010"/>
    <x v="1"/>
    <n v="15"/>
    <n v="4000"/>
    <n v="60000"/>
    <x v="270"/>
    <n v="60"/>
    <x v="329"/>
    <x v="11"/>
    <d v="2024-01-12T00:00:00"/>
    <d v="1899-12-30T18:00:00"/>
    <n v="12"/>
    <n v="0"/>
  </r>
  <r>
    <d v="2024-01-12T18:00:00"/>
    <x v="1"/>
    <x v="8"/>
    <n v="1010"/>
    <x v="1"/>
    <n v="20"/>
    <n v="3850"/>
    <n v="77000"/>
    <x v="274"/>
    <n v="96"/>
    <x v="274"/>
    <x v="11"/>
    <d v="2024-01-12T00:00:00"/>
    <d v="1899-12-30T18:00:00"/>
    <n v="7"/>
    <n v="0"/>
  </r>
  <r>
    <d v="2024-01-12T18:00:00"/>
    <x v="0"/>
    <x v="11"/>
    <n v="15"/>
    <x v="3"/>
    <n v="93"/>
    <n v="1100"/>
    <n v="102300"/>
    <x v="270"/>
    <n v="72"/>
    <x v="270"/>
    <x v="11"/>
    <d v="2024-01-12T00:00:00"/>
    <d v="1899-12-30T18:00:00"/>
    <n v="6"/>
    <n v="0"/>
  </r>
  <r>
    <d v="2024-01-12T18:00:00"/>
    <x v="1"/>
    <x v="2"/>
    <n v="1010"/>
    <x v="1"/>
    <n v="15"/>
    <n v="3900"/>
    <n v="58500"/>
    <x v="270"/>
    <n v="72"/>
    <x v="270"/>
    <x v="11"/>
    <d v="2024-01-12T00:00:00"/>
    <d v="1899-12-30T18:00:00"/>
    <n v="9"/>
    <n v="0"/>
  </r>
  <r>
    <d v="2024-01-12T18:00:00"/>
    <x v="1"/>
    <x v="5"/>
    <n v="1010"/>
    <x v="1"/>
    <n v="23"/>
    <n v="3800"/>
    <n v="87400"/>
    <x v="291"/>
    <n v="96"/>
    <x v="298"/>
    <x v="11"/>
    <d v="2024-01-12T00:00:00"/>
    <d v="1899-12-30T18:00:00"/>
    <n v="8"/>
    <n v="0"/>
  </r>
  <r>
    <d v="2024-01-12T18:00:00"/>
    <x v="0"/>
    <x v="11"/>
    <n v="15"/>
    <x v="3"/>
    <n v="93"/>
    <n v="1100"/>
    <n v="102300"/>
    <x v="270"/>
    <n v="72"/>
    <x v="270"/>
    <x v="11"/>
    <d v="2024-01-12T00:00:00"/>
    <d v="1899-12-30T18:00:00"/>
    <n v="6"/>
    <n v="0"/>
  </r>
  <r>
    <d v="2024-01-12T18:00:00"/>
    <x v="1"/>
    <x v="6"/>
    <n v="1010"/>
    <x v="1"/>
    <n v="30"/>
    <n v="3550"/>
    <n v="106500"/>
    <x v="273"/>
    <n v="92"/>
    <x v="267"/>
    <x v="11"/>
    <d v="2024-01-12T00:00:00"/>
    <d v="1899-12-30T18:00:00"/>
    <n v="15"/>
    <n v="0"/>
  </r>
  <r>
    <d v="2024-01-12T18:00:00"/>
    <x v="0"/>
    <x v="11"/>
    <n v="15"/>
    <x v="3"/>
    <n v="93"/>
    <n v="1100"/>
    <n v="102300"/>
    <x v="270"/>
    <n v="72"/>
    <x v="270"/>
    <x v="11"/>
    <d v="2024-01-12T00:00:00"/>
    <d v="1899-12-30T18:00:00"/>
    <n v="6"/>
    <n v="0"/>
  </r>
  <r>
    <d v="2024-01-12T18:00:00"/>
    <x v="1"/>
    <x v="10"/>
    <n v="1010"/>
    <x v="1"/>
    <n v="30"/>
    <n v="3750"/>
    <n v="112500"/>
    <x v="275"/>
    <n v="96"/>
    <x v="289"/>
    <x v="11"/>
    <d v="2024-01-12T00:00:00"/>
    <d v="1899-12-30T18:00:00"/>
    <n v="16"/>
    <n v="0"/>
  </r>
  <r>
    <d v="2024-01-12T18:00:00"/>
    <x v="1"/>
    <x v="1"/>
    <n v="1010"/>
    <x v="1"/>
    <n v="30"/>
    <n v="3600"/>
    <n v="108000"/>
    <x v="251"/>
    <n v="96"/>
    <x v="179"/>
    <x v="11"/>
    <d v="2024-01-12T00:00:00"/>
    <d v="1899-12-30T18:00:00"/>
    <n v="13"/>
    <n v="0"/>
  </r>
  <r>
    <d v="2024-01-12T19:00:00"/>
    <x v="0"/>
    <x v="0"/>
    <n v="8"/>
    <x v="3"/>
    <n v="349"/>
    <n v="1330"/>
    <n v="464170"/>
    <x v="272"/>
    <n v="24"/>
    <x v="220"/>
    <x v="11"/>
    <d v="2024-01-12T00:00:00"/>
    <d v="1899-12-30T19:00:00"/>
    <n v="4"/>
    <n v="0"/>
  </r>
  <r>
    <d v="2024-01-12T19:00:00"/>
    <x v="0"/>
    <x v="13"/>
    <n v="7"/>
    <x v="0"/>
    <n v="1500"/>
    <n v="140"/>
    <n v="210000"/>
    <x v="278"/>
    <n v="24"/>
    <x v="304"/>
    <x v="11"/>
    <d v="2024-01-12T00:00:00"/>
    <d v="1899-12-30T19:00:00"/>
    <n v="2"/>
    <n v="0"/>
  </r>
  <r>
    <d v="2024-01-12T22:00:00"/>
    <x v="0"/>
    <x v="2"/>
    <n v="4"/>
    <x v="5"/>
    <n v="34"/>
    <n v="25"/>
    <n v="850"/>
    <x v="280"/>
    <n v="72"/>
    <x v="288"/>
    <x v="11"/>
    <d v="2024-01-12T00:00:00"/>
    <d v="1899-12-30T22:00:00"/>
    <n v="9"/>
    <n v="0"/>
  </r>
  <r>
    <d v="2024-01-12T23:00:00"/>
    <x v="0"/>
    <x v="0"/>
    <n v="8"/>
    <x v="3"/>
    <n v="50"/>
    <n v="1330"/>
    <n v="66500"/>
    <x v="275"/>
    <n v="24"/>
    <x v="256"/>
    <x v="11"/>
    <d v="2024-01-12T00:00:00"/>
    <d v="1899-12-30T23:00:00"/>
    <n v="4"/>
    <n v="0"/>
  </r>
  <r>
    <d v="2024-01-13T00:00:00"/>
    <x v="0"/>
    <x v="12"/>
    <n v="16"/>
    <x v="3"/>
    <n v="400"/>
    <n v="1020"/>
    <n v="408000"/>
    <x v="280"/>
    <n v="24"/>
    <x v="262"/>
    <x v="12"/>
    <d v="2024-01-13T00:00:00"/>
    <d v="1899-12-30T00:00:00"/>
    <n v="5"/>
    <n v="0"/>
  </r>
  <r>
    <d v="2024-01-13T01:00:00"/>
    <x v="3"/>
    <x v="8"/>
    <n v="3004"/>
    <x v="2"/>
    <n v="6"/>
    <n v="7500"/>
    <n v="45000"/>
    <x v="292"/>
    <n v="288"/>
    <x v="330"/>
    <x v="12"/>
    <d v="2024-01-13T00:00:00"/>
    <d v="1899-12-30T01:00:00"/>
    <n v="7"/>
    <n v="0"/>
  </r>
  <r>
    <d v="2024-01-13T01:00:00"/>
    <x v="0"/>
    <x v="12"/>
    <n v="16"/>
    <x v="0"/>
    <n v="2000"/>
    <n v="120"/>
    <n v="240000"/>
    <x v="260"/>
    <n v="24"/>
    <x v="246"/>
    <x v="12"/>
    <d v="2024-01-13T00:00:00"/>
    <d v="1899-12-30T01:00:00"/>
    <n v="5"/>
    <n v="0"/>
  </r>
  <r>
    <d v="2024-01-13T01:00:00"/>
    <x v="0"/>
    <x v="0"/>
    <n v="9"/>
    <x v="0"/>
    <n v="3000"/>
    <n v="110"/>
    <n v="330000"/>
    <x v="293"/>
    <n v="72"/>
    <x v="283"/>
    <x v="12"/>
    <d v="2024-01-13T00:00:00"/>
    <d v="1899-12-30T01:00:00"/>
    <n v="4"/>
    <n v="0"/>
  </r>
  <r>
    <d v="2024-01-13T01:00:00"/>
    <x v="3"/>
    <x v="8"/>
    <n v="3001"/>
    <x v="2"/>
    <n v="2"/>
    <n v="7500"/>
    <n v="15000"/>
    <x v="294"/>
    <n v="288"/>
    <x v="331"/>
    <x v="12"/>
    <d v="2024-01-13T00:00:00"/>
    <d v="1899-12-30T01:00:00"/>
    <n v="7"/>
    <n v="0"/>
  </r>
  <r>
    <d v="2024-01-13T01:00:00"/>
    <x v="3"/>
    <x v="8"/>
    <n v="3003"/>
    <x v="2"/>
    <n v="4"/>
    <n v="7500"/>
    <n v="30000"/>
    <x v="294"/>
    <n v="288"/>
    <x v="331"/>
    <x v="12"/>
    <d v="2024-01-13T00:00:00"/>
    <d v="1899-12-30T01:00:00"/>
    <n v="7"/>
    <n v="0"/>
  </r>
  <r>
    <d v="2024-01-13T02:00:00"/>
    <x v="1"/>
    <x v="9"/>
    <n v="1011"/>
    <x v="1"/>
    <n v="26"/>
    <n v="3750"/>
    <n v="97500"/>
    <x v="284"/>
    <n v="96"/>
    <x v="324"/>
    <x v="12"/>
    <d v="2024-01-13T00:00:00"/>
    <d v="1899-12-30T02:00:00"/>
    <n v="14"/>
    <n v="0"/>
  </r>
  <r>
    <d v="2024-01-13T02:00:00"/>
    <x v="1"/>
    <x v="1"/>
    <n v="1009"/>
    <x v="1"/>
    <n v="30"/>
    <n v="3600"/>
    <n v="108000"/>
    <x v="295"/>
    <n v="96"/>
    <x v="332"/>
    <x v="12"/>
    <d v="2024-01-13T00:00:00"/>
    <d v="1899-12-30T02:00:00"/>
    <n v="13"/>
    <n v="0"/>
  </r>
  <r>
    <d v="2024-01-13T02:00:00"/>
    <x v="1"/>
    <x v="5"/>
    <n v="1009"/>
    <x v="1"/>
    <n v="20"/>
    <n v="3800"/>
    <n v="76000"/>
    <x v="296"/>
    <n v="96"/>
    <x v="333"/>
    <x v="12"/>
    <d v="2024-01-13T00:00:00"/>
    <d v="1899-12-30T02:00:00"/>
    <n v="8"/>
    <n v="0"/>
  </r>
  <r>
    <d v="2024-01-13T02:00:00"/>
    <x v="1"/>
    <x v="2"/>
    <n v="1011"/>
    <x v="1"/>
    <n v="23"/>
    <n v="3750"/>
    <n v="86250"/>
    <x v="297"/>
    <n v="96"/>
    <x v="300"/>
    <x v="12"/>
    <d v="2024-01-13T00:00:00"/>
    <d v="1899-12-30T02:00:00"/>
    <n v="9"/>
    <n v="0"/>
  </r>
  <r>
    <d v="2024-01-13T02:00:00"/>
    <x v="1"/>
    <x v="6"/>
    <n v="1009"/>
    <x v="1"/>
    <n v="39"/>
    <n v="3350"/>
    <n v="130650"/>
    <x v="284"/>
    <n v="96"/>
    <x v="283"/>
    <x v="12"/>
    <d v="2024-01-13T00:00:00"/>
    <d v="1899-12-30T02:00:00"/>
    <n v="15"/>
    <n v="0"/>
  </r>
  <r>
    <d v="2024-01-13T02:00:00"/>
    <x v="1"/>
    <x v="9"/>
    <n v="1009"/>
    <x v="1"/>
    <n v="26"/>
    <n v="3750"/>
    <n v="97500"/>
    <x v="284"/>
    <n v="96"/>
    <x v="324"/>
    <x v="12"/>
    <d v="2024-01-13T00:00:00"/>
    <d v="1899-12-30T02:00:00"/>
    <n v="14"/>
    <n v="0"/>
  </r>
  <r>
    <d v="2024-01-13T02:00:00"/>
    <x v="1"/>
    <x v="8"/>
    <n v="1011"/>
    <x v="1"/>
    <n v="15"/>
    <n v="3850"/>
    <n v="57750"/>
    <x v="298"/>
    <n v="96"/>
    <x v="280"/>
    <x v="12"/>
    <d v="2024-01-13T00:00:00"/>
    <d v="1899-12-30T02:00:00"/>
    <n v="7"/>
    <n v="0"/>
  </r>
  <r>
    <d v="2024-01-13T02:00:00"/>
    <x v="1"/>
    <x v="1"/>
    <n v="1011"/>
    <x v="1"/>
    <n v="30"/>
    <n v="3600"/>
    <n v="108000"/>
    <x v="299"/>
    <n v="96"/>
    <x v="181"/>
    <x v="12"/>
    <d v="2024-01-13T00:00:00"/>
    <d v="1899-12-30T02:00:00"/>
    <n v="13"/>
    <n v="0"/>
  </r>
  <r>
    <d v="2024-01-13T02:00:00"/>
    <x v="1"/>
    <x v="7"/>
    <n v="1009"/>
    <x v="1"/>
    <n v="15"/>
    <n v="4000"/>
    <n v="60000"/>
    <x v="260"/>
    <n v="60"/>
    <x v="290"/>
    <x v="12"/>
    <d v="2024-01-13T00:00:00"/>
    <d v="1899-12-30T02:00:00"/>
    <n v="12"/>
    <n v="0"/>
  </r>
  <r>
    <d v="2024-01-13T02:00:00"/>
    <x v="1"/>
    <x v="10"/>
    <n v="1009"/>
    <x v="1"/>
    <n v="30"/>
    <n v="3750"/>
    <n v="112500"/>
    <x v="300"/>
    <n v="96"/>
    <x v="286"/>
    <x v="12"/>
    <d v="2024-01-13T00:00:00"/>
    <d v="1899-12-30T02:00:00"/>
    <n v="16"/>
    <n v="0"/>
  </r>
  <r>
    <d v="2024-01-13T02:00:00"/>
    <x v="1"/>
    <x v="5"/>
    <n v="1011"/>
    <x v="1"/>
    <n v="20"/>
    <n v="3800"/>
    <n v="76000"/>
    <x v="301"/>
    <n v="96"/>
    <x v="334"/>
    <x v="12"/>
    <d v="2024-01-13T00:00:00"/>
    <d v="1899-12-30T02:00:00"/>
    <n v="8"/>
    <n v="0"/>
  </r>
  <r>
    <d v="2024-01-13T02:00:00"/>
    <x v="1"/>
    <x v="7"/>
    <n v="1011"/>
    <x v="1"/>
    <n v="15"/>
    <n v="4000"/>
    <n v="60000"/>
    <x v="277"/>
    <n v="60"/>
    <x v="253"/>
    <x v="12"/>
    <d v="2024-01-13T00:00:00"/>
    <d v="1899-12-30T02:00:00"/>
    <n v="12"/>
    <n v="0"/>
  </r>
  <r>
    <d v="2024-01-13T02:00:00"/>
    <x v="1"/>
    <x v="2"/>
    <n v="1009"/>
    <x v="1"/>
    <n v="23"/>
    <n v="3750"/>
    <n v="86250"/>
    <x v="297"/>
    <n v="96"/>
    <x v="300"/>
    <x v="12"/>
    <d v="2024-01-13T00:00:00"/>
    <d v="1899-12-30T02:00:00"/>
    <n v="9"/>
    <n v="0"/>
  </r>
  <r>
    <d v="2024-01-13T02:00:00"/>
    <x v="1"/>
    <x v="6"/>
    <n v="1011"/>
    <x v="1"/>
    <n v="40"/>
    <n v="3350"/>
    <n v="134000"/>
    <x v="284"/>
    <n v="96"/>
    <x v="324"/>
    <x v="12"/>
    <d v="2024-01-13T00:00:00"/>
    <d v="1899-12-30T02:00:00"/>
    <n v="15"/>
    <n v="0"/>
  </r>
  <r>
    <d v="2024-01-13T02:00:00"/>
    <x v="1"/>
    <x v="8"/>
    <n v="1009"/>
    <x v="1"/>
    <n v="15"/>
    <n v="3850"/>
    <n v="57750"/>
    <x v="302"/>
    <n v="96"/>
    <x v="298"/>
    <x v="12"/>
    <d v="2024-01-13T00:00:00"/>
    <d v="1899-12-30T02:00:00"/>
    <n v="7"/>
    <n v="0"/>
  </r>
  <r>
    <d v="2024-01-13T02:00:00"/>
    <x v="1"/>
    <x v="10"/>
    <n v="1011"/>
    <x v="1"/>
    <n v="30"/>
    <n v="3750"/>
    <n v="112500"/>
    <x v="300"/>
    <n v="96"/>
    <x v="286"/>
    <x v="12"/>
    <d v="2024-01-13T00:00:00"/>
    <d v="1899-12-30T02:00:00"/>
    <n v="16"/>
    <n v="0"/>
  </r>
  <r>
    <d v="2024-01-13T05:00:00"/>
    <x v="1"/>
    <x v="10"/>
    <n v="1004"/>
    <x v="2"/>
    <n v="10"/>
    <n v="6650"/>
    <n v="66500"/>
    <x v="267"/>
    <n v="96"/>
    <x v="295"/>
    <x v="12"/>
    <d v="2024-01-13T00:00:00"/>
    <d v="1899-12-30T05:00:00"/>
    <n v="16"/>
    <n v="0"/>
  </r>
  <r>
    <d v="2024-01-13T05:00:00"/>
    <x v="1"/>
    <x v="5"/>
    <n v="1004"/>
    <x v="2"/>
    <n v="11"/>
    <n v="5800"/>
    <n v="63800"/>
    <x v="303"/>
    <n v="96"/>
    <x v="333"/>
    <x v="12"/>
    <d v="2024-01-13T00:00:00"/>
    <d v="1899-12-30T05:00:00"/>
    <n v="8"/>
    <n v="0"/>
  </r>
  <r>
    <d v="2024-01-13T05:00:00"/>
    <x v="1"/>
    <x v="6"/>
    <n v="1004"/>
    <x v="2"/>
    <n v="5"/>
    <n v="6000"/>
    <n v="30000"/>
    <x v="283"/>
    <n v="68"/>
    <x v="265"/>
    <x v="12"/>
    <d v="2024-01-13T00:00:00"/>
    <d v="1899-12-30T05:00:00"/>
    <n v="15"/>
    <n v="0"/>
  </r>
  <r>
    <d v="2024-01-13T05:00:00"/>
    <x v="1"/>
    <x v="1"/>
    <n v="1004"/>
    <x v="2"/>
    <n v="4"/>
    <n v="6300"/>
    <n v="25200"/>
    <x v="304"/>
    <n v="96"/>
    <x v="282"/>
    <x v="12"/>
    <d v="2024-01-13T00:00:00"/>
    <d v="1899-12-30T05:00:00"/>
    <n v="13"/>
    <n v="0"/>
  </r>
  <r>
    <d v="2024-01-13T05:00:00"/>
    <x v="1"/>
    <x v="8"/>
    <n v="1004"/>
    <x v="2"/>
    <n v="7"/>
    <n v="6850"/>
    <n v="47950"/>
    <x v="305"/>
    <n v="96"/>
    <x v="335"/>
    <x v="12"/>
    <d v="2024-01-13T00:00:00"/>
    <d v="1899-12-30T05:00:00"/>
    <n v="7"/>
    <n v="0"/>
  </r>
  <r>
    <d v="2024-01-13T05:00:00"/>
    <x v="1"/>
    <x v="2"/>
    <n v="1004"/>
    <x v="2"/>
    <n v="5"/>
    <n v="6650"/>
    <n v="33250"/>
    <x v="306"/>
    <n v="96"/>
    <x v="293"/>
    <x v="12"/>
    <d v="2024-01-13T00:00:00"/>
    <d v="1899-12-30T05:00:00"/>
    <n v="9"/>
    <n v="0"/>
  </r>
  <r>
    <d v="2024-01-13T05:00:00"/>
    <x v="1"/>
    <x v="9"/>
    <n v="1004"/>
    <x v="2"/>
    <n v="3"/>
    <n v="6650"/>
    <n v="19950"/>
    <x v="288"/>
    <n v="96"/>
    <x v="328"/>
    <x v="12"/>
    <d v="2024-01-13T00:00:00"/>
    <d v="1899-12-30T05:00:00"/>
    <n v="14"/>
    <n v="0"/>
  </r>
  <r>
    <d v="2024-01-13T07:00:00"/>
    <x v="0"/>
    <x v="15"/>
    <n v="14"/>
    <x v="3"/>
    <n v="300"/>
    <n v="1400"/>
    <n v="420000"/>
    <x v="281"/>
    <n v="24"/>
    <x v="236"/>
    <x v="12"/>
    <d v="2024-01-13T00:00:00"/>
    <d v="1899-12-30T07:00:00"/>
    <n v="1"/>
    <n v="0"/>
  </r>
  <r>
    <d v="2024-01-13T08:00:00"/>
    <x v="0"/>
    <x v="7"/>
    <n v="3"/>
    <x v="5"/>
    <n v="116"/>
    <n v="7"/>
    <n v="812"/>
    <x v="267"/>
    <n v="72"/>
    <x v="295"/>
    <x v="12"/>
    <d v="2024-01-13T00:00:00"/>
    <d v="1899-12-30T08:00:00"/>
    <n v="12"/>
    <n v="0"/>
  </r>
  <r>
    <d v="2024-01-13T08:00:00"/>
    <x v="0"/>
    <x v="13"/>
    <n v="15"/>
    <x v="0"/>
    <n v="1970"/>
    <n v="130"/>
    <n v="256100"/>
    <x v="299"/>
    <n v="72"/>
    <x v="181"/>
    <x v="12"/>
    <d v="2024-01-13T00:00:00"/>
    <d v="1899-12-30T08:00:00"/>
    <n v="2"/>
    <n v="0"/>
  </r>
  <r>
    <d v="2024-01-13T08:00:00"/>
    <x v="0"/>
    <x v="3"/>
    <n v="4"/>
    <x v="5"/>
    <n v="128"/>
    <n v="20"/>
    <n v="2560"/>
    <x v="284"/>
    <n v="72"/>
    <x v="324"/>
    <x v="12"/>
    <d v="2024-01-13T00:00:00"/>
    <d v="1899-12-30T08:00:00"/>
    <n v="11"/>
    <n v="0"/>
  </r>
  <r>
    <d v="2024-01-13T09:00:00"/>
    <x v="0"/>
    <x v="15"/>
    <n v="13"/>
    <x v="0"/>
    <n v="1000"/>
    <n v="130"/>
    <n v="130000"/>
    <x v="279"/>
    <n v="72"/>
    <x v="326"/>
    <x v="12"/>
    <d v="2024-01-13T00:00:00"/>
    <d v="1899-12-30T09:00:00"/>
    <n v="1"/>
    <n v="0"/>
  </r>
  <r>
    <d v="2024-01-13T10:00:00"/>
    <x v="2"/>
    <x v="9"/>
    <n v="2009"/>
    <x v="2"/>
    <n v="30"/>
    <n v="6650"/>
    <n v="199500"/>
    <x v="296"/>
    <n v="132"/>
    <x v="336"/>
    <x v="12"/>
    <d v="2024-01-13T00:00:00"/>
    <d v="1899-12-30T10:00:00"/>
    <n v="14"/>
    <n v="0"/>
  </r>
  <r>
    <d v="2024-01-13T10:00:00"/>
    <x v="2"/>
    <x v="8"/>
    <n v="2009"/>
    <x v="2"/>
    <n v="30"/>
    <n v="6850"/>
    <n v="205500"/>
    <x v="307"/>
    <n v="132"/>
    <x v="337"/>
    <x v="12"/>
    <d v="2024-01-13T00:00:00"/>
    <d v="1899-12-30T10:00:00"/>
    <n v="7"/>
    <n v="0"/>
  </r>
  <r>
    <d v="2024-01-13T10:00:00"/>
    <x v="2"/>
    <x v="8"/>
    <n v="2009"/>
    <x v="1"/>
    <n v="30"/>
    <n v="3800"/>
    <n v="114000"/>
    <x v="308"/>
    <n v="132"/>
    <x v="338"/>
    <x v="12"/>
    <d v="2024-01-13T00:00:00"/>
    <d v="1899-12-30T10:00:00"/>
    <n v="7"/>
    <n v="0"/>
  </r>
  <r>
    <d v="2024-01-13T10:00:00"/>
    <x v="2"/>
    <x v="6"/>
    <n v="2009"/>
    <x v="1"/>
    <n v="30"/>
    <n v="4150"/>
    <n v="124500"/>
    <x v="288"/>
    <n v="53"/>
    <x v="251"/>
    <x v="12"/>
    <d v="2024-01-13T00:00:00"/>
    <d v="1899-12-30T10:00:00"/>
    <n v="15"/>
    <n v="0"/>
  </r>
  <r>
    <d v="2024-01-13T10:00:00"/>
    <x v="2"/>
    <x v="10"/>
    <n v="2009"/>
    <x v="1"/>
    <n v="30"/>
    <n v="3750"/>
    <n v="112500"/>
    <x v="296"/>
    <n v="132"/>
    <x v="336"/>
    <x v="12"/>
    <d v="2024-01-13T00:00:00"/>
    <d v="1899-12-30T10:00:00"/>
    <n v="16"/>
    <n v="0"/>
  </r>
  <r>
    <d v="2024-01-13T10:00:00"/>
    <x v="2"/>
    <x v="3"/>
    <n v="2009"/>
    <x v="1"/>
    <n v="40"/>
    <n v="4200"/>
    <n v="168000"/>
    <x v="279"/>
    <n v="120"/>
    <x v="317"/>
    <x v="12"/>
    <d v="2024-01-13T00:00:00"/>
    <d v="1899-12-30T10:00:00"/>
    <n v="11"/>
    <n v="0"/>
  </r>
  <r>
    <d v="2024-01-13T10:00:00"/>
    <x v="2"/>
    <x v="7"/>
    <n v="2009"/>
    <x v="1"/>
    <n v="30"/>
    <n v="3800"/>
    <n v="114000"/>
    <x v="279"/>
    <n v="120"/>
    <x v="317"/>
    <x v="12"/>
    <d v="2024-01-13T00:00:00"/>
    <d v="1899-12-30T10:00:00"/>
    <n v="12"/>
    <n v="0"/>
  </r>
  <r>
    <d v="2024-01-13T10:00:00"/>
    <x v="0"/>
    <x v="0"/>
    <n v="8"/>
    <x v="0"/>
    <n v="3000"/>
    <n v="105"/>
    <n v="315000"/>
    <x v="251"/>
    <n v="72"/>
    <x v="179"/>
    <x v="12"/>
    <d v="2024-01-13T00:00:00"/>
    <d v="1899-12-30T10:00:00"/>
    <n v="4"/>
    <n v="0"/>
  </r>
  <r>
    <d v="2024-01-13T10:00:00"/>
    <x v="2"/>
    <x v="10"/>
    <n v="2009"/>
    <x v="2"/>
    <n v="30"/>
    <n v="6650"/>
    <n v="199500"/>
    <x v="309"/>
    <n v="132"/>
    <x v="339"/>
    <x v="12"/>
    <d v="2024-01-13T00:00:00"/>
    <d v="1899-12-30T10:00:00"/>
    <n v="16"/>
    <n v="0"/>
  </r>
  <r>
    <d v="2024-01-13T10:00:00"/>
    <x v="2"/>
    <x v="6"/>
    <n v="2009"/>
    <x v="2"/>
    <n v="40"/>
    <n v="6000"/>
    <n v="240000"/>
    <x v="288"/>
    <n v="54"/>
    <x v="251"/>
    <x v="12"/>
    <d v="2024-01-13T00:00:00"/>
    <d v="1899-12-30T10:00:00"/>
    <n v="15"/>
    <n v="0"/>
  </r>
  <r>
    <d v="2024-01-13T10:00:00"/>
    <x v="2"/>
    <x v="4"/>
    <n v="2009"/>
    <x v="1"/>
    <n v="50"/>
    <n v="4100"/>
    <n v="205000"/>
    <x v="284"/>
    <n v="78"/>
    <x v="324"/>
    <x v="12"/>
    <d v="2024-01-13T00:00:00"/>
    <d v="1899-12-30T10:00:00"/>
    <n v="10"/>
    <n v="0"/>
  </r>
  <r>
    <d v="2024-01-13T10:00:00"/>
    <x v="2"/>
    <x v="3"/>
    <n v="2009"/>
    <x v="2"/>
    <n v="30"/>
    <n v="6550"/>
    <n v="196500"/>
    <x v="296"/>
    <n v="132"/>
    <x v="336"/>
    <x v="12"/>
    <d v="2024-01-13T00:00:00"/>
    <d v="1899-12-30T10:00:00"/>
    <n v="11"/>
    <n v="0"/>
  </r>
  <r>
    <d v="2024-01-13T10:00:00"/>
    <x v="2"/>
    <x v="7"/>
    <n v="2009"/>
    <x v="2"/>
    <n v="30"/>
    <n v="6750"/>
    <n v="202500"/>
    <x v="284"/>
    <n v="120"/>
    <x v="340"/>
    <x v="12"/>
    <d v="2024-01-13T00:00:00"/>
    <d v="1899-12-30T10:00:00"/>
    <n v="12"/>
    <n v="0"/>
  </r>
  <r>
    <d v="2024-01-13T10:00:00"/>
    <x v="0"/>
    <x v="13"/>
    <n v="15"/>
    <x v="3"/>
    <n v="234"/>
    <n v="1800"/>
    <n v="421200"/>
    <x v="293"/>
    <n v="48"/>
    <x v="303"/>
    <x v="12"/>
    <d v="2024-01-13T00:00:00"/>
    <d v="1899-12-30T10:00:00"/>
    <n v="2"/>
    <n v="0"/>
  </r>
  <r>
    <d v="2024-01-13T10:00:00"/>
    <x v="2"/>
    <x v="9"/>
    <n v="2009"/>
    <x v="1"/>
    <n v="30"/>
    <n v="3750"/>
    <n v="112500"/>
    <x v="310"/>
    <n v="132"/>
    <x v="337"/>
    <x v="12"/>
    <d v="2024-01-13T00:00:00"/>
    <d v="1899-12-30T10:00:00"/>
    <n v="14"/>
    <n v="0"/>
  </r>
  <r>
    <d v="2024-01-13T10:00:00"/>
    <x v="2"/>
    <x v="1"/>
    <n v="2009"/>
    <x v="2"/>
    <n v="30"/>
    <n v="6300"/>
    <n v="189000"/>
    <x v="306"/>
    <n v="132"/>
    <x v="203"/>
    <x v="12"/>
    <d v="2024-01-13T00:00:00"/>
    <d v="1899-12-30T10:00:00"/>
    <n v="13"/>
    <n v="0"/>
  </r>
  <r>
    <d v="2024-01-13T10:00:00"/>
    <x v="2"/>
    <x v="1"/>
    <n v="2009"/>
    <x v="1"/>
    <n v="30"/>
    <n v="3500"/>
    <n v="105000"/>
    <x v="306"/>
    <n v="132"/>
    <x v="203"/>
    <x v="12"/>
    <d v="2024-01-13T00:00:00"/>
    <d v="1899-12-30T10:00:00"/>
    <n v="13"/>
    <n v="0"/>
  </r>
  <r>
    <d v="2024-01-13T10:00:00"/>
    <x v="2"/>
    <x v="2"/>
    <n v="2009"/>
    <x v="1"/>
    <n v="30"/>
    <n v="3750"/>
    <n v="112500"/>
    <x v="311"/>
    <n v="132"/>
    <x v="341"/>
    <x v="12"/>
    <d v="2024-01-13T00:00:00"/>
    <d v="1899-12-30T10:00:00"/>
    <n v="9"/>
    <n v="0"/>
  </r>
  <r>
    <d v="2024-01-13T10:00:00"/>
    <x v="2"/>
    <x v="5"/>
    <n v="2009"/>
    <x v="2"/>
    <n v="30"/>
    <n v="6200"/>
    <n v="186000"/>
    <x v="312"/>
    <n v="132"/>
    <x v="342"/>
    <x v="12"/>
    <d v="2024-01-13T00:00:00"/>
    <d v="1899-12-30T10:00:00"/>
    <n v="8"/>
    <n v="0"/>
  </r>
  <r>
    <d v="2024-01-13T10:00:00"/>
    <x v="2"/>
    <x v="5"/>
    <n v="2009"/>
    <x v="1"/>
    <n v="30"/>
    <n v="3800"/>
    <n v="114000"/>
    <x v="313"/>
    <n v="132"/>
    <x v="343"/>
    <x v="12"/>
    <d v="2024-01-13T00:00:00"/>
    <d v="1899-12-30T10:00:00"/>
    <n v="8"/>
    <n v="0"/>
  </r>
  <r>
    <d v="2024-01-13T10:00:00"/>
    <x v="2"/>
    <x v="2"/>
    <n v="2009"/>
    <x v="2"/>
    <n v="30"/>
    <n v="6650"/>
    <n v="199500"/>
    <x v="311"/>
    <n v="132"/>
    <x v="344"/>
    <x v="12"/>
    <d v="2024-01-13T00:00:00"/>
    <d v="1899-12-30T10:00:00"/>
    <n v="9"/>
    <n v="0"/>
  </r>
  <r>
    <d v="2024-01-13T11:00:00"/>
    <x v="3"/>
    <x v="8"/>
    <n v="3006"/>
    <x v="1"/>
    <n v="5"/>
    <n v="4500"/>
    <n v="22500"/>
    <x v="314"/>
    <n v="288"/>
    <x v="345"/>
    <x v="12"/>
    <d v="2024-01-13T00:00:00"/>
    <d v="1899-12-30T11:00:00"/>
    <n v="7"/>
    <n v="0"/>
  </r>
  <r>
    <d v="2024-01-13T11:00:00"/>
    <x v="0"/>
    <x v="13"/>
    <n v="15"/>
    <x v="0"/>
    <n v="700"/>
    <n v="130"/>
    <n v="91000"/>
    <x v="293"/>
    <n v="72"/>
    <x v="283"/>
    <x v="12"/>
    <d v="2024-01-13T00:00:00"/>
    <d v="1899-12-30T11:00:00"/>
    <n v="2"/>
    <n v="0"/>
  </r>
  <r>
    <d v="2024-01-13T11:00:00"/>
    <x v="3"/>
    <x v="8"/>
    <n v="3002"/>
    <x v="1"/>
    <n v="4"/>
    <n v="4500"/>
    <n v="18000"/>
    <x v="315"/>
    <n v="288"/>
    <x v="346"/>
    <x v="12"/>
    <d v="2024-01-13T00:00:00"/>
    <d v="1899-12-30T11:00:00"/>
    <n v="7"/>
    <n v="0"/>
  </r>
  <r>
    <d v="2024-01-13T12:00:00"/>
    <x v="1"/>
    <x v="4"/>
    <n v="1008"/>
    <x v="1"/>
    <n v="24"/>
    <n v="4000"/>
    <n v="96000"/>
    <x v="316"/>
    <n v="120"/>
    <x v="327"/>
    <x v="12"/>
    <d v="2024-01-13T00:00:00"/>
    <d v="1899-12-30T12:00:00"/>
    <n v="10"/>
    <n v="0"/>
  </r>
  <r>
    <d v="2024-01-13T12:00:00"/>
    <x v="1"/>
    <x v="8"/>
    <n v="1008"/>
    <x v="1"/>
    <n v="28"/>
    <n v="3800"/>
    <n v="106400"/>
    <x v="317"/>
    <n v="120"/>
    <x v="347"/>
    <x v="12"/>
    <d v="2024-01-13T00:00:00"/>
    <d v="1899-12-30T12:00:00"/>
    <n v="7"/>
    <n v="0"/>
  </r>
  <r>
    <d v="2024-01-13T12:00:00"/>
    <x v="1"/>
    <x v="6"/>
    <n v="1008"/>
    <x v="1"/>
    <n v="50"/>
    <n v="3350"/>
    <n v="167500"/>
    <x v="309"/>
    <n v="92"/>
    <x v="280"/>
    <x v="12"/>
    <d v="2024-01-13T00:00:00"/>
    <d v="1899-12-30T12:00:00"/>
    <n v="15"/>
    <n v="0"/>
  </r>
  <r>
    <d v="2024-01-13T12:00:00"/>
    <x v="1"/>
    <x v="5"/>
    <n v="1008"/>
    <x v="1"/>
    <n v="37"/>
    <n v="3700"/>
    <n v="136900"/>
    <x v="317"/>
    <n v="120"/>
    <x v="347"/>
    <x v="12"/>
    <d v="2024-01-13T00:00:00"/>
    <d v="1899-12-30T12:00:00"/>
    <n v="8"/>
    <n v="0"/>
  </r>
  <r>
    <d v="2024-01-13T12:00:00"/>
    <x v="1"/>
    <x v="3"/>
    <n v="1008"/>
    <x v="1"/>
    <n v="21"/>
    <n v="4100"/>
    <n v="86100"/>
    <x v="295"/>
    <n v="96"/>
    <x v="332"/>
    <x v="12"/>
    <d v="2024-01-13T00:00:00"/>
    <d v="1899-12-30T12:00:00"/>
    <n v="11"/>
    <n v="0"/>
  </r>
  <r>
    <d v="2024-01-13T12:00:00"/>
    <x v="1"/>
    <x v="1"/>
    <n v="1008"/>
    <x v="1"/>
    <n v="50"/>
    <n v="3500"/>
    <n v="175000"/>
    <x v="318"/>
    <n v="120"/>
    <x v="337"/>
    <x v="12"/>
    <d v="2024-01-13T00:00:00"/>
    <d v="1899-12-30T12:00:00"/>
    <n v="13"/>
    <n v="0"/>
  </r>
  <r>
    <d v="2024-01-13T12:00:00"/>
    <x v="1"/>
    <x v="10"/>
    <n v="1008"/>
    <x v="1"/>
    <n v="50"/>
    <n v="3650"/>
    <n v="182500"/>
    <x v="303"/>
    <n v="120"/>
    <x v="348"/>
    <x v="12"/>
    <d v="2024-01-13T00:00:00"/>
    <d v="1899-12-30T12:00:00"/>
    <n v="16"/>
    <n v="0"/>
  </r>
  <r>
    <d v="2024-01-13T12:00:00"/>
    <x v="1"/>
    <x v="9"/>
    <n v="1008"/>
    <x v="1"/>
    <n v="48"/>
    <n v="3650"/>
    <n v="175200"/>
    <x v="319"/>
    <n v="120"/>
    <x v="335"/>
    <x v="12"/>
    <d v="2024-01-13T00:00:00"/>
    <d v="1899-12-30T12:00:00"/>
    <n v="14"/>
    <n v="0"/>
  </r>
  <r>
    <d v="2024-01-13T12:00:00"/>
    <x v="1"/>
    <x v="7"/>
    <n v="1008"/>
    <x v="1"/>
    <n v="32"/>
    <n v="3700"/>
    <n v="118400"/>
    <x v="320"/>
    <n v="120"/>
    <x v="320"/>
    <x v="12"/>
    <d v="2024-01-13T00:00:00"/>
    <d v="1899-12-30T12:00:00"/>
    <n v="12"/>
    <n v="0"/>
  </r>
  <r>
    <d v="2024-01-13T12:00:00"/>
    <x v="1"/>
    <x v="2"/>
    <n v="1008"/>
    <x v="1"/>
    <n v="42"/>
    <n v="3650"/>
    <n v="153300"/>
    <x v="321"/>
    <n v="120"/>
    <x v="347"/>
    <x v="12"/>
    <d v="2024-01-13T00:00:00"/>
    <d v="1899-12-30T12:00:00"/>
    <n v="9"/>
    <n v="0"/>
  </r>
  <r>
    <d v="2024-01-13T13:00:00"/>
    <x v="1"/>
    <x v="10"/>
    <n v="1005"/>
    <x v="1"/>
    <n v="30"/>
    <n v="3750"/>
    <n v="112500"/>
    <x v="310"/>
    <n v="96"/>
    <x v="334"/>
    <x v="12"/>
    <d v="2024-01-13T00:00:00"/>
    <d v="1899-12-30T13:00:00"/>
    <n v="16"/>
    <n v="0"/>
  </r>
  <r>
    <d v="2024-01-13T13:00:00"/>
    <x v="1"/>
    <x v="2"/>
    <n v="1005"/>
    <x v="1"/>
    <n v="15"/>
    <n v="3900"/>
    <n v="58500"/>
    <x v="288"/>
    <n v="72"/>
    <x v="328"/>
    <x v="12"/>
    <d v="2024-01-13T00:00:00"/>
    <d v="1899-12-30T13:00:00"/>
    <n v="9"/>
    <n v="0"/>
  </r>
  <r>
    <d v="2024-01-13T13:00:00"/>
    <x v="1"/>
    <x v="9"/>
    <n v="1005"/>
    <x v="1"/>
    <n v="30"/>
    <n v="3750"/>
    <n v="112500"/>
    <x v="322"/>
    <n v="96"/>
    <x v="294"/>
    <x v="12"/>
    <d v="2024-01-13T00:00:00"/>
    <d v="1899-12-30T13:00:00"/>
    <n v="14"/>
    <n v="0"/>
  </r>
  <r>
    <d v="2024-01-13T13:00:00"/>
    <x v="1"/>
    <x v="4"/>
    <n v="1005"/>
    <x v="1"/>
    <n v="30"/>
    <n v="4100"/>
    <n v="123000"/>
    <x v="323"/>
    <n v="96"/>
    <x v="308"/>
    <x v="12"/>
    <d v="2024-01-13T00:00:00"/>
    <d v="1899-12-30T13:00:00"/>
    <n v="10"/>
    <n v="0"/>
  </r>
  <r>
    <d v="2024-01-13T13:00:00"/>
    <x v="1"/>
    <x v="1"/>
    <n v="1005"/>
    <x v="1"/>
    <n v="30"/>
    <n v="3600"/>
    <n v="108000"/>
    <x v="324"/>
    <n v="96"/>
    <x v="281"/>
    <x v="12"/>
    <d v="2024-01-13T00:00:00"/>
    <d v="1899-12-30T13:00:00"/>
    <n v="13"/>
    <n v="0"/>
  </r>
  <r>
    <d v="2024-01-13T13:00:00"/>
    <x v="1"/>
    <x v="7"/>
    <n v="1005"/>
    <x v="1"/>
    <n v="15"/>
    <n v="4000"/>
    <n v="60000"/>
    <x v="320"/>
    <n v="60"/>
    <x v="303"/>
    <x v="12"/>
    <d v="2024-01-13T00:00:00"/>
    <d v="1899-12-30T13:00:00"/>
    <n v="12"/>
    <n v="0"/>
  </r>
  <r>
    <d v="2024-01-13T13:00:00"/>
    <x v="1"/>
    <x v="8"/>
    <n v="1005"/>
    <x v="1"/>
    <n v="30"/>
    <n v="3850"/>
    <n v="115500"/>
    <x v="325"/>
    <n v="96"/>
    <x v="333"/>
    <x v="12"/>
    <d v="2024-01-13T00:00:00"/>
    <d v="1899-12-30T13:00:00"/>
    <n v="7"/>
    <n v="0"/>
  </r>
  <r>
    <d v="2024-01-13T13:00:00"/>
    <x v="1"/>
    <x v="5"/>
    <n v="1005"/>
    <x v="1"/>
    <n v="30"/>
    <n v="3800"/>
    <n v="114000"/>
    <x v="317"/>
    <n v="96"/>
    <x v="297"/>
    <x v="12"/>
    <d v="2024-01-13T00:00:00"/>
    <d v="1899-12-30T13:00:00"/>
    <n v="8"/>
    <n v="0"/>
  </r>
  <r>
    <d v="2024-01-13T13:00:00"/>
    <x v="1"/>
    <x v="3"/>
    <n v="1005"/>
    <x v="1"/>
    <n v="33"/>
    <n v="4100"/>
    <n v="135300"/>
    <x v="296"/>
    <n v="96"/>
    <x v="333"/>
    <x v="12"/>
    <d v="2024-01-13T00:00:00"/>
    <d v="1899-12-30T13:00:00"/>
    <n v="11"/>
    <n v="0"/>
  </r>
  <r>
    <d v="2024-01-13T13:00:00"/>
    <x v="1"/>
    <x v="6"/>
    <n v="1005"/>
    <x v="1"/>
    <n v="50"/>
    <n v="3350"/>
    <n v="167500"/>
    <x v="309"/>
    <n v="92"/>
    <x v="280"/>
    <x v="12"/>
    <d v="2024-01-13T00:00:00"/>
    <d v="1899-12-30T13:00:00"/>
    <n v="15"/>
    <n v="0"/>
  </r>
  <r>
    <d v="2024-01-13T17:00:00"/>
    <x v="0"/>
    <x v="11"/>
    <n v="15"/>
    <x v="3"/>
    <n v="317"/>
    <n v="1200"/>
    <n v="380400"/>
    <x v="310"/>
    <n v="72"/>
    <x v="334"/>
    <x v="12"/>
    <d v="2024-01-13T00:00:00"/>
    <d v="1899-12-30T17:00:00"/>
    <n v="6"/>
    <n v="0"/>
  </r>
  <r>
    <d v="2024-01-13T17:00:00"/>
    <x v="0"/>
    <x v="11"/>
    <n v="15"/>
    <x v="3"/>
    <n v="317"/>
    <n v="1200"/>
    <n v="380400"/>
    <x v="310"/>
    <n v="72"/>
    <x v="334"/>
    <x v="12"/>
    <d v="2024-01-13T00:00:00"/>
    <d v="1899-12-30T17:00:00"/>
    <n v="6"/>
    <n v="0"/>
  </r>
  <r>
    <d v="2024-01-13T17:00:00"/>
    <x v="0"/>
    <x v="11"/>
    <n v="15"/>
    <x v="3"/>
    <n v="317"/>
    <n v="1200"/>
    <n v="380400"/>
    <x v="310"/>
    <n v="72"/>
    <x v="334"/>
    <x v="12"/>
    <d v="2024-01-13T00:00:00"/>
    <d v="1899-12-30T17:00:00"/>
    <n v="6"/>
    <n v="0"/>
  </r>
  <r>
    <d v="2024-01-13T18:00:00"/>
    <x v="0"/>
    <x v="0"/>
    <n v="11"/>
    <x v="3"/>
    <n v="200"/>
    <n v="1330"/>
    <n v="266000"/>
    <x v="296"/>
    <n v="24"/>
    <x v="257"/>
    <x v="12"/>
    <d v="2024-01-13T00:00:00"/>
    <d v="1899-12-30T18:00:00"/>
    <n v="4"/>
    <n v="0"/>
  </r>
  <r>
    <d v="2024-01-13T19:00:00"/>
    <x v="0"/>
    <x v="11"/>
    <n v="14"/>
    <x v="0"/>
    <n v="4500"/>
    <n v="100"/>
    <n v="450000"/>
    <x v="296"/>
    <n v="72"/>
    <x v="333"/>
    <x v="12"/>
    <d v="2024-01-13T00:00:00"/>
    <d v="1899-12-30T19:00:00"/>
    <n v="6"/>
    <n v="0"/>
  </r>
  <r>
    <d v="2024-01-13T21:00:00"/>
    <x v="1"/>
    <x v="5"/>
    <n v="1005"/>
    <x v="2"/>
    <n v="14"/>
    <n v="5800"/>
    <n v="81200"/>
    <x v="326"/>
    <n v="96"/>
    <x v="323"/>
    <x v="12"/>
    <d v="2024-01-13T00:00:00"/>
    <d v="1899-12-30T21:00:00"/>
    <n v="8"/>
    <n v="0"/>
  </r>
  <r>
    <d v="2024-01-13T21:00:00"/>
    <x v="1"/>
    <x v="1"/>
    <n v="1005"/>
    <x v="2"/>
    <n v="8"/>
    <n v="6300"/>
    <n v="50400"/>
    <x v="320"/>
    <n v="96"/>
    <x v="320"/>
    <x v="12"/>
    <d v="2024-01-13T00:00:00"/>
    <d v="1899-12-30T21:00:00"/>
    <n v="13"/>
    <n v="0"/>
  </r>
  <r>
    <d v="2024-01-13T21:00:00"/>
    <x v="1"/>
    <x v="10"/>
    <n v="1005"/>
    <x v="2"/>
    <n v="9"/>
    <n v="6650"/>
    <n v="59850"/>
    <x v="324"/>
    <n v="96"/>
    <x v="281"/>
    <x v="12"/>
    <d v="2024-01-13T00:00:00"/>
    <d v="1899-12-30T21:00:00"/>
    <n v="16"/>
    <n v="0"/>
  </r>
  <r>
    <d v="2024-01-13T21:00:00"/>
    <x v="1"/>
    <x v="8"/>
    <n v="1005"/>
    <x v="2"/>
    <n v="6"/>
    <n v="6850"/>
    <n v="41100"/>
    <x v="327"/>
    <n v="96"/>
    <x v="311"/>
    <x v="12"/>
    <d v="2024-01-13T00:00:00"/>
    <d v="1899-12-30T21:00:00"/>
    <n v="7"/>
    <n v="0"/>
  </r>
  <r>
    <d v="2024-01-13T21:00:00"/>
    <x v="1"/>
    <x v="7"/>
    <n v="1005"/>
    <x v="2"/>
    <n v="11"/>
    <n v="6900"/>
    <n v="75900"/>
    <x v="304"/>
    <n v="84"/>
    <x v="282"/>
    <x v="12"/>
    <d v="2024-01-13T00:00:00"/>
    <d v="1899-12-30T21:00:00"/>
    <n v="12"/>
    <n v="0"/>
  </r>
  <r>
    <d v="2024-01-13T21:00:00"/>
    <x v="1"/>
    <x v="6"/>
    <n v="1005"/>
    <x v="2"/>
    <n v="17"/>
    <n v="6000"/>
    <n v="102000"/>
    <x v="306"/>
    <n v="68"/>
    <x v="316"/>
    <x v="12"/>
    <d v="2024-01-13T00:00:00"/>
    <d v="1899-12-30T21:00:00"/>
    <n v="15"/>
    <n v="0"/>
  </r>
  <r>
    <d v="2024-01-13T21:00:00"/>
    <x v="1"/>
    <x v="9"/>
    <n v="1005"/>
    <x v="2"/>
    <n v="5"/>
    <n v="6650"/>
    <n v="33250"/>
    <x v="311"/>
    <n v="96"/>
    <x v="310"/>
    <x v="12"/>
    <d v="2024-01-13T00:00:00"/>
    <d v="1899-12-30T21:00:00"/>
    <n v="14"/>
    <n v="0"/>
  </r>
  <r>
    <d v="2024-01-14T01:00:00"/>
    <x v="0"/>
    <x v="15"/>
    <n v="10"/>
    <x v="3"/>
    <n v="300"/>
    <n v="1500"/>
    <n v="450000"/>
    <x v="306"/>
    <n v="24"/>
    <x v="252"/>
    <x v="13"/>
    <d v="2024-01-14T00:00:00"/>
    <d v="1899-12-30T01:00:00"/>
    <n v="1"/>
    <n v="0"/>
  </r>
  <r>
    <d v="2024-01-14T03:00:00"/>
    <x v="0"/>
    <x v="0"/>
    <n v="9"/>
    <x v="0"/>
    <n v="1000"/>
    <n v="110"/>
    <n v="110000"/>
    <x v="323"/>
    <n v="48"/>
    <x v="318"/>
    <x v="13"/>
    <d v="2024-01-14T00:00:00"/>
    <d v="1899-12-30T03:00:00"/>
    <n v="4"/>
    <n v="0"/>
  </r>
  <r>
    <d v="2024-01-14T03:00:00"/>
    <x v="1"/>
    <x v="6"/>
    <n v="1008"/>
    <x v="2"/>
    <n v="20"/>
    <n v="6000"/>
    <n v="120000"/>
    <x v="322"/>
    <n v="68"/>
    <x v="284"/>
    <x v="13"/>
    <d v="2024-01-14T00:00:00"/>
    <d v="1899-12-30T03:00:00"/>
    <n v="15"/>
    <n v="0"/>
  </r>
  <r>
    <d v="2024-01-14T03:00:00"/>
    <x v="0"/>
    <x v="14"/>
    <n v="12"/>
    <x v="3"/>
    <n v="500"/>
    <n v="1200"/>
    <n v="600000"/>
    <x v="328"/>
    <n v="72"/>
    <x v="296"/>
    <x v="13"/>
    <d v="2024-01-14T00:00:00"/>
    <d v="1899-12-30T03:00:00"/>
    <n v="3"/>
    <n v="0"/>
  </r>
  <r>
    <d v="2024-01-14T04:00:00"/>
    <x v="1"/>
    <x v="5"/>
    <n v="1002"/>
    <x v="1"/>
    <n v="19"/>
    <n v="3800"/>
    <n v="72200"/>
    <x v="329"/>
    <n v="96"/>
    <x v="321"/>
    <x v="13"/>
    <d v="2024-01-14T00:00:00"/>
    <d v="1899-12-30T04:00:00"/>
    <n v="8"/>
    <n v="0"/>
  </r>
  <r>
    <d v="2024-01-14T04:00:00"/>
    <x v="1"/>
    <x v="8"/>
    <n v="1002"/>
    <x v="1"/>
    <n v="22"/>
    <n v="3850"/>
    <n v="84700"/>
    <x v="307"/>
    <n v="96"/>
    <x v="335"/>
    <x v="13"/>
    <d v="2024-01-14T00:00:00"/>
    <d v="1899-12-30T04:00:00"/>
    <n v="7"/>
    <n v="0"/>
  </r>
  <r>
    <d v="2024-01-14T04:00:00"/>
    <x v="1"/>
    <x v="2"/>
    <n v="1002"/>
    <x v="1"/>
    <n v="15"/>
    <n v="3900"/>
    <n v="58500"/>
    <x v="311"/>
    <n v="74"/>
    <x v="310"/>
    <x v="13"/>
    <d v="2024-01-14T00:00:00"/>
    <d v="1899-12-30T04:00:00"/>
    <n v="9"/>
    <n v="0"/>
  </r>
  <r>
    <d v="2024-01-14T04:00:00"/>
    <x v="1"/>
    <x v="10"/>
    <n v="1002"/>
    <x v="1"/>
    <n v="28"/>
    <n v="3750"/>
    <n v="105000"/>
    <x v="320"/>
    <n v="96"/>
    <x v="320"/>
    <x v="13"/>
    <d v="2024-01-14T00:00:00"/>
    <d v="1899-12-30T04:00:00"/>
    <n v="16"/>
    <n v="0"/>
  </r>
  <r>
    <d v="2024-01-14T04:00:00"/>
    <x v="1"/>
    <x v="6"/>
    <n v="1002"/>
    <x v="1"/>
    <n v="30"/>
    <n v="3450"/>
    <n v="103500"/>
    <x v="322"/>
    <n v="92"/>
    <x v="294"/>
    <x v="13"/>
    <d v="2024-01-14T00:00:00"/>
    <d v="1899-12-30T04:00:00"/>
    <n v="15"/>
    <n v="0"/>
  </r>
  <r>
    <d v="2024-01-14T04:00:00"/>
    <x v="1"/>
    <x v="4"/>
    <n v="1002"/>
    <x v="1"/>
    <n v="30"/>
    <n v="4100"/>
    <n v="123000"/>
    <x v="330"/>
    <n v="84"/>
    <x v="321"/>
    <x v="13"/>
    <d v="2024-01-14T00:00:00"/>
    <d v="1899-12-30T04:00:00"/>
    <n v="10"/>
    <n v="0"/>
  </r>
  <r>
    <d v="2024-01-14T04:00:00"/>
    <x v="1"/>
    <x v="3"/>
    <n v="1002"/>
    <x v="1"/>
    <n v="16"/>
    <n v="4150"/>
    <n v="66400"/>
    <x v="285"/>
    <n v="96"/>
    <x v="348"/>
    <x v="13"/>
    <d v="2024-01-14T00:00:00"/>
    <d v="1899-12-30T04:00:00"/>
    <n v="11"/>
    <n v="0"/>
  </r>
  <r>
    <d v="2024-01-14T04:00:00"/>
    <x v="1"/>
    <x v="7"/>
    <n v="1002"/>
    <x v="1"/>
    <n v="15"/>
    <n v="4000"/>
    <n v="60000"/>
    <x v="331"/>
    <n v="60"/>
    <x v="298"/>
    <x v="13"/>
    <d v="2024-01-14T00:00:00"/>
    <d v="1899-12-30T04:00:00"/>
    <n v="12"/>
    <n v="0"/>
  </r>
  <r>
    <d v="2024-01-14T04:00:00"/>
    <x v="1"/>
    <x v="9"/>
    <n v="1002"/>
    <x v="1"/>
    <n v="25"/>
    <n v="3750"/>
    <n v="93750"/>
    <x v="331"/>
    <n v="96"/>
    <x v="180"/>
    <x v="13"/>
    <d v="2024-01-14T00:00:00"/>
    <d v="1899-12-30T04:00:00"/>
    <n v="14"/>
    <n v="0"/>
  </r>
  <r>
    <d v="2024-01-14T04:00:00"/>
    <x v="1"/>
    <x v="1"/>
    <n v="1002"/>
    <x v="1"/>
    <n v="30"/>
    <n v="3400"/>
    <n v="102000"/>
    <x v="303"/>
    <n v="96"/>
    <x v="348"/>
    <x v="13"/>
    <d v="2024-01-14T00:00:00"/>
    <d v="1899-12-30T04:00:00"/>
    <n v="13"/>
    <n v="0"/>
  </r>
  <r>
    <d v="2024-01-14T05:00:00"/>
    <x v="1"/>
    <x v="3"/>
    <n v="1006"/>
    <x v="1"/>
    <n v="29"/>
    <n v="4100"/>
    <n v="118900"/>
    <x v="319"/>
    <n v="96"/>
    <x v="317"/>
    <x v="13"/>
    <d v="2024-01-14T00:00:00"/>
    <d v="1899-12-30T05:00:00"/>
    <n v="11"/>
    <n v="0"/>
  </r>
  <r>
    <d v="2024-01-14T05:00:00"/>
    <x v="1"/>
    <x v="6"/>
    <n v="1006"/>
    <x v="1"/>
    <n v="50"/>
    <n v="3350"/>
    <n v="167500"/>
    <x v="323"/>
    <n v="92"/>
    <x v="308"/>
    <x v="13"/>
    <d v="2024-01-14T00:00:00"/>
    <d v="1899-12-30T05:00:00"/>
    <n v="15"/>
    <n v="0"/>
  </r>
  <r>
    <d v="2024-01-14T05:00:00"/>
    <x v="1"/>
    <x v="2"/>
    <n v="1006"/>
    <x v="1"/>
    <n v="15"/>
    <n v="3850"/>
    <n v="57750"/>
    <x v="311"/>
    <n v="74"/>
    <x v="310"/>
    <x v="13"/>
    <d v="2024-01-14T00:00:00"/>
    <d v="1899-12-30T05:00:00"/>
    <n v="9"/>
    <n v="0"/>
  </r>
  <r>
    <d v="2024-01-14T05:00:00"/>
    <x v="1"/>
    <x v="1"/>
    <n v="1006"/>
    <x v="1"/>
    <n v="30"/>
    <n v="3400"/>
    <n v="102000"/>
    <x v="319"/>
    <n v="96"/>
    <x v="335"/>
    <x v="13"/>
    <d v="2024-01-14T00:00:00"/>
    <d v="1899-12-30T05:00:00"/>
    <n v="13"/>
    <n v="0"/>
  </r>
  <r>
    <d v="2024-01-14T05:00:00"/>
    <x v="1"/>
    <x v="8"/>
    <n v="1006"/>
    <x v="1"/>
    <n v="30"/>
    <n v="3850"/>
    <n v="115500"/>
    <x v="332"/>
    <n v="96"/>
    <x v="322"/>
    <x v="13"/>
    <d v="2024-01-14T00:00:00"/>
    <d v="1899-12-30T05:00:00"/>
    <n v="7"/>
    <n v="0"/>
  </r>
  <r>
    <d v="2024-01-14T05:00:00"/>
    <x v="1"/>
    <x v="9"/>
    <n v="1006"/>
    <x v="1"/>
    <n v="30"/>
    <n v="3750"/>
    <n v="112500"/>
    <x v="326"/>
    <n v="96"/>
    <x v="323"/>
    <x v="13"/>
    <d v="2024-01-14T00:00:00"/>
    <d v="1899-12-30T05:00:00"/>
    <n v="14"/>
    <n v="0"/>
  </r>
  <r>
    <d v="2024-01-14T05:00:00"/>
    <x v="1"/>
    <x v="7"/>
    <n v="1006"/>
    <x v="1"/>
    <n v="15"/>
    <n v="4000"/>
    <n v="60000"/>
    <x v="331"/>
    <n v="60"/>
    <x v="298"/>
    <x v="13"/>
    <d v="2024-01-14T00:00:00"/>
    <d v="1899-12-30T05:00:00"/>
    <n v="12"/>
    <n v="0"/>
  </r>
  <r>
    <d v="2024-01-14T05:00:00"/>
    <x v="0"/>
    <x v="11"/>
    <n v="9"/>
    <x v="0"/>
    <n v="232"/>
    <n v="100"/>
    <n v="23200"/>
    <x v="323"/>
    <n v="72"/>
    <x v="308"/>
    <x v="13"/>
    <d v="2024-01-14T00:00:00"/>
    <d v="1899-12-30T05:00:00"/>
    <n v="6"/>
    <n v="0"/>
  </r>
  <r>
    <d v="2024-01-14T05:00:00"/>
    <x v="0"/>
    <x v="15"/>
    <n v="13"/>
    <x v="0"/>
    <n v="3000"/>
    <n v="130"/>
    <n v="390000"/>
    <x v="324"/>
    <n v="72"/>
    <x v="281"/>
    <x v="13"/>
    <d v="2024-01-14T00:00:00"/>
    <d v="1899-12-30T05:00:00"/>
    <n v="1"/>
    <n v="0"/>
  </r>
  <r>
    <d v="2024-01-14T05:00:00"/>
    <x v="1"/>
    <x v="4"/>
    <n v="1006"/>
    <x v="1"/>
    <n v="38"/>
    <n v="4000"/>
    <n v="152000"/>
    <x v="333"/>
    <n v="84"/>
    <x v="178"/>
    <x v="13"/>
    <d v="2024-01-14T00:00:00"/>
    <d v="1899-12-30T05:00:00"/>
    <n v="10"/>
    <n v="0"/>
  </r>
  <r>
    <d v="2024-01-14T05:00:00"/>
    <x v="1"/>
    <x v="10"/>
    <n v="1006"/>
    <x v="1"/>
    <n v="30"/>
    <n v="3750"/>
    <n v="112500"/>
    <x v="320"/>
    <n v="96"/>
    <x v="320"/>
    <x v="13"/>
    <d v="2024-01-14T00:00:00"/>
    <d v="1899-12-30T05:00:00"/>
    <n v="16"/>
    <n v="0"/>
  </r>
  <r>
    <d v="2024-01-14T05:00:00"/>
    <x v="1"/>
    <x v="5"/>
    <n v="1006"/>
    <x v="1"/>
    <n v="30"/>
    <n v="3800"/>
    <n v="114000"/>
    <x v="334"/>
    <n v="96"/>
    <x v="319"/>
    <x v="13"/>
    <d v="2024-01-14T00:00:00"/>
    <d v="1899-12-30T05:00:00"/>
    <n v="8"/>
    <n v="0"/>
  </r>
  <r>
    <d v="2024-01-14T05:00:00"/>
    <x v="0"/>
    <x v="6"/>
    <n v="6"/>
    <x v="5"/>
    <n v="60"/>
    <n v="23"/>
    <n v="1380"/>
    <x v="324"/>
    <n v="72"/>
    <x v="281"/>
    <x v="13"/>
    <d v="2024-01-14T00:00:00"/>
    <d v="1899-12-30T05:00:00"/>
    <n v="15"/>
    <n v="0"/>
  </r>
  <r>
    <d v="2024-01-14T06:00:00"/>
    <x v="2"/>
    <x v="9"/>
    <n v="2010"/>
    <x v="1"/>
    <n v="40"/>
    <n v="3750"/>
    <n v="150000"/>
    <x v="326"/>
    <n v="132"/>
    <x v="349"/>
    <x v="13"/>
    <d v="2024-01-14T00:00:00"/>
    <d v="1899-12-30T06:00:00"/>
    <n v="14"/>
    <n v="0"/>
  </r>
  <r>
    <d v="2024-01-14T06:00:00"/>
    <x v="2"/>
    <x v="1"/>
    <n v="2010"/>
    <x v="2"/>
    <n v="30"/>
    <n v="6300"/>
    <n v="189000"/>
    <x v="335"/>
    <n v="132"/>
    <x v="350"/>
    <x v="13"/>
    <d v="2024-01-14T00:00:00"/>
    <d v="1899-12-30T06:00:00"/>
    <n v="13"/>
    <n v="0"/>
  </r>
  <r>
    <d v="2024-01-14T06:00:00"/>
    <x v="2"/>
    <x v="9"/>
    <n v="2010"/>
    <x v="2"/>
    <n v="30"/>
    <n v="6650"/>
    <n v="199500"/>
    <x v="320"/>
    <n v="132"/>
    <x v="351"/>
    <x v="13"/>
    <d v="2024-01-14T00:00:00"/>
    <d v="1899-12-30T06:00:00"/>
    <n v="14"/>
    <n v="0"/>
  </r>
  <r>
    <d v="2024-01-14T06:00:00"/>
    <x v="2"/>
    <x v="5"/>
    <n v="2010"/>
    <x v="2"/>
    <n v="30"/>
    <n v="6200"/>
    <n v="186000"/>
    <x v="336"/>
    <n v="132"/>
    <x v="352"/>
    <x v="13"/>
    <d v="2024-01-14T00:00:00"/>
    <d v="1899-12-30T06:00:00"/>
    <n v="8"/>
    <n v="0"/>
  </r>
  <r>
    <d v="2024-01-14T06:00:00"/>
    <x v="2"/>
    <x v="2"/>
    <n v="2010"/>
    <x v="1"/>
    <n v="30"/>
    <n v="3730"/>
    <n v="111900"/>
    <x v="319"/>
    <n v="126"/>
    <x v="353"/>
    <x v="13"/>
    <d v="2024-01-14T00:00:00"/>
    <d v="1899-12-30T06:00:00"/>
    <n v="9"/>
    <n v="0"/>
  </r>
  <r>
    <d v="2024-01-14T06:00:00"/>
    <x v="2"/>
    <x v="6"/>
    <n v="2010"/>
    <x v="1"/>
    <n v="30"/>
    <n v="4150"/>
    <n v="124500"/>
    <x v="330"/>
    <n v="53"/>
    <x v="268"/>
    <x v="13"/>
    <d v="2024-01-14T00:00:00"/>
    <d v="1899-12-30T06:00:00"/>
    <n v="15"/>
    <n v="0"/>
  </r>
  <r>
    <d v="2024-01-14T06:00:00"/>
    <x v="2"/>
    <x v="3"/>
    <n v="2010"/>
    <x v="2"/>
    <n v="30"/>
    <n v="6550"/>
    <n v="196500"/>
    <x v="312"/>
    <n v="132"/>
    <x v="342"/>
    <x v="13"/>
    <d v="2024-01-14T00:00:00"/>
    <d v="1899-12-30T06:00:00"/>
    <n v="11"/>
    <n v="0"/>
  </r>
  <r>
    <d v="2024-01-14T06:00:00"/>
    <x v="2"/>
    <x v="6"/>
    <n v="2010"/>
    <x v="2"/>
    <n v="40"/>
    <n v="6000"/>
    <n v="240000"/>
    <x v="323"/>
    <n v="52"/>
    <x v="312"/>
    <x v="13"/>
    <d v="2024-01-14T00:00:00"/>
    <d v="1899-12-30T06:00:00"/>
    <n v="15"/>
    <n v="0"/>
  </r>
  <r>
    <d v="2024-01-14T06:00:00"/>
    <x v="2"/>
    <x v="7"/>
    <n v="2010"/>
    <x v="2"/>
    <n v="30"/>
    <n v="6750"/>
    <n v="202500"/>
    <x v="311"/>
    <n v="120"/>
    <x v="344"/>
    <x v="13"/>
    <d v="2024-01-14T00:00:00"/>
    <d v="1899-12-30T06:00:00"/>
    <n v="12"/>
    <n v="0"/>
  </r>
  <r>
    <d v="2024-01-14T06:00:00"/>
    <x v="2"/>
    <x v="8"/>
    <n v="2010"/>
    <x v="1"/>
    <n v="30"/>
    <n v="3800"/>
    <n v="114000"/>
    <x v="337"/>
    <n v="132"/>
    <x v="341"/>
    <x v="13"/>
    <d v="2024-01-14T00:00:00"/>
    <d v="1899-12-30T06:00:00"/>
    <n v="7"/>
    <n v="0"/>
  </r>
  <r>
    <d v="2024-01-14T06:00:00"/>
    <x v="2"/>
    <x v="10"/>
    <n v="2010"/>
    <x v="2"/>
    <n v="30"/>
    <n v="6650"/>
    <n v="199500"/>
    <x v="331"/>
    <n v="132"/>
    <x v="354"/>
    <x v="13"/>
    <d v="2024-01-14T00:00:00"/>
    <d v="1899-12-30T06:00:00"/>
    <n v="16"/>
    <n v="0"/>
  </r>
  <r>
    <d v="2024-01-14T06:00:00"/>
    <x v="2"/>
    <x v="10"/>
    <n v="2010"/>
    <x v="1"/>
    <n v="30"/>
    <n v="3750"/>
    <n v="112500"/>
    <x v="331"/>
    <n v="132"/>
    <x v="354"/>
    <x v="13"/>
    <d v="2024-01-14T00:00:00"/>
    <d v="1899-12-30T06:00:00"/>
    <n v="16"/>
    <n v="0"/>
  </r>
  <r>
    <d v="2024-01-14T06:00:00"/>
    <x v="2"/>
    <x v="7"/>
    <n v="2010"/>
    <x v="1"/>
    <n v="30"/>
    <n v="3800"/>
    <n v="114000"/>
    <x v="338"/>
    <n v="120"/>
    <x v="355"/>
    <x v="13"/>
    <d v="2024-01-14T00:00:00"/>
    <d v="1899-12-30T06:00:00"/>
    <n v="12"/>
    <n v="0"/>
  </r>
  <r>
    <d v="2024-01-14T06:00:00"/>
    <x v="2"/>
    <x v="8"/>
    <n v="2010"/>
    <x v="2"/>
    <n v="30"/>
    <n v="6850"/>
    <n v="205500"/>
    <x v="339"/>
    <n v="132"/>
    <x v="356"/>
    <x v="13"/>
    <d v="2024-01-14T00:00:00"/>
    <d v="1899-12-30T06:00:00"/>
    <n v="7"/>
    <n v="0"/>
  </r>
  <r>
    <d v="2024-01-14T06:00:00"/>
    <x v="2"/>
    <x v="2"/>
    <n v="2010"/>
    <x v="2"/>
    <n v="30"/>
    <n v="6650"/>
    <n v="199500"/>
    <x v="340"/>
    <n v="132"/>
    <x v="357"/>
    <x v="13"/>
    <d v="2024-01-14T00:00:00"/>
    <d v="1899-12-30T06:00:00"/>
    <n v="9"/>
    <n v="0"/>
  </r>
  <r>
    <d v="2024-01-14T06:00:00"/>
    <x v="2"/>
    <x v="5"/>
    <n v="2010"/>
    <x v="1"/>
    <n v="30"/>
    <n v="3800"/>
    <n v="114000"/>
    <x v="341"/>
    <n v="132"/>
    <x v="358"/>
    <x v="13"/>
    <d v="2024-01-14T00:00:00"/>
    <d v="1899-12-30T06:00:00"/>
    <n v="8"/>
    <n v="0"/>
  </r>
  <r>
    <d v="2024-01-14T06:00:00"/>
    <x v="2"/>
    <x v="1"/>
    <n v="2010"/>
    <x v="1"/>
    <n v="30"/>
    <n v="3300"/>
    <n v="99000"/>
    <x v="335"/>
    <n v="132"/>
    <x v="350"/>
    <x v="13"/>
    <d v="2024-01-14T00:00:00"/>
    <d v="1899-12-30T06:00:00"/>
    <n v="13"/>
    <n v="0"/>
  </r>
  <r>
    <d v="2024-01-14T06:00:00"/>
    <x v="2"/>
    <x v="4"/>
    <n v="2010"/>
    <x v="1"/>
    <n v="50"/>
    <n v="4100"/>
    <n v="205000"/>
    <x v="338"/>
    <n v="78"/>
    <x v="297"/>
    <x v="13"/>
    <d v="2024-01-14T00:00:00"/>
    <d v="1899-12-30T06:00:00"/>
    <n v="10"/>
    <n v="0"/>
  </r>
  <r>
    <d v="2024-01-14T06:00:00"/>
    <x v="2"/>
    <x v="3"/>
    <n v="2010"/>
    <x v="1"/>
    <n v="40"/>
    <n v="4200"/>
    <n v="168000"/>
    <x v="311"/>
    <n v="120"/>
    <x v="344"/>
    <x v="13"/>
    <d v="2024-01-14T00:00:00"/>
    <d v="1899-12-30T06:00:00"/>
    <n v="11"/>
    <n v="0"/>
  </r>
  <r>
    <d v="2024-01-14T07:00:00"/>
    <x v="0"/>
    <x v="12"/>
    <n v="16"/>
    <x v="0"/>
    <n v="2000"/>
    <n v="120"/>
    <n v="240000"/>
    <x v="312"/>
    <n v="24"/>
    <x v="272"/>
    <x v="13"/>
    <d v="2024-01-14T00:00:00"/>
    <d v="1899-12-30T07:00:00"/>
    <n v="5"/>
    <n v="0"/>
  </r>
  <r>
    <d v="2024-01-14T07:00:00"/>
    <x v="0"/>
    <x v="1"/>
    <n v="4"/>
    <x v="5"/>
    <n v="204"/>
    <n v="5"/>
    <n v="1020"/>
    <x v="323"/>
    <n v="72"/>
    <x v="308"/>
    <x v="13"/>
    <d v="2024-01-14T00:00:00"/>
    <d v="1899-12-30T07:00:00"/>
    <n v="13"/>
    <n v="0"/>
  </r>
  <r>
    <d v="2024-01-14T07:00:00"/>
    <x v="0"/>
    <x v="5"/>
    <n v="4"/>
    <x v="5"/>
    <n v="700"/>
    <n v="25"/>
    <n v="17500"/>
    <x v="322"/>
    <n v="72"/>
    <x v="294"/>
    <x v="13"/>
    <d v="2024-01-14T00:00:00"/>
    <d v="1899-12-30T07:00:00"/>
    <n v="8"/>
    <n v="0"/>
  </r>
  <r>
    <d v="2024-01-14T08:00:00"/>
    <x v="0"/>
    <x v="14"/>
    <n v="12"/>
    <x v="0"/>
    <n v="2700"/>
    <n v="120"/>
    <n v="324000"/>
    <x v="330"/>
    <n v="72"/>
    <x v="321"/>
    <x v="13"/>
    <d v="2024-01-14T00:00:00"/>
    <d v="1899-12-30T08:00:00"/>
    <n v="3"/>
    <n v="0"/>
  </r>
  <r>
    <d v="2024-01-14T09:00:00"/>
    <x v="0"/>
    <x v="12"/>
    <n v="16"/>
    <x v="3"/>
    <n v="400"/>
    <n v="1120"/>
    <n v="448000"/>
    <x v="312"/>
    <n v="24"/>
    <x v="272"/>
    <x v="13"/>
    <d v="2024-01-14T00:00:00"/>
    <d v="1899-12-30T09:00:00"/>
    <n v="5"/>
    <n v="0"/>
  </r>
  <r>
    <d v="2024-01-14T10:00:00"/>
    <x v="0"/>
    <x v="13"/>
    <n v="15"/>
    <x v="0"/>
    <n v="2700"/>
    <n v="130"/>
    <n v="351000"/>
    <x v="312"/>
    <n v="72"/>
    <x v="319"/>
    <x v="13"/>
    <d v="2024-01-14T00:00:00"/>
    <d v="1899-12-30T10:00:00"/>
    <n v="2"/>
    <n v="0"/>
  </r>
  <r>
    <d v="2024-01-14T10:00:00"/>
    <x v="0"/>
    <x v="13"/>
    <n v="15"/>
    <x v="3"/>
    <n v="233"/>
    <n v="1800"/>
    <n v="419400"/>
    <x v="333"/>
    <n v="48"/>
    <x v="326"/>
    <x v="13"/>
    <d v="2024-01-14T00:00:00"/>
    <d v="1899-12-30T10:00:00"/>
    <n v="2"/>
    <n v="0"/>
  </r>
  <r>
    <d v="2024-01-14T10:00:00"/>
    <x v="0"/>
    <x v="0"/>
    <n v="11"/>
    <x v="0"/>
    <n v="3000"/>
    <n v="105"/>
    <n v="315000"/>
    <x v="312"/>
    <n v="72"/>
    <x v="319"/>
    <x v="13"/>
    <d v="2024-01-14T00:00:00"/>
    <d v="1899-12-30T10:00:00"/>
    <n v="4"/>
    <n v="0"/>
  </r>
  <r>
    <d v="2024-01-14T12:00:00"/>
    <x v="0"/>
    <x v="2"/>
    <n v="4"/>
    <x v="5"/>
    <n v="75"/>
    <n v="25"/>
    <n v="1875"/>
    <x v="316"/>
    <n v="72"/>
    <x v="327"/>
    <x v="13"/>
    <d v="2024-01-14T00:00:00"/>
    <d v="1899-12-30T12:00:00"/>
    <n v="9"/>
    <n v="0"/>
  </r>
  <r>
    <d v="2024-01-14T13:00:00"/>
    <x v="1"/>
    <x v="8"/>
    <n v="1006"/>
    <x v="2"/>
    <n v="7"/>
    <n v="6850"/>
    <n v="47950"/>
    <x v="342"/>
    <n v="96"/>
    <x v="340"/>
    <x v="13"/>
    <d v="2024-01-14T00:00:00"/>
    <d v="1899-12-30T13:00:00"/>
    <n v="7"/>
    <n v="0"/>
  </r>
  <r>
    <d v="2024-01-14T13:00:00"/>
    <x v="1"/>
    <x v="9"/>
    <n v="1006"/>
    <x v="2"/>
    <n v="6"/>
    <n v="6650"/>
    <n v="39900"/>
    <x v="336"/>
    <n v="96"/>
    <x v="317"/>
    <x v="13"/>
    <d v="2024-01-14T00:00:00"/>
    <d v="1899-12-30T13:00:00"/>
    <n v="14"/>
    <n v="0"/>
  </r>
  <r>
    <d v="2024-01-14T13:00:00"/>
    <x v="1"/>
    <x v="10"/>
    <n v="1006"/>
    <x v="2"/>
    <n v="12"/>
    <n v="6650"/>
    <n v="79800"/>
    <x v="303"/>
    <n v="96"/>
    <x v="322"/>
    <x v="13"/>
    <d v="2024-01-14T00:00:00"/>
    <d v="1899-12-30T13:00:00"/>
    <n v="16"/>
    <n v="0"/>
  </r>
  <r>
    <d v="2024-01-14T13:00:00"/>
    <x v="1"/>
    <x v="1"/>
    <n v="1006"/>
    <x v="2"/>
    <n v="9"/>
    <n v="6300"/>
    <n v="56700"/>
    <x v="343"/>
    <n v="96"/>
    <x v="359"/>
    <x v="13"/>
    <d v="2024-01-14T00:00:00"/>
    <d v="1899-12-30T13:00:00"/>
    <n v="13"/>
    <n v="0"/>
  </r>
  <r>
    <d v="2024-01-14T13:00:00"/>
    <x v="1"/>
    <x v="5"/>
    <n v="1006"/>
    <x v="2"/>
    <n v="16"/>
    <n v="5800"/>
    <n v="92800"/>
    <x v="344"/>
    <n v="96"/>
    <x v="360"/>
    <x v="13"/>
    <d v="2024-01-14T00:00:00"/>
    <d v="1899-12-30T13:00:00"/>
    <n v="8"/>
    <n v="0"/>
  </r>
  <r>
    <d v="2024-01-14T13:00:00"/>
    <x v="1"/>
    <x v="7"/>
    <n v="1006"/>
    <x v="2"/>
    <n v="11"/>
    <n v="6900"/>
    <n v="75900"/>
    <x v="285"/>
    <n v="84"/>
    <x v="323"/>
    <x v="13"/>
    <d v="2024-01-14T00:00:00"/>
    <d v="1899-12-30T13:00:00"/>
    <n v="12"/>
    <n v="0"/>
  </r>
  <r>
    <d v="2024-01-14T13:00:00"/>
    <x v="1"/>
    <x v="6"/>
    <n v="1006"/>
    <x v="2"/>
    <n v="19"/>
    <n v="6000"/>
    <n v="114000"/>
    <x v="345"/>
    <n v="66"/>
    <x v="328"/>
    <x v="13"/>
    <d v="2024-01-14T00:00:00"/>
    <d v="1899-12-30T13:00:00"/>
    <n v="15"/>
    <n v="0"/>
  </r>
  <r>
    <d v="2024-01-14T14:00:00"/>
    <x v="0"/>
    <x v="14"/>
    <n v="13"/>
    <x v="3"/>
    <n v="200"/>
    <n v="1240"/>
    <n v="248000"/>
    <x v="331"/>
    <n v="72"/>
    <x v="180"/>
    <x v="13"/>
    <d v="2024-01-14T00:00:00"/>
    <d v="1899-12-30T14:00:00"/>
    <n v="3"/>
    <n v="0"/>
  </r>
  <r>
    <d v="2024-01-14T14:00:00"/>
    <x v="1"/>
    <x v="1"/>
    <n v="1002"/>
    <x v="2"/>
    <n v="3"/>
    <n v="6300"/>
    <n v="18900"/>
    <x v="343"/>
    <n v="96"/>
    <x v="359"/>
    <x v="13"/>
    <d v="2024-01-14T00:00:00"/>
    <d v="1899-12-30T14:00:00"/>
    <n v="13"/>
    <n v="0"/>
  </r>
  <r>
    <d v="2024-01-14T14:00:00"/>
    <x v="1"/>
    <x v="8"/>
    <n v="1002"/>
    <x v="2"/>
    <n v="5"/>
    <n v="6850"/>
    <n v="34250"/>
    <x v="342"/>
    <n v="96"/>
    <x v="340"/>
    <x v="13"/>
    <d v="2024-01-14T00:00:00"/>
    <d v="1899-12-30T14:00:00"/>
    <n v="7"/>
    <n v="0"/>
  </r>
  <r>
    <d v="2024-01-14T14:00:00"/>
    <x v="1"/>
    <x v="5"/>
    <n v="1002"/>
    <x v="2"/>
    <n v="7"/>
    <n v="5800"/>
    <n v="40600"/>
    <x v="338"/>
    <n v="96"/>
    <x v="355"/>
    <x v="13"/>
    <d v="2024-01-14T00:00:00"/>
    <d v="1899-12-30T14:00:00"/>
    <n v="8"/>
    <n v="0"/>
  </r>
  <r>
    <d v="2024-01-14T14:00:00"/>
    <x v="1"/>
    <x v="2"/>
    <n v="1002"/>
    <x v="2"/>
    <n v="6"/>
    <n v="6700"/>
    <n v="40200"/>
    <x v="285"/>
    <n v="74"/>
    <x v="307"/>
    <x v="13"/>
    <d v="2024-01-14T00:00:00"/>
    <d v="1899-12-30T14:00:00"/>
    <n v="9"/>
    <n v="0"/>
  </r>
  <r>
    <d v="2024-01-14T14:00:00"/>
    <x v="1"/>
    <x v="7"/>
    <n v="1002"/>
    <x v="2"/>
    <n v="8"/>
    <n v="6900"/>
    <n v="55200"/>
    <x v="326"/>
    <n v="84"/>
    <x v="323"/>
    <x v="13"/>
    <d v="2024-01-14T00:00:00"/>
    <d v="1899-12-30T14:00:00"/>
    <n v="12"/>
    <n v="0"/>
  </r>
  <r>
    <d v="2024-01-14T14:00:00"/>
    <x v="0"/>
    <x v="0"/>
    <n v="11"/>
    <x v="3"/>
    <n v="100"/>
    <n v="1250"/>
    <n v="125000"/>
    <x v="321"/>
    <n v="24"/>
    <x v="288"/>
    <x v="13"/>
    <d v="2024-01-14T00:00:00"/>
    <d v="1899-12-30T14:00:00"/>
    <n v="4"/>
    <n v="0"/>
  </r>
  <r>
    <d v="2024-01-14T14:00:00"/>
    <x v="1"/>
    <x v="10"/>
    <n v="1002"/>
    <x v="2"/>
    <n v="5"/>
    <n v="6650"/>
    <n v="33250"/>
    <x v="303"/>
    <n v="96"/>
    <x v="348"/>
    <x v="13"/>
    <d v="2024-01-14T00:00:00"/>
    <d v="1899-12-30T14:00:00"/>
    <n v="16"/>
    <n v="0"/>
  </r>
  <r>
    <d v="2024-01-14T14:00:00"/>
    <x v="1"/>
    <x v="9"/>
    <n v="1002"/>
    <x v="2"/>
    <n v="3"/>
    <n v="6650"/>
    <n v="19950"/>
    <x v="321"/>
    <n v="96"/>
    <x v="347"/>
    <x v="13"/>
    <d v="2024-01-14T00:00:00"/>
    <d v="1899-12-30T14:00:00"/>
    <n v="14"/>
    <n v="0"/>
  </r>
  <r>
    <d v="2024-01-14T14:00:00"/>
    <x v="1"/>
    <x v="6"/>
    <n v="1002"/>
    <x v="2"/>
    <n v="9"/>
    <n v="6000"/>
    <n v="54000"/>
    <x v="331"/>
    <n v="66"/>
    <x v="298"/>
    <x v="13"/>
    <d v="2024-01-14T00:00:00"/>
    <d v="1899-12-30T14:00:00"/>
    <n v="15"/>
    <n v="0"/>
  </r>
  <r>
    <d v="2024-01-14T15:00:00"/>
    <x v="0"/>
    <x v="0"/>
    <n v="9"/>
    <x v="3"/>
    <n v="129"/>
    <n v="1350"/>
    <n v="174150"/>
    <x v="285"/>
    <n v="24"/>
    <x v="271"/>
    <x v="13"/>
    <d v="2024-01-14T00:00:00"/>
    <d v="1899-12-30T15:00:00"/>
    <n v="4"/>
    <n v="0"/>
  </r>
  <r>
    <d v="2024-01-14T16:00:00"/>
    <x v="2"/>
    <x v="7"/>
    <n v="2011"/>
    <x v="1"/>
    <n v="15"/>
    <n v="4100"/>
    <n v="61500"/>
    <x v="338"/>
    <n v="60"/>
    <x v="297"/>
    <x v="13"/>
    <d v="2024-01-14T00:00:00"/>
    <d v="1899-12-30T16:00:00"/>
    <n v="12"/>
    <n v="0"/>
  </r>
  <r>
    <d v="2024-01-14T16:00:00"/>
    <x v="2"/>
    <x v="7"/>
    <n v="2011"/>
    <x v="2"/>
    <n v="30"/>
    <n v="6750"/>
    <n v="202500"/>
    <x v="346"/>
    <n v="120"/>
    <x v="361"/>
    <x v="13"/>
    <d v="2024-01-14T00:00:00"/>
    <d v="1899-12-30T16:00:00"/>
    <n v="12"/>
    <n v="0"/>
  </r>
  <r>
    <d v="2024-01-14T16:00:00"/>
    <x v="2"/>
    <x v="1"/>
    <n v="2011"/>
    <x v="2"/>
    <n v="30"/>
    <n v="6300"/>
    <n v="189000"/>
    <x v="346"/>
    <n v="132"/>
    <x v="362"/>
    <x v="13"/>
    <d v="2024-01-14T00:00:00"/>
    <d v="1899-12-30T16:00:00"/>
    <n v="13"/>
    <n v="0"/>
  </r>
  <r>
    <d v="2024-01-14T16:00:00"/>
    <x v="2"/>
    <x v="10"/>
    <n v="2011"/>
    <x v="2"/>
    <n v="30"/>
    <n v="6650"/>
    <n v="199500"/>
    <x v="321"/>
    <n v="132"/>
    <x v="363"/>
    <x v="13"/>
    <d v="2024-01-14T00:00:00"/>
    <d v="1899-12-30T16:00:00"/>
    <n v="16"/>
    <n v="0"/>
  </r>
  <r>
    <d v="2024-01-14T16:00:00"/>
    <x v="2"/>
    <x v="3"/>
    <n v="2011"/>
    <x v="1"/>
    <n v="40"/>
    <n v="4200"/>
    <n v="168000"/>
    <x v="316"/>
    <n v="120"/>
    <x v="364"/>
    <x v="13"/>
    <d v="2024-01-14T00:00:00"/>
    <d v="1899-12-30T16:00:00"/>
    <n v="11"/>
    <n v="0"/>
  </r>
  <r>
    <d v="2024-01-14T16:00:00"/>
    <x v="2"/>
    <x v="2"/>
    <n v="2011"/>
    <x v="1"/>
    <n v="30"/>
    <n v="3730"/>
    <n v="111900"/>
    <x v="347"/>
    <n v="126"/>
    <x v="365"/>
    <x v="13"/>
    <d v="2024-01-14T00:00:00"/>
    <d v="1899-12-30T16:00:00"/>
    <n v="9"/>
    <n v="0"/>
  </r>
  <r>
    <d v="2024-01-14T16:00:00"/>
    <x v="2"/>
    <x v="4"/>
    <n v="2011"/>
    <x v="1"/>
    <n v="50"/>
    <n v="4100"/>
    <n v="205000"/>
    <x v="326"/>
    <n v="78"/>
    <x v="323"/>
    <x v="13"/>
    <d v="2024-01-14T00:00:00"/>
    <d v="1899-12-30T16:00:00"/>
    <n v="10"/>
    <n v="0"/>
  </r>
  <r>
    <d v="2024-01-14T16:00:00"/>
    <x v="2"/>
    <x v="5"/>
    <n v="2011"/>
    <x v="1"/>
    <n v="30"/>
    <n v="3800"/>
    <n v="114000"/>
    <x v="327"/>
    <n v="132"/>
    <x v="366"/>
    <x v="13"/>
    <d v="2024-01-14T00:00:00"/>
    <d v="1899-12-30T16:00:00"/>
    <n v="8"/>
    <n v="0"/>
  </r>
  <r>
    <d v="2024-01-14T16:00:00"/>
    <x v="2"/>
    <x v="8"/>
    <n v="2011"/>
    <x v="2"/>
    <n v="28"/>
    <n v="6850"/>
    <n v="191800"/>
    <x v="348"/>
    <n v="132"/>
    <x v="367"/>
    <x v="13"/>
    <d v="2024-01-14T00:00:00"/>
    <d v="1899-12-30T16:00:00"/>
    <n v="7"/>
    <n v="0"/>
  </r>
  <r>
    <d v="2024-01-14T16:00:00"/>
    <x v="2"/>
    <x v="6"/>
    <n v="2011"/>
    <x v="2"/>
    <n v="40"/>
    <n v="6000"/>
    <n v="240000"/>
    <x v="285"/>
    <n v="48"/>
    <x v="285"/>
    <x v="13"/>
    <d v="2024-01-14T00:00:00"/>
    <d v="1899-12-30T16:00:00"/>
    <n v="15"/>
    <n v="0"/>
  </r>
  <r>
    <d v="2024-01-14T16:00:00"/>
    <x v="1"/>
    <x v="10"/>
    <n v="1003"/>
    <x v="2"/>
    <n v="3"/>
    <n v="6650"/>
    <n v="19950"/>
    <x v="336"/>
    <n v="96"/>
    <x v="317"/>
    <x v="13"/>
    <d v="2024-01-14T00:00:00"/>
    <d v="1899-12-30T16:00:00"/>
    <n v="16"/>
    <n v="0"/>
  </r>
  <r>
    <d v="2024-01-14T16:00:00"/>
    <x v="2"/>
    <x v="10"/>
    <n v="2011"/>
    <x v="1"/>
    <n v="30"/>
    <n v="3750"/>
    <n v="112500"/>
    <x v="321"/>
    <n v="132"/>
    <x v="363"/>
    <x v="13"/>
    <d v="2024-01-14T00:00:00"/>
    <d v="1899-12-30T16:00:00"/>
    <n v="16"/>
    <n v="0"/>
  </r>
  <r>
    <d v="2024-01-14T16:00:00"/>
    <x v="1"/>
    <x v="2"/>
    <n v="1003"/>
    <x v="2"/>
    <n v="30"/>
    <n v="6450"/>
    <n v="193500"/>
    <x v="321"/>
    <n v="84"/>
    <x v="347"/>
    <x v="13"/>
    <d v="2024-01-14T00:00:00"/>
    <d v="1899-12-30T16:00:00"/>
    <n v="9"/>
    <n v="0"/>
  </r>
  <r>
    <d v="2024-01-14T16:00:00"/>
    <x v="2"/>
    <x v="9"/>
    <n v="2011"/>
    <x v="2"/>
    <n v="24"/>
    <n v="6650"/>
    <n v="159600"/>
    <x v="321"/>
    <n v="132"/>
    <x v="363"/>
    <x v="13"/>
    <d v="2024-01-14T00:00:00"/>
    <d v="1899-12-30T16:00:00"/>
    <n v="14"/>
    <n v="0"/>
  </r>
  <r>
    <d v="2024-01-14T16:00:00"/>
    <x v="2"/>
    <x v="6"/>
    <n v="2011"/>
    <x v="1"/>
    <n v="30"/>
    <n v="4150"/>
    <n v="124500"/>
    <x v="303"/>
    <n v="53"/>
    <x v="284"/>
    <x v="13"/>
    <d v="2024-01-14T00:00:00"/>
    <d v="1899-12-30T16:00:00"/>
    <n v="15"/>
    <n v="0"/>
  </r>
  <r>
    <d v="2024-01-14T16:00:00"/>
    <x v="2"/>
    <x v="2"/>
    <n v="2011"/>
    <x v="2"/>
    <n v="30"/>
    <n v="6650"/>
    <n v="199500"/>
    <x v="343"/>
    <n v="132"/>
    <x v="368"/>
    <x v="13"/>
    <d v="2024-01-14T00:00:00"/>
    <d v="1899-12-30T16:00:00"/>
    <n v="9"/>
    <n v="0"/>
  </r>
  <r>
    <d v="2024-01-14T16:00:00"/>
    <x v="2"/>
    <x v="9"/>
    <n v="2011"/>
    <x v="1"/>
    <n v="40"/>
    <n v="3750"/>
    <n v="150000"/>
    <x v="349"/>
    <n v="132"/>
    <x v="369"/>
    <x v="13"/>
    <d v="2024-01-14T00:00:00"/>
    <d v="1899-12-30T16:00:00"/>
    <n v="14"/>
    <n v="0"/>
  </r>
  <r>
    <d v="2024-01-14T16:00:00"/>
    <x v="2"/>
    <x v="8"/>
    <n v="2011"/>
    <x v="1"/>
    <n v="30"/>
    <n v="3800"/>
    <n v="114000"/>
    <x v="350"/>
    <n v="132"/>
    <x v="370"/>
    <x v="13"/>
    <d v="2024-01-14T00:00:00"/>
    <d v="1899-12-30T16:00:00"/>
    <n v="7"/>
    <n v="0"/>
  </r>
  <r>
    <d v="2024-01-14T16:00:00"/>
    <x v="2"/>
    <x v="5"/>
    <n v="2011"/>
    <x v="2"/>
    <n v="30"/>
    <n v="6200"/>
    <n v="186000"/>
    <x v="351"/>
    <n v="132"/>
    <x v="367"/>
    <x v="13"/>
    <d v="2024-01-14T00:00:00"/>
    <d v="1899-12-30T16:00:00"/>
    <n v="8"/>
    <n v="0"/>
  </r>
  <r>
    <d v="2024-01-14T16:00:00"/>
    <x v="1"/>
    <x v="5"/>
    <n v="1003"/>
    <x v="2"/>
    <n v="4"/>
    <n v="5800"/>
    <n v="23200"/>
    <x v="338"/>
    <n v="96"/>
    <x v="355"/>
    <x v="13"/>
    <d v="2024-01-14T00:00:00"/>
    <d v="1899-12-30T16:00:00"/>
    <n v="8"/>
    <n v="0"/>
  </r>
  <r>
    <d v="2024-01-14T16:00:00"/>
    <x v="1"/>
    <x v="6"/>
    <n v="1003"/>
    <x v="2"/>
    <n v="4"/>
    <n v="6000"/>
    <n v="24000"/>
    <x v="326"/>
    <n v="66"/>
    <x v="181"/>
    <x v="13"/>
    <d v="2024-01-14T00:00:00"/>
    <d v="1899-12-30T16:00:00"/>
    <n v="15"/>
    <n v="0"/>
  </r>
  <r>
    <d v="2024-01-14T16:00:00"/>
    <x v="2"/>
    <x v="3"/>
    <n v="2011"/>
    <x v="2"/>
    <n v="30"/>
    <n v="6550"/>
    <n v="196500"/>
    <x v="352"/>
    <n v="132"/>
    <x v="371"/>
    <x v="13"/>
    <d v="2024-01-14T00:00:00"/>
    <d v="1899-12-30T16:00:00"/>
    <n v="11"/>
    <n v="0"/>
  </r>
  <r>
    <d v="2024-01-14T16:00:00"/>
    <x v="2"/>
    <x v="1"/>
    <n v="2011"/>
    <x v="1"/>
    <n v="30"/>
    <n v="3300"/>
    <n v="99000"/>
    <x v="346"/>
    <n v="132"/>
    <x v="362"/>
    <x v="13"/>
    <d v="2024-01-14T00:00:00"/>
    <d v="1899-12-30T16:00:00"/>
    <n v="13"/>
    <n v="0"/>
  </r>
  <r>
    <d v="2024-01-14T18:00:00"/>
    <x v="0"/>
    <x v="11"/>
    <n v="15"/>
    <x v="3"/>
    <n v="315"/>
    <n v="1350"/>
    <n v="425250"/>
    <x v="353"/>
    <n v="72"/>
    <x v="322"/>
    <x v="13"/>
    <d v="2024-01-14T00:00:00"/>
    <d v="1899-12-30T18:00:00"/>
    <n v="6"/>
    <n v="0"/>
  </r>
  <r>
    <d v="2024-01-14T18:00:00"/>
    <x v="0"/>
    <x v="10"/>
    <n v="5"/>
    <x v="5"/>
    <n v="289"/>
    <n v="11"/>
    <n v="3179"/>
    <x v="316"/>
    <n v="72"/>
    <x v="327"/>
    <x v="13"/>
    <d v="2024-01-14T00:00:00"/>
    <d v="1899-12-30T18:00:00"/>
    <n v="16"/>
    <n v="0"/>
  </r>
  <r>
    <d v="2024-01-14T18:00:00"/>
    <x v="0"/>
    <x v="11"/>
    <n v="15"/>
    <x v="3"/>
    <n v="315"/>
    <n v="1350"/>
    <n v="425250"/>
    <x v="353"/>
    <n v="72"/>
    <x v="322"/>
    <x v="13"/>
    <d v="2024-01-14T00:00:00"/>
    <d v="1899-12-30T18:00:00"/>
    <n v="6"/>
    <n v="0"/>
  </r>
  <r>
    <d v="2024-01-14T19:00:00"/>
    <x v="1"/>
    <x v="9"/>
    <n v="1001"/>
    <x v="1"/>
    <n v="45"/>
    <n v="3750"/>
    <n v="168750"/>
    <x v="354"/>
    <n v="96"/>
    <x v="203"/>
    <x v="13"/>
    <d v="2024-01-14T00:00:00"/>
    <d v="1899-12-30T19:00:00"/>
    <n v="14"/>
    <n v="0"/>
  </r>
  <r>
    <d v="2024-01-14T19:00:00"/>
    <x v="1"/>
    <x v="2"/>
    <n v="1001"/>
    <x v="1"/>
    <n v="30"/>
    <n v="3750"/>
    <n v="112500"/>
    <x v="338"/>
    <n v="96"/>
    <x v="355"/>
    <x v="13"/>
    <d v="2024-01-14T00:00:00"/>
    <d v="1899-12-30T19:00:00"/>
    <n v="9"/>
    <n v="0"/>
  </r>
  <r>
    <d v="2024-01-14T19:00:00"/>
    <x v="0"/>
    <x v="15"/>
    <n v="14"/>
    <x v="3"/>
    <n v="200"/>
    <n v="1400"/>
    <n v="280000"/>
    <x v="303"/>
    <n v="24"/>
    <x v="315"/>
    <x v="13"/>
    <d v="2024-01-14T00:00:00"/>
    <d v="1899-12-30T19:00:00"/>
    <n v="1"/>
    <n v="0"/>
  </r>
  <r>
    <d v="2024-01-14T19:00:00"/>
    <x v="1"/>
    <x v="6"/>
    <n v="1001"/>
    <x v="1"/>
    <n v="50"/>
    <n v="3350"/>
    <n v="167500"/>
    <x v="353"/>
    <n v="90"/>
    <x v="322"/>
    <x v="13"/>
    <d v="2024-01-14T00:00:00"/>
    <d v="1899-12-30T19:00:00"/>
    <n v="15"/>
    <n v="0"/>
  </r>
  <r>
    <d v="2024-01-14T19:00:00"/>
    <x v="1"/>
    <x v="4"/>
    <n v="1001"/>
    <x v="1"/>
    <n v="12"/>
    <n v="4000"/>
    <n v="108000"/>
    <x v="335"/>
    <n v="84"/>
    <x v="340"/>
    <x v="13"/>
    <d v="2024-01-14T00:00:00"/>
    <d v="1899-12-30T19:00:00"/>
    <n v="10"/>
    <n v="0"/>
  </r>
  <r>
    <d v="2024-01-14T19:00:00"/>
    <x v="1"/>
    <x v="8"/>
    <n v="1001"/>
    <x v="1"/>
    <n v="23"/>
    <n v="3950"/>
    <n v="90850"/>
    <x v="355"/>
    <n v="96"/>
    <x v="372"/>
    <x v="13"/>
    <d v="2024-01-14T00:00:00"/>
    <d v="1899-12-30T19:00:00"/>
    <n v="7"/>
    <n v="0"/>
  </r>
  <r>
    <d v="2024-01-14T19:00:00"/>
    <x v="1"/>
    <x v="10"/>
    <n v="1001"/>
    <x v="1"/>
    <n v="30"/>
    <n v="3750"/>
    <n v="112500"/>
    <x v="321"/>
    <n v="96"/>
    <x v="347"/>
    <x v="13"/>
    <d v="2024-01-14T00:00:00"/>
    <d v="1899-12-30T19:00:00"/>
    <n v="16"/>
    <n v="0"/>
  </r>
  <r>
    <d v="2024-01-14T19:00:00"/>
    <x v="1"/>
    <x v="5"/>
    <n v="1001"/>
    <x v="1"/>
    <n v="30"/>
    <n v="3800"/>
    <n v="114000"/>
    <x v="327"/>
    <n v="96"/>
    <x v="361"/>
    <x v="13"/>
    <d v="2024-01-14T00:00:00"/>
    <d v="1899-12-30T19:00:00"/>
    <n v="8"/>
    <n v="0"/>
  </r>
  <r>
    <d v="2024-01-14T19:00:00"/>
    <x v="1"/>
    <x v="4"/>
    <n v="1001"/>
    <x v="1"/>
    <n v="15"/>
    <n v="4000"/>
    <n v="60000"/>
    <x v="356"/>
    <n v="84"/>
    <x v="340"/>
    <x v="13"/>
    <d v="2024-01-14T00:00:00"/>
    <d v="1899-12-30T19:00:00"/>
    <n v="10"/>
    <n v="0"/>
  </r>
  <r>
    <d v="2024-01-14T19:00:00"/>
    <x v="1"/>
    <x v="7"/>
    <n v="1001"/>
    <x v="1"/>
    <n v="30"/>
    <n v="3800"/>
    <n v="114000"/>
    <x v="346"/>
    <n v="96"/>
    <x v="361"/>
    <x v="13"/>
    <d v="2024-01-14T00:00:00"/>
    <d v="1899-12-30T19:00:00"/>
    <n v="12"/>
    <n v="0"/>
  </r>
  <r>
    <d v="2024-01-14T19:00:00"/>
    <x v="1"/>
    <x v="1"/>
    <n v="1001"/>
    <x v="1"/>
    <n v="30"/>
    <n v="3400"/>
    <n v="102000"/>
    <x v="302"/>
    <n v="96"/>
    <x v="373"/>
    <x v="13"/>
    <d v="2024-01-14T00:00:00"/>
    <d v="1899-12-30T19:00:00"/>
    <n v="13"/>
    <n v="0"/>
  </r>
  <r>
    <d v="2024-01-14T21:00:00"/>
    <x v="0"/>
    <x v="0"/>
    <n v="8"/>
    <x v="3"/>
    <n v="193"/>
    <n v="1250"/>
    <n v="241250"/>
    <x v="336"/>
    <n v="24"/>
    <x v="287"/>
    <x v="13"/>
    <d v="2024-01-14T00:00:00"/>
    <d v="1899-12-30T21:00:00"/>
    <n v="4"/>
    <n v="0"/>
  </r>
  <r>
    <d v="2024-01-14T22:00:00"/>
    <x v="3"/>
    <x v="8"/>
    <n v="3009"/>
    <x v="1"/>
    <n v="4"/>
    <n v="4650"/>
    <n v="18600"/>
    <x v="357"/>
    <n v="288"/>
    <x v="374"/>
    <x v="13"/>
    <d v="2024-01-14T00:00:00"/>
    <d v="1899-12-30T22:00:00"/>
    <n v="7"/>
    <n v="0"/>
  </r>
  <r>
    <d v="2024-01-14T22:00:00"/>
    <x v="3"/>
    <x v="8"/>
    <n v="3005"/>
    <x v="1"/>
    <n v="6"/>
    <n v="4650"/>
    <n v="27900"/>
    <x v="358"/>
    <n v="288"/>
    <x v="375"/>
    <x v="13"/>
    <d v="2024-01-14T00:00:00"/>
    <d v="1899-12-30T22:00:00"/>
    <n v="7"/>
    <n v="0"/>
  </r>
  <r>
    <d v="2024-01-14T22:00:00"/>
    <x v="3"/>
    <x v="8"/>
    <n v="3010"/>
    <x v="1"/>
    <n v="4"/>
    <n v="4650"/>
    <n v="18600"/>
    <x v="359"/>
    <n v="288"/>
    <x v="376"/>
    <x v="13"/>
    <d v="2024-01-14T00:00:00"/>
    <d v="1899-12-30T22:00:00"/>
    <n v="7"/>
    <n v="0"/>
  </r>
  <r>
    <d v="2024-01-14T22:00:00"/>
    <x v="3"/>
    <x v="8"/>
    <n v="3004"/>
    <x v="1"/>
    <n v="4"/>
    <n v="4650"/>
    <n v="18600"/>
    <x v="360"/>
    <n v="288"/>
    <x v="377"/>
    <x v="13"/>
    <d v="2024-01-14T00:00:00"/>
    <d v="1899-12-30T22:00:00"/>
    <n v="7"/>
    <n v="0"/>
  </r>
  <r>
    <d v="2024-01-14T22:00:00"/>
    <x v="3"/>
    <x v="8"/>
    <n v="3007"/>
    <x v="1"/>
    <n v="4"/>
    <n v="4650"/>
    <n v="18600"/>
    <x v="361"/>
    <n v="288"/>
    <x v="378"/>
    <x v="13"/>
    <d v="2024-01-14T00:00:00"/>
    <d v="1899-12-30T22:00:00"/>
    <n v="7"/>
    <n v="0"/>
  </r>
  <r>
    <d v="2024-01-14T22:00:00"/>
    <x v="3"/>
    <x v="8"/>
    <n v="3008"/>
    <x v="1"/>
    <n v="5"/>
    <n v="4650"/>
    <n v="23250"/>
    <x v="362"/>
    <n v="288"/>
    <x v="379"/>
    <x v="13"/>
    <d v="2024-01-14T00:00:00"/>
    <d v="1899-12-30T22:00:00"/>
    <n v="7"/>
    <n v="0"/>
  </r>
  <r>
    <d v="2024-01-14T22:00:00"/>
    <x v="3"/>
    <x v="8"/>
    <n v="3003"/>
    <x v="1"/>
    <n v="6"/>
    <n v="4650"/>
    <n v="27900"/>
    <x v="363"/>
    <n v="288"/>
    <x v="380"/>
    <x v="13"/>
    <d v="2024-01-14T00:00:00"/>
    <d v="1899-12-30T22:00:00"/>
    <n v="7"/>
    <n v="0"/>
  </r>
  <r>
    <d v="2024-01-14T22:00:00"/>
    <x v="3"/>
    <x v="8"/>
    <n v="3001"/>
    <x v="1"/>
    <n v="2"/>
    <n v="4650"/>
    <n v="9300"/>
    <x v="364"/>
    <n v="288"/>
    <x v="381"/>
    <x v="13"/>
    <d v="2024-01-14T00:00:00"/>
    <d v="1899-12-30T22:00:00"/>
    <n v="7"/>
    <n v="0"/>
  </r>
  <r>
    <d v="2024-01-14T23:00:00"/>
    <x v="0"/>
    <x v="12"/>
    <n v="16"/>
    <x v="3"/>
    <n v="400"/>
    <n v="1120"/>
    <n v="448000"/>
    <x v="321"/>
    <n v="24"/>
    <x v="288"/>
    <x v="13"/>
    <d v="2024-01-14T00:00:00"/>
    <d v="1899-12-30T23:00:00"/>
    <n v="5"/>
    <n v="0"/>
  </r>
  <r>
    <d v="2024-01-15T00:00:00"/>
    <x v="1"/>
    <x v="4"/>
    <n v="1003"/>
    <x v="1"/>
    <n v="25"/>
    <n v="4000"/>
    <n v="100000"/>
    <x v="290"/>
    <n v="84"/>
    <x v="382"/>
    <x v="14"/>
    <d v="2024-01-15T00:00:00"/>
    <d v="1899-12-30T00:00:00"/>
    <n v="10"/>
    <n v="0"/>
  </r>
  <r>
    <d v="2024-01-15T00:00:00"/>
    <x v="1"/>
    <x v="8"/>
    <n v="1003"/>
    <x v="1"/>
    <n v="22"/>
    <n v="3950"/>
    <n v="86900"/>
    <x v="365"/>
    <n v="96"/>
    <x v="361"/>
    <x v="14"/>
    <d v="2024-01-15T00:00:00"/>
    <d v="1899-12-30T00:00:00"/>
    <n v="7"/>
    <n v="0"/>
  </r>
  <r>
    <d v="2024-01-15T00:00:00"/>
    <x v="0"/>
    <x v="12"/>
    <n v="16"/>
    <x v="0"/>
    <n v="2000"/>
    <n v="120"/>
    <n v="240000"/>
    <x v="321"/>
    <n v="24"/>
    <x v="288"/>
    <x v="14"/>
    <d v="2024-01-15T00:00:00"/>
    <d v="1899-12-30T00:00:00"/>
    <n v="5"/>
    <n v="0"/>
  </r>
  <r>
    <d v="2024-01-15T00:00:00"/>
    <x v="1"/>
    <x v="9"/>
    <n v="1003"/>
    <x v="1"/>
    <n v="38"/>
    <n v="3750"/>
    <n v="142500"/>
    <x v="302"/>
    <n v="96"/>
    <x v="373"/>
    <x v="14"/>
    <d v="2024-01-15T00:00:00"/>
    <d v="1899-12-30T00:00:00"/>
    <n v="14"/>
    <n v="0"/>
  </r>
  <r>
    <d v="2024-01-15T00:00:00"/>
    <x v="1"/>
    <x v="5"/>
    <n v="1003"/>
    <x v="1"/>
    <n v="30"/>
    <n v="3800"/>
    <n v="114000"/>
    <x v="339"/>
    <n v="96"/>
    <x v="360"/>
    <x v="14"/>
    <d v="2024-01-15T00:00:00"/>
    <d v="1899-12-30T00:00:00"/>
    <n v="8"/>
    <n v="0"/>
  </r>
  <r>
    <d v="2024-01-15T00:00:00"/>
    <x v="1"/>
    <x v="1"/>
    <n v="1003"/>
    <x v="1"/>
    <n v="30"/>
    <n v="3400"/>
    <n v="102000"/>
    <x v="317"/>
    <n v="96"/>
    <x v="383"/>
    <x v="14"/>
    <d v="2024-01-15T00:00:00"/>
    <d v="1899-12-30T00:00:00"/>
    <n v="13"/>
    <n v="0"/>
  </r>
  <r>
    <d v="2024-01-15T00:00:00"/>
    <x v="1"/>
    <x v="7"/>
    <n v="1003"/>
    <x v="1"/>
    <n v="15"/>
    <n v="4050"/>
    <n v="60750"/>
    <x v="354"/>
    <n v="60"/>
    <x v="283"/>
    <x v="14"/>
    <d v="2024-01-15T00:00:00"/>
    <d v="1899-12-30T00:00:00"/>
    <n v="12"/>
    <n v="0"/>
  </r>
  <r>
    <d v="2024-01-15T00:00:00"/>
    <x v="1"/>
    <x v="10"/>
    <n v="1003"/>
    <x v="1"/>
    <n v="30"/>
    <n v="3750"/>
    <n v="112500"/>
    <x v="349"/>
    <n v="96"/>
    <x v="339"/>
    <x v="14"/>
    <d v="2024-01-15T00:00:00"/>
    <d v="1899-12-30T00:00:00"/>
    <n v="16"/>
    <n v="0"/>
  </r>
  <r>
    <d v="2024-01-15T00:00:00"/>
    <x v="1"/>
    <x v="6"/>
    <n v="1003"/>
    <x v="1"/>
    <n v="50"/>
    <n v="3350"/>
    <n v="167500"/>
    <x v="321"/>
    <n v="88"/>
    <x v="347"/>
    <x v="14"/>
    <d v="2024-01-15T00:00:00"/>
    <d v="1899-12-30T00:00:00"/>
    <n v="15"/>
    <n v="0"/>
  </r>
  <r>
    <d v="2024-01-15T00:00:00"/>
    <x v="1"/>
    <x v="2"/>
    <n v="1003"/>
    <x v="1"/>
    <n v="30"/>
    <n v="3750"/>
    <n v="112500"/>
    <x v="366"/>
    <n v="96"/>
    <x v="344"/>
    <x v="14"/>
    <d v="2024-01-15T00:00:00"/>
    <d v="1899-12-30T00:00:00"/>
    <n v="9"/>
    <n v="0"/>
  </r>
  <r>
    <d v="2024-01-15T00:00:00"/>
    <x v="0"/>
    <x v="15"/>
    <n v="14"/>
    <x v="3"/>
    <n v="200"/>
    <n v="1350"/>
    <n v="270000"/>
    <x v="321"/>
    <n v="24"/>
    <x v="288"/>
    <x v="14"/>
    <d v="2024-01-15T00:00:00"/>
    <d v="1899-12-30T00:00:00"/>
    <n v="1"/>
    <n v="0"/>
  </r>
  <r>
    <d v="2024-01-15T01:00:00"/>
    <x v="1"/>
    <x v="7"/>
    <n v="1001"/>
    <x v="2"/>
    <n v="4"/>
    <n v="6700"/>
    <n v="26800"/>
    <x v="346"/>
    <n v="96"/>
    <x v="361"/>
    <x v="14"/>
    <d v="2024-01-15T00:00:00"/>
    <d v="1899-12-30T01:00:00"/>
    <n v="12"/>
    <n v="0"/>
  </r>
  <r>
    <d v="2024-01-15T01:00:00"/>
    <x v="1"/>
    <x v="1"/>
    <n v="1001"/>
    <x v="2"/>
    <n v="5"/>
    <n v="6300"/>
    <n v="31500"/>
    <x v="317"/>
    <n v="96"/>
    <x v="342"/>
    <x v="14"/>
    <d v="2024-01-15T00:00:00"/>
    <d v="1899-12-30T01:00:00"/>
    <n v="13"/>
    <n v="0"/>
  </r>
  <r>
    <d v="2024-01-15T01:00:00"/>
    <x v="1"/>
    <x v="8"/>
    <n v="1001"/>
    <x v="2"/>
    <n v="2"/>
    <n v="6850"/>
    <n v="13700"/>
    <x v="367"/>
    <n v="96"/>
    <x v="203"/>
    <x v="14"/>
    <d v="2024-01-15T00:00:00"/>
    <d v="1899-12-30T01:00:00"/>
    <n v="7"/>
    <n v="0"/>
  </r>
  <r>
    <d v="2024-01-15T01:00:00"/>
    <x v="1"/>
    <x v="9"/>
    <n v="1001"/>
    <x v="2"/>
    <n v="2"/>
    <n v="6650"/>
    <n v="13300"/>
    <x v="354"/>
    <n v="96"/>
    <x v="203"/>
    <x v="14"/>
    <d v="2024-01-15T00:00:00"/>
    <d v="1899-12-30T01:00:00"/>
    <n v="14"/>
    <n v="0"/>
  </r>
  <r>
    <d v="2024-01-15T01:00:00"/>
    <x v="1"/>
    <x v="6"/>
    <n v="1001"/>
    <x v="2"/>
    <n v="7"/>
    <n v="6350"/>
    <n v="44450"/>
    <x v="368"/>
    <n v="64"/>
    <x v="301"/>
    <x v="14"/>
    <d v="2024-01-15T00:00:00"/>
    <d v="1899-12-30T01:00:00"/>
    <n v="15"/>
    <n v="0"/>
  </r>
  <r>
    <d v="2024-01-15T01:00:00"/>
    <x v="1"/>
    <x v="10"/>
    <n v="1001"/>
    <x v="2"/>
    <n v="3"/>
    <n v="6650"/>
    <n v="19950"/>
    <x v="369"/>
    <n v="96"/>
    <x v="384"/>
    <x v="14"/>
    <d v="2024-01-15T00:00:00"/>
    <d v="1899-12-30T01:00:00"/>
    <n v="16"/>
    <n v="0"/>
  </r>
  <r>
    <d v="2024-01-15T02:00:00"/>
    <x v="1"/>
    <x v="9"/>
    <n v="1011"/>
    <x v="2"/>
    <n v="3"/>
    <n v="6650"/>
    <n v="19950"/>
    <x v="354"/>
    <n v="96"/>
    <x v="203"/>
    <x v="14"/>
    <d v="2024-01-15T00:00:00"/>
    <d v="1899-12-30T02:00:00"/>
    <n v="14"/>
    <n v="0"/>
  </r>
  <r>
    <d v="2024-01-15T02:00:00"/>
    <x v="1"/>
    <x v="7"/>
    <n v="1011"/>
    <x v="2"/>
    <n v="1"/>
    <n v="6700"/>
    <n v="6700"/>
    <x v="370"/>
    <n v="96"/>
    <x v="338"/>
    <x v="14"/>
    <d v="2024-01-15T00:00:00"/>
    <d v="1899-12-30T02:00:00"/>
    <n v="12"/>
    <n v="0"/>
  </r>
  <r>
    <d v="2024-01-15T02:00:00"/>
    <x v="1"/>
    <x v="8"/>
    <n v="1011"/>
    <x v="2"/>
    <n v="3"/>
    <n v="6850"/>
    <n v="20550"/>
    <x v="367"/>
    <n v="96"/>
    <x v="203"/>
    <x v="14"/>
    <d v="2024-01-15T00:00:00"/>
    <d v="1899-12-30T02:00:00"/>
    <n v="7"/>
    <n v="0"/>
  </r>
  <r>
    <d v="2024-01-15T02:00:00"/>
    <x v="1"/>
    <x v="10"/>
    <n v="1011"/>
    <x v="2"/>
    <n v="7"/>
    <n v="6650"/>
    <n v="46550"/>
    <x v="318"/>
    <n v="96"/>
    <x v="337"/>
    <x v="14"/>
    <d v="2024-01-15T00:00:00"/>
    <d v="1899-12-30T02:00:00"/>
    <n v="16"/>
    <n v="0"/>
  </r>
  <r>
    <d v="2024-01-15T02:00:00"/>
    <x v="1"/>
    <x v="7"/>
    <n v="1011"/>
    <x v="2"/>
    <n v="3"/>
    <n v="6700"/>
    <n v="26800"/>
    <x v="354"/>
    <n v="96"/>
    <x v="203"/>
    <x v="14"/>
    <d v="2024-01-15T00:00:00"/>
    <d v="1899-12-30T02:00:00"/>
    <n v="12"/>
    <n v="0"/>
  </r>
  <r>
    <d v="2024-01-15T02:00:00"/>
    <x v="1"/>
    <x v="6"/>
    <n v="1011"/>
    <x v="2"/>
    <n v="9"/>
    <n v="6350"/>
    <n v="57150"/>
    <x v="349"/>
    <n v="64"/>
    <x v="385"/>
    <x v="14"/>
    <d v="2024-01-15T00:00:00"/>
    <d v="1899-12-30T02:00:00"/>
    <n v="15"/>
    <n v="0"/>
  </r>
  <r>
    <d v="2024-01-15T02:00:00"/>
    <x v="1"/>
    <x v="1"/>
    <n v="1011"/>
    <x v="2"/>
    <n v="5"/>
    <n v="6300"/>
    <n v="31500"/>
    <x v="317"/>
    <n v="96"/>
    <x v="342"/>
    <x v="14"/>
    <d v="2024-01-15T00:00:00"/>
    <d v="1899-12-30T02:00:00"/>
    <n v="13"/>
    <n v="0"/>
  </r>
  <r>
    <d v="2024-01-15T03:00:00"/>
    <x v="0"/>
    <x v="0"/>
    <n v="9"/>
    <x v="0"/>
    <n v="1500"/>
    <n v="110"/>
    <n v="165000"/>
    <x v="349"/>
    <n v="72"/>
    <x v="339"/>
    <x v="14"/>
    <d v="2024-01-15T00:00:00"/>
    <d v="1899-12-30T03:00:00"/>
    <n v="4"/>
    <n v="0"/>
  </r>
  <r>
    <d v="2024-01-15T06:00:00"/>
    <x v="0"/>
    <x v="0"/>
    <n v="13"/>
    <x v="0"/>
    <n v="1500"/>
    <n v="112"/>
    <n v="168000"/>
    <x v="371"/>
    <n v="72"/>
    <x v="386"/>
    <x v="14"/>
    <d v="2024-01-15T00:00:00"/>
    <d v="1899-12-30T06:00:00"/>
    <n v="4"/>
    <n v="0"/>
  </r>
  <r>
    <d v="2024-01-15T07:00:00"/>
    <x v="0"/>
    <x v="3"/>
    <n v="4"/>
    <x v="5"/>
    <n v="83"/>
    <n v="10"/>
    <n v="830"/>
    <x v="362"/>
    <n v="72"/>
    <x v="387"/>
    <x v="14"/>
    <d v="2024-01-15T00:00:00"/>
    <d v="1899-12-30T07:00:00"/>
    <n v="11"/>
    <n v="0"/>
  </r>
  <r>
    <d v="2024-01-15T08:00:00"/>
    <x v="2"/>
    <x v="10"/>
    <n v="2001"/>
    <x v="1"/>
    <n v="30"/>
    <n v="3750"/>
    <n v="112500"/>
    <x v="354"/>
    <n v="132"/>
    <x v="388"/>
    <x v="14"/>
    <d v="2024-01-15T00:00:00"/>
    <d v="1899-12-30T08:00:00"/>
    <n v="16"/>
    <n v="0"/>
  </r>
  <r>
    <d v="2024-01-15T08:00:00"/>
    <x v="2"/>
    <x v="10"/>
    <n v="2001"/>
    <x v="2"/>
    <n v="30"/>
    <n v="6650"/>
    <n v="199500"/>
    <x v="302"/>
    <n v="132"/>
    <x v="371"/>
    <x v="14"/>
    <d v="2024-01-15T00:00:00"/>
    <d v="1899-12-30T08:00:00"/>
    <n v="16"/>
    <n v="0"/>
  </r>
  <r>
    <d v="2024-01-15T08:00:00"/>
    <x v="2"/>
    <x v="1"/>
    <n v="2001"/>
    <x v="1"/>
    <n v="30"/>
    <n v="3300"/>
    <n v="99000"/>
    <x v="372"/>
    <n v="132"/>
    <x v="389"/>
    <x v="14"/>
    <d v="2024-01-15T00:00:00"/>
    <d v="1899-12-30T08:00:00"/>
    <n v="13"/>
    <n v="0"/>
  </r>
  <r>
    <d v="2024-01-15T08:00:00"/>
    <x v="2"/>
    <x v="6"/>
    <n v="2001"/>
    <x v="2"/>
    <n v="40"/>
    <n v="6200"/>
    <n v="248000"/>
    <x v="290"/>
    <n v="48"/>
    <x v="282"/>
    <x v="14"/>
    <d v="2024-01-15T00:00:00"/>
    <d v="1899-12-30T08:00:00"/>
    <n v="15"/>
    <n v="0"/>
  </r>
  <r>
    <d v="2024-01-15T08:00:00"/>
    <x v="2"/>
    <x v="5"/>
    <n v="2001"/>
    <x v="1"/>
    <n v="30"/>
    <n v="3889"/>
    <n v="116670"/>
    <x v="373"/>
    <n v="156"/>
    <x v="390"/>
    <x v="14"/>
    <d v="2024-01-15T00:00:00"/>
    <d v="1899-12-30T08:00:00"/>
    <n v="8"/>
    <n v="0"/>
  </r>
  <r>
    <d v="2024-01-15T08:00:00"/>
    <x v="2"/>
    <x v="3"/>
    <n v="2001"/>
    <x v="2"/>
    <n v="10"/>
    <n v="6800"/>
    <n v="68000"/>
    <x v="374"/>
    <n v="108"/>
    <x v="353"/>
    <x v="14"/>
    <d v="2024-01-15T00:00:00"/>
    <d v="1899-12-30T08:00:00"/>
    <n v="11"/>
    <n v="0"/>
  </r>
  <r>
    <d v="2024-01-15T08:00:00"/>
    <x v="2"/>
    <x v="9"/>
    <n v="2001"/>
    <x v="2"/>
    <n v="14"/>
    <n v="6650"/>
    <n v="93100"/>
    <x v="325"/>
    <n v="132"/>
    <x v="391"/>
    <x v="14"/>
    <d v="2024-01-15T00:00:00"/>
    <d v="1899-12-30T08:00:00"/>
    <n v="14"/>
    <n v="0"/>
  </r>
  <r>
    <d v="2024-01-15T08:00:00"/>
    <x v="0"/>
    <x v="13"/>
    <n v="15"/>
    <x v="3"/>
    <n v="240"/>
    <n v="1800"/>
    <n v="432000"/>
    <x v="290"/>
    <n v="72"/>
    <x v="382"/>
    <x v="14"/>
    <d v="2024-01-15T00:00:00"/>
    <d v="1899-12-30T08:00:00"/>
    <n v="2"/>
    <n v="0"/>
  </r>
  <r>
    <d v="2024-01-15T08:00:00"/>
    <x v="2"/>
    <x v="3"/>
    <n v="2001"/>
    <x v="1"/>
    <n v="40"/>
    <n v="4000"/>
    <n v="160000"/>
    <x v="302"/>
    <n v="132"/>
    <x v="371"/>
    <x v="14"/>
    <d v="2024-01-15T00:00:00"/>
    <d v="1899-12-30T08:00:00"/>
    <n v="11"/>
    <n v="0"/>
  </r>
  <r>
    <d v="2024-01-15T08:00:00"/>
    <x v="2"/>
    <x v="2"/>
    <n v="2001"/>
    <x v="1"/>
    <n v="30"/>
    <n v="3799"/>
    <n v="113970"/>
    <x v="318"/>
    <n v="112"/>
    <x v="369"/>
    <x v="14"/>
    <d v="2024-01-15T00:00:00"/>
    <d v="1899-12-30T08:00:00"/>
    <n v="9"/>
    <n v="0"/>
  </r>
  <r>
    <d v="2024-01-15T08:00:00"/>
    <x v="2"/>
    <x v="4"/>
    <n v="2001"/>
    <x v="1"/>
    <n v="50"/>
    <n v="4100"/>
    <n v="205000"/>
    <x v="354"/>
    <n v="78"/>
    <x v="203"/>
    <x v="14"/>
    <d v="2024-01-15T00:00:00"/>
    <d v="1899-12-30T08:00:00"/>
    <n v="10"/>
    <n v="0"/>
  </r>
  <r>
    <d v="2024-01-15T08:00:00"/>
    <x v="2"/>
    <x v="7"/>
    <n v="2001"/>
    <x v="1"/>
    <n v="30"/>
    <n v="3800"/>
    <n v="114000"/>
    <x v="302"/>
    <n v="120"/>
    <x v="371"/>
    <x v="14"/>
    <d v="2024-01-15T00:00:00"/>
    <d v="1899-12-30T08:00:00"/>
    <n v="12"/>
    <n v="0"/>
  </r>
  <r>
    <d v="2024-01-15T08:00:00"/>
    <x v="2"/>
    <x v="9"/>
    <n v="2001"/>
    <x v="1"/>
    <n v="36"/>
    <n v="3750"/>
    <n v="135000"/>
    <x v="325"/>
    <n v="132"/>
    <x v="391"/>
    <x v="14"/>
    <d v="2024-01-15T00:00:00"/>
    <d v="1899-12-30T08:00:00"/>
    <n v="14"/>
    <n v="0"/>
  </r>
  <r>
    <d v="2024-01-15T08:00:00"/>
    <x v="2"/>
    <x v="7"/>
    <n v="2001"/>
    <x v="2"/>
    <n v="28"/>
    <n v="6750"/>
    <n v="189000"/>
    <x v="375"/>
    <n v="120"/>
    <x v="392"/>
    <x v="14"/>
    <d v="2024-01-15T00:00:00"/>
    <d v="1899-12-30T08:00:00"/>
    <n v="12"/>
    <n v="0"/>
  </r>
  <r>
    <d v="2024-01-15T08:00:00"/>
    <x v="2"/>
    <x v="8"/>
    <n v="2001"/>
    <x v="1"/>
    <n v="30"/>
    <n v="3800"/>
    <n v="114000"/>
    <x v="376"/>
    <n v="132"/>
    <x v="393"/>
    <x v="14"/>
    <d v="2024-01-15T00:00:00"/>
    <d v="1899-12-30T08:00:00"/>
    <n v="7"/>
    <n v="0"/>
  </r>
  <r>
    <d v="2024-01-15T08:00:00"/>
    <x v="2"/>
    <x v="1"/>
    <n v="2001"/>
    <x v="2"/>
    <n v="21"/>
    <n v="6300"/>
    <n v="132300"/>
    <x v="372"/>
    <n v="132"/>
    <x v="394"/>
    <x v="14"/>
    <d v="2024-01-15T00:00:00"/>
    <d v="1899-12-30T08:00:00"/>
    <n v="13"/>
    <n v="0"/>
  </r>
  <r>
    <d v="2024-01-15T08:00:00"/>
    <x v="2"/>
    <x v="6"/>
    <n v="2001"/>
    <x v="1"/>
    <n v="30"/>
    <n v="4050"/>
    <n v="121500"/>
    <x v="290"/>
    <n v="48"/>
    <x v="282"/>
    <x v="14"/>
    <d v="2024-01-15T00:00:00"/>
    <d v="1899-12-30T08:00:00"/>
    <n v="15"/>
    <n v="0"/>
  </r>
  <r>
    <d v="2024-01-15T08:00:00"/>
    <x v="2"/>
    <x v="8"/>
    <n v="2001"/>
    <x v="2"/>
    <n v="16"/>
    <n v="6850"/>
    <n v="109600"/>
    <x v="370"/>
    <n v="132"/>
    <x v="394"/>
    <x v="14"/>
    <d v="2024-01-15T00:00:00"/>
    <d v="1899-12-30T08:00:00"/>
    <n v="7"/>
    <n v="0"/>
  </r>
  <r>
    <d v="2024-01-15T08:00:00"/>
    <x v="2"/>
    <x v="5"/>
    <n v="2001"/>
    <x v="2"/>
    <n v="32"/>
    <n v="6000"/>
    <n v="192000"/>
    <x v="377"/>
    <n v="156"/>
    <x v="395"/>
    <x v="14"/>
    <d v="2024-01-15T00:00:00"/>
    <d v="1899-12-30T08:00:00"/>
    <n v="8"/>
    <n v="0"/>
  </r>
  <r>
    <d v="2024-01-15T09:00:00"/>
    <x v="1"/>
    <x v="1"/>
    <n v="1007"/>
    <x v="1"/>
    <n v="30"/>
    <n v="3400"/>
    <n v="102000"/>
    <x v="372"/>
    <n v="96"/>
    <x v="396"/>
    <x v="14"/>
    <d v="2024-01-15T00:00:00"/>
    <d v="1899-12-30T09:00:00"/>
    <n v="13"/>
    <n v="0"/>
  </r>
  <r>
    <d v="2024-01-15T09:00:00"/>
    <x v="1"/>
    <x v="5"/>
    <n v="1007"/>
    <x v="1"/>
    <n v="10"/>
    <n v="4185"/>
    <n v="41850"/>
    <x v="332"/>
    <n v="96"/>
    <x v="343"/>
    <x v="14"/>
    <d v="2024-01-15T00:00:00"/>
    <d v="1899-12-30T09:00:00"/>
    <n v="8"/>
    <n v="0"/>
  </r>
  <r>
    <d v="2024-01-15T09:00:00"/>
    <x v="1"/>
    <x v="2"/>
    <n v="1007"/>
    <x v="1"/>
    <n v="15"/>
    <n v="3799"/>
    <n v="56985"/>
    <x v="290"/>
    <n v="74"/>
    <x v="382"/>
    <x v="14"/>
    <d v="2024-01-15T00:00:00"/>
    <d v="1899-12-30T09:00:00"/>
    <n v="9"/>
    <n v="0"/>
  </r>
  <r>
    <d v="2024-01-15T09:00:00"/>
    <x v="1"/>
    <x v="6"/>
    <n v="1007"/>
    <x v="1"/>
    <n v="50"/>
    <n v="3350"/>
    <n v="167500"/>
    <x v="338"/>
    <n v="88"/>
    <x v="355"/>
    <x v="14"/>
    <d v="2024-01-15T00:00:00"/>
    <d v="1899-12-30T09:00:00"/>
    <n v="15"/>
    <n v="0"/>
  </r>
  <r>
    <d v="2024-01-15T09:00:00"/>
    <x v="1"/>
    <x v="7"/>
    <n v="1007"/>
    <x v="1"/>
    <n v="1"/>
    <n v="4050"/>
    <n v="4050"/>
    <x v="329"/>
    <n v="60"/>
    <x v="321"/>
    <x v="14"/>
    <d v="2024-01-15T00:00:00"/>
    <d v="1899-12-30T09:00:00"/>
    <n v="12"/>
    <n v="0"/>
  </r>
  <r>
    <d v="2024-01-15T09:00:00"/>
    <x v="1"/>
    <x v="3"/>
    <n v="1007"/>
    <x v="1"/>
    <n v="30"/>
    <n v="4000"/>
    <n v="120000"/>
    <x v="302"/>
    <n v="96"/>
    <x v="373"/>
    <x v="14"/>
    <d v="2024-01-15T00:00:00"/>
    <d v="1899-12-30T09:00:00"/>
    <n v="11"/>
    <n v="0"/>
  </r>
  <r>
    <d v="2024-01-15T09:00:00"/>
    <x v="1"/>
    <x v="7"/>
    <n v="1007"/>
    <x v="1"/>
    <n v="14"/>
    <n v="4050"/>
    <n v="60750"/>
    <x v="325"/>
    <n v="60"/>
    <x v="348"/>
    <x v="14"/>
    <d v="2024-01-15T00:00:00"/>
    <d v="1899-12-30T09:00:00"/>
    <n v="12"/>
    <n v="0"/>
  </r>
  <r>
    <d v="2024-01-15T09:00:00"/>
    <x v="0"/>
    <x v="13"/>
    <n v="15"/>
    <x v="0"/>
    <n v="2800"/>
    <n v="130"/>
    <n v="364000"/>
    <x v="343"/>
    <n v="72"/>
    <x v="359"/>
    <x v="14"/>
    <d v="2024-01-15T00:00:00"/>
    <d v="1899-12-30T09:00:00"/>
    <n v="2"/>
    <n v="0"/>
  </r>
  <r>
    <d v="2024-01-15T09:00:00"/>
    <x v="1"/>
    <x v="10"/>
    <n v="1007"/>
    <x v="1"/>
    <n v="30"/>
    <n v="3750"/>
    <n v="112500"/>
    <x v="302"/>
    <n v="96"/>
    <x v="344"/>
    <x v="14"/>
    <d v="2024-01-15T00:00:00"/>
    <d v="1899-12-30T09:00:00"/>
    <n v="16"/>
    <n v="0"/>
  </r>
  <r>
    <d v="2024-01-15T09:00:00"/>
    <x v="1"/>
    <x v="9"/>
    <n v="1007"/>
    <x v="1"/>
    <n v="39"/>
    <n v="3750"/>
    <n v="146250"/>
    <x v="378"/>
    <n v="96"/>
    <x v="343"/>
    <x v="14"/>
    <d v="2024-01-15T00:00:00"/>
    <d v="1899-12-30T09:00:00"/>
    <n v="14"/>
    <n v="0"/>
  </r>
  <r>
    <d v="2024-01-15T09:00:00"/>
    <x v="1"/>
    <x v="8"/>
    <n v="1007"/>
    <x v="1"/>
    <n v="30"/>
    <n v="3950"/>
    <n v="118500"/>
    <x v="379"/>
    <n v="96"/>
    <x v="397"/>
    <x v="14"/>
    <d v="2024-01-15T00:00:00"/>
    <d v="1899-12-30T09:00:00"/>
    <n v="7"/>
    <n v="0"/>
  </r>
  <r>
    <d v="2024-01-15T09:00:00"/>
    <x v="1"/>
    <x v="4"/>
    <n v="1007"/>
    <x v="1"/>
    <n v="50"/>
    <n v="4000"/>
    <n v="200000"/>
    <x v="334"/>
    <n v="60"/>
    <x v="319"/>
    <x v="14"/>
    <d v="2024-01-15T00:00:00"/>
    <d v="1899-12-30T09:00:00"/>
    <n v="10"/>
    <n v="0"/>
  </r>
  <r>
    <d v="2024-01-15T10:00:00"/>
    <x v="1"/>
    <x v="10"/>
    <n v="1009"/>
    <x v="2"/>
    <n v="5"/>
    <n v="6650"/>
    <n v="33250"/>
    <x v="302"/>
    <n v="96"/>
    <x v="373"/>
    <x v="14"/>
    <d v="2024-01-15T00:00:00"/>
    <d v="1899-12-30T10:00:00"/>
    <n v="16"/>
    <n v="0"/>
  </r>
  <r>
    <d v="2024-01-15T10:00:00"/>
    <x v="1"/>
    <x v="9"/>
    <n v="1009"/>
    <x v="2"/>
    <n v="3"/>
    <n v="6650"/>
    <n v="19950"/>
    <x v="378"/>
    <n v="96"/>
    <x v="343"/>
    <x v="14"/>
    <d v="2024-01-15T00:00:00"/>
    <d v="1899-12-30T10:00:00"/>
    <n v="14"/>
    <n v="0"/>
  </r>
  <r>
    <d v="2024-01-15T10:00:00"/>
    <x v="1"/>
    <x v="7"/>
    <n v="1009"/>
    <x v="2"/>
    <n v="4"/>
    <n v="6700"/>
    <n v="26800"/>
    <x v="380"/>
    <n v="96"/>
    <x v="398"/>
    <x v="14"/>
    <d v="2024-01-15T00:00:00"/>
    <d v="1899-12-30T10:00:00"/>
    <n v="12"/>
    <n v="0"/>
  </r>
  <r>
    <d v="2024-01-15T10:00:00"/>
    <x v="1"/>
    <x v="1"/>
    <n v="1009"/>
    <x v="2"/>
    <n v="4"/>
    <n v="6300"/>
    <n v="25200"/>
    <x v="381"/>
    <n v="96"/>
    <x v="364"/>
    <x v="14"/>
    <d v="2024-01-15T00:00:00"/>
    <d v="1899-12-30T10:00:00"/>
    <n v="13"/>
    <n v="0"/>
  </r>
  <r>
    <d v="2024-01-15T10:00:00"/>
    <x v="1"/>
    <x v="6"/>
    <n v="1009"/>
    <x v="2"/>
    <n v="7"/>
    <n v="6350"/>
    <n v="44450"/>
    <x v="346"/>
    <n v="64"/>
    <x v="311"/>
    <x v="14"/>
    <d v="2024-01-15T00:00:00"/>
    <d v="1899-12-30T10:00:00"/>
    <n v="15"/>
    <n v="0"/>
  </r>
  <r>
    <d v="2024-01-15T10:00:00"/>
    <x v="1"/>
    <x v="8"/>
    <n v="1009"/>
    <x v="2"/>
    <n v="2"/>
    <n v="6850"/>
    <n v="13700"/>
    <x v="382"/>
    <n v="96"/>
    <x v="369"/>
    <x v="14"/>
    <d v="2024-01-15T00:00:00"/>
    <d v="1899-12-30T10:00:00"/>
    <n v="7"/>
    <n v="0"/>
  </r>
  <r>
    <d v="2024-01-15T11:00:00"/>
    <x v="0"/>
    <x v="15"/>
    <n v="14"/>
    <x v="0"/>
    <n v="3000"/>
    <n v="100"/>
    <n v="300000"/>
    <x v="344"/>
    <n v="72"/>
    <x v="360"/>
    <x v="14"/>
    <d v="2024-01-15T00:00:00"/>
    <d v="1899-12-30T11:00:00"/>
    <n v="1"/>
    <n v="0"/>
  </r>
  <r>
    <d v="2024-01-15T14:00:00"/>
    <x v="1"/>
    <x v="1"/>
    <n v="1011"/>
    <x v="1"/>
    <n v="30"/>
    <n v="3400"/>
    <n v="102000"/>
    <x v="383"/>
    <n v="96"/>
    <x v="350"/>
    <x v="14"/>
    <d v="2024-01-15T00:00:00"/>
    <d v="1899-12-30T14:00:00"/>
    <n v="13"/>
    <n v="0"/>
  </r>
  <r>
    <d v="2024-01-15T14:00:00"/>
    <x v="1"/>
    <x v="3"/>
    <n v="1011"/>
    <x v="1"/>
    <n v="12"/>
    <n v="4000"/>
    <n v="48000"/>
    <x v="325"/>
    <n v="96"/>
    <x v="341"/>
    <x v="14"/>
    <d v="2024-01-15T00:00:00"/>
    <d v="1899-12-30T14:00:00"/>
    <n v="11"/>
    <n v="0"/>
  </r>
  <r>
    <d v="2024-01-15T14:00:00"/>
    <x v="1"/>
    <x v="10"/>
    <n v="1011"/>
    <x v="1"/>
    <n v="18"/>
    <n v="3750"/>
    <n v="67500"/>
    <x v="325"/>
    <n v="96"/>
    <x v="399"/>
    <x v="14"/>
    <d v="2024-01-15T00:00:00"/>
    <d v="1899-12-30T14:00:00"/>
    <n v="16"/>
    <n v="0"/>
  </r>
  <r>
    <d v="2024-01-15T14:00:00"/>
    <x v="1"/>
    <x v="9"/>
    <n v="1011"/>
    <x v="1"/>
    <n v="24"/>
    <n v="3750"/>
    <n v="90000"/>
    <x v="282"/>
    <n v="96"/>
    <x v="354"/>
    <x v="14"/>
    <d v="2024-01-15T00:00:00"/>
    <d v="1899-12-30T14:00:00"/>
    <n v="14"/>
    <n v="0"/>
  </r>
  <r>
    <d v="2024-01-15T14:00:00"/>
    <x v="1"/>
    <x v="2"/>
    <n v="1011"/>
    <x v="1"/>
    <n v="15"/>
    <n v="3799"/>
    <n v="56985"/>
    <x v="354"/>
    <n v="74"/>
    <x v="203"/>
    <x v="14"/>
    <d v="2024-01-15T00:00:00"/>
    <d v="1899-12-30T14:00:00"/>
    <n v="9"/>
    <n v="0"/>
  </r>
  <r>
    <d v="2024-01-15T14:00:00"/>
    <x v="1"/>
    <x v="4"/>
    <n v="1011"/>
    <x v="1"/>
    <n v="21"/>
    <n v="4000"/>
    <n v="84000"/>
    <x v="286"/>
    <n v="60"/>
    <x v="323"/>
    <x v="14"/>
    <d v="2024-01-15T00:00:00"/>
    <d v="1899-12-30T14:00:00"/>
    <n v="10"/>
    <n v="0"/>
  </r>
  <r>
    <d v="2024-01-15T14:00:00"/>
    <x v="1"/>
    <x v="6"/>
    <n v="1011"/>
    <x v="1"/>
    <n v="35"/>
    <n v="3350"/>
    <n v="117250"/>
    <x v="302"/>
    <n v="88"/>
    <x v="373"/>
    <x v="14"/>
    <d v="2024-01-15T00:00:00"/>
    <d v="1899-12-30T14:00:00"/>
    <n v="15"/>
    <n v="0"/>
  </r>
  <r>
    <d v="2024-01-15T14:00:00"/>
    <x v="1"/>
    <x v="8"/>
    <n v="1011"/>
    <x v="1"/>
    <n v="14"/>
    <n v="3950"/>
    <n v="55300"/>
    <x v="384"/>
    <n v="96"/>
    <x v="400"/>
    <x v="14"/>
    <d v="2024-01-15T00:00:00"/>
    <d v="1899-12-30T14:00:00"/>
    <n v="7"/>
    <n v="0"/>
  </r>
  <r>
    <d v="2024-01-15T14:00:00"/>
    <x v="1"/>
    <x v="7"/>
    <n v="1011"/>
    <x v="1"/>
    <n v="16"/>
    <n v="3800"/>
    <n v="60800"/>
    <x v="329"/>
    <n v="96"/>
    <x v="349"/>
    <x v="14"/>
    <d v="2024-01-15T00:00:00"/>
    <d v="1899-12-30T14:00:00"/>
    <n v="12"/>
    <n v="0"/>
  </r>
  <r>
    <d v="2024-01-15T15:00:00"/>
    <x v="1"/>
    <x v="7"/>
    <n v="1004"/>
    <x v="1"/>
    <n v="27"/>
    <n v="3700"/>
    <n v="99900"/>
    <x v="332"/>
    <n v="120"/>
    <x v="401"/>
    <x v="14"/>
    <d v="2024-01-15T00:00:00"/>
    <d v="1899-12-30T15:00:00"/>
    <n v="12"/>
    <n v="0"/>
  </r>
  <r>
    <d v="2024-01-15T15:00:00"/>
    <x v="1"/>
    <x v="10"/>
    <n v="1004"/>
    <x v="1"/>
    <n v="20"/>
    <n v="3750"/>
    <n v="75000"/>
    <x v="325"/>
    <n v="96"/>
    <x v="341"/>
    <x v="14"/>
    <d v="2024-01-15T00:00:00"/>
    <d v="1899-12-30T15:00:00"/>
    <n v="16"/>
    <n v="0"/>
  </r>
  <r>
    <d v="2024-01-15T15:00:00"/>
    <x v="1"/>
    <x v="1"/>
    <n v="1004"/>
    <x v="1"/>
    <n v="30"/>
    <n v="3400"/>
    <n v="102000"/>
    <x v="313"/>
    <n v="96"/>
    <x v="349"/>
    <x v="14"/>
    <d v="2024-01-15T00:00:00"/>
    <d v="1899-12-30T15:00:00"/>
    <n v="13"/>
    <n v="0"/>
  </r>
  <r>
    <d v="2024-01-15T15:00:00"/>
    <x v="1"/>
    <x v="5"/>
    <n v="1004"/>
    <x v="1"/>
    <n v="31"/>
    <n v="3900"/>
    <n v="120900"/>
    <x v="385"/>
    <n v="156"/>
    <x v="402"/>
    <x v="14"/>
    <d v="2024-01-15T00:00:00"/>
    <d v="1899-12-30T15:00:00"/>
    <n v="8"/>
    <n v="0"/>
  </r>
  <r>
    <d v="2024-01-15T15:00:00"/>
    <x v="1"/>
    <x v="3"/>
    <n v="1004"/>
    <x v="1"/>
    <n v="30"/>
    <n v="4000"/>
    <n v="120000"/>
    <x v="378"/>
    <n v="96"/>
    <x v="343"/>
    <x v="14"/>
    <d v="2024-01-15T00:00:00"/>
    <d v="1899-12-30T15:00:00"/>
    <n v="11"/>
    <n v="0"/>
  </r>
  <r>
    <d v="2024-01-15T15:00:00"/>
    <x v="0"/>
    <x v="4"/>
    <n v="5"/>
    <x v="5"/>
    <n v="391"/>
    <n v="15"/>
    <n v="5865"/>
    <x v="386"/>
    <n v="72"/>
    <x v="403"/>
    <x v="14"/>
    <d v="2024-01-15T00:00:00"/>
    <d v="1899-12-30T15:00:00"/>
    <n v="10"/>
    <n v="0"/>
  </r>
  <r>
    <d v="2024-01-15T15:00:00"/>
    <x v="1"/>
    <x v="2"/>
    <n v="1004"/>
    <x v="1"/>
    <n v="53"/>
    <n v="3465"/>
    <n v="183645"/>
    <x v="387"/>
    <n v="192"/>
    <x v="345"/>
    <x v="14"/>
    <d v="2024-01-15T00:00:00"/>
    <d v="1899-12-30T15:00:00"/>
    <n v="9"/>
    <n v="0"/>
  </r>
  <r>
    <d v="2024-01-15T15:00:00"/>
    <x v="1"/>
    <x v="9"/>
    <n v="1004"/>
    <x v="1"/>
    <n v="39"/>
    <n v="3750"/>
    <n v="146250"/>
    <x v="282"/>
    <n v="96"/>
    <x v="354"/>
    <x v="14"/>
    <d v="2024-01-15T00:00:00"/>
    <d v="1899-12-30T15:00:00"/>
    <n v="14"/>
    <n v="0"/>
  </r>
  <r>
    <d v="2024-01-15T15:00:00"/>
    <x v="0"/>
    <x v="15"/>
    <n v="14"/>
    <x v="3"/>
    <n v="200"/>
    <n v="1350"/>
    <n v="270000"/>
    <x v="302"/>
    <n v="24"/>
    <x v="298"/>
    <x v="14"/>
    <d v="2024-01-15T00:00:00"/>
    <d v="1899-12-30T15:00:00"/>
    <n v="1"/>
    <n v="0"/>
  </r>
  <r>
    <d v="2024-01-15T15:00:00"/>
    <x v="1"/>
    <x v="6"/>
    <n v="1004"/>
    <x v="1"/>
    <n v="30"/>
    <n v="3450"/>
    <n v="103500"/>
    <x v="308"/>
    <n v="88"/>
    <x v="343"/>
    <x v="14"/>
    <d v="2024-01-15T00:00:00"/>
    <d v="1899-12-30T15:00:00"/>
    <n v="15"/>
    <n v="0"/>
  </r>
  <r>
    <d v="2024-01-15T15:00:00"/>
    <x v="1"/>
    <x v="4"/>
    <n v="1004"/>
    <x v="1"/>
    <n v="23"/>
    <n v="4100"/>
    <n v="94300"/>
    <x v="286"/>
    <n v="84"/>
    <x v="338"/>
    <x v="14"/>
    <d v="2024-01-15T00:00:00"/>
    <d v="1899-12-30T15:00:00"/>
    <n v="10"/>
    <n v="0"/>
  </r>
  <r>
    <d v="2024-01-15T15:00:00"/>
    <x v="1"/>
    <x v="8"/>
    <n v="1004"/>
    <x v="1"/>
    <n v="30"/>
    <n v="3950"/>
    <n v="118500"/>
    <x v="376"/>
    <n v="96"/>
    <x v="404"/>
    <x v="14"/>
    <d v="2024-01-15T00:00:00"/>
    <d v="1899-12-30T15:00:00"/>
    <n v="7"/>
    <n v="0"/>
  </r>
  <r>
    <d v="2024-01-15T18:00:00"/>
    <x v="0"/>
    <x v="12"/>
    <n v="16"/>
    <x v="3"/>
    <n v="400"/>
    <n v="1350"/>
    <n v="540000"/>
    <x v="289"/>
    <n v="24"/>
    <x v="327"/>
    <x v="14"/>
    <d v="2024-01-15T00:00:00"/>
    <d v="1899-12-30T18:00:00"/>
    <n v="5"/>
    <n v="0"/>
  </r>
  <r>
    <d v="2024-01-15T19:00:00"/>
    <x v="1"/>
    <x v="7"/>
    <n v="1010"/>
    <x v="2"/>
    <n v="9"/>
    <n v="6900"/>
    <n v="62100"/>
    <x v="380"/>
    <n v="84"/>
    <x v="398"/>
    <x v="14"/>
    <d v="2024-01-15T00:00:00"/>
    <d v="1899-12-30T19:00:00"/>
    <n v="12"/>
    <n v="0"/>
  </r>
  <r>
    <d v="2024-01-15T19:00:00"/>
    <x v="0"/>
    <x v="0"/>
    <n v="8"/>
    <x v="3"/>
    <n v="100"/>
    <n v="1350"/>
    <n v="135000"/>
    <x v="350"/>
    <n v="24"/>
    <x v="317"/>
    <x v="14"/>
    <d v="2024-01-15T00:00:00"/>
    <d v="1899-12-30T19:00:00"/>
    <n v="4"/>
    <n v="0"/>
  </r>
  <r>
    <d v="2024-01-15T19:00:00"/>
    <x v="1"/>
    <x v="8"/>
    <n v="1007"/>
    <x v="2"/>
    <n v="7"/>
    <n v="6850"/>
    <n v="47950"/>
    <x v="385"/>
    <n v="96"/>
    <x v="401"/>
    <x v="14"/>
    <d v="2024-01-15T00:00:00"/>
    <d v="1899-12-30T19:00:00"/>
    <n v="7"/>
    <n v="0"/>
  </r>
  <r>
    <d v="2024-01-15T19:00:00"/>
    <x v="1"/>
    <x v="1"/>
    <n v="1007"/>
    <x v="2"/>
    <n v="9"/>
    <n v="6300"/>
    <n v="56700"/>
    <x v="388"/>
    <n v="96"/>
    <x v="357"/>
    <x v="14"/>
    <d v="2024-01-15T00:00:00"/>
    <d v="1899-12-30T19:00:00"/>
    <n v="13"/>
    <n v="0"/>
  </r>
  <r>
    <d v="2024-01-15T19:00:00"/>
    <x v="1"/>
    <x v="10"/>
    <n v="1007"/>
    <x v="2"/>
    <n v="20"/>
    <n v="6650"/>
    <n v="133000"/>
    <x v="389"/>
    <n v="96"/>
    <x v="383"/>
    <x v="14"/>
    <d v="2024-01-15T00:00:00"/>
    <d v="1899-12-30T19:00:00"/>
    <n v="16"/>
    <n v="0"/>
  </r>
  <r>
    <d v="2024-01-15T19:00:00"/>
    <x v="1"/>
    <x v="1"/>
    <n v="1010"/>
    <x v="2"/>
    <n v="4"/>
    <n v="6300"/>
    <n v="25200"/>
    <x v="388"/>
    <n v="96"/>
    <x v="357"/>
    <x v="14"/>
    <d v="2024-01-15T00:00:00"/>
    <d v="1899-12-30T19:00:00"/>
    <n v="13"/>
    <n v="0"/>
  </r>
  <r>
    <d v="2024-01-15T19:00:00"/>
    <x v="1"/>
    <x v="2"/>
    <n v="1010"/>
    <x v="2"/>
    <n v="8"/>
    <n v="6699"/>
    <n v="53592"/>
    <x v="325"/>
    <n v="75"/>
    <x v="341"/>
    <x v="14"/>
    <d v="2024-01-15T00:00:00"/>
    <d v="1899-12-30T19:00:00"/>
    <n v="9"/>
    <n v="0"/>
  </r>
  <r>
    <d v="2024-01-15T19:00:00"/>
    <x v="1"/>
    <x v="9"/>
    <n v="1010"/>
    <x v="2"/>
    <n v="3"/>
    <n v="6650"/>
    <n v="19950"/>
    <x v="390"/>
    <n v="96"/>
    <x v="353"/>
    <x v="14"/>
    <d v="2024-01-15T00:00:00"/>
    <d v="1899-12-30T19:00:00"/>
    <n v="14"/>
    <n v="0"/>
  </r>
  <r>
    <d v="2024-01-15T19:00:00"/>
    <x v="1"/>
    <x v="10"/>
    <n v="1010"/>
    <x v="2"/>
    <n v="7"/>
    <n v="6650"/>
    <n v="46550"/>
    <x v="391"/>
    <n v="96"/>
    <x v="351"/>
    <x v="14"/>
    <d v="2024-01-15T00:00:00"/>
    <d v="1899-12-30T19:00:00"/>
    <n v="16"/>
    <n v="0"/>
  </r>
  <r>
    <d v="2024-01-15T19:00:00"/>
    <x v="0"/>
    <x v="11"/>
    <n v="7"/>
    <x v="0"/>
    <n v="1933"/>
    <n v="140"/>
    <n v="270620"/>
    <x v="301"/>
    <n v="72"/>
    <x v="399"/>
    <x v="14"/>
    <d v="2024-01-15T00:00:00"/>
    <d v="1899-12-30T19:00:00"/>
    <n v="6"/>
    <n v="0"/>
  </r>
  <r>
    <d v="2024-01-15T19:00:00"/>
    <x v="1"/>
    <x v="9"/>
    <n v="1007"/>
    <x v="2"/>
    <n v="6"/>
    <n v="6650"/>
    <n v="39900"/>
    <x v="390"/>
    <n v="96"/>
    <x v="353"/>
    <x v="14"/>
    <d v="2024-01-15T00:00:00"/>
    <d v="1899-12-30T19:00:00"/>
    <n v="14"/>
    <n v="0"/>
  </r>
  <r>
    <d v="2024-01-15T19:00:00"/>
    <x v="1"/>
    <x v="6"/>
    <n v="1010"/>
    <x v="2"/>
    <n v="10"/>
    <n v="6350"/>
    <n v="63500"/>
    <x v="378"/>
    <n v="64"/>
    <x v="322"/>
    <x v="14"/>
    <d v="2024-01-15T00:00:00"/>
    <d v="1899-12-30T19:00:00"/>
    <n v="15"/>
    <n v="0"/>
  </r>
  <r>
    <d v="2024-01-15T19:00:00"/>
    <x v="1"/>
    <x v="6"/>
    <n v="1007"/>
    <x v="2"/>
    <n v="17"/>
    <n v="6350"/>
    <n v="107950"/>
    <x v="378"/>
    <n v="64"/>
    <x v="322"/>
    <x v="14"/>
    <d v="2024-01-15T00:00:00"/>
    <d v="1899-12-30T19:00:00"/>
    <n v="15"/>
    <n v="0"/>
  </r>
  <r>
    <d v="2024-01-15T19:00:00"/>
    <x v="1"/>
    <x v="7"/>
    <n v="1007"/>
    <x v="2"/>
    <n v="13"/>
    <n v="6900"/>
    <n v="89700"/>
    <x v="380"/>
    <n v="84"/>
    <x v="398"/>
    <x v="14"/>
    <d v="2024-01-15T00:00:00"/>
    <d v="1899-12-30T19:00:00"/>
    <n v="12"/>
    <n v="0"/>
  </r>
  <r>
    <d v="2024-01-15T19:00:00"/>
    <x v="0"/>
    <x v="11"/>
    <n v="15"/>
    <x v="3"/>
    <n v="325"/>
    <n v="1400"/>
    <n v="455000"/>
    <x v="325"/>
    <n v="72"/>
    <x v="341"/>
    <x v="14"/>
    <d v="2024-01-15T00:00:00"/>
    <d v="1899-12-30T19:00:00"/>
    <n v="6"/>
    <n v="0"/>
  </r>
  <r>
    <d v="2024-01-15T19:00:00"/>
    <x v="1"/>
    <x v="8"/>
    <n v="1010"/>
    <x v="2"/>
    <n v="4"/>
    <n v="6850"/>
    <n v="27400"/>
    <x v="385"/>
    <n v="96"/>
    <x v="401"/>
    <x v="14"/>
    <d v="2024-01-15T00:00:00"/>
    <d v="1899-12-30T19:00:00"/>
    <n v="7"/>
    <n v="0"/>
  </r>
  <r>
    <d v="2024-01-15T20:00:00"/>
    <x v="2"/>
    <x v="2"/>
    <n v="2002"/>
    <x v="1"/>
    <n v="30"/>
    <n v="3799"/>
    <n v="113970"/>
    <x v="301"/>
    <n v="112"/>
    <x v="405"/>
    <x v="14"/>
    <d v="2024-01-15T00:00:00"/>
    <d v="1899-12-30T20:00:00"/>
    <n v="9"/>
    <n v="0"/>
  </r>
  <r>
    <d v="2024-01-15T20:00:00"/>
    <x v="2"/>
    <x v="10"/>
    <n v="2002"/>
    <x v="1"/>
    <n v="30"/>
    <n v="3750"/>
    <n v="112500"/>
    <x v="391"/>
    <n v="132"/>
    <x v="400"/>
    <x v="14"/>
    <d v="2024-01-15T00:00:00"/>
    <d v="1899-12-30T20:00:00"/>
    <n v="16"/>
    <n v="0"/>
  </r>
  <r>
    <d v="2024-01-15T20:00:00"/>
    <x v="2"/>
    <x v="3"/>
    <n v="2002"/>
    <x v="1"/>
    <n v="40"/>
    <n v="4000"/>
    <n v="160000"/>
    <x v="282"/>
    <n v="132"/>
    <x v="406"/>
    <x v="14"/>
    <d v="2024-01-15T00:00:00"/>
    <d v="1899-12-30T20:00:00"/>
    <n v="11"/>
    <n v="0"/>
  </r>
  <r>
    <d v="2024-01-15T20:00:00"/>
    <x v="2"/>
    <x v="6"/>
    <n v="2002"/>
    <x v="1"/>
    <n v="30"/>
    <n v="4050"/>
    <n v="121500"/>
    <x v="378"/>
    <n v="48"/>
    <x v="321"/>
    <x v="14"/>
    <d v="2024-01-15T00:00:00"/>
    <d v="1899-12-30T20:00:00"/>
    <n v="15"/>
    <n v="0"/>
  </r>
  <r>
    <d v="2024-01-15T20:00:00"/>
    <x v="2"/>
    <x v="6"/>
    <n v="2002"/>
    <x v="2"/>
    <n v="38"/>
    <n v="6200"/>
    <n v="235600"/>
    <x v="301"/>
    <n v="48"/>
    <x v="308"/>
    <x v="14"/>
    <d v="2024-01-15T00:00:00"/>
    <d v="1899-12-30T20:00:00"/>
    <n v="15"/>
    <n v="0"/>
  </r>
  <r>
    <d v="2024-01-15T20:00:00"/>
    <x v="2"/>
    <x v="10"/>
    <n v="2002"/>
    <x v="2"/>
    <n v="30"/>
    <n v="6650"/>
    <n v="199500"/>
    <x v="391"/>
    <n v="132"/>
    <x v="400"/>
    <x v="14"/>
    <d v="2024-01-15T00:00:00"/>
    <d v="1899-12-30T20:00:00"/>
    <n v="16"/>
    <n v="0"/>
  </r>
  <r>
    <d v="2024-01-15T20:00:00"/>
    <x v="2"/>
    <x v="9"/>
    <n v="2002"/>
    <x v="2"/>
    <n v="15"/>
    <n v="6650"/>
    <n v="99750"/>
    <x v="390"/>
    <n v="132"/>
    <x v="407"/>
    <x v="14"/>
    <d v="2024-01-15T00:00:00"/>
    <d v="1899-12-30T20:00:00"/>
    <n v="14"/>
    <n v="0"/>
  </r>
  <r>
    <d v="2024-01-15T20:00:00"/>
    <x v="2"/>
    <x v="9"/>
    <n v="2002"/>
    <x v="1"/>
    <n v="36"/>
    <n v="3750"/>
    <n v="135000"/>
    <x v="329"/>
    <n v="132"/>
    <x v="408"/>
    <x v="14"/>
    <d v="2024-01-15T00:00:00"/>
    <d v="1899-12-30T20:00:00"/>
    <n v="14"/>
    <n v="0"/>
  </r>
  <r>
    <d v="2024-01-15T20:00:00"/>
    <x v="2"/>
    <x v="3"/>
    <n v="2002"/>
    <x v="2"/>
    <n v="10"/>
    <n v="6800"/>
    <n v="68000"/>
    <x v="392"/>
    <n v="108"/>
    <x v="409"/>
    <x v="14"/>
    <d v="2024-01-15T00:00:00"/>
    <d v="1899-12-30T20:00:00"/>
    <n v="11"/>
    <n v="0"/>
  </r>
  <r>
    <d v="2024-01-15T20:00:00"/>
    <x v="2"/>
    <x v="8"/>
    <n v="2002"/>
    <x v="1"/>
    <n v="30"/>
    <n v="3800"/>
    <n v="114000"/>
    <x v="393"/>
    <n v="132"/>
    <x v="410"/>
    <x v="14"/>
    <d v="2024-01-15T00:00:00"/>
    <d v="1899-12-30T20:00:00"/>
    <n v="7"/>
    <n v="0"/>
  </r>
  <r>
    <d v="2024-01-15T20:00:00"/>
    <x v="2"/>
    <x v="1"/>
    <n v="2002"/>
    <x v="1"/>
    <n v="30"/>
    <n v="3300"/>
    <n v="99000"/>
    <x v="394"/>
    <n v="132"/>
    <x v="390"/>
    <x v="14"/>
    <d v="2024-01-15T00:00:00"/>
    <d v="1899-12-30T20:00:00"/>
    <n v="13"/>
    <n v="0"/>
  </r>
  <r>
    <d v="2024-01-15T20:00:00"/>
    <x v="2"/>
    <x v="4"/>
    <n v="2002"/>
    <x v="1"/>
    <n v="50"/>
    <n v="4100"/>
    <n v="205000"/>
    <x v="313"/>
    <n v="78"/>
    <x v="343"/>
    <x v="14"/>
    <d v="2024-01-15T00:00:00"/>
    <d v="1899-12-30T20:00:00"/>
    <n v="10"/>
    <n v="0"/>
  </r>
  <r>
    <d v="2024-01-15T20:00:00"/>
    <x v="2"/>
    <x v="5"/>
    <n v="2002"/>
    <x v="1"/>
    <n v="30"/>
    <n v="3889"/>
    <n v="116670"/>
    <x v="367"/>
    <n v="156"/>
    <x v="411"/>
    <x v="14"/>
    <d v="2024-01-15T00:00:00"/>
    <d v="1899-12-30T20:00:00"/>
    <n v="8"/>
    <n v="0"/>
  </r>
  <r>
    <d v="2024-01-15T20:00:00"/>
    <x v="2"/>
    <x v="8"/>
    <n v="2002"/>
    <x v="2"/>
    <n v="13"/>
    <n v="6850"/>
    <n v="89050"/>
    <x v="395"/>
    <n v="132"/>
    <x v="412"/>
    <x v="14"/>
    <d v="2024-01-15T00:00:00"/>
    <d v="1899-12-30T20:00:00"/>
    <n v="7"/>
    <n v="0"/>
  </r>
  <r>
    <d v="2024-01-15T20:00:00"/>
    <x v="2"/>
    <x v="7"/>
    <n v="2002"/>
    <x v="1"/>
    <n v="30"/>
    <n v="3800"/>
    <n v="114000"/>
    <x v="388"/>
    <n v="120"/>
    <x v="261"/>
    <x v="14"/>
    <d v="2024-01-15T00:00:00"/>
    <d v="1899-12-30T20:00:00"/>
    <n v="12"/>
    <n v="0"/>
  </r>
  <r>
    <d v="2024-01-15T20:00:00"/>
    <x v="2"/>
    <x v="1"/>
    <n v="2002"/>
    <x v="2"/>
    <n v="17"/>
    <n v="6300"/>
    <n v="107100"/>
    <x v="341"/>
    <n v="132"/>
    <x v="403"/>
    <x v="14"/>
    <d v="2024-01-15T00:00:00"/>
    <d v="1899-12-30T20:00:00"/>
    <n v="13"/>
    <n v="0"/>
  </r>
  <r>
    <d v="2024-01-15T20:00:00"/>
    <x v="2"/>
    <x v="7"/>
    <n v="2002"/>
    <x v="2"/>
    <n v="22"/>
    <n v="6750"/>
    <n v="148500"/>
    <x v="370"/>
    <n v="120"/>
    <x v="394"/>
    <x v="14"/>
    <d v="2024-01-15T00:00:00"/>
    <d v="1899-12-30T20:00:00"/>
    <n v="12"/>
    <n v="0"/>
  </r>
  <r>
    <d v="2024-01-15T22:00:00"/>
    <x v="1"/>
    <x v="2"/>
    <n v="1009"/>
    <x v="1"/>
    <n v="15"/>
    <n v="3799"/>
    <n v="56985"/>
    <x v="356"/>
    <n v="76"/>
    <x v="413"/>
    <x v="14"/>
    <d v="2024-01-15T00:00:00"/>
    <d v="1899-12-30T22:00:00"/>
    <n v="9"/>
    <n v="0"/>
  </r>
  <r>
    <d v="2024-01-15T22:00:00"/>
    <x v="1"/>
    <x v="4"/>
    <n v="1009"/>
    <x v="1"/>
    <n v="21"/>
    <n v="4000"/>
    <n v="84000"/>
    <x v="383"/>
    <n v="60"/>
    <x v="359"/>
    <x v="14"/>
    <d v="2024-01-15T00:00:00"/>
    <d v="1899-12-30T22:00:00"/>
    <n v="10"/>
    <n v="0"/>
  </r>
  <r>
    <d v="2024-01-15T22:00:00"/>
    <x v="1"/>
    <x v="9"/>
    <n v="1009"/>
    <x v="1"/>
    <n v="24"/>
    <n v="3750"/>
    <n v="90000"/>
    <x v="396"/>
    <n v="96"/>
    <x v="392"/>
    <x v="14"/>
    <d v="2024-01-15T00:00:00"/>
    <d v="1899-12-30T22:00:00"/>
    <n v="14"/>
    <n v="0"/>
  </r>
  <r>
    <d v="2024-01-15T22:00:00"/>
    <x v="1"/>
    <x v="8"/>
    <n v="1009"/>
    <x v="1"/>
    <n v="11"/>
    <n v="3950"/>
    <n v="43450"/>
    <x v="394"/>
    <n v="96"/>
    <x v="406"/>
    <x v="14"/>
    <d v="2024-01-15T00:00:00"/>
    <d v="1899-12-30T22:00:00"/>
    <n v="7"/>
    <n v="0"/>
  </r>
  <r>
    <d v="2024-01-15T22:00:00"/>
    <x v="1"/>
    <x v="10"/>
    <n v="1009"/>
    <x v="1"/>
    <n v="19"/>
    <n v="3750"/>
    <n v="71250"/>
    <x v="391"/>
    <n v="96"/>
    <x v="351"/>
    <x v="14"/>
    <d v="2024-01-15T00:00:00"/>
    <d v="1899-12-30T22:00:00"/>
    <n v="16"/>
    <n v="0"/>
  </r>
  <r>
    <d v="2024-01-15T22:00:00"/>
    <x v="1"/>
    <x v="5"/>
    <n v="1009"/>
    <x v="1"/>
    <n v="12"/>
    <n v="3836"/>
    <n v="46032"/>
    <x v="397"/>
    <n v="144"/>
    <x v="414"/>
    <x v="14"/>
    <d v="2024-01-15T00:00:00"/>
    <d v="1899-12-30T22:00:00"/>
    <n v="8"/>
    <n v="0"/>
  </r>
  <r>
    <d v="2024-01-15T22:00:00"/>
    <x v="1"/>
    <x v="1"/>
    <n v="1009"/>
    <x v="1"/>
    <n v="30"/>
    <n v="3400"/>
    <n v="102000"/>
    <x v="380"/>
    <n v="96"/>
    <x v="358"/>
    <x v="14"/>
    <d v="2024-01-15T00:00:00"/>
    <d v="1899-12-30T22:00:00"/>
    <n v="13"/>
    <n v="0"/>
  </r>
  <r>
    <d v="2024-01-15T22:00:00"/>
    <x v="1"/>
    <x v="7"/>
    <n v="1009"/>
    <x v="1"/>
    <n v="16"/>
    <n v="3800"/>
    <n v="60800"/>
    <x v="388"/>
    <n v="96"/>
    <x v="357"/>
    <x v="14"/>
    <d v="2024-01-15T00:00:00"/>
    <d v="1899-12-30T22:00:00"/>
    <n v="12"/>
    <n v="0"/>
  </r>
  <r>
    <d v="2024-01-15T22:00:00"/>
    <x v="1"/>
    <x v="6"/>
    <n v="1009"/>
    <x v="1"/>
    <n v="37"/>
    <n v="3350"/>
    <n v="123950"/>
    <x v="317"/>
    <n v="88"/>
    <x v="342"/>
    <x v="14"/>
    <d v="2024-01-15T00:00:00"/>
    <d v="1899-12-30T22:00:00"/>
    <n v="15"/>
    <n v="0"/>
  </r>
  <r>
    <d v="2024-01-15T23:00:00"/>
    <x v="0"/>
    <x v="0"/>
    <n v="9"/>
    <x v="3"/>
    <n v="90"/>
    <n v="1350"/>
    <n v="121500"/>
    <x v="398"/>
    <n v="24"/>
    <x v="415"/>
    <x v="14"/>
    <d v="2024-01-15T00:00:00"/>
    <d v="1899-12-30T23:00:00"/>
    <n v="4"/>
    <n v="0"/>
  </r>
  <r>
    <d v="2024-01-16T00:00:00"/>
    <x v="1"/>
    <x v="4"/>
    <n v="1010"/>
    <x v="1"/>
    <n v="37"/>
    <n v="4000"/>
    <n v="148000"/>
    <x v="383"/>
    <n v="60"/>
    <x v="359"/>
    <x v="15"/>
    <d v="2024-01-16T00:00:00"/>
    <d v="1899-12-30T00:00:00"/>
    <n v="10"/>
    <n v="0"/>
  </r>
  <r>
    <d v="2024-01-16T00:00:00"/>
    <x v="1"/>
    <x v="5"/>
    <n v="1010"/>
    <x v="1"/>
    <n v="10"/>
    <n v="4185"/>
    <n v="41850"/>
    <x v="399"/>
    <n v="96"/>
    <x v="392"/>
    <x v="15"/>
    <d v="2024-01-16T00:00:00"/>
    <d v="1899-12-30T00:00:00"/>
    <n v="8"/>
    <n v="0"/>
  </r>
  <r>
    <d v="2024-01-16T00:00:00"/>
    <x v="1"/>
    <x v="1"/>
    <n v="1010"/>
    <x v="1"/>
    <n v="30"/>
    <n v="3400"/>
    <n v="102000"/>
    <x v="382"/>
    <n v="96"/>
    <x v="369"/>
    <x v="15"/>
    <d v="2024-01-16T00:00:00"/>
    <d v="1899-12-30T00:00:00"/>
    <n v="13"/>
    <n v="0"/>
  </r>
  <r>
    <d v="2024-01-16T00:00:00"/>
    <x v="1"/>
    <x v="7"/>
    <n v="1010"/>
    <x v="1"/>
    <n v="25"/>
    <n v="3800"/>
    <n v="95000"/>
    <x v="388"/>
    <n v="96"/>
    <x v="357"/>
    <x v="15"/>
    <d v="2024-01-16T00:00:00"/>
    <d v="1899-12-30T00:00:00"/>
    <n v="12"/>
    <n v="0"/>
  </r>
  <r>
    <d v="2024-01-16T00:00:00"/>
    <x v="1"/>
    <x v="8"/>
    <n v="1010"/>
    <x v="1"/>
    <n v="14"/>
    <n v="3950"/>
    <n v="55300"/>
    <x v="394"/>
    <n v="96"/>
    <x v="406"/>
    <x v="15"/>
    <d v="2024-01-16T00:00:00"/>
    <d v="1899-12-30T00:00:00"/>
    <n v="7"/>
    <n v="0"/>
  </r>
  <r>
    <d v="2024-01-16T00:00:00"/>
    <x v="1"/>
    <x v="9"/>
    <n v="1010"/>
    <x v="1"/>
    <n v="28"/>
    <n v="3750"/>
    <n v="105000"/>
    <x v="388"/>
    <n v="96"/>
    <x v="357"/>
    <x v="15"/>
    <d v="2024-01-16T00:00:00"/>
    <d v="1899-12-30T00:00:00"/>
    <n v="14"/>
    <n v="0"/>
  </r>
  <r>
    <d v="2024-01-16T00:00:00"/>
    <x v="1"/>
    <x v="3"/>
    <n v="1010"/>
    <x v="1"/>
    <n v="22"/>
    <n v="4000"/>
    <n v="88000"/>
    <x v="372"/>
    <n v="96"/>
    <x v="396"/>
    <x v="15"/>
    <d v="2024-01-16T00:00:00"/>
    <d v="1899-12-30T00:00:00"/>
    <n v="11"/>
    <n v="0"/>
  </r>
  <r>
    <d v="2024-01-16T00:00:00"/>
    <x v="1"/>
    <x v="2"/>
    <n v="1010"/>
    <x v="1"/>
    <n v="15"/>
    <n v="3799"/>
    <n v="56985"/>
    <x v="317"/>
    <n v="76"/>
    <x v="342"/>
    <x v="15"/>
    <d v="2024-01-16T00:00:00"/>
    <d v="1899-12-30T00:00:00"/>
    <n v="9"/>
    <n v="0"/>
  </r>
  <r>
    <d v="2024-01-16T00:00:00"/>
    <x v="1"/>
    <x v="10"/>
    <n v="1010"/>
    <x v="1"/>
    <n v="19"/>
    <n v="3750"/>
    <n v="71250"/>
    <x v="381"/>
    <n v="96"/>
    <x v="364"/>
    <x v="15"/>
    <d v="2024-01-16T00:00:00"/>
    <d v="1899-12-30T00:00:00"/>
    <n v="16"/>
    <n v="0"/>
  </r>
  <r>
    <d v="2024-01-16T00:00:00"/>
    <x v="1"/>
    <x v="6"/>
    <n v="1010"/>
    <x v="1"/>
    <n v="49"/>
    <n v="3350"/>
    <n v="164150"/>
    <x v="391"/>
    <n v="88"/>
    <x v="351"/>
    <x v="15"/>
    <d v="2024-01-16T00:00:00"/>
    <d v="1899-12-30T00:00:00"/>
    <n v="15"/>
    <n v="0"/>
  </r>
  <r>
    <d v="2024-01-16T00:00:00"/>
    <x v="0"/>
    <x v="0"/>
    <n v="11"/>
    <x v="3"/>
    <n v="98"/>
    <n v="1350"/>
    <n v="132300"/>
    <x v="389"/>
    <n v="24"/>
    <x v="301"/>
    <x v="15"/>
    <d v="2024-01-16T00:00:00"/>
    <d v="1899-12-30T00:00:00"/>
    <n v="4"/>
    <n v="0"/>
  </r>
  <r>
    <d v="2024-01-16T00:00:00"/>
    <x v="0"/>
    <x v="15"/>
    <n v="10"/>
    <x v="3"/>
    <n v="300"/>
    <n v="1500"/>
    <n v="450000"/>
    <x v="389"/>
    <n v="24"/>
    <x v="301"/>
    <x v="15"/>
    <d v="2024-01-16T00:00:00"/>
    <d v="1899-12-30T00:00:00"/>
    <n v="1"/>
    <n v="0"/>
  </r>
  <r>
    <d v="2024-01-16T06:00:00"/>
    <x v="1"/>
    <x v="1"/>
    <n v="1004"/>
    <x v="2"/>
    <n v="11"/>
    <n v="6300"/>
    <n v="69300"/>
    <x v="348"/>
    <n v="96"/>
    <x v="367"/>
    <x v="15"/>
    <d v="2024-01-16T00:00:00"/>
    <d v="1899-12-30T06:00:00"/>
    <n v="13"/>
    <n v="0"/>
  </r>
  <r>
    <d v="2024-01-16T06:00:00"/>
    <x v="0"/>
    <x v="13"/>
    <n v="15"/>
    <x v="0"/>
    <n v="2800"/>
    <n v="130"/>
    <n v="364000"/>
    <x v="388"/>
    <n v="72"/>
    <x v="357"/>
    <x v="15"/>
    <d v="2024-01-16T00:00:00"/>
    <d v="1899-12-30T06:00:00"/>
    <n v="2"/>
    <n v="0"/>
  </r>
  <r>
    <d v="2024-01-16T06:00:00"/>
    <x v="1"/>
    <x v="6"/>
    <n v="1004"/>
    <x v="2"/>
    <n v="13"/>
    <n v="6350"/>
    <n v="82550"/>
    <x v="390"/>
    <n v="64"/>
    <x v="337"/>
    <x v="15"/>
    <d v="2024-01-16T00:00:00"/>
    <d v="1899-12-30T06:00:00"/>
    <n v="15"/>
    <n v="0"/>
  </r>
  <r>
    <d v="2024-01-16T06:00:00"/>
    <x v="1"/>
    <x v="8"/>
    <n v="1004"/>
    <x v="2"/>
    <n v="4"/>
    <n v="6850"/>
    <n v="27400"/>
    <x v="400"/>
    <n v="96"/>
    <x v="368"/>
    <x v="15"/>
    <d v="2024-01-16T00:00:00"/>
    <d v="1899-12-30T06:00:00"/>
    <n v="7"/>
    <n v="0"/>
  </r>
  <r>
    <d v="2024-01-16T06:00:00"/>
    <x v="0"/>
    <x v="13"/>
    <n v="9"/>
    <x v="3"/>
    <n v="100"/>
    <n v="1700"/>
    <n v="170000"/>
    <x v="401"/>
    <n v="24"/>
    <x v="294"/>
    <x v="15"/>
    <d v="2024-01-16T00:00:00"/>
    <d v="1899-12-30T06:00:00"/>
    <n v="2"/>
    <n v="0"/>
  </r>
  <r>
    <d v="2024-01-16T06:00:00"/>
    <x v="1"/>
    <x v="9"/>
    <n v="1004"/>
    <x v="2"/>
    <n v="5"/>
    <n v="6650"/>
    <n v="33250"/>
    <x v="289"/>
    <n v="96"/>
    <x v="416"/>
    <x v="15"/>
    <d v="2024-01-16T00:00:00"/>
    <d v="1899-12-30T06:00:00"/>
    <n v="14"/>
    <n v="0"/>
  </r>
  <r>
    <d v="2024-01-16T06:00:00"/>
    <x v="1"/>
    <x v="10"/>
    <n v="1004"/>
    <x v="2"/>
    <n v="5"/>
    <n v="6650"/>
    <n v="33250"/>
    <x v="396"/>
    <n v="96"/>
    <x v="352"/>
    <x v="15"/>
    <d v="2024-01-16T00:00:00"/>
    <d v="1899-12-30T06:00:00"/>
    <n v="16"/>
    <n v="0"/>
  </r>
  <r>
    <d v="2024-01-16T09:00:00"/>
    <x v="0"/>
    <x v="0"/>
    <n v="8"/>
    <x v="3"/>
    <n v="200"/>
    <n v="1350"/>
    <n v="270000"/>
    <x v="329"/>
    <n v="24"/>
    <x v="321"/>
    <x v="15"/>
    <d v="2024-01-16T00:00:00"/>
    <d v="1899-12-30T09:00:00"/>
    <n v="4"/>
    <n v="0"/>
  </r>
  <r>
    <d v="2024-01-16T09:00:00"/>
    <x v="0"/>
    <x v="13"/>
    <n v="8"/>
    <x v="3"/>
    <n v="400"/>
    <n v="1700"/>
    <n v="680000"/>
    <x v="383"/>
    <n v="24"/>
    <x v="309"/>
    <x v="15"/>
    <d v="2024-01-16T00:00:00"/>
    <d v="1899-12-30T09:00:00"/>
    <n v="2"/>
    <n v="0"/>
  </r>
  <r>
    <d v="2024-01-16T13:00:00"/>
    <x v="3"/>
    <x v="8"/>
    <n v="3004"/>
    <x v="2"/>
    <n v="8"/>
    <n v="7500"/>
    <n v="60000"/>
    <x v="402"/>
    <n v="288"/>
    <x v="417"/>
    <x v="15"/>
    <d v="2024-01-16T00:00:00"/>
    <d v="1899-12-30T13:00:00"/>
    <n v="7"/>
    <n v="0"/>
  </r>
  <r>
    <d v="2024-01-16T13:00:00"/>
    <x v="3"/>
    <x v="8"/>
    <n v="3003"/>
    <x v="2"/>
    <n v="6"/>
    <n v="7500"/>
    <n v="45000"/>
    <x v="402"/>
    <n v="288"/>
    <x v="417"/>
    <x v="15"/>
    <d v="2024-01-16T00:00:00"/>
    <d v="1899-12-30T13:00:00"/>
    <n v="7"/>
    <n v="0"/>
  </r>
  <r>
    <d v="2024-01-16T13:00:00"/>
    <x v="3"/>
    <x v="8"/>
    <n v="3001"/>
    <x v="2"/>
    <n v="3"/>
    <n v="7500"/>
    <n v="22500"/>
    <x v="403"/>
    <n v="288"/>
    <x v="418"/>
    <x v="15"/>
    <d v="2024-01-16T00:00:00"/>
    <d v="1899-12-30T13:00:00"/>
    <n v="7"/>
    <n v="0"/>
  </r>
  <r>
    <d v="2024-01-16T14:00:00"/>
    <x v="0"/>
    <x v="0"/>
    <n v="9"/>
    <x v="3"/>
    <n v="220"/>
    <n v="1350"/>
    <n v="297000"/>
    <x v="404"/>
    <n v="24"/>
    <x v="180"/>
    <x v="15"/>
    <d v="2024-01-16T00:00:00"/>
    <d v="1899-12-30T14:00:00"/>
    <n v="4"/>
    <n v="0"/>
  </r>
  <r>
    <d v="2024-01-16T15:00:00"/>
    <x v="0"/>
    <x v="15"/>
    <n v="14"/>
    <x v="3"/>
    <n v="400"/>
    <n v="1350"/>
    <n v="540000"/>
    <x v="341"/>
    <n v="24"/>
    <x v="307"/>
    <x v="15"/>
    <d v="2024-01-16T00:00:00"/>
    <d v="1899-12-30T15:00:00"/>
    <n v="1"/>
    <n v="0"/>
  </r>
  <r>
    <d v="2024-01-16T16:00:00"/>
    <x v="2"/>
    <x v="3"/>
    <n v="2003"/>
    <x v="1"/>
    <n v="40"/>
    <n v="4000"/>
    <n v="160000"/>
    <x v="342"/>
    <n v="132"/>
    <x v="414"/>
    <x v="15"/>
    <d v="2024-01-16T00:00:00"/>
    <d v="1899-12-30T16:00:00"/>
    <n v="11"/>
    <n v="0"/>
  </r>
  <r>
    <d v="2024-01-16T16:00:00"/>
    <x v="2"/>
    <x v="10"/>
    <n v="2003"/>
    <x v="1"/>
    <n v="30"/>
    <n v="3750"/>
    <n v="112500"/>
    <x v="342"/>
    <n v="132"/>
    <x v="414"/>
    <x v="15"/>
    <d v="2024-01-16T00:00:00"/>
    <d v="1899-12-30T16:00:00"/>
    <n v="16"/>
    <n v="0"/>
  </r>
  <r>
    <d v="2024-01-16T16:00:00"/>
    <x v="2"/>
    <x v="5"/>
    <n v="2003"/>
    <x v="1"/>
    <n v="30"/>
    <n v="3889"/>
    <n v="116670"/>
    <x v="397"/>
    <n v="156"/>
    <x v="419"/>
    <x v="15"/>
    <d v="2024-01-16T00:00:00"/>
    <d v="1899-12-30T16:00:00"/>
    <n v="8"/>
    <n v="0"/>
  </r>
  <r>
    <d v="2024-01-16T16:00:00"/>
    <x v="1"/>
    <x v="5"/>
    <n v="1005"/>
    <x v="1"/>
    <n v="10"/>
    <n v="4185"/>
    <n v="41850"/>
    <x v="399"/>
    <n v="96"/>
    <x v="406"/>
    <x v="15"/>
    <d v="2024-01-16T00:00:00"/>
    <d v="1899-12-30T16:00:00"/>
    <n v="8"/>
    <n v="0"/>
  </r>
  <r>
    <d v="2024-01-16T16:00:00"/>
    <x v="2"/>
    <x v="3"/>
    <n v="2003"/>
    <x v="2"/>
    <n v="10"/>
    <n v="6800"/>
    <n v="68000"/>
    <x v="365"/>
    <n v="108"/>
    <x v="420"/>
    <x v="15"/>
    <d v="2024-01-16T00:00:00"/>
    <d v="1899-12-30T16:00:00"/>
    <n v="11"/>
    <n v="0"/>
  </r>
  <r>
    <d v="2024-01-16T16:00:00"/>
    <x v="2"/>
    <x v="1"/>
    <n v="2003"/>
    <x v="2"/>
    <n v="30"/>
    <n v="6300"/>
    <n v="189000"/>
    <x v="405"/>
    <n v="132"/>
    <x v="421"/>
    <x v="15"/>
    <d v="2024-01-16T00:00:00"/>
    <d v="1899-12-30T16:00:00"/>
    <n v="13"/>
    <n v="0"/>
  </r>
  <r>
    <d v="2024-01-16T16:00:00"/>
    <x v="2"/>
    <x v="2"/>
    <n v="2003"/>
    <x v="1"/>
    <n v="30"/>
    <n v="3799"/>
    <n v="113970"/>
    <x v="341"/>
    <n v="112"/>
    <x v="403"/>
    <x v="15"/>
    <d v="2024-01-16T00:00:00"/>
    <d v="1899-12-30T16:00:00"/>
    <n v="9"/>
    <n v="0"/>
  </r>
  <r>
    <d v="2024-01-16T16:00:00"/>
    <x v="2"/>
    <x v="7"/>
    <n v="2003"/>
    <x v="1"/>
    <n v="30"/>
    <n v="3800"/>
    <n v="114000"/>
    <x v="286"/>
    <n v="120"/>
    <x v="422"/>
    <x v="15"/>
    <d v="2024-01-16T00:00:00"/>
    <d v="1899-12-30T16:00:00"/>
    <n v="12"/>
    <n v="0"/>
  </r>
  <r>
    <d v="2024-01-16T16:00:00"/>
    <x v="1"/>
    <x v="6"/>
    <n v="1005"/>
    <x v="1"/>
    <n v="50"/>
    <n v="3350"/>
    <n v="167500"/>
    <x v="289"/>
    <n v="88"/>
    <x v="416"/>
    <x v="15"/>
    <d v="2024-01-16T00:00:00"/>
    <d v="1899-12-30T16:00:00"/>
    <n v="15"/>
    <n v="0"/>
  </r>
  <r>
    <d v="2024-01-16T16:00:00"/>
    <x v="2"/>
    <x v="2"/>
    <n v="2003"/>
    <x v="2"/>
    <n v="38"/>
    <n v="6489"/>
    <n v="246582"/>
    <x v="307"/>
    <n v="120"/>
    <x v="422"/>
    <x v="15"/>
    <d v="2024-01-16T00:00:00"/>
    <d v="1899-12-30T16:00:00"/>
    <n v="9"/>
    <n v="0"/>
  </r>
  <r>
    <d v="2024-01-16T16:00:00"/>
    <x v="1"/>
    <x v="10"/>
    <n v="1005"/>
    <x v="1"/>
    <n v="30"/>
    <n v="3750"/>
    <n v="112500"/>
    <x v="332"/>
    <n v="96"/>
    <x v="362"/>
    <x v="15"/>
    <d v="2024-01-16T00:00:00"/>
    <d v="1899-12-30T16:00:00"/>
    <n v="16"/>
    <n v="0"/>
  </r>
  <r>
    <d v="2024-01-16T16:00:00"/>
    <x v="1"/>
    <x v="7"/>
    <n v="1005"/>
    <x v="1"/>
    <n v="11"/>
    <n v="3800"/>
    <n v="114000"/>
    <x v="339"/>
    <n v="96"/>
    <x v="423"/>
    <x v="15"/>
    <d v="2024-01-16T00:00:00"/>
    <d v="1899-12-30T16:00:00"/>
    <n v="12"/>
    <n v="0"/>
  </r>
  <r>
    <d v="2024-01-16T16:00:00"/>
    <x v="1"/>
    <x v="1"/>
    <n v="1005"/>
    <x v="1"/>
    <n v="30"/>
    <n v="3400"/>
    <n v="102000"/>
    <x v="405"/>
    <n v="96"/>
    <x v="424"/>
    <x v="15"/>
    <d v="2024-01-16T00:00:00"/>
    <d v="1899-12-30T16:00:00"/>
    <n v="13"/>
    <n v="0"/>
  </r>
  <r>
    <d v="2024-01-16T16:00:00"/>
    <x v="1"/>
    <x v="2"/>
    <n v="1005"/>
    <x v="1"/>
    <n v="15"/>
    <n v="3799"/>
    <n v="56985"/>
    <x v="341"/>
    <n v="76"/>
    <x v="425"/>
    <x v="15"/>
    <d v="2024-01-16T00:00:00"/>
    <d v="1899-12-30T16:00:00"/>
    <n v="9"/>
    <n v="0"/>
  </r>
  <r>
    <d v="2024-01-16T16:00:00"/>
    <x v="2"/>
    <x v="6"/>
    <n v="2003"/>
    <x v="1"/>
    <n v="30"/>
    <n v="4050"/>
    <n v="121500"/>
    <x v="286"/>
    <n v="48"/>
    <x v="426"/>
    <x v="15"/>
    <d v="2024-01-16T00:00:00"/>
    <d v="1899-12-30T16:00:00"/>
    <n v="15"/>
    <n v="0"/>
  </r>
  <r>
    <d v="2024-01-16T16:00:00"/>
    <x v="0"/>
    <x v="0"/>
    <n v="13"/>
    <x v="0"/>
    <n v="1500"/>
    <n v="110"/>
    <n v="165000"/>
    <x v="371"/>
    <n v="72"/>
    <x v="386"/>
    <x v="15"/>
    <d v="2024-01-16T00:00:00"/>
    <d v="1899-12-30T16:00:00"/>
    <n v="4"/>
    <n v="0"/>
  </r>
  <r>
    <d v="2024-01-16T16:00:00"/>
    <x v="2"/>
    <x v="9"/>
    <n v="2003"/>
    <x v="2"/>
    <n v="29"/>
    <n v="6650"/>
    <n v="192850"/>
    <x v="406"/>
    <n v="132"/>
    <x v="427"/>
    <x v="15"/>
    <d v="2024-01-16T00:00:00"/>
    <d v="1899-12-30T16:00:00"/>
    <n v="14"/>
    <n v="0"/>
  </r>
  <r>
    <d v="2024-01-16T16:00:00"/>
    <x v="2"/>
    <x v="4"/>
    <n v="2003"/>
    <x v="1"/>
    <n v="80"/>
    <n v="4100"/>
    <n v="328000"/>
    <x v="307"/>
    <n v="114"/>
    <x v="422"/>
    <x v="15"/>
    <d v="2024-01-16T00:00:00"/>
    <d v="1899-12-30T16:00:00"/>
    <n v="10"/>
    <n v="0"/>
  </r>
  <r>
    <d v="2024-01-16T16:00:00"/>
    <x v="2"/>
    <x v="8"/>
    <n v="2003"/>
    <x v="2"/>
    <n v="25"/>
    <n v="6850"/>
    <n v="171250"/>
    <x v="407"/>
    <n v="132"/>
    <x v="428"/>
    <x v="15"/>
    <d v="2024-01-16T00:00:00"/>
    <d v="1899-12-30T16:00:00"/>
    <n v="7"/>
    <n v="0"/>
  </r>
  <r>
    <d v="2024-01-16T16:00:00"/>
    <x v="1"/>
    <x v="3"/>
    <n v="1005"/>
    <x v="1"/>
    <n v="30"/>
    <n v="4000"/>
    <n v="120000"/>
    <x v="332"/>
    <n v="96"/>
    <x v="401"/>
    <x v="15"/>
    <d v="2024-01-16T00:00:00"/>
    <d v="1899-12-30T16:00:00"/>
    <n v="11"/>
    <n v="0"/>
  </r>
  <r>
    <d v="2024-01-16T16:00:00"/>
    <x v="2"/>
    <x v="10"/>
    <n v="2003"/>
    <x v="2"/>
    <n v="30"/>
    <n v="6650"/>
    <n v="199500"/>
    <x v="342"/>
    <n v="132"/>
    <x v="429"/>
    <x v="15"/>
    <d v="2024-01-16T00:00:00"/>
    <d v="1899-12-30T16:00:00"/>
    <n v="16"/>
    <n v="0"/>
  </r>
  <r>
    <d v="2024-01-16T16:00:00"/>
    <x v="1"/>
    <x v="8"/>
    <n v="1005"/>
    <x v="1"/>
    <n v="30"/>
    <n v="3950"/>
    <n v="118500"/>
    <x v="408"/>
    <n v="96"/>
    <x v="394"/>
    <x v="15"/>
    <d v="2024-01-16T00:00:00"/>
    <d v="1899-12-30T16:00:00"/>
    <n v="7"/>
    <n v="0"/>
  </r>
  <r>
    <d v="2024-01-16T16:00:00"/>
    <x v="2"/>
    <x v="6"/>
    <n v="2003"/>
    <x v="2"/>
    <n v="40"/>
    <n v="6200"/>
    <n v="248000"/>
    <x v="286"/>
    <n v="48"/>
    <x v="426"/>
    <x v="15"/>
    <d v="2024-01-16T00:00:00"/>
    <d v="1899-12-30T16:00:00"/>
    <n v="15"/>
    <n v="0"/>
  </r>
  <r>
    <d v="2024-01-16T16:00:00"/>
    <x v="2"/>
    <x v="9"/>
    <n v="2003"/>
    <x v="1"/>
    <n v="36"/>
    <n v="3750"/>
    <n v="135000"/>
    <x v="371"/>
    <n v="132"/>
    <x v="430"/>
    <x v="15"/>
    <d v="2024-01-16T00:00:00"/>
    <d v="1899-12-30T16:00:00"/>
    <n v="14"/>
    <n v="0"/>
  </r>
  <r>
    <d v="2024-01-16T16:00:00"/>
    <x v="0"/>
    <x v="11"/>
    <n v="12"/>
    <x v="0"/>
    <n v="1916"/>
    <n v="140"/>
    <n v="268240"/>
    <x v="289"/>
    <n v="72"/>
    <x v="416"/>
    <x v="15"/>
    <d v="2024-01-16T00:00:00"/>
    <d v="1899-12-30T16:00:00"/>
    <n v="6"/>
    <n v="0"/>
  </r>
  <r>
    <d v="2024-01-16T16:00:00"/>
    <x v="1"/>
    <x v="9"/>
    <n v="1005"/>
    <x v="1"/>
    <n v="39"/>
    <n v="3750"/>
    <n v="146250"/>
    <x v="406"/>
    <n v="96"/>
    <x v="409"/>
    <x v="15"/>
    <d v="2024-01-16T00:00:00"/>
    <d v="1899-12-30T16:00:00"/>
    <n v="14"/>
    <n v="0"/>
  </r>
  <r>
    <d v="2024-01-16T16:00:00"/>
    <x v="2"/>
    <x v="8"/>
    <n v="2003"/>
    <x v="1"/>
    <n v="30"/>
    <n v="3800"/>
    <n v="114000"/>
    <x v="409"/>
    <n v="132"/>
    <x v="431"/>
    <x v="15"/>
    <d v="2024-01-16T00:00:00"/>
    <d v="1899-12-30T16:00:00"/>
    <n v="7"/>
    <n v="0"/>
  </r>
  <r>
    <d v="2024-01-16T16:00:00"/>
    <x v="2"/>
    <x v="5"/>
    <n v="2003"/>
    <x v="2"/>
    <n v="33"/>
    <n v="6000"/>
    <n v="198000"/>
    <x v="292"/>
    <n v="156"/>
    <x v="432"/>
    <x v="15"/>
    <d v="2024-01-16T00:00:00"/>
    <d v="1899-12-30T16:00:00"/>
    <n v="8"/>
    <n v="0"/>
  </r>
  <r>
    <d v="2024-01-16T16:00:00"/>
    <x v="2"/>
    <x v="1"/>
    <n v="2003"/>
    <x v="1"/>
    <n v="30"/>
    <n v="3300"/>
    <n v="99000"/>
    <x v="405"/>
    <n v="132"/>
    <x v="421"/>
    <x v="15"/>
    <d v="2024-01-16T00:00:00"/>
    <d v="1899-12-30T16:00:00"/>
    <n v="13"/>
    <n v="0"/>
  </r>
  <r>
    <d v="2024-01-16T16:00:00"/>
    <x v="1"/>
    <x v="7"/>
    <n v="1005"/>
    <x v="1"/>
    <n v="19"/>
    <n v="3800"/>
    <n v="72200"/>
    <x v="410"/>
    <n v="96"/>
    <x v="362"/>
    <x v="15"/>
    <d v="2024-01-16T00:00:00"/>
    <d v="1899-12-30T16:00:00"/>
    <n v="12"/>
    <n v="0"/>
  </r>
  <r>
    <d v="2024-01-16T16:00:00"/>
    <x v="1"/>
    <x v="4"/>
    <n v="1005"/>
    <x v="1"/>
    <n v="30"/>
    <n v="4200"/>
    <n v="126000"/>
    <x v="307"/>
    <n v="84"/>
    <x v="369"/>
    <x v="15"/>
    <d v="2024-01-16T00:00:00"/>
    <d v="1899-12-30T16:00:00"/>
    <n v="10"/>
    <n v="0"/>
  </r>
  <r>
    <d v="2024-01-16T16:00:00"/>
    <x v="2"/>
    <x v="7"/>
    <n v="2003"/>
    <x v="2"/>
    <n v="30"/>
    <n v="6750"/>
    <n v="202500"/>
    <x v="375"/>
    <n v="120"/>
    <x v="390"/>
    <x v="15"/>
    <d v="2024-01-16T00:00:00"/>
    <d v="1899-12-30T16:00:00"/>
    <n v="12"/>
    <n v="0"/>
  </r>
  <r>
    <d v="2024-01-16T17:00:00"/>
    <x v="0"/>
    <x v="0"/>
    <n v="11"/>
    <x v="0"/>
    <n v="1500"/>
    <n v="110"/>
    <n v="165000"/>
    <x v="286"/>
    <n v="72"/>
    <x v="358"/>
    <x v="15"/>
    <d v="2024-01-16T00:00:00"/>
    <d v="1899-12-30T17:00:00"/>
    <n v="4"/>
    <n v="0"/>
  </r>
  <r>
    <d v="2024-01-16T18:00:00"/>
    <x v="0"/>
    <x v="11"/>
    <n v="15"/>
    <x v="3"/>
    <n v="315"/>
    <n v="1450"/>
    <n v="456750"/>
    <x v="350"/>
    <n v="72"/>
    <x v="370"/>
    <x v="15"/>
    <d v="2024-01-16T00:00:00"/>
    <d v="1899-12-30T18:00:00"/>
    <n v="6"/>
    <n v="0"/>
  </r>
  <r>
    <d v="2024-01-16T19:00:00"/>
    <x v="1"/>
    <x v="10"/>
    <n v="1002"/>
    <x v="1"/>
    <n v="18"/>
    <n v="3750"/>
    <n v="67500"/>
    <x v="350"/>
    <n v="96"/>
    <x v="370"/>
    <x v="15"/>
    <d v="2024-01-16T00:00:00"/>
    <d v="1899-12-30T19:00:00"/>
    <n v="16"/>
    <n v="0"/>
  </r>
  <r>
    <d v="2024-01-16T19:00:00"/>
    <x v="1"/>
    <x v="2"/>
    <n v="1002"/>
    <x v="1"/>
    <n v="15"/>
    <n v="3799"/>
    <n v="56985"/>
    <x v="305"/>
    <n v="76"/>
    <x v="365"/>
    <x v="15"/>
    <d v="2024-01-16T00:00:00"/>
    <d v="1899-12-30T19:00:00"/>
    <n v="9"/>
    <n v="0"/>
  </r>
  <r>
    <d v="2024-01-16T19:00:00"/>
    <x v="1"/>
    <x v="1"/>
    <n v="1002"/>
    <x v="1"/>
    <n v="30"/>
    <n v="3400"/>
    <n v="102000"/>
    <x v="365"/>
    <n v="96"/>
    <x v="420"/>
    <x v="15"/>
    <d v="2024-01-16T00:00:00"/>
    <d v="1899-12-30T19:00:00"/>
    <n v="13"/>
    <n v="0"/>
  </r>
  <r>
    <d v="2024-01-16T19:00:00"/>
    <x v="1"/>
    <x v="5"/>
    <n v="1002"/>
    <x v="1"/>
    <n v="10"/>
    <n v="4185"/>
    <n v="41850"/>
    <x v="370"/>
    <n v="96"/>
    <x v="394"/>
    <x v="15"/>
    <d v="2024-01-16T00:00:00"/>
    <d v="1899-12-30T19:00:00"/>
    <n v="8"/>
    <n v="0"/>
  </r>
  <r>
    <d v="2024-01-16T19:00:00"/>
    <x v="1"/>
    <x v="8"/>
    <n v="1002"/>
    <x v="1"/>
    <n v="15"/>
    <n v="3950"/>
    <n v="59250"/>
    <x v="408"/>
    <n v="96"/>
    <x v="394"/>
    <x v="15"/>
    <d v="2024-01-16T00:00:00"/>
    <d v="1899-12-30T19:00:00"/>
    <n v="7"/>
    <n v="0"/>
  </r>
  <r>
    <d v="2024-01-16T19:00:00"/>
    <x v="1"/>
    <x v="7"/>
    <n v="1002"/>
    <x v="1"/>
    <n v="23"/>
    <n v="3800"/>
    <n v="87400"/>
    <x v="411"/>
    <n v="96"/>
    <x v="420"/>
    <x v="15"/>
    <d v="2024-01-16T00:00:00"/>
    <d v="1899-12-30T19:00:00"/>
    <n v="12"/>
    <n v="0"/>
  </r>
  <r>
    <d v="2024-01-16T19:00:00"/>
    <x v="1"/>
    <x v="9"/>
    <n v="1002"/>
    <x v="1"/>
    <n v="31"/>
    <n v="3750"/>
    <n v="116250"/>
    <x v="337"/>
    <n v="96"/>
    <x v="391"/>
    <x v="15"/>
    <d v="2024-01-16T00:00:00"/>
    <d v="1899-12-30T19:00:00"/>
    <n v="14"/>
    <n v="0"/>
  </r>
  <r>
    <d v="2024-01-16T19:00:00"/>
    <x v="1"/>
    <x v="6"/>
    <n v="1002"/>
    <x v="1"/>
    <n v="30"/>
    <n v="3450"/>
    <n v="103500"/>
    <x v="332"/>
    <n v="88"/>
    <x v="401"/>
    <x v="15"/>
    <d v="2024-01-16T00:00:00"/>
    <d v="1899-12-30T19:00:00"/>
    <n v="15"/>
    <n v="0"/>
  </r>
  <r>
    <d v="2024-01-16T19:00:00"/>
    <x v="1"/>
    <x v="4"/>
    <n v="1002"/>
    <x v="1"/>
    <n v="30"/>
    <n v="4200"/>
    <n v="126000"/>
    <x v="371"/>
    <n v="84"/>
    <x v="386"/>
    <x v="15"/>
    <d v="2024-01-16T00:00:00"/>
    <d v="1899-12-30T19:00:00"/>
    <n v="10"/>
    <n v="0"/>
  </r>
  <r>
    <d v="2024-01-16T19:00:00"/>
    <x v="1"/>
    <x v="3"/>
    <n v="1002"/>
    <x v="1"/>
    <n v="27"/>
    <n v="4000"/>
    <n v="108000"/>
    <x v="348"/>
    <n v="96"/>
    <x v="367"/>
    <x v="15"/>
    <d v="2024-01-16T00:00:00"/>
    <d v="1899-12-30T19:00:00"/>
    <n v="11"/>
    <n v="0"/>
  </r>
  <r>
    <d v="2024-01-16T21:00:00"/>
    <x v="0"/>
    <x v="12"/>
    <n v="16"/>
    <x v="0"/>
    <n v="2000"/>
    <n v="120"/>
    <n v="240000"/>
    <x v="406"/>
    <n v="24"/>
    <x v="339"/>
    <x v="15"/>
    <d v="2024-01-16T00:00:00"/>
    <d v="1899-12-30T21:00:00"/>
    <n v="5"/>
    <n v="0"/>
  </r>
  <r>
    <d v="2024-01-16T22:00:00"/>
    <x v="0"/>
    <x v="13"/>
    <n v="8"/>
    <x v="3"/>
    <n v="300"/>
    <n v="1700"/>
    <n v="510000"/>
    <x v="350"/>
    <n v="24"/>
    <x v="317"/>
    <x v="15"/>
    <d v="2024-01-16T00:00:00"/>
    <d v="1899-12-30T22:00:00"/>
    <n v="2"/>
    <n v="0"/>
  </r>
  <r>
    <d v="2024-01-16T23:00:00"/>
    <x v="3"/>
    <x v="8"/>
    <n v="3006"/>
    <x v="1"/>
    <n v="7"/>
    <n v="4650"/>
    <n v="32550"/>
    <x v="412"/>
    <n v="288"/>
    <x v="433"/>
    <x v="15"/>
    <d v="2024-01-16T00:00:00"/>
    <d v="1899-12-30T23:00:00"/>
    <n v="7"/>
    <n v="0"/>
  </r>
  <r>
    <d v="2024-01-16T23:00:00"/>
    <x v="3"/>
    <x v="6"/>
    <n v="3006"/>
    <x v="1"/>
    <n v="5"/>
    <n v="4150"/>
    <n v="20750"/>
    <x v="413"/>
    <n v="288"/>
    <x v="434"/>
    <x v="15"/>
    <d v="2024-01-16T00:00:00"/>
    <d v="1899-12-30T23:00:00"/>
    <n v="15"/>
    <n v="0"/>
  </r>
  <r>
    <d v="2024-01-16T23:00:00"/>
    <x v="3"/>
    <x v="8"/>
    <n v="3002"/>
    <x v="1"/>
    <n v="6"/>
    <n v="4650"/>
    <n v="27900"/>
    <x v="414"/>
    <n v="288"/>
    <x v="435"/>
    <x v="15"/>
    <d v="2024-01-16T00:00:00"/>
    <d v="1899-12-30T23:00:00"/>
    <n v="7"/>
    <n v="0"/>
  </r>
  <r>
    <d v="2024-01-16T23:00:00"/>
    <x v="3"/>
    <x v="6"/>
    <n v="3002"/>
    <x v="1"/>
    <n v="4"/>
    <n v="4150"/>
    <n v="16600"/>
    <x v="413"/>
    <n v="288"/>
    <x v="434"/>
    <x v="15"/>
    <d v="2024-01-16T00:00:00"/>
    <d v="1899-12-30T23:00:00"/>
    <n v="15"/>
    <n v="0"/>
  </r>
  <r>
    <d v="2024-01-17T00:00:00"/>
    <x v="0"/>
    <x v="0"/>
    <n v="11"/>
    <x v="3"/>
    <n v="200"/>
    <n v="1350"/>
    <n v="270000"/>
    <x v="348"/>
    <n v="24"/>
    <x v="347"/>
    <x v="16"/>
    <d v="2024-01-17T00:00:00"/>
    <d v="1899-12-30T00:00:00"/>
    <n v="4"/>
    <n v="0"/>
  </r>
  <r>
    <d v="2024-01-17T02:00:00"/>
    <x v="1"/>
    <x v="10"/>
    <n v="1001"/>
    <x v="1"/>
    <n v="30"/>
    <n v="3750"/>
    <n v="112500"/>
    <x v="415"/>
    <n v="96"/>
    <x v="405"/>
    <x v="16"/>
    <d v="2024-01-17T00:00:00"/>
    <d v="1899-12-30T02:00:00"/>
    <n v="16"/>
    <n v="0"/>
  </r>
  <r>
    <d v="2024-01-17T02:00:00"/>
    <x v="1"/>
    <x v="8"/>
    <n v="1001"/>
    <x v="1"/>
    <n v="22"/>
    <n v="3950"/>
    <n v="86900"/>
    <x v="416"/>
    <n v="96"/>
    <x v="389"/>
    <x v="16"/>
    <d v="2024-01-17T00:00:00"/>
    <d v="1899-12-30T02:00:00"/>
    <n v="7"/>
    <n v="0"/>
  </r>
  <r>
    <d v="2024-01-17T02:00:00"/>
    <x v="1"/>
    <x v="8"/>
    <n v="1005"/>
    <x v="2"/>
    <n v="6"/>
    <n v="6850"/>
    <n v="41100"/>
    <x v="384"/>
    <n v="96"/>
    <x v="400"/>
    <x v="16"/>
    <d v="2024-01-17T00:00:00"/>
    <d v="1899-12-30T02:00:00"/>
    <n v="7"/>
    <n v="0"/>
  </r>
  <r>
    <d v="2024-01-17T02:00:00"/>
    <x v="1"/>
    <x v="7"/>
    <n v="1001"/>
    <x v="1"/>
    <n v="30"/>
    <n v="3800"/>
    <n v="114000"/>
    <x v="411"/>
    <n v="96"/>
    <x v="420"/>
    <x v="16"/>
    <d v="2024-01-17T00:00:00"/>
    <d v="1899-12-30T02:00:00"/>
    <n v="12"/>
    <n v="0"/>
  </r>
  <r>
    <d v="2024-01-17T02:00:00"/>
    <x v="1"/>
    <x v="5"/>
    <n v="1001"/>
    <x v="1"/>
    <n v="25"/>
    <n v="3836"/>
    <n v="95900"/>
    <x v="408"/>
    <n v="144"/>
    <x v="436"/>
    <x v="16"/>
    <d v="2024-01-17T00:00:00"/>
    <d v="1899-12-30T02:00:00"/>
    <n v="8"/>
    <n v="0"/>
  </r>
  <r>
    <d v="2024-01-17T02:00:00"/>
    <x v="0"/>
    <x v="14"/>
    <n v="12"/>
    <x v="0"/>
    <n v="2700"/>
    <n v="120"/>
    <n v="324000"/>
    <x v="417"/>
    <n v="72"/>
    <x v="371"/>
    <x v="16"/>
    <d v="2024-01-17T00:00:00"/>
    <d v="1899-12-30T02:00:00"/>
    <n v="3"/>
    <n v="0"/>
  </r>
  <r>
    <d v="2024-01-17T02:00:00"/>
    <x v="1"/>
    <x v="6"/>
    <n v="1001"/>
    <x v="1"/>
    <n v="50"/>
    <n v="3350"/>
    <n v="167500"/>
    <x v="406"/>
    <n v="88"/>
    <x v="409"/>
    <x v="16"/>
    <d v="2024-01-17T00:00:00"/>
    <d v="1899-12-30T02:00:00"/>
    <n v="15"/>
    <n v="0"/>
  </r>
  <r>
    <d v="2024-01-17T02:00:00"/>
    <x v="1"/>
    <x v="6"/>
    <n v="1005"/>
    <x v="2"/>
    <n v="18"/>
    <n v="6350"/>
    <n v="114300"/>
    <x v="406"/>
    <n v="64"/>
    <x v="437"/>
    <x v="16"/>
    <d v="2024-01-17T00:00:00"/>
    <d v="1899-12-30T02:00:00"/>
    <n v="15"/>
    <n v="0"/>
  </r>
  <r>
    <d v="2024-01-17T02:00:00"/>
    <x v="1"/>
    <x v="2"/>
    <n v="1001"/>
    <x v="1"/>
    <n v="15"/>
    <n v="3799"/>
    <n v="56985"/>
    <x v="371"/>
    <n v="76"/>
    <x v="386"/>
    <x v="16"/>
    <d v="2024-01-17T00:00:00"/>
    <d v="1899-12-30T02:00:00"/>
    <n v="9"/>
    <n v="0"/>
  </r>
  <r>
    <d v="2024-01-17T02:00:00"/>
    <x v="1"/>
    <x v="9"/>
    <n v="1005"/>
    <x v="2"/>
    <n v="7"/>
    <n v="6650"/>
    <n v="46550"/>
    <x v="367"/>
    <n v="96"/>
    <x v="400"/>
    <x v="16"/>
    <d v="2024-01-17T00:00:00"/>
    <d v="1899-12-30T02:00:00"/>
    <n v="14"/>
    <n v="0"/>
  </r>
  <r>
    <d v="2024-01-17T02:00:00"/>
    <x v="1"/>
    <x v="10"/>
    <n v="1005"/>
    <x v="2"/>
    <n v="8"/>
    <n v="6650"/>
    <n v="53200"/>
    <x v="415"/>
    <n v="96"/>
    <x v="405"/>
    <x v="16"/>
    <d v="2024-01-17T00:00:00"/>
    <d v="1899-12-30T02:00:00"/>
    <n v="16"/>
    <n v="0"/>
  </r>
  <r>
    <d v="2024-01-17T02:00:00"/>
    <x v="1"/>
    <x v="9"/>
    <n v="1001"/>
    <x v="1"/>
    <n v="39"/>
    <n v="3750"/>
    <n v="146250"/>
    <x v="367"/>
    <n v="96"/>
    <x v="400"/>
    <x v="16"/>
    <d v="2024-01-17T00:00:00"/>
    <d v="1899-12-30T02:00:00"/>
    <n v="14"/>
    <n v="0"/>
  </r>
  <r>
    <d v="2024-01-17T02:00:00"/>
    <x v="1"/>
    <x v="3"/>
    <n v="1001"/>
    <x v="1"/>
    <n v="29"/>
    <n v="3900"/>
    <n v="113100"/>
    <x v="418"/>
    <n v="108"/>
    <x v="408"/>
    <x v="16"/>
    <d v="2024-01-17T00:00:00"/>
    <d v="1899-12-30T02:00:00"/>
    <n v="11"/>
    <n v="0"/>
  </r>
  <r>
    <d v="2024-01-17T02:00:00"/>
    <x v="1"/>
    <x v="1"/>
    <n v="1001"/>
    <x v="1"/>
    <n v="30"/>
    <n v="3400"/>
    <n v="102000"/>
    <x v="382"/>
    <n v="96"/>
    <x v="407"/>
    <x v="16"/>
    <d v="2024-01-17T00:00:00"/>
    <d v="1899-12-30T02:00:00"/>
    <n v="13"/>
    <n v="0"/>
  </r>
  <r>
    <d v="2024-01-17T02:00:00"/>
    <x v="1"/>
    <x v="7"/>
    <n v="1005"/>
    <x v="2"/>
    <n v="10"/>
    <n v="6700"/>
    <n v="67000"/>
    <x v="419"/>
    <n v="96"/>
    <x v="389"/>
    <x v="16"/>
    <d v="2024-01-17T00:00:00"/>
    <d v="1899-12-30T02:00:00"/>
    <n v="12"/>
    <n v="0"/>
  </r>
  <r>
    <d v="2024-01-17T02:00:00"/>
    <x v="1"/>
    <x v="1"/>
    <n v="1005"/>
    <x v="2"/>
    <n v="15"/>
    <n v="6300"/>
    <n v="94500"/>
    <x v="374"/>
    <n v="96"/>
    <x v="407"/>
    <x v="16"/>
    <d v="2024-01-17T00:00:00"/>
    <d v="1899-12-30T02:00:00"/>
    <n v="13"/>
    <n v="0"/>
  </r>
  <r>
    <d v="2024-01-17T03:00:00"/>
    <x v="0"/>
    <x v="14"/>
    <n v="13"/>
    <x v="0"/>
    <n v="2000"/>
    <n v="125"/>
    <n v="250000"/>
    <x v="406"/>
    <n v="72"/>
    <x v="409"/>
    <x v="16"/>
    <d v="2024-01-17T00:00:00"/>
    <d v="1899-12-30T03:00:00"/>
    <n v="3"/>
    <n v="0"/>
  </r>
  <r>
    <d v="2024-01-17T03:00:00"/>
    <x v="0"/>
    <x v="15"/>
    <n v="13"/>
    <x v="3"/>
    <n v="300"/>
    <n v="1400"/>
    <n v="420000"/>
    <x v="417"/>
    <n v="24"/>
    <x v="438"/>
    <x v="16"/>
    <d v="2024-01-17T00:00:00"/>
    <d v="1899-12-30T03:00:00"/>
    <n v="1"/>
    <n v="0"/>
  </r>
  <r>
    <d v="2024-01-17T04:00:00"/>
    <x v="0"/>
    <x v="14"/>
    <n v="12"/>
    <x v="3"/>
    <n v="650"/>
    <n v="1300"/>
    <n v="845000"/>
    <x v="371"/>
    <n v="72"/>
    <x v="386"/>
    <x v="16"/>
    <d v="2024-01-17T00:00:00"/>
    <d v="1899-12-30T04:00:00"/>
    <n v="3"/>
    <n v="0"/>
  </r>
  <r>
    <d v="2024-01-17T06:00:00"/>
    <x v="1"/>
    <x v="1"/>
    <n v="1008"/>
    <x v="1"/>
    <n v="50"/>
    <n v="3300"/>
    <n v="165000"/>
    <x v="420"/>
    <n v="120"/>
    <x v="439"/>
    <x v="16"/>
    <d v="2024-01-17T00:00:00"/>
    <d v="1899-12-30T06:00:00"/>
    <n v="13"/>
    <n v="0"/>
  </r>
  <r>
    <d v="2024-01-17T06:00:00"/>
    <x v="1"/>
    <x v="5"/>
    <n v="1008"/>
    <x v="1"/>
    <n v="30"/>
    <n v="3836"/>
    <n v="115080"/>
    <x v="421"/>
    <n v="144"/>
    <x v="440"/>
    <x v="16"/>
    <d v="2024-01-17T00:00:00"/>
    <d v="1899-12-30T06:00:00"/>
    <n v="8"/>
    <n v="0"/>
  </r>
  <r>
    <d v="2024-01-17T06:00:00"/>
    <x v="1"/>
    <x v="10"/>
    <n v="1008"/>
    <x v="1"/>
    <n v="26"/>
    <n v="3650"/>
    <n v="94900"/>
    <x v="397"/>
    <n v="120"/>
    <x v="414"/>
    <x v="16"/>
    <d v="2024-01-17T00:00:00"/>
    <d v="1899-12-30T06:00:00"/>
    <n v="16"/>
    <n v="0"/>
  </r>
  <r>
    <d v="2024-01-17T06:00:00"/>
    <x v="1"/>
    <x v="2"/>
    <n v="1008"/>
    <x v="1"/>
    <n v="52"/>
    <n v="3465"/>
    <n v="180180"/>
    <x v="422"/>
    <n v="192"/>
    <x v="441"/>
    <x v="16"/>
    <d v="2024-01-17T00:00:00"/>
    <d v="1899-12-30T06:00:00"/>
    <n v="9"/>
    <n v="0"/>
  </r>
  <r>
    <d v="2024-01-17T06:00:00"/>
    <x v="1"/>
    <x v="7"/>
    <n v="1008"/>
    <x v="1"/>
    <n v="40"/>
    <n v="3700"/>
    <n v="148000"/>
    <x v="411"/>
    <n v="120"/>
    <x v="395"/>
    <x v="16"/>
    <d v="2024-01-17T00:00:00"/>
    <d v="1899-12-30T06:00:00"/>
    <n v="12"/>
    <n v="0"/>
  </r>
  <r>
    <d v="2024-01-17T06:00:00"/>
    <x v="0"/>
    <x v="13"/>
    <n v="14"/>
    <x v="0"/>
    <n v="1500"/>
    <n v="125"/>
    <n v="187500"/>
    <x v="423"/>
    <n v="48"/>
    <x v="364"/>
    <x v="16"/>
    <d v="2024-01-17T00:00:00"/>
    <d v="1899-12-30T06:00:00"/>
    <n v="2"/>
    <n v="0"/>
  </r>
  <r>
    <d v="2024-01-17T06:00:00"/>
    <x v="1"/>
    <x v="6"/>
    <n v="1008"/>
    <x v="1"/>
    <n v="50"/>
    <n v="3350"/>
    <n v="167500"/>
    <x v="415"/>
    <n v="88"/>
    <x v="405"/>
    <x v="16"/>
    <d v="2024-01-17T00:00:00"/>
    <d v="1899-12-30T06:00:00"/>
    <n v="15"/>
    <n v="0"/>
  </r>
  <r>
    <d v="2024-01-17T06:00:00"/>
    <x v="1"/>
    <x v="8"/>
    <n v="1008"/>
    <x v="1"/>
    <n v="23"/>
    <n v="3900"/>
    <n v="89700"/>
    <x v="424"/>
    <n v="120"/>
    <x v="421"/>
    <x v="16"/>
    <d v="2024-01-17T00:00:00"/>
    <d v="1899-12-30T06:00:00"/>
    <n v="7"/>
    <n v="0"/>
  </r>
  <r>
    <d v="2024-01-17T06:00:00"/>
    <x v="1"/>
    <x v="3"/>
    <n v="1008"/>
    <x v="1"/>
    <n v="35"/>
    <n v="3900"/>
    <n v="136500"/>
    <x v="425"/>
    <n v="108"/>
    <x v="442"/>
    <x v="16"/>
    <d v="2024-01-17T00:00:00"/>
    <d v="1899-12-30T06:00:00"/>
    <n v="11"/>
    <n v="0"/>
  </r>
  <r>
    <d v="2024-01-17T06:00:00"/>
    <x v="1"/>
    <x v="9"/>
    <n v="1008"/>
    <x v="1"/>
    <n v="40"/>
    <n v="3650"/>
    <n v="146000"/>
    <x v="426"/>
    <n v="120"/>
    <x v="443"/>
    <x v="16"/>
    <d v="2024-01-17T00:00:00"/>
    <d v="1899-12-30T06:00:00"/>
    <n v="14"/>
    <n v="0"/>
  </r>
  <r>
    <d v="2024-01-17T07:00:00"/>
    <x v="1"/>
    <x v="8"/>
    <n v="1002"/>
    <x v="2"/>
    <n v="3"/>
    <n v="6850"/>
    <n v="20550"/>
    <x v="427"/>
    <n v="96"/>
    <x v="424"/>
    <x v="16"/>
    <d v="2024-01-17T00:00:00"/>
    <d v="1899-12-30T07:00:00"/>
    <n v="7"/>
    <n v="0"/>
  </r>
  <r>
    <d v="2024-01-17T07:00:00"/>
    <x v="1"/>
    <x v="1"/>
    <n v="1002"/>
    <x v="2"/>
    <n v="9"/>
    <n v="6300"/>
    <n v="56700"/>
    <x v="373"/>
    <n v="96"/>
    <x v="444"/>
    <x v="16"/>
    <d v="2024-01-17T00:00:00"/>
    <d v="1899-12-30T07:00:00"/>
    <n v="13"/>
    <n v="0"/>
  </r>
  <r>
    <d v="2024-01-17T07:00:00"/>
    <x v="1"/>
    <x v="7"/>
    <n v="1002"/>
    <x v="2"/>
    <n v="7"/>
    <n v="6700"/>
    <n v="46900"/>
    <x v="419"/>
    <n v="96"/>
    <x v="445"/>
    <x v="16"/>
    <d v="2024-01-17T00:00:00"/>
    <d v="1899-12-30T07:00:00"/>
    <n v="12"/>
    <n v="0"/>
  </r>
  <r>
    <d v="2024-01-17T07:00:00"/>
    <x v="1"/>
    <x v="2"/>
    <n v="1002"/>
    <x v="2"/>
    <n v="8"/>
    <n v="6699"/>
    <n v="53592"/>
    <x v="337"/>
    <n v="75"/>
    <x v="391"/>
    <x v="16"/>
    <d v="2024-01-17T00:00:00"/>
    <d v="1899-12-30T07:00:00"/>
    <n v="9"/>
    <n v="0"/>
  </r>
  <r>
    <d v="2024-01-17T07:00:00"/>
    <x v="1"/>
    <x v="5"/>
    <n v="1002"/>
    <x v="2"/>
    <n v="5"/>
    <n v="6911"/>
    <n v="34555"/>
    <x v="292"/>
    <n v="96"/>
    <x v="446"/>
    <x v="16"/>
    <d v="2024-01-17T00:00:00"/>
    <d v="1899-12-30T07:00:00"/>
    <n v="8"/>
    <n v="0"/>
  </r>
  <r>
    <d v="2024-01-17T07:00:00"/>
    <x v="1"/>
    <x v="6"/>
    <n v="1002"/>
    <x v="2"/>
    <n v="11"/>
    <n v="6350"/>
    <n v="69850"/>
    <x v="313"/>
    <n v="64"/>
    <x v="352"/>
    <x v="16"/>
    <d v="2024-01-17T00:00:00"/>
    <d v="1899-12-30T07:00:00"/>
    <n v="15"/>
    <n v="0"/>
  </r>
  <r>
    <d v="2024-01-17T07:00:00"/>
    <x v="0"/>
    <x v="13"/>
    <n v="15"/>
    <x v="0"/>
    <n v="2800"/>
    <n v="130"/>
    <n v="364000"/>
    <x v="313"/>
    <n v="72"/>
    <x v="397"/>
    <x v="16"/>
    <d v="2024-01-17T00:00:00"/>
    <d v="1899-12-30T07:00:00"/>
    <n v="2"/>
    <n v="0"/>
  </r>
  <r>
    <d v="2024-01-17T07:00:00"/>
    <x v="0"/>
    <x v="0"/>
    <n v="11"/>
    <x v="3"/>
    <n v="200"/>
    <n v="1450"/>
    <n v="290000"/>
    <x v="415"/>
    <n v="24"/>
    <x v="337"/>
    <x v="16"/>
    <d v="2024-01-17T00:00:00"/>
    <d v="1899-12-30T07:00:00"/>
    <n v="4"/>
    <n v="0"/>
  </r>
  <r>
    <d v="2024-01-17T07:00:00"/>
    <x v="1"/>
    <x v="10"/>
    <n v="1002"/>
    <x v="2"/>
    <n v="6"/>
    <n v="6650"/>
    <n v="39900"/>
    <x v="405"/>
    <n v="96"/>
    <x v="424"/>
    <x v="16"/>
    <d v="2024-01-17T00:00:00"/>
    <d v="1899-12-30T07:00:00"/>
    <n v="16"/>
    <n v="0"/>
  </r>
  <r>
    <d v="2024-01-17T09:00:00"/>
    <x v="1"/>
    <x v="1"/>
    <n v="1001"/>
    <x v="2"/>
    <n v="7"/>
    <n v="6300"/>
    <n v="44100"/>
    <x v="373"/>
    <n v="96"/>
    <x v="444"/>
    <x v="16"/>
    <d v="2024-01-17T00:00:00"/>
    <d v="1899-12-30T09:00:00"/>
    <n v="13"/>
    <n v="0"/>
  </r>
  <r>
    <d v="2024-01-17T09:00:00"/>
    <x v="1"/>
    <x v="6"/>
    <n v="1001"/>
    <x v="2"/>
    <n v="8"/>
    <n v="6350"/>
    <n v="50800"/>
    <x v="405"/>
    <n v="64"/>
    <x v="363"/>
    <x v="16"/>
    <d v="2024-01-17T00:00:00"/>
    <d v="1899-12-30T09:00:00"/>
    <n v="15"/>
    <n v="0"/>
  </r>
  <r>
    <d v="2024-01-17T09:00:00"/>
    <x v="1"/>
    <x v="10"/>
    <n v="1001"/>
    <x v="2"/>
    <n v="5"/>
    <n v="6650"/>
    <n v="33250"/>
    <x v="419"/>
    <n v="96"/>
    <x v="393"/>
    <x v="16"/>
    <d v="2024-01-17T00:00:00"/>
    <d v="1899-12-30T09:00:00"/>
    <n v="16"/>
    <n v="0"/>
  </r>
  <r>
    <d v="2024-01-17T09:00:00"/>
    <x v="1"/>
    <x v="7"/>
    <n v="1001"/>
    <x v="2"/>
    <n v="5"/>
    <n v="6700"/>
    <n v="33500"/>
    <x v="419"/>
    <n v="96"/>
    <x v="445"/>
    <x v="16"/>
    <d v="2024-01-17T00:00:00"/>
    <d v="1899-12-30T09:00:00"/>
    <n v="12"/>
    <n v="0"/>
  </r>
  <r>
    <d v="2024-01-17T09:00:00"/>
    <x v="1"/>
    <x v="8"/>
    <n v="1001"/>
    <x v="2"/>
    <n v="2"/>
    <n v="6850"/>
    <n v="13700"/>
    <x v="411"/>
    <n v="96"/>
    <x v="420"/>
    <x v="16"/>
    <d v="2024-01-17T00:00:00"/>
    <d v="1899-12-30T09:00:00"/>
    <n v="7"/>
    <n v="0"/>
  </r>
  <r>
    <d v="2024-01-17T10:00:00"/>
    <x v="0"/>
    <x v="12"/>
    <n v="16"/>
    <x v="3"/>
    <n v="400"/>
    <n v="1350"/>
    <n v="540000"/>
    <x v="428"/>
    <n v="24"/>
    <x v="359"/>
    <x v="16"/>
    <d v="2024-01-17T00:00:00"/>
    <d v="1899-12-30T10:00:00"/>
    <n v="5"/>
    <n v="0"/>
  </r>
  <r>
    <d v="2024-01-17T10:00:00"/>
    <x v="0"/>
    <x v="14"/>
    <n v="13"/>
    <x v="3"/>
    <n v="150"/>
    <n v="1300"/>
    <n v="195000"/>
    <x v="429"/>
    <n v="72"/>
    <x v="447"/>
    <x v="16"/>
    <d v="2024-01-17T00:00:00"/>
    <d v="1899-12-30T10:00:00"/>
    <n v="3"/>
    <n v="0"/>
  </r>
  <r>
    <d v="2024-01-17T12:00:00"/>
    <x v="2"/>
    <x v="9"/>
    <n v="2004"/>
    <x v="1"/>
    <n v="36"/>
    <n v="3750"/>
    <n v="135000"/>
    <x v="425"/>
    <n v="132"/>
    <x v="448"/>
    <x v="16"/>
    <d v="2024-01-17T00:00:00"/>
    <d v="1899-12-30T12:00:00"/>
    <n v="14"/>
    <n v="0"/>
  </r>
  <r>
    <d v="2024-01-17T12:00:00"/>
    <x v="1"/>
    <x v="2"/>
    <n v="1006"/>
    <x v="1"/>
    <n v="15"/>
    <n v="3799"/>
    <n v="56985"/>
    <x v="405"/>
    <n v="76"/>
    <x v="424"/>
    <x v="16"/>
    <d v="2024-01-17T00:00:00"/>
    <d v="1899-12-30T12:00:00"/>
    <n v="9"/>
    <n v="0"/>
  </r>
  <r>
    <d v="2024-01-17T12:00:00"/>
    <x v="2"/>
    <x v="7"/>
    <n v="2004"/>
    <x v="1"/>
    <n v="30"/>
    <n v="3800"/>
    <n v="114000"/>
    <x v="411"/>
    <n v="120"/>
    <x v="448"/>
    <x v="16"/>
    <d v="2024-01-17T00:00:00"/>
    <d v="1899-12-30T12:00:00"/>
    <n v="12"/>
    <n v="0"/>
  </r>
  <r>
    <d v="2024-01-17T12:00:00"/>
    <x v="2"/>
    <x v="5"/>
    <n v="2004"/>
    <x v="1"/>
    <n v="30"/>
    <n v="3889"/>
    <n v="116670"/>
    <x v="292"/>
    <n v="156"/>
    <x v="449"/>
    <x v="16"/>
    <d v="2024-01-17T00:00:00"/>
    <d v="1899-12-30T12:00:00"/>
    <n v="8"/>
    <n v="0"/>
  </r>
  <r>
    <d v="2024-01-17T12:00:00"/>
    <x v="2"/>
    <x v="6"/>
    <n v="2004"/>
    <x v="1"/>
    <n v="45"/>
    <n v="4050"/>
    <n v="182250"/>
    <x v="367"/>
    <n v="48"/>
    <x v="351"/>
    <x v="16"/>
    <d v="2024-01-17T00:00:00"/>
    <d v="1899-12-30T12:00:00"/>
    <n v="15"/>
    <n v="0"/>
  </r>
  <r>
    <d v="2024-01-17T12:00:00"/>
    <x v="1"/>
    <x v="8"/>
    <n v="1006"/>
    <x v="1"/>
    <n v="32"/>
    <n v="3950"/>
    <n v="126400"/>
    <x v="430"/>
    <n v="96"/>
    <x v="408"/>
    <x v="16"/>
    <d v="2024-01-17T00:00:00"/>
    <d v="1899-12-30T12:00:00"/>
    <n v="7"/>
    <n v="0"/>
  </r>
  <r>
    <d v="2024-01-17T12:00:00"/>
    <x v="1"/>
    <x v="6"/>
    <n v="1011"/>
    <x v="2"/>
    <n v="11"/>
    <n v="6350"/>
    <n v="69850"/>
    <x v="365"/>
    <n v="64"/>
    <x v="366"/>
    <x v="16"/>
    <d v="2024-01-17T00:00:00"/>
    <d v="1899-12-30T12:00:00"/>
    <n v="15"/>
    <n v="0"/>
  </r>
  <r>
    <d v="2024-01-17T12:00:00"/>
    <x v="2"/>
    <x v="6"/>
    <n v="2004"/>
    <x v="2"/>
    <n v="25"/>
    <n v="6200"/>
    <n v="155000"/>
    <x v="365"/>
    <n v="48"/>
    <x v="383"/>
    <x v="16"/>
    <d v="2024-01-17T00:00:00"/>
    <d v="1899-12-30T12:00:00"/>
    <n v="15"/>
    <n v="0"/>
  </r>
  <r>
    <d v="2024-01-17T12:00:00"/>
    <x v="2"/>
    <x v="1"/>
    <n v="2004"/>
    <x v="2"/>
    <n v="19"/>
    <n v="6300"/>
    <n v="119700"/>
    <x v="431"/>
    <n v="132"/>
    <x v="436"/>
    <x v="16"/>
    <d v="2024-01-17T00:00:00"/>
    <d v="1899-12-30T12:00:00"/>
    <n v="13"/>
    <n v="0"/>
  </r>
  <r>
    <d v="2024-01-17T12:00:00"/>
    <x v="1"/>
    <x v="6"/>
    <n v="1006"/>
    <x v="1"/>
    <n v="50"/>
    <n v="3350"/>
    <n v="167500"/>
    <x v="365"/>
    <n v="88"/>
    <x v="400"/>
    <x v="16"/>
    <d v="2024-01-17T00:00:00"/>
    <d v="1899-12-30T12:00:00"/>
    <n v="15"/>
    <n v="0"/>
  </r>
  <r>
    <d v="2024-01-17T12:00:00"/>
    <x v="1"/>
    <x v="9"/>
    <n v="1006"/>
    <x v="1"/>
    <n v="39"/>
    <n v="3750"/>
    <n v="146250"/>
    <x v="380"/>
    <n v="84"/>
    <x v="412"/>
    <x v="16"/>
    <d v="2024-01-17T00:00:00"/>
    <d v="1899-12-30T12:00:00"/>
    <n v="14"/>
    <n v="0"/>
  </r>
  <r>
    <d v="2024-01-17T12:00:00"/>
    <x v="2"/>
    <x v="3"/>
    <n v="2004"/>
    <x v="1"/>
    <n v="40"/>
    <n v="4000"/>
    <n v="160000"/>
    <x v="432"/>
    <n v="132"/>
    <x v="432"/>
    <x v="16"/>
    <d v="2024-01-17T00:00:00"/>
    <d v="1899-12-30T12:00:00"/>
    <n v="11"/>
    <n v="0"/>
  </r>
  <r>
    <d v="2024-01-17T12:00:00"/>
    <x v="2"/>
    <x v="3"/>
    <n v="2004"/>
    <x v="2"/>
    <n v="10"/>
    <n v="6800"/>
    <n v="68000"/>
    <x v="392"/>
    <n v="108"/>
    <x v="427"/>
    <x v="16"/>
    <d v="2024-01-17T00:00:00"/>
    <d v="1899-12-30T12:00:00"/>
    <n v="11"/>
    <n v="0"/>
  </r>
  <r>
    <d v="2024-01-17T12:00:00"/>
    <x v="1"/>
    <x v="1"/>
    <n v="1006"/>
    <x v="1"/>
    <n v="30"/>
    <n v="3400"/>
    <n v="102000"/>
    <x v="433"/>
    <n v="96"/>
    <x v="450"/>
    <x v="16"/>
    <d v="2024-01-17T00:00:00"/>
    <d v="1899-12-30T12:00:00"/>
    <n v="13"/>
    <n v="0"/>
  </r>
  <r>
    <d v="2024-01-17T12:00:00"/>
    <x v="2"/>
    <x v="1"/>
    <n v="2004"/>
    <x v="1"/>
    <n v="30"/>
    <n v="3300"/>
    <n v="99000"/>
    <x v="351"/>
    <n v="132"/>
    <x v="451"/>
    <x v="16"/>
    <d v="2024-01-17T00:00:00"/>
    <d v="1899-12-30T12:00:00"/>
    <n v="13"/>
    <n v="0"/>
  </r>
  <r>
    <d v="2024-01-17T12:00:00"/>
    <x v="1"/>
    <x v="7"/>
    <n v="1006"/>
    <x v="1"/>
    <n v="30"/>
    <n v="3800"/>
    <n v="114000"/>
    <x v="363"/>
    <n v="96"/>
    <x v="299"/>
    <x v="16"/>
    <d v="2024-01-17T00:00:00"/>
    <d v="1899-12-30T12:00:00"/>
    <n v="12"/>
    <n v="0"/>
  </r>
  <r>
    <d v="2024-01-17T12:00:00"/>
    <x v="1"/>
    <x v="3"/>
    <n v="1006"/>
    <x v="1"/>
    <n v="30"/>
    <n v="4000"/>
    <n v="120000"/>
    <x v="419"/>
    <n v="96"/>
    <x v="445"/>
    <x v="16"/>
    <d v="2024-01-17T00:00:00"/>
    <d v="1899-12-30T12:00:00"/>
    <n v="11"/>
    <n v="0"/>
  </r>
  <r>
    <d v="2024-01-17T12:00:00"/>
    <x v="1"/>
    <x v="10"/>
    <n v="1011"/>
    <x v="2"/>
    <n v="7"/>
    <n v="6650"/>
    <n v="46550"/>
    <x v="419"/>
    <n v="96"/>
    <x v="445"/>
    <x v="16"/>
    <d v="2024-01-17T00:00:00"/>
    <d v="1899-12-30T12:00:00"/>
    <n v="16"/>
    <n v="0"/>
  </r>
  <r>
    <d v="2024-01-17T12:00:00"/>
    <x v="2"/>
    <x v="9"/>
    <n v="2004"/>
    <x v="2"/>
    <n v="10"/>
    <n v="6650"/>
    <n v="66500"/>
    <x v="380"/>
    <n v="120"/>
    <x v="452"/>
    <x v="16"/>
    <d v="2024-01-17T00:00:00"/>
    <d v="1899-12-30T12:00:00"/>
    <n v="14"/>
    <n v="0"/>
  </r>
  <r>
    <d v="2024-01-17T12:00:00"/>
    <x v="1"/>
    <x v="1"/>
    <n v="1011"/>
    <x v="2"/>
    <n v="9"/>
    <n v="6300"/>
    <n v="56700"/>
    <x v="413"/>
    <n v="96"/>
    <x v="453"/>
    <x v="16"/>
    <d v="2024-01-17T00:00:00"/>
    <d v="1899-12-30T12:00:00"/>
    <n v="13"/>
    <n v="0"/>
  </r>
  <r>
    <d v="2024-01-17T12:00:00"/>
    <x v="2"/>
    <x v="7"/>
    <n v="2004"/>
    <x v="2"/>
    <n v="15"/>
    <n v="6750"/>
    <n v="101250"/>
    <x v="419"/>
    <n v="120"/>
    <x v="454"/>
    <x v="16"/>
    <d v="2024-01-17T00:00:00"/>
    <d v="1899-12-30T12:00:00"/>
    <n v="12"/>
    <n v="0"/>
  </r>
  <r>
    <d v="2024-01-17T12:00:00"/>
    <x v="2"/>
    <x v="8"/>
    <n v="2004"/>
    <x v="1"/>
    <n v="51"/>
    <n v="3800"/>
    <n v="193800"/>
    <x v="434"/>
    <n v="132"/>
    <x v="421"/>
    <x v="16"/>
    <d v="2024-01-17T00:00:00"/>
    <d v="1899-12-30T12:00:00"/>
    <n v="7"/>
    <n v="0"/>
  </r>
  <r>
    <d v="2024-01-17T12:00:00"/>
    <x v="1"/>
    <x v="5"/>
    <n v="1006"/>
    <x v="1"/>
    <n v="10"/>
    <n v="4185"/>
    <n v="41850"/>
    <x v="413"/>
    <n v="96"/>
    <x v="453"/>
    <x v="16"/>
    <d v="2024-01-17T00:00:00"/>
    <d v="1899-12-30T12:00:00"/>
    <n v="8"/>
    <n v="0"/>
  </r>
  <r>
    <d v="2024-01-17T12:00:00"/>
    <x v="2"/>
    <x v="10"/>
    <n v="2004"/>
    <x v="2"/>
    <n v="22"/>
    <n v="6650"/>
    <n v="146300"/>
    <x v="432"/>
    <n v="132"/>
    <x v="455"/>
    <x v="16"/>
    <d v="2024-01-17T00:00:00"/>
    <d v="1899-12-30T12:00:00"/>
    <n v="16"/>
    <n v="0"/>
  </r>
  <r>
    <d v="2024-01-17T12:00:00"/>
    <x v="1"/>
    <x v="10"/>
    <n v="1006"/>
    <x v="1"/>
    <n v="30"/>
    <n v="3750"/>
    <n v="112500"/>
    <x v="419"/>
    <n v="96"/>
    <x v="445"/>
    <x v="16"/>
    <d v="2024-01-17T00:00:00"/>
    <d v="1899-12-30T12:00:00"/>
    <n v="16"/>
    <n v="0"/>
  </r>
  <r>
    <d v="2024-01-17T12:00:00"/>
    <x v="2"/>
    <x v="8"/>
    <n v="2004"/>
    <x v="2"/>
    <n v="8"/>
    <n v="7000"/>
    <n v="56000"/>
    <x v="411"/>
    <n v="132"/>
    <x v="456"/>
    <x v="16"/>
    <d v="2024-01-17T00:00:00"/>
    <d v="1899-12-30T12:00:00"/>
    <n v="7"/>
    <n v="0"/>
  </r>
  <r>
    <d v="2024-01-17T12:00:00"/>
    <x v="1"/>
    <x v="7"/>
    <n v="1011"/>
    <x v="2"/>
    <n v="6"/>
    <n v="6700"/>
    <n v="40200"/>
    <x v="432"/>
    <n v="96"/>
    <x v="389"/>
    <x v="16"/>
    <d v="2024-01-17T00:00:00"/>
    <d v="1899-12-30T12:00:00"/>
    <n v="12"/>
    <n v="0"/>
  </r>
  <r>
    <d v="2024-01-17T12:00:00"/>
    <x v="2"/>
    <x v="10"/>
    <n v="2004"/>
    <x v="1"/>
    <n v="30"/>
    <n v="3750"/>
    <n v="112500"/>
    <x v="432"/>
    <n v="132"/>
    <x v="432"/>
    <x v="16"/>
    <d v="2024-01-17T00:00:00"/>
    <d v="1899-12-30T12:00:00"/>
    <n v="16"/>
    <n v="0"/>
  </r>
  <r>
    <d v="2024-01-17T12:00:00"/>
    <x v="2"/>
    <x v="2"/>
    <n v="2004"/>
    <x v="1"/>
    <n v="30"/>
    <n v="3799"/>
    <n v="113970"/>
    <x v="405"/>
    <n v="112"/>
    <x v="421"/>
    <x v="16"/>
    <d v="2024-01-17T00:00:00"/>
    <d v="1899-12-30T12:00:00"/>
    <n v="9"/>
    <n v="0"/>
  </r>
  <r>
    <d v="2024-01-17T12:00:00"/>
    <x v="1"/>
    <x v="8"/>
    <n v="1011"/>
    <x v="2"/>
    <n v="3"/>
    <n v="6850"/>
    <n v="20550"/>
    <x v="427"/>
    <n v="96"/>
    <x v="429"/>
    <x v="16"/>
    <d v="2024-01-17T00:00:00"/>
    <d v="1899-12-30T12:00:00"/>
    <n v="7"/>
    <n v="0"/>
  </r>
  <r>
    <d v="2024-01-17T12:00:00"/>
    <x v="0"/>
    <x v="13"/>
    <n v="11"/>
    <x v="0"/>
    <n v="1000"/>
    <n v="135"/>
    <n v="135000"/>
    <x v="405"/>
    <n v="72"/>
    <x v="424"/>
    <x v="16"/>
    <d v="2024-01-17T00:00:00"/>
    <d v="1899-12-30T12:00:00"/>
    <n v="2"/>
    <n v="0"/>
  </r>
  <r>
    <d v="2024-01-17T13:00:00"/>
    <x v="0"/>
    <x v="13"/>
    <n v="8"/>
    <x v="3"/>
    <n v="300"/>
    <n v="1700"/>
    <n v="510000"/>
    <x v="365"/>
    <n v="24"/>
    <x v="361"/>
    <x v="16"/>
    <d v="2024-01-17T00:00:00"/>
    <d v="1899-12-30T13:00:00"/>
    <n v="2"/>
    <n v="0"/>
  </r>
  <r>
    <d v="2024-01-17T13:00:00"/>
    <x v="1"/>
    <x v="1"/>
    <n v="1003"/>
    <x v="2"/>
    <n v="4"/>
    <n v="6300"/>
    <n v="25200"/>
    <x v="377"/>
    <n v="96"/>
    <x v="427"/>
    <x v="16"/>
    <d v="2024-01-17T00:00:00"/>
    <d v="1899-12-30T13:00:00"/>
    <n v="13"/>
    <n v="0"/>
  </r>
  <r>
    <d v="2024-01-17T13:00:00"/>
    <x v="0"/>
    <x v="0"/>
    <n v="8"/>
    <x v="3"/>
    <n v="200"/>
    <n v="1350"/>
    <n v="270000"/>
    <x v="418"/>
    <n v="24"/>
    <x v="343"/>
    <x v="16"/>
    <d v="2024-01-17T00:00:00"/>
    <d v="1899-12-30T13:00:00"/>
    <n v="4"/>
    <n v="0"/>
  </r>
  <r>
    <d v="2024-01-17T13:00:00"/>
    <x v="1"/>
    <x v="5"/>
    <n v="1003"/>
    <x v="2"/>
    <n v="30"/>
    <n v="5848"/>
    <n v="175440"/>
    <x v="435"/>
    <n v="120"/>
    <x v="455"/>
    <x v="16"/>
    <d v="2024-01-17T00:00:00"/>
    <d v="1899-12-30T13:00:00"/>
    <n v="8"/>
    <n v="0"/>
  </r>
  <r>
    <d v="2024-01-17T13:00:00"/>
    <x v="1"/>
    <x v="6"/>
    <n v="1003"/>
    <x v="2"/>
    <n v="5"/>
    <n v="6350"/>
    <n v="31750"/>
    <x v="380"/>
    <n v="64"/>
    <x v="425"/>
    <x v="16"/>
    <d v="2024-01-17T00:00:00"/>
    <d v="1899-12-30T13:00:00"/>
    <n v="15"/>
    <n v="0"/>
  </r>
  <r>
    <d v="2024-01-17T15:00:00"/>
    <x v="0"/>
    <x v="15"/>
    <n v="14"/>
    <x v="3"/>
    <n v="400"/>
    <n v="1350"/>
    <n v="540000"/>
    <x v="399"/>
    <n v="24"/>
    <x v="373"/>
    <x v="16"/>
    <d v="2024-01-17T00:00:00"/>
    <d v="1899-12-30T15:00:00"/>
    <n v="1"/>
    <n v="0"/>
  </r>
  <r>
    <d v="2024-01-17T16:00:00"/>
    <x v="0"/>
    <x v="11"/>
    <n v="7"/>
    <x v="0"/>
    <n v="1945"/>
    <n v="150"/>
    <n v="291750"/>
    <x v="374"/>
    <n v="48"/>
    <x v="369"/>
    <x v="16"/>
    <d v="2024-01-17T00:00:00"/>
    <d v="1899-12-30T16:00:00"/>
    <n v="6"/>
    <n v="0"/>
  </r>
  <r>
    <d v="2024-01-17T17:00:00"/>
    <x v="0"/>
    <x v="12"/>
    <n v="10"/>
    <x v="3"/>
    <n v="200"/>
    <n v="1400"/>
    <n v="280000"/>
    <x v="370"/>
    <n v="24"/>
    <x v="338"/>
    <x v="16"/>
    <d v="2024-01-17T00:00:00"/>
    <d v="1899-12-30T17:00:00"/>
    <n v="5"/>
    <n v="0"/>
  </r>
  <r>
    <d v="2024-01-17T17:00:00"/>
    <x v="0"/>
    <x v="11"/>
    <n v="15"/>
    <x v="3"/>
    <n v="316"/>
    <n v="1450"/>
    <n v="458200"/>
    <x v="436"/>
    <n v="72"/>
    <x v="393"/>
    <x v="16"/>
    <d v="2024-01-17T00:00:00"/>
    <d v="1899-12-30T17:00:00"/>
    <n v="6"/>
    <n v="0"/>
  </r>
  <r>
    <d v="2024-01-17T19:00:00"/>
    <x v="0"/>
    <x v="5"/>
    <n v="4"/>
    <x v="5"/>
    <n v="291"/>
    <n v="15"/>
    <n v="4365"/>
    <x v="413"/>
    <n v="72"/>
    <x v="453"/>
    <x v="16"/>
    <d v="2024-01-17T00:00:00"/>
    <d v="1899-12-30T19:00:00"/>
    <n v="8"/>
    <n v="0"/>
  </r>
  <r>
    <d v="2024-01-17T19:00:00"/>
    <x v="1"/>
    <x v="6"/>
    <n v="1003"/>
    <x v="1"/>
    <n v="50"/>
    <n v="3350"/>
    <n v="167500"/>
    <x v="418"/>
    <n v="88"/>
    <x v="408"/>
    <x v="16"/>
    <d v="2024-01-17T00:00:00"/>
    <d v="1899-12-30T19:00:00"/>
    <n v="15"/>
    <n v="0"/>
  </r>
  <r>
    <d v="2024-01-17T19:00:00"/>
    <x v="1"/>
    <x v="5"/>
    <n v="1003"/>
    <x v="1"/>
    <n v="10"/>
    <n v="4185"/>
    <n v="41850"/>
    <x v="379"/>
    <n v="96"/>
    <x v="443"/>
    <x v="16"/>
    <d v="2024-01-17T00:00:00"/>
    <d v="1899-12-30T19:00:00"/>
    <n v="8"/>
    <n v="0"/>
  </r>
  <r>
    <d v="2024-01-17T19:00:00"/>
    <x v="1"/>
    <x v="8"/>
    <n v="1003"/>
    <x v="1"/>
    <n v="18"/>
    <n v="3950"/>
    <n v="71100"/>
    <x v="420"/>
    <n v="96"/>
    <x v="393"/>
    <x v="16"/>
    <d v="2024-01-17T00:00:00"/>
    <d v="1899-12-30T19:00:00"/>
    <n v="7"/>
    <n v="0"/>
  </r>
  <r>
    <d v="2024-01-17T19:00:00"/>
    <x v="1"/>
    <x v="7"/>
    <n v="1003"/>
    <x v="1"/>
    <n v="30"/>
    <n v="3800"/>
    <n v="114000"/>
    <x v="363"/>
    <n v="96"/>
    <x v="377"/>
    <x v="16"/>
    <d v="2024-01-17T00:00:00"/>
    <d v="1899-12-30T19:00:00"/>
    <n v="12"/>
    <n v="0"/>
  </r>
  <r>
    <d v="2024-01-17T19:00:00"/>
    <x v="1"/>
    <x v="10"/>
    <n v="1003"/>
    <x v="1"/>
    <n v="24"/>
    <n v="3750"/>
    <n v="90000"/>
    <x v="373"/>
    <n v="96"/>
    <x v="444"/>
    <x v="16"/>
    <d v="2024-01-17T00:00:00"/>
    <d v="1899-12-30T19:00:00"/>
    <n v="16"/>
    <n v="0"/>
  </r>
  <r>
    <d v="2024-01-17T19:00:00"/>
    <x v="1"/>
    <x v="9"/>
    <n v="1003"/>
    <x v="1"/>
    <n v="39"/>
    <n v="3750"/>
    <n v="146250"/>
    <x v="374"/>
    <n v="84"/>
    <x v="407"/>
    <x v="16"/>
    <d v="2024-01-17T00:00:00"/>
    <d v="1899-12-30T19:00:00"/>
    <n v="14"/>
    <n v="0"/>
  </r>
  <r>
    <d v="2024-01-17T19:00:00"/>
    <x v="1"/>
    <x v="2"/>
    <n v="1003"/>
    <x v="1"/>
    <n v="15"/>
    <n v="3799"/>
    <n v="56985"/>
    <x v="432"/>
    <n v="76"/>
    <x v="389"/>
    <x v="16"/>
    <d v="2024-01-17T00:00:00"/>
    <d v="1899-12-30T19:00:00"/>
    <n v="9"/>
    <n v="0"/>
  </r>
  <r>
    <d v="2024-01-17T19:00:00"/>
    <x v="1"/>
    <x v="4"/>
    <n v="1003"/>
    <x v="1"/>
    <n v="36"/>
    <n v="4200"/>
    <n v="151200"/>
    <x v="418"/>
    <n v="60"/>
    <x v="401"/>
    <x v="16"/>
    <d v="2024-01-17T00:00:00"/>
    <d v="1899-12-30T19:00:00"/>
    <n v="10"/>
    <n v="0"/>
  </r>
  <r>
    <d v="2024-01-17T19:00:00"/>
    <x v="1"/>
    <x v="1"/>
    <n v="1003"/>
    <x v="1"/>
    <n v="30"/>
    <n v="3400"/>
    <n v="102000"/>
    <x v="351"/>
    <n v="96"/>
    <x v="429"/>
    <x v="16"/>
    <d v="2024-01-17T00:00:00"/>
    <d v="1899-12-30T19:00:00"/>
    <n v="13"/>
    <n v="0"/>
  </r>
  <r>
    <d v="2024-01-17T19:00:00"/>
    <x v="1"/>
    <x v="3"/>
    <n v="1003"/>
    <x v="1"/>
    <n v="30"/>
    <n v="4000"/>
    <n v="120000"/>
    <x v="373"/>
    <n v="96"/>
    <x v="444"/>
    <x v="16"/>
    <d v="2024-01-17T00:00:00"/>
    <d v="1899-12-30T19:00:00"/>
    <n v="11"/>
    <n v="0"/>
  </r>
  <r>
    <d v="2024-01-17T20:00:00"/>
    <x v="0"/>
    <x v="0"/>
    <n v="9"/>
    <x v="3"/>
    <n v="200"/>
    <n v="1350"/>
    <n v="270000"/>
    <x v="374"/>
    <n v="24"/>
    <x v="399"/>
    <x v="16"/>
    <d v="2024-01-17T00:00:00"/>
    <d v="1899-12-30T20:00:00"/>
    <n v="4"/>
    <n v="0"/>
  </r>
  <r>
    <d v="2024-01-17T21:00:00"/>
    <x v="0"/>
    <x v="0"/>
    <n v="8"/>
    <x v="0"/>
    <n v="2000"/>
    <n v="110"/>
    <n v="220000"/>
    <x v="418"/>
    <n v="72"/>
    <x v="408"/>
    <x v="16"/>
    <d v="2024-01-17T00:00:00"/>
    <d v="1899-12-30T21:00:00"/>
    <n v="4"/>
    <n v="0"/>
  </r>
  <r>
    <d v="2024-01-17T21:00:00"/>
    <x v="0"/>
    <x v="0"/>
    <n v="9"/>
    <x v="0"/>
    <n v="2000"/>
    <n v="110"/>
    <n v="220000"/>
    <x v="375"/>
    <n v="72"/>
    <x v="390"/>
    <x v="16"/>
    <d v="2024-01-17T00:00:00"/>
    <d v="1899-12-30T21:00:00"/>
    <n v="4"/>
    <n v="0"/>
  </r>
  <r>
    <d v="2024-01-17T21:00:00"/>
    <x v="0"/>
    <x v="2"/>
    <n v="4"/>
    <x v="5"/>
    <n v="168"/>
    <n v="15"/>
    <n v="2520"/>
    <x v="386"/>
    <n v="48"/>
    <x v="409"/>
    <x v="16"/>
    <d v="2024-01-17T00:00:00"/>
    <d v="1899-12-30T21:00:00"/>
    <n v="9"/>
    <n v="0"/>
  </r>
  <r>
    <d v="2024-01-17T21:00:00"/>
    <x v="0"/>
    <x v="15"/>
    <n v="7"/>
    <x v="0"/>
    <n v="7000"/>
    <n v="140"/>
    <n v="980000"/>
    <x v="436"/>
    <n v="24"/>
    <x v="413"/>
    <x v="16"/>
    <d v="2024-01-17T00:00:00"/>
    <d v="1899-12-30T21:00:00"/>
    <n v="1"/>
    <n v="0"/>
  </r>
  <r>
    <d v="2024-01-17T22:00:00"/>
    <x v="1"/>
    <x v="7"/>
    <n v="1006"/>
    <x v="2"/>
    <n v="12"/>
    <n v="6700"/>
    <n v="80400"/>
    <x v="386"/>
    <n v="96"/>
    <x v="403"/>
    <x v="16"/>
    <d v="2024-01-17T00:00:00"/>
    <d v="1899-12-30T22:00:00"/>
    <n v="12"/>
    <n v="0"/>
  </r>
  <r>
    <d v="2024-01-17T22:00:00"/>
    <x v="1"/>
    <x v="1"/>
    <n v="1006"/>
    <x v="2"/>
    <n v="19"/>
    <n v="6300"/>
    <n v="119700"/>
    <x v="377"/>
    <n v="96"/>
    <x v="395"/>
    <x v="16"/>
    <d v="2024-01-17T00:00:00"/>
    <d v="1899-12-30T22:00:00"/>
    <n v="13"/>
    <n v="0"/>
  </r>
  <r>
    <d v="2024-01-17T22:00:00"/>
    <x v="1"/>
    <x v="10"/>
    <n v="1006"/>
    <x v="2"/>
    <n v="9"/>
    <n v="6650"/>
    <n v="59850"/>
    <x v="375"/>
    <n v="96"/>
    <x v="390"/>
    <x v="16"/>
    <d v="2024-01-17T00:00:00"/>
    <d v="1899-12-30T22:00:00"/>
    <n v="16"/>
    <n v="0"/>
  </r>
  <r>
    <d v="2024-01-17T22:00:00"/>
    <x v="1"/>
    <x v="8"/>
    <n v="1006"/>
    <x v="2"/>
    <n v="7"/>
    <n v="7050"/>
    <n v="49350"/>
    <x v="411"/>
    <n v="96"/>
    <x v="395"/>
    <x v="16"/>
    <d v="2024-01-17T00:00:00"/>
    <d v="1899-12-30T22:00:00"/>
    <n v="7"/>
    <n v="0"/>
  </r>
  <r>
    <d v="2024-01-17T22:00:00"/>
    <x v="1"/>
    <x v="6"/>
    <n v="1006"/>
    <x v="2"/>
    <n v="21"/>
    <n v="6350"/>
    <n v="133350"/>
    <x v="425"/>
    <n v="64"/>
    <x v="367"/>
    <x v="16"/>
    <d v="2024-01-17T00:00:00"/>
    <d v="1899-12-30T22:00:00"/>
    <n v="15"/>
    <n v="0"/>
  </r>
  <r>
    <d v="2024-01-17T22:00:00"/>
    <x v="1"/>
    <x v="9"/>
    <n v="1006"/>
    <x v="2"/>
    <n v="11"/>
    <n v="6650"/>
    <n v="73150"/>
    <x v="436"/>
    <n v="84"/>
    <x v="393"/>
    <x v="16"/>
    <d v="2024-01-17T00:00:00"/>
    <d v="1899-12-30T22:00:00"/>
    <n v="14"/>
    <n v="0"/>
  </r>
  <r>
    <d v="2024-01-17T23:00:00"/>
    <x v="0"/>
    <x v="12"/>
    <n v="9"/>
    <x v="0"/>
    <n v="1500"/>
    <n v="120"/>
    <n v="180000"/>
    <x v="375"/>
    <n v="48"/>
    <x v="371"/>
    <x v="16"/>
    <d v="2024-01-17T00:00:00"/>
    <d v="1899-12-30T23:00:00"/>
    <n v="5"/>
    <n v="0"/>
  </r>
  <r>
    <d v="2024-01-18T00:00:00"/>
    <x v="1"/>
    <x v="1"/>
    <n v="1008"/>
    <x v="2"/>
    <n v="23"/>
    <n v="6200"/>
    <n v="142600"/>
    <x v="437"/>
    <n v="120"/>
    <x v="457"/>
    <x v="17"/>
    <d v="2024-01-18T00:00:00"/>
    <d v="1899-12-30T00:00:00"/>
    <n v="13"/>
    <n v="0"/>
  </r>
  <r>
    <d v="2024-01-18T00:00:00"/>
    <x v="0"/>
    <x v="14"/>
    <n v="9"/>
    <x v="3"/>
    <n v="150"/>
    <n v="1350"/>
    <n v="202500"/>
    <x v="438"/>
    <n v="72"/>
    <x v="261"/>
    <x v="17"/>
    <d v="2024-01-18T00:00:00"/>
    <d v="1899-12-30T00:00:00"/>
    <n v="3"/>
    <n v="0"/>
  </r>
  <r>
    <d v="2024-01-18T00:00:00"/>
    <x v="1"/>
    <x v="6"/>
    <n v="1008"/>
    <x v="2"/>
    <n v="26"/>
    <n v="6250"/>
    <n v="162500"/>
    <x v="386"/>
    <n v="89"/>
    <x v="403"/>
    <x v="17"/>
    <d v="2024-01-18T00:00:00"/>
    <d v="1899-12-30T00:00:00"/>
    <n v="15"/>
    <n v="0"/>
  </r>
  <r>
    <d v="2024-01-18T00:00:00"/>
    <x v="0"/>
    <x v="13"/>
    <n v="8"/>
    <x v="3"/>
    <n v="200"/>
    <n v="1700"/>
    <n v="340000"/>
    <x v="373"/>
    <n v="48"/>
    <x v="362"/>
    <x v="17"/>
    <d v="2024-01-18T00:00:00"/>
    <d v="1899-12-30T00:00:00"/>
    <n v="2"/>
    <n v="0"/>
  </r>
  <r>
    <d v="2024-01-18T00:00:00"/>
    <x v="0"/>
    <x v="0"/>
    <n v="13"/>
    <x v="3"/>
    <n v="180"/>
    <n v="1350"/>
    <n v="243000"/>
    <x v="352"/>
    <n v="24"/>
    <x v="392"/>
    <x v="17"/>
    <d v="2024-01-18T00:00:00"/>
    <d v="1899-12-30T00:00:00"/>
    <n v="4"/>
    <n v="0"/>
  </r>
  <r>
    <d v="2024-01-18T01:00:00"/>
    <x v="0"/>
    <x v="12"/>
    <n v="16"/>
    <x v="0"/>
    <n v="2000"/>
    <n v="120"/>
    <n v="240000"/>
    <x v="375"/>
    <n v="24"/>
    <x v="354"/>
    <x v="17"/>
    <d v="2024-01-18T00:00:00"/>
    <d v="1899-12-30T01:00:00"/>
    <n v="5"/>
    <n v="0"/>
  </r>
  <r>
    <d v="2024-01-18T01:00:00"/>
    <x v="0"/>
    <x v="15"/>
    <n v="14"/>
    <x v="0"/>
    <n v="3000"/>
    <n v="100"/>
    <n v="300000"/>
    <x v="373"/>
    <n v="72"/>
    <x v="444"/>
    <x v="17"/>
    <d v="2024-01-18T00:00:00"/>
    <d v="1899-12-30T01:00:00"/>
    <n v="1"/>
    <n v="0"/>
  </r>
  <r>
    <d v="2024-01-18T02:00:00"/>
    <x v="0"/>
    <x v="13"/>
    <n v="14"/>
    <x v="0"/>
    <n v="1500"/>
    <n v="125"/>
    <n v="187500"/>
    <x v="375"/>
    <n v="72"/>
    <x v="390"/>
    <x v="17"/>
    <d v="2024-01-18T00:00:00"/>
    <d v="1899-12-30T02:00:00"/>
    <n v="2"/>
    <n v="0"/>
  </r>
  <r>
    <d v="2024-01-18T02:00:00"/>
    <x v="1"/>
    <x v="9"/>
    <n v="1011"/>
    <x v="1"/>
    <n v="29"/>
    <n v="3750"/>
    <n v="108750"/>
    <x v="438"/>
    <n v="84"/>
    <x v="261"/>
    <x v="17"/>
    <d v="2024-01-18T00:00:00"/>
    <d v="1899-12-30T02:00:00"/>
    <n v="14"/>
    <n v="0"/>
  </r>
  <r>
    <d v="2024-01-18T02:00:00"/>
    <x v="1"/>
    <x v="2"/>
    <n v="1011"/>
    <x v="1"/>
    <n v="15"/>
    <n v="3799"/>
    <n v="56985"/>
    <x v="438"/>
    <n v="76"/>
    <x v="261"/>
    <x v="17"/>
    <d v="2024-01-18T00:00:00"/>
    <d v="1899-12-30T02:00:00"/>
    <n v="9"/>
    <n v="0"/>
  </r>
  <r>
    <d v="2024-01-18T02:00:00"/>
    <x v="1"/>
    <x v="7"/>
    <n v="1011"/>
    <x v="1"/>
    <n v="19"/>
    <n v="3800"/>
    <n v="72200"/>
    <x v="384"/>
    <n v="96"/>
    <x v="458"/>
    <x v="17"/>
    <d v="2024-01-18T00:00:00"/>
    <d v="1899-12-30T02:00:00"/>
    <n v="12"/>
    <n v="0"/>
  </r>
  <r>
    <d v="2024-01-18T02:00:00"/>
    <x v="1"/>
    <x v="4"/>
    <n v="1011"/>
    <x v="1"/>
    <n v="14"/>
    <n v="4200"/>
    <n v="58800"/>
    <x v="413"/>
    <n v="60"/>
    <x v="386"/>
    <x v="17"/>
    <d v="2024-01-18T00:00:00"/>
    <d v="1899-12-30T02:00:00"/>
    <n v="10"/>
    <n v="0"/>
  </r>
  <r>
    <d v="2024-01-18T02:00:00"/>
    <x v="1"/>
    <x v="3"/>
    <n v="1011"/>
    <x v="1"/>
    <n v="17"/>
    <n v="4000"/>
    <n v="68000"/>
    <x v="439"/>
    <n v="96"/>
    <x v="446"/>
    <x v="17"/>
    <d v="2024-01-18T00:00:00"/>
    <d v="1899-12-30T02:00:00"/>
    <n v="11"/>
    <n v="0"/>
  </r>
  <r>
    <d v="2024-01-18T02:00:00"/>
    <x v="1"/>
    <x v="10"/>
    <n v="1011"/>
    <x v="1"/>
    <n v="22"/>
    <n v="3750"/>
    <n v="82500"/>
    <x v="440"/>
    <n v="96"/>
    <x v="450"/>
    <x v="17"/>
    <d v="2024-01-18T00:00:00"/>
    <d v="1899-12-30T02:00:00"/>
    <n v="16"/>
    <n v="0"/>
  </r>
  <r>
    <d v="2024-01-18T02:00:00"/>
    <x v="1"/>
    <x v="8"/>
    <n v="1011"/>
    <x v="1"/>
    <n v="11"/>
    <n v="3950"/>
    <n v="43450"/>
    <x v="441"/>
    <n v="96"/>
    <x v="428"/>
    <x v="17"/>
    <d v="2024-01-18T00:00:00"/>
    <d v="1899-12-30T02:00:00"/>
    <n v="7"/>
    <n v="0"/>
  </r>
  <r>
    <d v="2024-01-18T02:00:00"/>
    <x v="1"/>
    <x v="5"/>
    <n v="1011"/>
    <x v="1"/>
    <n v="13"/>
    <n v="3836"/>
    <n v="49868"/>
    <x v="442"/>
    <n v="144"/>
    <x v="459"/>
    <x v="17"/>
    <d v="2024-01-18T00:00:00"/>
    <d v="1899-12-30T02:00:00"/>
    <n v="8"/>
    <n v="0"/>
  </r>
  <r>
    <d v="2024-01-18T02:00:00"/>
    <x v="1"/>
    <x v="6"/>
    <n v="1011"/>
    <x v="1"/>
    <n v="37"/>
    <n v="3350"/>
    <n v="123950"/>
    <x v="386"/>
    <n v="88"/>
    <x v="403"/>
    <x v="17"/>
    <d v="2024-01-18T00:00:00"/>
    <d v="1899-12-30T02:00:00"/>
    <n v="15"/>
    <n v="0"/>
  </r>
  <r>
    <d v="2024-01-18T02:00:00"/>
    <x v="1"/>
    <x v="1"/>
    <n v="1011"/>
    <x v="1"/>
    <n v="30"/>
    <n v="3400"/>
    <n v="102000"/>
    <x v="409"/>
    <n v="96"/>
    <x v="447"/>
    <x v="17"/>
    <d v="2024-01-18T00:00:00"/>
    <d v="1899-12-30T02:00:00"/>
    <n v="13"/>
    <n v="0"/>
  </r>
  <r>
    <d v="2024-01-18T03:00:00"/>
    <x v="0"/>
    <x v="12"/>
    <n v="16"/>
    <x v="0"/>
    <n v="2000"/>
    <n v="120"/>
    <n v="240000"/>
    <x v="386"/>
    <n v="48"/>
    <x v="409"/>
    <x v="17"/>
    <d v="2024-01-18T00:00:00"/>
    <d v="1899-12-30T03:00:00"/>
    <n v="5"/>
    <n v="0"/>
  </r>
  <r>
    <d v="2024-01-18T04:00:00"/>
    <x v="1"/>
    <x v="8"/>
    <n v="1009"/>
    <x v="2"/>
    <n v="3"/>
    <n v="7050"/>
    <n v="21150"/>
    <x v="441"/>
    <n v="96"/>
    <x v="428"/>
    <x v="17"/>
    <d v="2024-01-18T00:00:00"/>
    <d v="1899-12-30T04:00:00"/>
    <n v="7"/>
    <n v="0"/>
  </r>
  <r>
    <d v="2024-01-18T04:00:00"/>
    <x v="1"/>
    <x v="10"/>
    <n v="1009"/>
    <x v="2"/>
    <n v="5"/>
    <n v="6650"/>
    <n v="33250"/>
    <x v="440"/>
    <n v="96"/>
    <x v="422"/>
    <x v="17"/>
    <d v="2024-01-18T00:00:00"/>
    <d v="1899-12-30T04:00:00"/>
    <n v="16"/>
    <n v="0"/>
  </r>
  <r>
    <d v="2024-01-18T04:00:00"/>
    <x v="1"/>
    <x v="7"/>
    <n v="1009"/>
    <x v="2"/>
    <n v="4"/>
    <n v="6700"/>
    <n v="26800"/>
    <x v="443"/>
    <n v="96"/>
    <x v="458"/>
    <x v="17"/>
    <d v="2024-01-18T00:00:00"/>
    <d v="1899-12-30T04:00:00"/>
    <n v="12"/>
    <n v="0"/>
  </r>
  <r>
    <d v="2024-01-18T04:00:00"/>
    <x v="1"/>
    <x v="6"/>
    <n v="1009"/>
    <x v="2"/>
    <n v="8"/>
    <n v="6350"/>
    <n v="50800"/>
    <x v="444"/>
    <n v="64"/>
    <x v="460"/>
    <x v="17"/>
    <d v="2024-01-18T00:00:00"/>
    <d v="1899-12-30T04:00:00"/>
    <n v="15"/>
    <n v="0"/>
  </r>
  <r>
    <d v="2024-01-18T04:00:00"/>
    <x v="1"/>
    <x v="1"/>
    <n v="1009"/>
    <x v="2"/>
    <n v="7"/>
    <n v="6300"/>
    <n v="44100"/>
    <x v="385"/>
    <n v="96"/>
    <x v="402"/>
    <x v="17"/>
    <d v="2024-01-18T00:00:00"/>
    <d v="1899-12-30T04:00:00"/>
    <n v="13"/>
    <n v="0"/>
  </r>
  <r>
    <d v="2024-01-18T08:00:00"/>
    <x v="2"/>
    <x v="2"/>
    <n v="2005"/>
    <x v="2"/>
    <n v="75"/>
    <n v="6489"/>
    <n v="486675"/>
    <x v="445"/>
    <n v="120"/>
    <x v="461"/>
    <x v="17"/>
    <d v="2024-01-18T00:00:00"/>
    <d v="1899-12-30T08:00:00"/>
    <n v="9"/>
    <n v="0"/>
  </r>
  <r>
    <d v="2024-01-18T08:00:00"/>
    <x v="2"/>
    <x v="6"/>
    <n v="2005"/>
    <x v="2"/>
    <n v="50"/>
    <n v="6300"/>
    <n v="315000"/>
    <x v="440"/>
    <n v="48"/>
    <x v="369"/>
    <x v="17"/>
    <d v="2024-01-18T00:00:00"/>
    <d v="1899-12-30T08:00:00"/>
    <n v="15"/>
    <n v="0"/>
  </r>
  <r>
    <d v="2024-01-18T08:00:00"/>
    <x v="2"/>
    <x v="6"/>
    <n v="2005"/>
    <x v="1"/>
    <n v="45"/>
    <n v="3650"/>
    <n v="164250"/>
    <x v="440"/>
    <n v="120"/>
    <x v="462"/>
    <x v="17"/>
    <d v="2024-01-18T00:00:00"/>
    <d v="1899-12-30T08:00:00"/>
    <n v="15"/>
    <n v="0"/>
  </r>
  <r>
    <d v="2024-01-18T08:00:00"/>
    <x v="2"/>
    <x v="2"/>
    <n v="2005"/>
    <x v="1"/>
    <n v="30"/>
    <n v="3799"/>
    <n v="113970"/>
    <x v="440"/>
    <n v="112"/>
    <x v="462"/>
    <x v="17"/>
    <d v="2024-01-18T00:00:00"/>
    <d v="1899-12-30T08:00:00"/>
    <n v="9"/>
    <n v="0"/>
  </r>
  <r>
    <d v="2024-01-18T08:00:00"/>
    <x v="2"/>
    <x v="4"/>
    <n v="2005"/>
    <x v="1"/>
    <n v="50"/>
    <n v="4200"/>
    <n v="210000"/>
    <x v="440"/>
    <n v="78"/>
    <x v="422"/>
    <x v="17"/>
    <d v="2024-01-18T00:00:00"/>
    <d v="1899-12-30T08:00:00"/>
    <n v="10"/>
    <n v="0"/>
  </r>
  <r>
    <d v="2024-01-18T08:00:00"/>
    <x v="2"/>
    <x v="9"/>
    <n v="2005"/>
    <x v="1"/>
    <n v="36"/>
    <n v="3750"/>
    <n v="135000"/>
    <x v="440"/>
    <n v="120"/>
    <x v="462"/>
    <x v="17"/>
    <d v="2024-01-18T00:00:00"/>
    <d v="1899-12-30T08:00:00"/>
    <n v="14"/>
    <n v="0"/>
  </r>
  <r>
    <d v="2024-01-18T08:00:00"/>
    <x v="0"/>
    <x v="15"/>
    <n v="14"/>
    <x v="3"/>
    <n v="400"/>
    <n v="1350"/>
    <n v="540000"/>
    <x v="440"/>
    <n v="24"/>
    <x v="353"/>
    <x v="17"/>
    <d v="2024-01-18T00:00:00"/>
    <d v="1899-12-30T08:00:00"/>
    <n v="1"/>
    <n v="0"/>
  </r>
  <r>
    <d v="2024-01-18T08:00:00"/>
    <x v="2"/>
    <x v="9"/>
    <n v="2005"/>
    <x v="2"/>
    <n v="30"/>
    <n v="6650"/>
    <n v="199500"/>
    <x v="440"/>
    <n v="120"/>
    <x v="462"/>
    <x v="17"/>
    <d v="2024-01-18T00:00:00"/>
    <d v="1899-12-30T08:00:00"/>
    <n v="14"/>
    <n v="0"/>
  </r>
  <r>
    <d v="2024-01-18T08:00:00"/>
    <x v="0"/>
    <x v="7"/>
    <n v="3"/>
    <x v="5"/>
    <n v="90"/>
    <n v="7"/>
    <n v="630"/>
    <x v="440"/>
    <n v="72"/>
    <x v="422"/>
    <x v="17"/>
    <d v="2024-01-18T00:00:00"/>
    <d v="1899-12-30T08:00:00"/>
    <n v="12"/>
    <n v="0"/>
  </r>
  <r>
    <d v="2024-01-18T08:00:00"/>
    <x v="0"/>
    <x v="14"/>
    <n v="11"/>
    <x v="3"/>
    <n v="200"/>
    <n v="1350"/>
    <n v="270000"/>
    <x v="440"/>
    <n v="72"/>
    <x v="422"/>
    <x v="17"/>
    <d v="2024-01-18T00:00:00"/>
    <d v="1899-12-30T08:00:00"/>
    <n v="3"/>
    <n v="0"/>
  </r>
  <r>
    <d v="2024-01-18T08:00:00"/>
    <x v="2"/>
    <x v="10"/>
    <n v="2005"/>
    <x v="1"/>
    <n v="30"/>
    <n v="3750"/>
    <n v="112500"/>
    <x v="443"/>
    <n v="132"/>
    <x v="440"/>
    <x v="17"/>
    <d v="2024-01-18T00:00:00"/>
    <d v="1899-12-30T08:00:00"/>
    <n v="16"/>
    <n v="0"/>
  </r>
  <r>
    <d v="2024-01-18T08:00:00"/>
    <x v="2"/>
    <x v="7"/>
    <n v="2005"/>
    <x v="2"/>
    <n v="30"/>
    <n v="6750"/>
    <n v="202500"/>
    <x v="377"/>
    <n v="120"/>
    <x v="463"/>
    <x v="17"/>
    <d v="2024-01-18T00:00:00"/>
    <d v="1899-12-30T08:00:00"/>
    <n v="12"/>
    <n v="0"/>
  </r>
  <r>
    <d v="2024-01-18T08:00:00"/>
    <x v="2"/>
    <x v="3"/>
    <n v="2005"/>
    <x v="1"/>
    <n v="40"/>
    <n v="4000"/>
    <n v="160000"/>
    <x v="377"/>
    <n v="132"/>
    <x v="464"/>
    <x v="17"/>
    <d v="2024-01-18T00:00:00"/>
    <d v="1899-12-30T08:00:00"/>
    <n v="11"/>
    <n v="0"/>
  </r>
  <r>
    <d v="2024-01-18T08:00:00"/>
    <x v="2"/>
    <x v="10"/>
    <n v="2005"/>
    <x v="2"/>
    <n v="30"/>
    <n v="6650"/>
    <n v="199500"/>
    <x v="443"/>
    <n v="132"/>
    <x v="463"/>
    <x v="17"/>
    <d v="2024-01-18T00:00:00"/>
    <d v="1899-12-30T08:00:00"/>
    <n v="16"/>
    <n v="0"/>
  </r>
  <r>
    <d v="2024-01-18T08:00:00"/>
    <x v="2"/>
    <x v="7"/>
    <n v="2005"/>
    <x v="1"/>
    <n v="30"/>
    <n v="3800"/>
    <n v="114000"/>
    <x v="443"/>
    <n v="120"/>
    <x v="463"/>
    <x v="17"/>
    <d v="2024-01-18T00:00:00"/>
    <d v="1899-12-30T08:00:00"/>
    <n v="12"/>
    <n v="0"/>
  </r>
  <r>
    <d v="2024-01-18T08:00:00"/>
    <x v="2"/>
    <x v="1"/>
    <n v="2005"/>
    <x v="2"/>
    <n v="30"/>
    <n v="6300"/>
    <n v="189000"/>
    <x v="292"/>
    <n v="132"/>
    <x v="449"/>
    <x v="17"/>
    <d v="2024-01-18T00:00:00"/>
    <d v="1899-12-30T08:00:00"/>
    <n v="13"/>
    <n v="0"/>
  </r>
  <r>
    <d v="2024-01-18T08:00:00"/>
    <x v="2"/>
    <x v="3"/>
    <n v="2005"/>
    <x v="2"/>
    <n v="50"/>
    <n v="6550"/>
    <n v="327500"/>
    <x v="446"/>
    <n v="132"/>
    <x v="463"/>
    <x v="17"/>
    <d v="2024-01-18T00:00:00"/>
    <d v="1899-12-30T08:00:00"/>
    <n v="11"/>
    <n v="0"/>
  </r>
  <r>
    <d v="2024-01-18T08:00:00"/>
    <x v="2"/>
    <x v="5"/>
    <n v="2005"/>
    <x v="1"/>
    <n v="30"/>
    <n v="3889"/>
    <n v="116670"/>
    <x v="421"/>
    <n v="156"/>
    <x v="387"/>
    <x v="17"/>
    <d v="2024-01-18T00:00:00"/>
    <d v="1899-12-30T08:00:00"/>
    <n v="8"/>
    <n v="0"/>
  </r>
  <r>
    <d v="2024-01-18T08:00:00"/>
    <x v="2"/>
    <x v="5"/>
    <n v="2005"/>
    <x v="2"/>
    <n v="50"/>
    <n v="6000"/>
    <n v="300000"/>
    <x v="447"/>
    <n v="156"/>
    <x v="465"/>
    <x v="17"/>
    <d v="2024-01-18T00:00:00"/>
    <d v="1899-12-30T08:00:00"/>
    <n v="8"/>
    <n v="0"/>
  </r>
  <r>
    <d v="2024-01-18T08:00:00"/>
    <x v="2"/>
    <x v="8"/>
    <n v="2005"/>
    <x v="2"/>
    <n v="37"/>
    <n v="7000"/>
    <n v="259000"/>
    <x v="448"/>
    <n v="132"/>
    <x v="466"/>
    <x v="17"/>
    <d v="2024-01-18T00:00:00"/>
    <d v="1899-12-30T08:00:00"/>
    <n v="7"/>
    <n v="0"/>
  </r>
  <r>
    <d v="2024-01-18T08:00:00"/>
    <x v="2"/>
    <x v="8"/>
    <n v="2005"/>
    <x v="1"/>
    <n v="75"/>
    <n v="3800"/>
    <n v="285000"/>
    <x v="437"/>
    <n v="132"/>
    <x v="467"/>
    <x v="17"/>
    <d v="2024-01-18T00:00:00"/>
    <d v="1899-12-30T08:00:00"/>
    <n v="7"/>
    <n v="0"/>
  </r>
  <r>
    <d v="2024-01-18T08:00:00"/>
    <x v="2"/>
    <x v="1"/>
    <n v="2005"/>
    <x v="1"/>
    <n v="30"/>
    <n v="3300"/>
    <n v="99000"/>
    <x v="422"/>
    <n v="132"/>
    <x v="468"/>
    <x v="17"/>
    <d v="2024-01-18T00:00:00"/>
    <d v="1899-12-30T08:00:00"/>
    <n v="13"/>
    <n v="0"/>
  </r>
  <r>
    <d v="2024-01-18T09:00:00"/>
    <x v="0"/>
    <x v="10"/>
    <n v="5"/>
    <x v="5"/>
    <n v="387"/>
    <n v="10"/>
    <n v="3870"/>
    <x v="407"/>
    <n v="72"/>
    <x v="428"/>
    <x v="17"/>
    <d v="2024-01-18T00:00:00"/>
    <d v="1899-12-30T09:00:00"/>
    <n v="16"/>
    <n v="0"/>
  </r>
  <r>
    <d v="2024-01-18T10:00:00"/>
    <x v="3"/>
    <x v="9"/>
    <n v="3003"/>
    <x v="1"/>
    <n v="12"/>
    <n v="4200"/>
    <n v="50400"/>
    <x v="384"/>
    <n v="288"/>
    <x v="469"/>
    <x v="17"/>
    <d v="2024-01-18T00:00:00"/>
    <d v="1899-12-30T10:00:00"/>
    <n v="14"/>
    <n v="0"/>
  </r>
  <r>
    <d v="2024-01-18T10:00:00"/>
    <x v="3"/>
    <x v="8"/>
    <n v="3003"/>
    <x v="1"/>
    <n v="8"/>
    <n v="4650"/>
    <n v="37200"/>
    <x v="449"/>
    <n v="288"/>
    <x v="470"/>
    <x v="17"/>
    <d v="2024-01-18T00:00:00"/>
    <d v="1899-12-30T10:00:00"/>
    <n v="7"/>
    <n v="0"/>
  </r>
  <r>
    <d v="2024-01-18T10:00:00"/>
    <x v="3"/>
    <x v="8"/>
    <n v="3007"/>
    <x v="1"/>
    <n v="4"/>
    <n v="4650"/>
    <n v="18600"/>
    <x v="450"/>
    <n v="288"/>
    <x v="471"/>
    <x v="17"/>
    <d v="2024-01-18T00:00:00"/>
    <d v="1899-12-30T10:00:00"/>
    <n v="7"/>
    <n v="0"/>
  </r>
  <r>
    <d v="2024-01-18T10:00:00"/>
    <x v="3"/>
    <x v="6"/>
    <n v="3003"/>
    <x v="1"/>
    <n v="7"/>
    <n v="4150"/>
    <n v="29050"/>
    <x v="377"/>
    <n v="260"/>
    <x v="472"/>
    <x v="17"/>
    <d v="2024-01-18T00:00:00"/>
    <d v="1899-12-30T10:00:00"/>
    <n v="15"/>
    <n v="0"/>
  </r>
  <r>
    <d v="2024-01-18T10:00:00"/>
    <x v="3"/>
    <x v="8"/>
    <n v="3004"/>
    <x v="1"/>
    <n v="4"/>
    <n v="4650"/>
    <n v="18600"/>
    <x v="449"/>
    <n v="288"/>
    <x v="473"/>
    <x v="17"/>
    <d v="2024-01-18T00:00:00"/>
    <d v="1899-12-30T10:00:00"/>
    <n v="7"/>
    <n v="0"/>
  </r>
  <r>
    <d v="2024-01-18T10:00:00"/>
    <x v="3"/>
    <x v="6"/>
    <n v="3005"/>
    <x v="1"/>
    <n v="7"/>
    <n v="4150"/>
    <n v="29050"/>
    <x v="351"/>
    <n v="260"/>
    <x v="474"/>
    <x v="17"/>
    <d v="2024-01-18T00:00:00"/>
    <d v="1899-12-30T10:00:00"/>
    <n v="15"/>
    <n v="0"/>
  </r>
  <r>
    <d v="2024-01-18T10:00:00"/>
    <x v="3"/>
    <x v="8"/>
    <n v="3001"/>
    <x v="1"/>
    <n v="4"/>
    <n v="4650"/>
    <n v="18600"/>
    <x v="451"/>
    <n v="288"/>
    <x v="475"/>
    <x v="17"/>
    <d v="2024-01-18T00:00:00"/>
    <d v="1899-12-30T10:00:00"/>
    <n v="7"/>
    <n v="0"/>
  </r>
  <r>
    <d v="2024-01-18T10:00:00"/>
    <x v="3"/>
    <x v="8"/>
    <n v="3009"/>
    <x v="1"/>
    <n v="4"/>
    <n v="4650"/>
    <n v="18600"/>
    <x v="452"/>
    <n v="288"/>
    <x v="476"/>
    <x v="17"/>
    <d v="2024-01-18T00:00:00"/>
    <d v="1899-12-30T10:00:00"/>
    <n v="7"/>
    <n v="0"/>
  </r>
  <r>
    <d v="2024-01-18T10:00:00"/>
    <x v="3"/>
    <x v="6"/>
    <n v="3009"/>
    <x v="1"/>
    <n v="5"/>
    <n v="4150"/>
    <n v="20750"/>
    <x v="377"/>
    <n v="260"/>
    <x v="472"/>
    <x v="17"/>
    <d v="2024-01-18T00:00:00"/>
    <d v="1899-12-30T10:00:00"/>
    <n v="15"/>
    <n v="0"/>
  </r>
  <r>
    <d v="2024-01-18T10:00:00"/>
    <x v="3"/>
    <x v="8"/>
    <n v="3010"/>
    <x v="1"/>
    <n v="4"/>
    <n v="4650"/>
    <n v="18600"/>
    <x v="452"/>
    <n v="288"/>
    <x v="476"/>
    <x v="17"/>
    <d v="2024-01-18T00:00:00"/>
    <d v="1899-12-30T10:00:00"/>
    <n v="7"/>
    <n v="0"/>
  </r>
  <r>
    <d v="2024-01-18T10:00:00"/>
    <x v="3"/>
    <x v="8"/>
    <n v="3008"/>
    <x v="1"/>
    <n v="8"/>
    <n v="4650"/>
    <n v="37200"/>
    <x v="453"/>
    <n v="288"/>
    <x v="477"/>
    <x v="17"/>
    <d v="2024-01-18T00:00:00"/>
    <d v="1899-12-30T10:00:00"/>
    <n v="7"/>
    <n v="0"/>
  </r>
  <r>
    <d v="2024-01-18T10:00:00"/>
    <x v="3"/>
    <x v="6"/>
    <n v="3001"/>
    <x v="1"/>
    <n v="3"/>
    <n v="4150"/>
    <n v="12450"/>
    <x v="377"/>
    <n v="260"/>
    <x v="472"/>
    <x v="17"/>
    <d v="2024-01-18T00:00:00"/>
    <d v="1899-12-30T10:00:00"/>
    <n v="15"/>
    <n v="0"/>
  </r>
  <r>
    <d v="2024-01-18T10:00:00"/>
    <x v="3"/>
    <x v="9"/>
    <n v="3005"/>
    <x v="1"/>
    <n v="12"/>
    <n v="4200"/>
    <n v="50400"/>
    <x v="411"/>
    <n v="288"/>
    <x v="478"/>
    <x v="17"/>
    <d v="2024-01-18T00:00:00"/>
    <d v="1899-12-30T10:00:00"/>
    <n v="14"/>
    <n v="0"/>
  </r>
  <r>
    <d v="2024-01-18T10:00:00"/>
    <x v="3"/>
    <x v="8"/>
    <n v="3005"/>
    <x v="1"/>
    <n v="9"/>
    <n v="4650"/>
    <n v="41850"/>
    <x v="449"/>
    <n v="288"/>
    <x v="473"/>
    <x v="17"/>
    <d v="2024-01-18T00:00:00"/>
    <d v="1899-12-30T10:00:00"/>
    <n v="7"/>
    <n v="0"/>
  </r>
  <r>
    <d v="2024-01-18T11:00:00"/>
    <x v="0"/>
    <x v="0"/>
    <n v="8"/>
    <x v="3"/>
    <n v="200"/>
    <n v="1350"/>
    <n v="270000"/>
    <x v="352"/>
    <n v="24"/>
    <x v="392"/>
    <x v="17"/>
    <d v="2024-01-18T00:00:00"/>
    <d v="1899-12-30T11:00:00"/>
    <n v="4"/>
    <n v="0"/>
  </r>
  <r>
    <d v="2024-01-18T13:00:00"/>
    <x v="1"/>
    <x v="1"/>
    <n v="1004"/>
    <x v="1"/>
    <n v="30"/>
    <n v="3400"/>
    <n v="102000"/>
    <x v="379"/>
    <n v="96"/>
    <x v="479"/>
    <x v="17"/>
    <d v="2024-01-18T00:00:00"/>
    <d v="1899-12-30T13:00:00"/>
    <n v="13"/>
    <n v="0"/>
  </r>
  <r>
    <d v="2024-01-18T13:00:00"/>
    <x v="1"/>
    <x v="9"/>
    <n v="1004"/>
    <x v="1"/>
    <n v="39"/>
    <n v="3750"/>
    <n v="146250"/>
    <x v="377"/>
    <n v="84"/>
    <x v="395"/>
    <x v="17"/>
    <d v="2024-01-18T00:00:00"/>
    <d v="1899-12-30T13:00:00"/>
    <n v="14"/>
    <n v="0"/>
  </r>
  <r>
    <d v="2024-01-18T13:00:00"/>
    <x v="1"/>
    <x v="5"/>
    <n v="1004"/>
    <x v="1"/>
    <n v="43"/>
    <n v="3900"/>
    <n v="167700"/>
    <x v="454"/>
    <n v="156"/>
    <x v="480"/>
    <x v="17"/>
    <d v="2024-01-18T00:00:00"/>
    <d v="1899-12-30T13:00:00"/>
    <n v="8"/>
    <n v="0"/>
  </r>
  <r>
    <d v="2024-01-18T13:00:00"/>
    <x v="1"/>
    <x v="7"/>
    <n v="1004"/>
    <x v="1"/>
    <n v="29"/>
    <n v="3700"/>
    <n v="107300"/>
    <x v="455"/>
    <n v="120"/>
    <x v="481"/>
    <x v="17"/>
    <d v="2024-01-18T00:00:00"/>
    <d v="1899-12-30T13:00:00"/>
    <n v="12"/>
    <n v="0"/>
  </r>
  <r>
    <d v="2024-01-18T13:00:00"/>
    <x v="1"/>
    <x v="6"/>
    <n v="1004"/>
    <x v="1"/>
    <n v="30"/>
    <n v="3450"/>
    <n v="103500"/>
    <x v="352"/>
    <n v="88"/>
    <x v="482"/>
    <x v="17"/>
    <d v="2024-01-18T00:00:00"/>
    <d v="1899-12-30T13:00:00"/>
    <n v="15"/>
    <n v="0"/>
  </r>
  <r>
    <d v="2024-01-18T13:00:00"/>
    <x v="1"/>
    <x v="4"/>
    <n v="1004"/>
    <x v="1"/>
    <n v="30"/>
    <n v="4100"/>
    <n v="123000"/>
    <x v="352"/>
    <n v="84"/>
    <x v="482"/>
    <x v="17"/>
    <d v="2024-01-18T00:00:00"/>
    <d v="1899-12-30T13:00:00"/>
    <n v="10"/>
    <n v="0"/>
  </r>
  <r>
    <d v="2024-01-18T13:00:00"/>
    <x v="1"/>
    <x v="3"/>
    <n v="1004"/>
    <x v="1"/>
    <n v="30"/>
    <n v="4000"/>
    <n v="120000"/>
    <x v="445"/>
    <n v="96"/>
    <x v="483"/>
    <x v="17"/>
    <d v="2024-01-18T00:00:00"/>
    <d v="1899-12-30T13:00:00"/>
    <n v="11"/>
    <n v="0"/>
  </r>
  <r>
    <d v="2024-01-18T13:00:00"/>
    <x v="1"/>
    <x v="8"/>
    <n v="1004"/>
    <x v="1"/>
    <n v="22"/>
    <n v="3950"/>
    <n v="86900"/>
    <x v="424"/>
    <n v="96"/>
    <x v="421"/>
    <x v="17"/>
    <d v="2024-01-18T00:00:00"/>
    <d v="1899-12-30T13:00:00"/>
    <n v="7"/>
    <n v="0"/>
  </r>
  <r>
    <d v="2024-01-18T13:00:00"/>
    <x v="1"/>
    <x v="10"/>
    <n v="1004"/>
    <x v="1"/>
    <n v="25"/>
    <n v="3750"/>
    <n v="93750"/>
    <x v="429"/>
    <n v="96"/>
    <x v="447"/>
    <x v="17"/>
    <d v="2024-01-18T00:00:00"/>
    <d v="1899-12-30T13:00:00"/>
    <n v="16"/>
    <n v="0"/>
  </r>
  <r>
    <d v="2024-01-18T13:00:00"/>
    <x v="1"/>
    <x v="7"/>
    <n v="1004"/>
    <x v="1"/>
    <n v="4"/>
    <n v="3700"/>
    <n v="122100"/>
    <x v="456"/>
    <n v="120"/>
    <x v="484"/>
    <x v="17"/>
    <d v="2024-01-18T00:00:00"/>
    <d v="1899-12-30T13:00:00"/>
    <n v="12"/>
    <n v="0"/>
  </r>
  <r>
    <d v="2024-01-18T13:00:00"/>
    <x v="0"/>
    <x v="12"/>
    <n v="16"/>
    <x v="3"/>
    <n v="400"/>
    <n v="1350"/>
    <n v="540000"/>
    <x v="294"/>
    <n v="24"/>
    <x v="460"/>
    <x v="17"/>
    <d v="2024-01-18T00:00:00"/>
    <d v="1899-12-30T13:00:00"/>
    <n v="5"/>
    <n v="0"/>
  </r>
  <r>
    <d v="2024-01-18T14:00:00"/>
    <x v="0"/>
    <x v="14"/>
    <n v="10"/>
    <x v="0"/>
    <n v="4000"/>
    <n v="125"/>
    <n v="500000"/>
    <x v="392"/>
    <n v="72"/>
    <x v="427"/>
    <x v="17"/>
    <d v="2024-01-18T00:00:00"/>
    <d v="1899-12-30T14:00:00"/>
    <n v="3"/>
    <n v="0"/>
  </r>
  <r>
    <d v="2024-01-18T15:00:00"/>
    <x v="0"/>
    <x v="0"/>
    <n v="9"/>
    <x v="3"/>
    <n v="200"/>
    <n v="1350"/>
    <n v="270000"/>
    <x v="392"/>
    <n v="24"/>
    <x v="425"/>
    <x v="17"/>
    <d v="2024-01-18T00:00:00"/>
    <d v="1899-12-30T15:00:00"/>
    <n v="4"/>
    <n v="0"/>
  </r>
  <r>
    <d v="2024-01-18T16:00:00"/>
    <x v="0"/>
    <x v="0"/>
    <n v="11"/>
    <x v="0"/>
    <n v="2000"/>
    <n v="110"/>
    <n v="220000"/>
    <x v="457"/>
    <n v="72"/>
    <x v="430"/>
    <x v="17"/>
    <d v="2024-01-18T00:00:00"/>
    <d v="1899-12-30T16:00:00"/>
    <n v="4"/>
    <n v="0"/>
  </r>
  <r>
    <d v="2024-01-18T18:00:00"/>
    <x v="2"/>
    <x v="5"/>
    <n v="2006"/>
    <x v="1"/>
    <n v="30"/>
    <n v="3889"/>
    <n v="116670"/>
    <x v="434"/>
    <n v="156"/>
    <x v="441"/>
    <x v="17"/>
    <d v="2024-01-18T00:00:00"/>
    <d v="1899-12-30T18:00:00"/>
    <n v="8"/>
    <n v="0"/>
  </r>
  <r>
    <d v="2024-01-18T18:00:00"/>
    <x v="2"/>
    <x v="1"/>
    <n v="2006"/>
    <x v="1"/>
    <n v="30"/>
    <n v="3300"/>
    <n v="99000"/>
    <x v="411"/>
    <n v="132"/>
    <x v="485"/>
    <x v="17"/>
    <d v="2024-01-18T00:00:00"/>
    <d v="1899-12-30T18:00:00"/>
    <n v="13"/>
    <n v="0"/>
  </r>
  <r>
    <d v="2024-01-18T18:00:00"/>
    <x v="2"/>
    <x v="3"/>
    <n v="2006"/>
    <x v="2"/>
    <n v="50"/>
    <n v="6550"/>
    <n v="327500"/>
    <x v="427"/>
    <n v="132"/>
    <x v="486"/>
    <x v="17"/>
    <d v="2024-01-18T00:00:00"/>
    <d v="1899-12-30T18:00:00"/>
    <n v="11"/>
    <n v="0"/>
  </r>
  <r>
    <d v="2024-01-18T18:00:00"/>
    <x v="2"/>
    <x v="2"/>
    <n v="2006"/>
    <x v="2"/>
    <n v="75"/>
    <n v="6489"/>
    <n v="486675"/>
    <x v="407"/>
    <n v="120"/>
    <x v="487"/>
    <x v="17"/>
    <d v="2024-01-18T00:00:00"/>
    <d v="1899-12-30T18:00:00"/>
    <n v="9"/>
    <n v="0"/>
  </r>
  <r>
    <d v="2024-01-18T18:00:00"/>
    <x v="1"/>
    <x v="10"/>
    <n v="1009"/>
    <x v="1"/>
    <n v="21"/>
    <n v="3750"/>
    <n v="78750"/>
    <x v="382"/>
    <n v="96"/>
    <x v="488"/>
    <x v="17"/>
    <d v="2024-01-18T00:00:00"/>
    <d v="1899-12-30T18:00:00"/>
    <n v="16"/>
    <n v="0"/>
  </r>
  <r>
    <d v="2024-01-18T18:00:00"/>
    <x v="1"/>
    <x v="6"/>
    <n v="1009"/>
    <x v="1"/>
    <n v="37"/>
    <n v="3350"/>
    <n v="123950"/>
    <x v="382"/>
    <n v="88"/>
    <x v="488"/>
    <x v="17"/>
    <d v="2024-01-18T00:00:00"/>
    <d v="1899-12-30T18:00:00"/>
    <n v="15"/>
    <n v="0"/>
  </r>
  <r>
    <d v="2024-01-18T18:00:00"/>
    <x v="1"/>
    <x v="4"/>
    <n v="1009"/>
    <x v="1"/>
    <n v="14"/>
    <n v="4200"/>
    <n v="58800"/>
    <x v="445"/>
    <n v="60"/>
    <x v="389"/>
    <x v="17"/>
    <d v="2024-01-18T00:00:00"/>
    <d v="1899-12-30T18:00:00"/>
    <n v="10"/>
    <n v="0"/>
  </r>
  <r>
    <d v="2024-01-18T18:00:00"/>
    <x v="2"/>
    <x v="6"/>
    <n v="2006"/>
    <x v="1"/>
    <n v="45"/>
    <n v="3650"/>
    <n v="164250"/>
    <x v="429"/>
    <n v="120"/>
    <x v="466"/>
    <x v="17"/>
    <d v="2024-01-18T00:00:00"/>
    <d v="1899-12-30T18:00:00"/>
    <n v="15"/>
    <n v="0"/>
  </r>
  <r>
    <d v="2024-01-18T18:00:00"/>
    <x v="2"/>
    <x v="6"/>
    <n v="2006"/>
    <x v="2"/>
    <n v="50"/>
    <n v="6300"/>
    <n v="315000"/>
    <x v="429"/>
    <n v="48"/>
    <x v="460"/>
    <x v="17"/>
    <d v="2024-01-18T00:00:00"/>
    <d v="1899-12-30T18:00:00"/>
    <n v="15"/>
    <n v="0"/>
  </r>
  <r>
    <d v="2024-01-18T18:00:00"/>
    <x v="2"/>
    <x v="10"/>
    <n v="2006"/>
    <x v="2"/>
    <n v="30"/>
    <n v="6050"/>
    <n v="181500"/>
    <x v="400"/>
    <n v="132"/>
    <x v="489"/>
    <x v="17"/>
    <d v="2024-01-18T00:00:00"/>
    <d v="1899-12-30T18:00:00"/>
    <n v="16"/>
    <n v="0"/>
  </r>
  <r>
    <d v="2024-01-18T18:00:00"/>
    <x v="1"/>
    <x v="9"/>
    <n v="1009"/>
    <x v="1"/>
    <n v="28"/>
    <n v="3650"/>
    <n v="102200"/>
    <x v="385"/>
    <n v="96"/>
    <x v="402"/>
    <x v="17"/>
    <d v="2024-01-18T00:00:00"/>
    <d v="1899-12-30T18:00:00"/>
    <n v="14"/>
    <n v="0"/>
  </r>
  <r>
    <d v="2024-01-18T18:00:00"/>
    <x v="2"/>
    <x v="2"/>
    <n v="2006"/>
    <x v="1"/>
    <n v="30"/>
    <n v="3799"/>
    <n v="113970"/>
    <x v="429"/>
    <n v="112"/>
    <x v="490"/>
    <x v="17"/>
    <d v="2024-01-18T00:00:00"/>
    <d v="1899-12-30T18:00:00"/>
    <n v="9"/>
    <n v="0"/>
  </r>
  <r>
    <d v="2024-01-18T18:00:00"/>
    <x v="2"/>
    <x v="10"/>
    <n v="2006"/>
    <x v="1"/>
    <n v="30"/>
    <n v="3750"/>
    <n v="112500"/>
    <x v="382"/>
    <n v="132"/>
    <x v="468"/>
    <x v="17"/>
    <d v="2024-01-18T00:00:00"/>
    <d v="1899-12-30T18:00:00"/>
    <n v="16"/>
    <n v="0"/>
  </r>
  <r>
    <d v="2024-01-18T18:00:00"/>
    <x v="2"/>
    <x v="4"/>
    <n v="2006"/>
    <x v="1"/>
    <n v="50"/>
    <n v="4200"/>
    <n v="210000"/>
    <x v="445"/>
    <n v="78"/>
    <x v="483"/>
    <x v="17"/>
    <d v="2024-01-18T00:00:00"/>
    <d v="1899-12-30T18:00:00"/>
    <n v="10"/>
    <n v="0"/>
  </r>
  <r>
    <d v="2024-01-18T18:00:00"/>
    <x v="2"/>
    <x v="8"/>
    <n v="2006"/>
    <x v="1"/>
    <n v="75"/>
    <n v="3800"/>
    <n v="285000"/>
    <x v="458"/>
    <n v="132"/>
    <x v="491"/>
    <x v="17"/>
    <d v="2024-01-18T00:00:00"/>
    <d v="1899-12-30T18:00:00"/>
    <n v="7"/>
    <n v="0"/>
  </r>
  <r>
    <d v="2024-01-18T18:00:00"/>
    <x v="2"/>
    <x v="1"/>
    <n v="2006"/>
    <x v="2"/>
    <n v="30"/>
    <n v="6300"/>
    <n v="189000"/>
    <x v="459"/>
    <n v="132"/>
    <x v="492"/>
    <x v="17"/>
    <d v="2024-01-18T00:00:00"/>
    <d v="1899-12-30T18:00:00"/>
    <n v="13"/>
    <n v="0"/>
  </r>
  <r>
    <d v="2024-01-18T18:00:00"/>
    <x v="1"/>
    <x v="1"/>
    <n v="1009"/>
    <x v="1"/>
    <n v="30"/>
    <n v="3400"/>
    <n v="102000"/>
    <x v="393"/>
    <n v="96"/>
    <x v="493"/>
    <x v="17"/>
    <d v="2024-01-18T00:00:00"/>
    <d v="1899-12-30T18:00:00"/>
    <n v="13"/>
    <n v="0"/>
  </r>
  <r>
    <d v="2024-01-18T18:00:00"/>
    <x v="2"/>
    <x v="7"/>
    <n v="2006"/>
    <x v="2"/>
    <n v="30"/>
    <n v="6750"/>
    <n v="202500"/>
    <x v="395"/>
    <n v="120"/>
    <x v="467"/>
    <x v="17"/>
    <d v="2024-01-18T00:00:00"/>
    <d v="1899-12-30T18:00:00"/>
    <n v="12"/>
    <n v="0"/>
  </r>
  <r>
    <d v="2024-01-18T18:00:00"/>
    <x v="2"/>
    <x v="3"/>
    <n v="2006"/>
    <x v="1"/>
    <n v="40"/>
    <n v="4000"/>
    <n v="160000"/>
    <x v="460"/>
    <n v="132"/>
    <x v="494"/>
    <x v="17"/>
    <d v="2024-01-18T00:00:00"/>
    <d v="1899-12-30T18:00:00"/>
    <n v="11"/>
    <n v="0"/>
  </r>
  <r>
    <d v="2024-01-18T18:00:00"/>
    <x v="2"/>
    <x v="7"/>
    <n v="2006"/>
    <x v="1"/>
    <n v="50"/>
    <n v="3700"/>
    <n v="185000"/>
    <x v="460"/>
    <n v="144"/>
    <x v="495"/>
    <x v="17"/>
    <d v="2024-01-18T00:00:00"/>
    <d v="1899-12-30T18:00:00"/>
    <n v="12"/>
    <n v="0"/>
  </r>
  <r>
    <d v="2024-01-18T18:00:00"/>
    <x v="1"/>
    <x v="7"/>
    <n v="1009"/>
    <x v="1"/>
    <n v="19"/>
    <n v="3800"/>
    <n v="72200"/>
    <x v="460"/>
    <n v="96"/>
    <x v="448"/>
    <x v="17"/>
    <d v="2024-01-18T00:00:00"/>
    <d v="1899-12-30T18:00:00"/>
    <n v="12"/>
    <n v="0"/>
  </r>
  <r>
    <d v="2024-01-18T18:00:00"/>
    <x v="2"/>
    <x v="9"/>
    <n v="2006"/>
    <x v="1"/>
    <n v="36"/>
    <n v="3750"/>
    <n v="135000"/>
    <x v="429"/>
    <n v="120"/>
    <x v="466"/>
    <x v="17"/>
    <d v="2024-01-18T00:00:00"/>
    <d v="1899-12-30T18:00:00"/>
    <n v="14"/>
    <n v="0"/>
  </r>
  <r>
    <d v="2024-01-18T18:00:00"/>
    <x v="0"/>
    <x v="11"/>
    <n v="15"/>
    <x v="3"/>
    <n v="321"/>
    <n v="1450"/>
    <n v="465450"/>
    <x v="382"/>
    <n v="72"/>
    <x v="488"/>
    <x v="17"/>
    <d v="2024-01-18T00:00:00"/>
    <d v="1899-12-30T18:00:00"/>
    <n v="6"/>
    <n v="0"/>
  </r>
  <r>
    <d v="2024-01-18T18:00:00"/>
    <x v="2"/>
    <x v="9"/>
    <n v="2006"/>
    <x v="2"/>
    <n v="30"/>
    <n v="6650"/>
    <n v="199500"/>
    <x v="429"/>
    <n v="120"/>
    <x v="466"/>
    <x v="17"/>
    <d v="2024-01-18T00:00:00"/>
    <d v="1899-12-30T18:00:00"/>
    <n v="14"/>
    <n v="0"/>
  </r>
  <r>
    <d v="2024-01-18T18:00:00"/>
    <x v="2"/>
    <x v="5"/>
    <n v="2006"/>
    <x v="2"/>
    <n v="50"/>
    <n v="6000"/>
    <n v="300000"/>
    <x v="461"/>
    <n v="156"/>
    <x v="496"/>
    <x v="17"/>
    <d v="2024-01-18T00:00:00"/>
    <d v="1899-12-30T18:00:00"/>
    <n v="8"/>
    <n v="0"/>
  </r>
  <r>
    <d v="2024-01-18T18:00:00"/>
    <x v="2"/>
    <x v="8"/>
    <n v="2006"/>
    <x v="2"/>
    <n v="40"/>
    <n v="7000"/>
    <n v="280000"/>
    <x v="462"/>
    <n v="132"/>
    <x v="490"/>
    <x v="17"/>
    <d v="2024-01-18T00:00:00"/>
    <d v="1899-12-30T18:00:00"/>
    <n v="7"/>
    <n v="0"/>
  </r>
  <r>
    <d v="2024-01-18T18:00:00"/>
    <x v="1"/>
    <x v="8"/>
    <n v="1009"/>
    <x v="1"/>
    <n v="11"/>
    <n v="3950"/>
    <n v="43450"/>
    <x v="421"/>
    <n v="96"/>
    <x v="497"/>
    <x v="17"/>
    <d v="2024-01-18T00:00:00"/>
    <d v="1899-12-30T18:00:00"/>
    <n v="7"/>
    <n v="0"/>
  </r>
  <r>
    <d v="2024-01-18T18:00:00"/>
    <x v="1"/>
    <x v="2"/>
    <n v="1009"/>
    <x v="1"/>
    <n v="15"/>
    <n v="3799"/>
    <n v="56985"/>
    <x v="429"/>
    <n v="76"/>
    <x v="447"/>
    <x v="17"/>
    <d v="2024-01-18T00:00:00"/>
    <d v="1899-12-30T18:00:00"/>
    <n v="9"/>
    <n v="0"/>
  </r>
  <r>
    <d v="2024-01-18T18:00:00"/>
    <x v="1"/>
    <x v="5"/>
    <n v="1009"/>
    <x v="1"/>
    <n v="12"/>
    <n v="3836"/>
    <n v="46032"/>
    <x v="463"/>
    <n v="144"/>
    <x v="498"/>
    <x v="17"/>
    <d v="2024-01-18T00:00:00"/>
    <d v="1899-12-30T18:00:00"/>
    <n v="8"/>
    <n v="0"/>
  </r>
  <r>
    <d v="2024-01-18T20:00:00"/>
    <x v="1"/>
    <x v="9"/>
    <n v="1007"/>
    <x v="1"/>
    <n v="39"/>
    <n v="3750"/>
    <n v="146250"/>
    <x v="382"/>
    <n v="84"/>
    <x v="488"/>
    <x v="17"/>
    <d v="2024-01-18T00:00:00"/>
    <d v="1899-12-30T20:00:00"/>
    <n v="14"/>
    <n v="0"/>
  </r>
  <r>
    <d v="2024-01-18T20:00:00"/>
    <x v="1"/>
    <x v="4"/>
    <n v="1007"/>
    <x v="1"/>
    <n v="50"/>
    <n v="4200"/>
    <n v="210000"/>
    <x v="385"/>
    <n v="60"/>
    <x v="408"/>
    <x v="17"/>
    <d v="2024-01-18T00:00:00"/>
    <d v="1899-12-30T20:00:00"/>
    <n v="10"/>
    <n v="0"/>
  </r>
  <r>
    <d v="2024-01-18T20:00:00"/>
    <x v="1"/>
    <x v="8"/>
    <n v="1007"/>
    <x v="1"/>
    <n v="41"/>
    <n v="3950"/>
    <n v="161950"/>
    <x v="447"/>
    <n v="96"/>
    <x v="452"/>
    <x v="17"/>
    <d v="2024-01-18T00:00:00"/>
    <d v="1899-12-30T20:00:00"/>
    <n v="7"/>
    <n v="0"/>
  </r>
  <r>
    <d v="2024-01-18T20:00:00"/>
    <x v="1"/>
    <x v="3"/>
    <n v="1007"/>
    <x v="1"/>
    <n v="30"/>
    <n v="4000"/>
    <n v="120000"/>
    <x v="434"/>
    <n v="96"/>
    <x v="499"/>
    <x v="17"/>
    <d v="2024-01-18T00:00:00"/>
    <d v="1899-12-30T20:00:00"/>
    <n v="11"/>
    <n v="0"/>
  </r>
  <r>
    <d v="2024-01-18T20:00:00"/>
    <x v="1"/>
    <x v="1"/>
    <n v="1007"/>
    <x v="1"/>
    <n v="30"/>
    <n v="3400"/>
    <n v="102000"/>
    <x v="384"/>
    <n v="96"/>
    <x v="500"/>
    <x v="17"/>
    <d v="2024-01-18T00:00:00"/>
    <d v="1899-12-30T20:00:00"/>
    <n v="13"/>
    <n v="0"/>
  </r>
  <r>
    <d v="2024-01-18T20:00:00"/>
    <x v="1"/>
    <x v="10"/>
    <n v="1007"/>
    <x v="1"/>
    <n v="30"/>
    <n v="3750"/>
    <n v="112500"/>
    <x v="407"/>
    <n v="96"/>
    <x v="428"/>
    <x v="17"/>
    <d v="2024-01-18T00:00:00"/>
    <d v="1899-12-30T20:00:00"/>
    <n v="16"/>
    <n v="0"/>
  </r>
  <r>
    <d v="2024-01-18T20:00:00"/>
    <x v="1"/>
    <x v="2"/>
    <n v="1007"/>
    <x v="1"/>
    <n v="15"/>
    <n v="3799"/>
    <n v="56985"/>
    <x v="385"/>
    <n v="76"/>
    <x v="439"/>
    <x v="17"/>
    <d v="2024-01-18T00:00:00"/>
    <d v="1899-12-30T20:00:00"/>
    <n v="9"/>
    <n v="0"/>
  </r>
  <r>
    <d v="2024-01-18T20:00:00"/>
    <x v="1"/>
    <x v="7"/>
    <n v="1007"/>
    <x v="1"/>
    <n v="30"/>
    <n v="3800"/>
    <n v="114000"/>
    <x v="460"/>
    <n v="96"/>
    <x v="448"/>
    <x v="17"/>
    <d v="2024-01-18T00:00:00"/>
    <d v="1899-12-30T20:00:00"/>
    <n v="12"/>
    <n v="0"/>
  </r>
  <r>
    <d v="2024-01-18T20:00:00"/>
    <x v="0"/>
    <x v="0"/>
    <n v="13"/>
    <x v="0"/>
    <n v="2000"/>
    <n v="110"/>
    <n v="220000"/>
    <x v="395"/>
    <n v="72"/>
    <x v="452"/>
    <x v="17"/>
    <d v="2024-01-18T00:00:00"/>
    <d v="1899-12-30T20:00:00"/>
    <n v="4"/>
    <n v="0"/>
  </r>
  <r>
    <d v="2024-01-18T20:00:00"/>
    <x v="1"/>
    <x v="6"/>
    <n v="1007"/>
    <x v="1"/>
    <n v="50"/>
    <n v="3350"/>
    <n v="167500"/>
    <x v="400"/>
    <n v="88"/>
    <x v="439"/>
    <x v="17"/>
    <d v="2024-01-18T00:00:00"/>
    <d v="1899-12-30T20:00:00"/>
    <n v="15"/>
    <n v="0"/>
  </r>
  <r>
    <d v="2024-01-18T20:00:00"/>
    <x v="1"/>
    <x v="5"/>
    <n v="1007"/>
    <x v="1"/>
    <n v="31"/>
    <n v="3900"/>
    <n v="120900"/>
    <x v="358"/>
    <n v="156"/>
    <x v="501"/>
    <x v="17"/>
    <d v="2024-01-18T00:00:00"/>
    <d v="1899-12-30T20:00:00"/>
    <n v="8"/>
    <n v="0"/>
  </r>
  <r>
    <d v="2024-01-18T22:00:00"/>
    <x v="0"/>
    <x v="0"/>
    <n v="11"/>
    <x v="3"/>
    <n v="200"/>
    <n v="1350"/>
    <n v="270000"/>
    <x v="407"/>
    <n v="24"/>
    <x v="370"/>
    <x v="17"/>
    <d v="2024-01-18T00:00:00"/>
    <d v="1899-12-30T22:00:00"/>
    <n v="4"/>
    <n v="0"/>
  </r>
  <r>
    <d v="2024-01-19T00:00:00"/>
    <x v="1"/>
    <x v="2"/>
    <n v="1010"/>
    <x v="2"/>
    <n v="8"/>
    <n v="6699"/>
    <n v="53592"/>
    <x v="464"/>
    <n v="75"/>
    <x v="421"/>
    <x v="18"/>
    <d v="2024-01-19T00:00:00"/>
    <d v="1899-12-30T00:00:00"/>
    <n v="9"/>
    <n v="0"/>
  </r>
  <r>
    <d v="2024-01-19T00:00:00"/>
    <x v="0"/>
    <x v="13"/>
    <n v="10"/>
    <x v="0"/>
    <n v="2000"/>
    <n v="130"/>
    <n v="260000"/>
    <x v="410"/>
    <n v="24"/>
    <x v="362"/>
    <x v="18"/>
    <d v="2024-01-19T00:00:00"/>
    <d v="1899-12-30T00:00:00"/>
    <n v="2"/>
    <n v="0"/>
  </r>
  <r>
    <d v="2024-01-19T00:00:00"/>
    <x v="1"/>
    <x v="9"/>
    <n v="1010"/>
    <x v="2"/>
    <n v="6"/>
    <n v="6650"/>
    <n v="39900"/>
    <x v="464"/>
    <n v="84"/>
    <x v="421"/>
    <x v="18"/>
    <d v="2024-01-19T00:00:00"/>
    <d v="1899-12-30T00:00:00"/>
    <n v="14"/>
    <n v="0"/>
  </r>
  <r>
    <d v="2024-01-19T00:00:00"/>
    <x v="1"/>
    <x v="10"/>
    <n v="1010"/>
    <x v="2"/>
    <n v="11"/>
    <n v="6050"/>
    <n v="66550"/>
    <x v="379"/>
    <n v="96"/>
    <x v="479"/>
    <x v="18"/>
    <d v="2024-01-19T00:00:00"/>
    <d v="1899-12-30T00:00:00"/>
    <n v="16"/>
    <n v="0"/>
  </r>
  <r>
    <d v="2024-01-19T00:00:00"/>
    <x v="1"/>
    <x v="6"/>
    <n v="1010"/>
    <x v="2"/>
    <n v="14"/>
    <n v="6350"/>
    <n v="88900"/>
    <x v="465"/>
    <n v="64"/>
    <x v="261"/>
    <x v="18"/>
    <d v="2024-01-19T00:00:00"/>
    <d v="1899-12-30T00:00:00"/>
    <n v="15"/>
    <n v="0"/>
  </r>
  <r>
    <d v="2024-01-19T00:00:00"/>
    <x v="0"/>
    <x v="15"/>
    <n v="10"/>
    <x v="3"/>
    <n v="300"/>
    <n v="1500"/>
    <n v="450000"/>
    <x v="466"/>
    <n v="24"/>
    <x v="386"/>
    <x v="18"/>
    <d v="2024-01-19T00:00:00"/>
    <d v="1899-12-30T00:00:00"/>
    <n v="1"/>
    <n v="0"/>
  </r>
  <r>
    <d v="2024-01-19T00:00:00"/>
    <x v="1"/>
    <x v="7"/>
    <n v="1010"/>
    <x v="2"/>
    <n v="9"/>
    <n v="6700"/>
    <n v="60300"/>
    <x v="384"/>
    <n v="96"/>
    <x v="500"/>
    <x v="18"/>
    <d v="2024-01-19T00:00:00"/>
    <d v="1899-12-30T00:00:00"/>
    <n v="12"/>
    <n v="0"/>
  </r>
  <r>
    <d v="2024-01-19T00:00:00"/>
    <x v="1"/>
    <x v="8"/>
    <n v="1010"/>
    <x v="2"/>
    <n v="5"/>
    <n v="7050"/>
    <n v="35250"/>
    <x v="467"/>
    <n v="96"/>
    <x v="502"/>
    <x v="18"/>
    <d v="2024-01-19T00:00:00"/>
    <d v="1899-12-30T00:00:00"/>
    <n v="7"/>
    <n v="0"/>
  </r>
  <r>
    <d v="2024-01-19T00:00:00"/>
    <x v="1"/>
    <x v="1"/>
    <n v="1010"/>
    <x v="2"/>
    <n v="12"/>
    <n v="6300"/>
    <n v="75600"/>
    <x v="437"/>
    <n v="96"/>
    <x v="503"/>
    <x v="18"/>
    <d v="2024-01-19T00:00:00"/>
    <d v="1899-12-30T00:00:00"/>
    <n v="13"/>
    <n v="0"/>
  </r>
  <r>
    <d v="2024-01-19T01:00:00"/>
    <x v="0"/>
    <x v="0"/>
    <n v="13"/>
    <x v="3"/>
    <n v="203"/>
    <n v="1350"/>
    <n v="274050"/>
    <x v="468"/>
    <n v="24"/>
    <x v="371"/>
    <x v="18"/>
    <d v="2024-01-19T00:00:00"/>
    <d v="1899-12-30T01:00:00"/>
    <n v="4"/>
    <n v="0"/>
  </r>
  <r>
    <d v="2024-01-19T01:00:00"/>
    <x v="0"/>
    <x v="13"/>
    <n v="8"/>
    <x v="3"/>
    <n v="400"/>
    <n v="1700"/>
    <n v="680000"/>
    <x v="410"/>
    <n v="48"/>
    <x v="444"/>
    <x v="18"/>
    <d v="2024-01-19T00:00:00"/>
    <d v="1899-12-30T01:00:00"/>
    <n v="2"/>
    <n v="0"/>
  </r>
  <r>
    <d v="2024-01-19T04:00:00"/>
    <x v="2"/>
    <x v="1"/>
    <n v="2007"/>
    <x v="1"/>
    <n v="30"/>
    <n v="3300"/>
    <n v="99000"/>
    <x v="441"/>
    <n v="132"/>
    <x v="504"/>
    <x v="18"/>
    <d v="2024-01-19T00:00:00"/>
    <d v="1899-12-30T04:00:00"/>
    <n v="13"/>
    <n v="0"/>
  </r>
  <r>
    <d v="2024-01-19T04:00:00"/>
    <x v="2"/>
    <x v="8"/>
    <n v="2007"/>
    <x v="1"/>
    <n v="36"/>
    <n v="3800"/>
    <n v="136800"/>
    <x v="459"/>
    <n v="132"/>
    <x v="492"/>
    <x v="18"/>
    <d v="2024-01-19T00:00:00"/>
    <d v="1899-12-30T04:00:00"/>
    <n v="7"/>
    <n v="0"/>
  </r>
  <r>
    <d v="2024-01-19T04:00:00"/>
    <x v="2"/>
    <x v="8"/>
    <n v="2007"/>
    <x v="2"/>
    <n v="10"/>
    <n v="7000"/>
    <n v="70000"/>
    <x v="458"/>
    <n v="132"/>
    <x v="491"/>
    <x v="18"/>
    <d v="2024-01-19T00:00:00"/>
    <d v="1899-12-30T04:00:00"/>
    <n v="7"/>
    <n v="0"/>
  </r>
  <r>
    <d v="2024-01-19T04:00:00"/>
    <x v="2"/>
    <x v="3"/>
    <n v="2007"/>
    <x v="1"/>
    <n v="40"/>
    <n v="4000"/>
    <n v="160000"/>
    <x v="469"/>
    <n v="132"/>
    <x v="504"/>
    <x v="18"/>
    <d v="2024-01-19T00:00:00"/>
    <d v="1899-12-30T04:00:00"/>
    <n v="11"/>
    <n v="0"/>
  </r>
  <r>
    <d v="2024-01-19T04:00:00"/>
    <x v="2"/>
    <x v="9"/>
    <n v="2007"/>
    <x v="2"/>
    <n v="11"/>
    <n v="6650"/>
    <n v="73150"/>
    <x v="395"/>
    <n v="120"/>
    <x v="467"/>
    <x v="18"/>
    <d v="2024-01-19T00:00:00"/>
    <d v="1899-12-30T04:00:00"/>
    <n v="14"/>
    <n v="0"/>
  </r>
  <r>
    <d v="2024-01-19T04:00:00"/>
    <x v="2"/>
    <x v="3"/>
    <n v="2007"/>
    <x v="2"/>
    <n v="10"/>
    <n v="6800"/>
    <n v="68000"/>
    <x v="294"/>
    <n v="84"/>
    <x v="454"/>
    <x v="18"/>
    <d v="2024-01-19T00:00:00"/>
    <d v="1899-12-30T04:00:00"/>
    <n v="11"/>
    <n v="0"/>
  </r>
  <r>
    <d v="2024-01-19T04:00:00"/>
    <x v="2"/>
    <x v="10"/>
    <n v="2007"/>
    <x v="2"/>
    <n v="25"/>
    <n v="6050"/>
    <n v="151250"/>
    <x v="376"/>
    <n v="132"/>
    <x v="505"/>
    <x v="18"/>
    <d v="2024-01-19T00:00:00"/>
    <d v="1899-12-30T04:00:00"/>
    <n v="16"/>
    <n v="0"/>
  </r>
  <r>
    <d v="2024-01-19T04:00:00"/>
    <x v="2"/>
    <x v="9"/>
    <n v="2007"/>
    <x v="1"/>
    <n v="36"/>
    <n v="3750"/>
    <n v="135000"/>
    <x v="395"/>
    <n v="120"/>
    <x v="467"/>
    <x v="18"/>
    <d v="2024-01-19T00:00:00"/>
    <d v="1899-12-30T04:00:00"/>
    <n v="14"/>
    <n v="0"/>
  </r>
  <r>
    <d v="2024-01-19T04:00:00"/>
    <x v="2"/>
    <x v="1"/>
    <n v="2007"/>
    <x v="2"/>
    <n v="22"/>
    <n v="6300"/>
    <n v="138600"/>
    <x v="314"/>
    <n v="132"/>
    <x v="506"/>
    <x v="18"/>
    <d v="2024-01-19T00:00:00"/>
    <d v="1899-12-30T04:00:00"/>
    <n v="13"/>
    <n v="0"/>
  </r>
  <r>
    <d v="2024-01-19T04:00:00"/>
    <x v="2"/>
    <x v="2"/>
    <n v="2007"/>
    <x v="1"/>
    <n v="30"/>
    <n v="3799"/>
    <n v="113970"/>
    <x v="395"/>
    <n v="112"/>
    <x v="467"/>
    <x v="18"/>
    <d v="2024-01-19T00:00:00"/>
    <d v="1899-12-30T04:00:00"/>
    <n v="9"/>
    <n v="0"/>
  </r>
  <r>
    <d v="2024-01-19T04:00:00"/>
    <x v="2"/>
    <x v="5"/>
    <n v="2007"/>
    <x v="1"/>
    <n v="30"/>
    <n v="3889"/>
    <n v="116670"/>
    <x v="470"/>
    <n v="156"/>
    <x v="507"/>
    <x v="18"/>
    <d v="2024-01-19T00:00:00"/>
    <d v="1899-12-30T04:00:00"/>
    <n v="8"/>
    <n v="0"/>
  </r>
  <r>
    <d v="2024-01-19T04:00:00"/>
    <x v="2"/>
    <x v="4"/>
    <n v="2007"/>
    <x v="1"/>
    <n v="47"/>
    <n v="4200"/>
    <n v="197400"/>
    <x v="395"/>
    <n v="114"/>
    <x v="467"/>
    <x v="18"/>
    <d v="2024-01-19T00:00:00"/>
    <d v="1899-12-30T04:00:00"/>
    <n v="10"/>
    <n v="0"/>
  </r>
  <r>
    <d v="2024-01-19T04:00:00"/>
    <x v="2"/>
    <x v="6"/>
    <n v="2007"/>
    <x v="1"/>
    <n v="45"/>
    <n v="4050"/>
    <n v="182250"/>
    <x v="395"/>
    <n v="48"/>
    <x v="412"/>
    <x v="18"/>
    <d v="2024-01-19T00:00:00"/>
    <d v="1899-12-30T04:00:00"/>
    <n v="15"/>
    <n v="0"/>
  </r>
  <r>
    <d v="2024-01-19T04:00:00"/>
    <x v="2"/>
    <x v="2"/>
    <n v="2007"/>
    <x v="2"/>
    <n v="15"/>
    <n v="6699"/>
    <n v="100485"/>
    <x v="292"/>
    <n v="119"/>
    <x v="449"/>
    <x v="18"/>
    <d v="2024-01-19T00:00:00"/>
    <d v="1899-12-30T04:00:00"/>
    <n v="9"/>
    <n v="0"/>
  </r>
  <r>
    <d v="2024-01-19T04:00:00"/>
    <x v="2"/>
    <x v="6"/>
    <n v="2007"/>
    <x v="2"/>
    <n v="29"/>
    <n v="6300"/>
    <n v="182700"/>
    <x v="395"/>
    <n v="48"/>
    <x v="412"/>
    <x v="18"/>
    <d v="2024-01-19T00:00:00"/>
    <d v="1899-12-30T04:00:00"/>
    <n v="15"/>
    <n v="0"/>
  </r>
  <r>
    <d v="2024-01-19T04:00:00"/>
    <x v="2"/>
    <x v="7"/>
    <n v="2007"/>
    <x v="2"/>
    <n v="14"/>
    <n v="6750"/>
    <n v="94500"/>
    <x v="409"/>
    <n v="120"/>
    <x v="331"/>
    <x v="18"/>
    <d v="2024-01-19T00:00:00"/>
    <d v="1899-12-30T04:00:00"/>
    <n v="12"/>
    <n v="0"/>
  </r>
  <r>
    <d v="2024-01-19T04:00:00"/>
    <x v="2"/>
    <x v="10"/>
    <n v="2007"/>
    <x v="1"/>
    <n v="30"/>
    <n v="3750"/>
    <n v="112500"/>
    <x v="376"/>
    <n v="132"/>
    <x v="505"/>
    <x v="18"/>
    <d v="2024-01-19T00:00:00"/>
    <d v="1899-12-30T04:00:00"/>
    <n v="16"/>
    <n v="0"/>
  </r>
  <r>
    <d v="2024-01-19T04:00:00"/>
    <x v="2"/>
    <x v="7"/>
    <n v="2007"/>
    <x v="1"/>
    <n v="30"/>
    <n v="3800"/>
    <n v="114000"/>
    <x v="460"/>
    <n v="120"/>
    <x v="508"/>
    <x v="18"/>
    <d v="2024-01-19T00:00:00"/>
    <d v="1899-12-30T04:00:00"/>
    <n v="12"/>
    <n v="0"/>
  </r>
  <r>
    <d v="2024-01-19T05:00:00"/>
    <x v="0"/>
    <x v="13"/>
    <n v="8"/>
    <x v="0"/>
    <n v="2000"/>
    <n v="115"/>
    <n v="230000"/>
    <x v="466"/>
    <n v="72"/>
    <x v="502"/>
    <x v="18"/>
    <d v="2024-01-19T00:00:00"/>
    <d v="1899-12-30T05:00:00"/>
    <n v="2"/>
    <n v="0"/>
  </r>
  <r>
    <d v="2024-01-19T05:00:00"/>
    <x v="0"/>
    <x v="1"/>
    <n v="4"/>
    <x v="5"/>
    <n v="217"/>
    <n v="5"/>
    <n v="1085"/>
    <x v="427"/>
    <n v="72"/>
    <x v="499"/>
    <x v="18"/>
    <d v="2024-01-19T00:00:00"/>
    <d v="1899-12-30T05:00:00"/>
    <n v="13"/>
    <n v="0"/>
  </r>
  <r>
    <d v="2024-01-19T06:00:00"/>
    <x v="1"/>
    <x v="1"/>
    <n v="1010"/>
    <x v="1"/>
    <n v="30"/>
    <n v="3400"/>
    <n v="102000"/>
    <x v="441"/>
    <n v="96"/>
    <x v="464"/>
    <x v="18"/>
    <d v="2024-01-19T00:00:00"/>
    <d v="1899-12-30T06:00:00"/>
    <n v="13"/>
    <n v="0"/>
  </r>
  <r>
    <d v="2024-01-19T06:00:00"/>
    <x v="1"/>
    <x v="6"/>
    <n v="1010"/>
    <x v="1"/>
    <n v="49"/>
    <n v="3350"/>
    <n v="164150"/>
    <x v="435"/>
    <n v="88"/>
    <x v="455"/>
    <x v="18"/>
    <d v="2024-01-19T00:00:00"/>
    <d v="1899-12-30T06:00:00"/>
    <n v="15"/>
    <n v="0"/>
  </r>
  <r>
    <d v="2024-01-19T06:00:00"/>
    <x v="1"/>
    <x v="7"/>
    <n v="1010"/>
    <x v="1"/>
    <n v="19"/>
    <n v="3800"/>
    <n v="72200"/>
    <x v="455"/>
    <n v="96"/>
    <x v="481"/>
    <x v="18"/>
    <d v="2024-01-19T00:00:00"/>
    <d v="1899-12-30T06:00:00"/>
    <n v="12"/>
    <n v="0"/>
  </r>
  <r>
    <d v="2024-01-19T06:00:00"/>
    <x v="0"/>
    <x v="3"/>
    <n v="4"/>
    <x v="5"/>
    <n v="189"/>
    <n v="20"/>
    <n v="3780"/>
    <x v="427"/>
    <n v="72"/>
    <x v="499"/>
    <x v="18"/>
    <d v="2024-01-19T00:00:00"/>
    <d v="1899-12-30T06:00:00"/>
    <n v="11"/>
    <n v="0"/>
  </r>
  <r>
    <d v="2024-01-19T06:00:00"/>
    <x v="1"/>
    <x v="9"/>
    <n v="1010"/>
    <x v="1"/>
    <n v="37"/>
    <n v="3750"/>
    <n v="138750"/>
    <x v="294"/>
    <n v="84"/>
    <x v="454"/>
    <x v="18"/>
    <d v="2024-01-19T00:00:00"/>
    <d v="1899-12-30T06:00:00"/>
    <n v="14"/>
    <n v="0"/>
  </r>
  <r>
    <d v="2024-01-19T06:00:00"/>
    <x v="0"/>
    <x v="12"/>
    <n v="16"/>
    <x v="3"/>
    <n v="400"/>
    <n v="1350"/>
    <n v="540000"/>
    <x v="294"/>
    <n v="24"/>
    <x v="460"/>
    <x v="18"/>
    <d v="2024-01-19T00:00:00"/>
    <d v="1899-12-30T06:00:00"/>
    <n v="5"/>
    <n v="0"/>
  </r>
  <r>
    <d v="2024-01-19T06:00:00"/>
    <x v="1"/>
    <x v="10"/>
    <n v="1010"/>
    <x v="1"/>
    <n v="22"/>
    <n v="3750"/>
    <n v="82500"/>
    <x v="376"/>
    <n v="96"/>
    <x v="509"/>
    <x v="18"/>
    <d v="2024-01-19T00:00:00"/>
    <d v="1899-12-30T06:00:00"/>
    <n v="16"/>
    <n v="0"/>
  </r>
  <r>
    <d v="2024-01-19T06:00:00"/>
    <x v="1"/>
    <x v="8"/>
    <n v="1010"/>
    <x v="1"/>
    <n v="16"/>
    <n v="3950"/>
    <n v="63200"/>
    <x v="471"/>
    <n v="96"/>
    <x v="432"/>
    <x v="18"/>
    <d v="2024-01-19T00:00:00"/>
    <d v="1899-12-30T06:00:00"/>
    <n v="7"/>
    <n v="0"/>
  </r>
  <r>
    <d v="2024-01-19T06:00:00"/>
    <x v="1"/>
    <x v="4"/>
    <n v="1010"/>
    <x v="1"/>
    <n v="25"/>
    <n v="4200"/>
    <n v="105000"/>
    <x v="379"/>
    <n v="84"/>
    <x v="479"/>
    <x v="18"/>
    <d v="2024-01-19T00:00:00"/>
    <d v="1899-12-30T06:00:00"/>
    <n v="10"/>
    <n v="0"/>
  </r>
  <r>
    <d v="2024-01-19T06:00:00"/>
    <x v="1"/>
    <x v="2"/>
    <n v="1010"/>
    <x v="1"/>
    <n v="15"/>
    <n v="3799"/>
    <n v="56985"/>
    <x v="294"/>
    <n v="76"/>
    <x v="454"/>
    <x v="18"/>
    <d v="2024-01-19T00:00:00"/>
    <d v="1899-12-30T06:00:00"/>
    <n v="9"/>
    <n v="0"/>
  </r>
  <r>
    <d v="2024-01-19T06:00:00"/>
    <x v="1"/>
    <x v="3"/>
    <n v="1010"/>
    <x v="1"/>
    <n v="28"/>
    <n v="4000"/>
    <n v="112000"/>
    <x v="472"/>
    <n v="96"/>
    <x v="499"/>
    <x v="18"/>
    <d v="2024-01-19T00:00:00"/>
    <d v="1899-12-30T06:00:00"/>
    <n v="11"/>
    <n v="0"/>
  </r>
  <r>
    <d v="2024-01-19T07:00:00"/>
    <x v="1"/>
    <x v="6"/>
    <n v="1004"/>
    <x v="2"/>
    <n v="17"/>
    <n v="6350"/>
    <n v="107950"/>
    <x v="435"/>
    <n v="64"/>
    <x v="422"/>
    <x v="18"/>
    <d v="2024-01-19T00:00:00"/>
    <d v="1899-12-30T07:00:00"/>
    <n v="15"/>
    <n v="0"/>
  </r>
  <r>
    <d v="2024-01-19T07:00:00"/>
    <x v="1"/>
    <x v="8"/>
    <n v="1004"/>
    <x v="2"/>
    <n v="5"/>
    <n v="7050"/>
    <n v="35250"/>
    <x v="448"/>
    <n v="96"/>
    <x v="466"/>
    <x v="18"/>
    <d v="2024-01-19T00:00:00"/>
    <d v="1899-12-30T07:00:00"/>
    <n v="7"/>
    <n v="0"/>
  </r>
  <r>
    <d v="2024-01-19T07:00:00"/>
    <x v="1"/>
    <x v="9"/>
    <n v="1004"/>
    <x v="2"/>
    <n v="7"/>
    <n v="6650"/>
    <n v="46550"/>
    <x v="292"/>
    <n v="84"/>
    <x v="432"/>
    <x v="18"/>
    <d v="2024-01-19T00:00:00"/>
    <d v="1899-12-30T07:00:00"/>
    <n v="14"/>
    <n v="0"/>
  </r>
  <r>
    <d v="2024-01-19T07:00:00"/>
    <x v="1"/>
    <x v="1"/>
    <n v="1004"/>
    <x v="2"/>
    <n v="15"/>
    <n v="6300"/>
    <n v="94500"/>
    <x v="470"/>
    <n v="96"/>
    <x v="510"/>
    <x v="18"/>
    <d v="2024-01-19T00:00:00"/>
    <d v="1899-12-30T07:00:00"/>
    <n v="13"/>
    <n v="0"/>
  </r>
  <r>
    <d v="2024-01-19T08:00:00"/>
    <x v="1"/>
    <x v="7"/>
    <n v="1007"/>
    <x v="2"/>
    <n v="16"/>
    <n v="6700"/>
    <n v="107200"/>
    <x v="473"/>
    <n v="96"/>
    <x v="495"/>
    <x v="18"/>
    <d v="2024-01-19T00:00:00"/>
    <d v="1899-12-30T08:00:00"/>
    <n v="12"/>
    <n v="0"/>
  </r>
  <r>
    <d v="2024-01-19T08:00:00"/>
    <x v="1"/>
    <x v="6"/>
    <n v="1007"/>
    <x v="2"/>
    <n v="18"/>
    <n v="6350"/>
    <n v="114300"/>
    <x v="379"/>
    <n v="64"/>
    <x v="443"/>
    <x v="18"/>
    <d v="2024-01-19T00:00:00"/>
    <d v="1899-12-30T08:00:00"/>
    <n v="15"/>
    <n v="0"/>
  </r>
  <r>
    <d v="2024-01-19T08:00:00"/>
    <x v="0"/>
    <x v="2"/>
    <n v="4"/>
    <x v="5"/>
    <n v="91"/>
    <n v="20"/>
    <n v="1820"/>
    <x v="427"/>
    <n v="72"/>
    <x v="499"/>
    <x v="18"/>
    <d v="2024-01-19T00:00:00"/>
    <d v="1899-12-30T08:00:00"/>
    <n v="9"/>
    <n v="0"/>
  </r>
  <r>
    <d v="2024-01-19T08:00:00"/>
    <x v="1"/>
    <x v="10"/>
    <n v="1007"/>
    <x v="2"/>
    <n v="28"/>
    <n v="6050"/>
    <n v="169400"/>
    <x v="384"/>
    <n v="96"/>
    <x v="500"/>
    <x v="18"/>
    <d v="2024-01-19T00:00:00"/>
    <d v="1899-12-30T08:00:00"/>
    <n v="16"/>
    <n v="0"/>
  </r>
  <r>
    <d v="2024-01-19T08:00:00"/>
    <x v="1"/>
    <x v="2"/>
    <n v="1007"/>
    <x v="2"/>
    <n v="21"/>
    <n v="6499"/>
    <n v="136479"/>
    <x v="394"/>
    <n v="84"/>
    <x v="456"/>
    <x v="18"/>
    <d v="2024-01-19T00:00:00"/>
    <d v="1899-12-30T08:00:00"/>
    <n v="9"/>
    <n v="0"/>
  </r>
  <r>
    <d v="2024-01-19T08:00:00"/>
    <x v="1"/>
    <x v="3"/>
    <n v="1007"/>
    <x v="2"/>
    <n v="20"/>
    <n v="6400"/>
    <n v="128000"/>
    <x v="408"/>
    <n v="72"/>
    <x v="430"/>
    <x v="18"/>
    <d v="2024-01-19T00:00:00"/>
    <d v="1899-12-30T08:00:00"/>
    <n v="11"/>
    <n v="0"/>
  </r>
  <r>
    <d v="2024-01-19T08:00:00"/>
    <x v="1"/>
    <x v="9"/>
    <n v="1007"/>
    <x v="2"/>
    <n v="11"/>
    <n v="6650"/>
    <n v="73150"/>
    <x v="435"/>
    <n v="84"/>
    <x v="455"/>
    <x v="18"/>
    <d v="2024-01-19T00:00:00"/>
    <d v="1899-12-30T08:00:00"/>
    <n v="14"/>
    <n v="0"/>
  </r>
  <r>
    <d v="2024-01-19T08:00:00"/>
    <x v="1"/>
    <x v="1"/>
    <n v="1007"/>
    <x v="2"/>
    <n v="12"/>
    <n v="6300"/>
    <n v="75600"/>
    <x v="474"/>
    <n v="96"/>
    <x v="464"/>
    <x v="18"/>
    <d v="2024-01-19T00:00:00"/>
    <d v="1899-12-30T08:00:00"/>
    <n v="13"/>
    <n v="0"/>
  </r>
  <r>
    <d v="2024-01-19T09:00:00"/>
    <x v="1"/>
    <x v="3"/>
    <n v="1001"/>
    <x v="1"/>
    <n v="29"/>
    <n v="3900"/>
    <n v="113100"/>
    <x v="437"/>
    <n v="108"/>
    <x v="467"/>
    <x v="18"/>
    <d v="2024-01-19T00:00:00"/>
    <d v="1899-12-30T09:00:00"/>
    <n v="11"/>
    <n v="0"/>
  </r>
  <r>
    <d v="2024-01-19T09:00:00"/>
    <x v="1"/>
    <x v="8"/>
    <n v="1001"/>
    <x v="1"/>
    <n v="19"/>
    <n v="3950"/>
    <n v="75050"/>
    <x v="387"/>
    <n v="96"/>
    <x v="345"/>
    <x v="18"/>
    <d v="2024-01-19T00:00:00"/>
    <d v="1899-12-30T09:00:00"/>
    <n v="7"/>
    <n v="0"/>
  </r>
  <r>
    <d v="2024-01-19T09:00:00"/>
    <x v="0"/>
    <x v="15"/>
    <n v="14"/>
    <x v="3"/>
    <n v="400"/>
    <n v="1350"/>
    <n v="540000"/>
    <x v="379"/>
    <n v="24"/>
    <x v="397"/>
    <x v="18"/>
    <d v="2024-01-19T00:00:00"/>
    <d v="1899-12-30T09:00:00"/>
    <n v="1"/>
    <n v="0"/>
  </r>
  <r>
    <d v="2024-01-19T09:00:00"/>
    <x v="1"/>
    <x v="7"/>
    <n v="1001"/>
    <x v="1"/>
    <n v="30"/>
    <n v="3800"/>
    <n v="114000"/>
    <x v="442"/>
    <n v="96"/>
    <x v="436"/>
    <x v="18"/>
    <d v="2024-01-19T00:00:00"/>
    <d v="1899-12-30T09:00:00"/>
    <n v="12"/>
    <n v="0"/>
  </r>
  <r>
    <d v="2024-01-19T09:00:00"/>
    <x v="1"/>
    <x v="2"/>
    <n v="1001"/>
    <x v="1"/>
    <n v="15"/>
    <n v="3799"/>
    <n v="56985"/>
    <x v="379"/>
    <n v="76"/>
    <x v="479"/>
    <x v="18"/>
    <d v="2024-01-19T00:00:00"/>
    <d v="1899-12-30T09:00:00"/>
    <n v="9"/>
    <n v="0"/>
  </r>
  <r>
    <d v="2024-01-19T09:00:00"/>
    <x v="1"/>
    <x v="4"/>
    <n v="1001"/>
    <x v="1"/>
    <n v="25"/>
    <n v="4200"/>
    <n v="105000"/>
    <x v="376"/>
    <n v="84"/>
    <x v="509"/>
    <x v="18"/>
    <d v="2024-01-19T00:00:00"/>
    <d v="1899-12-30T09:00:00"/>
    <n v="10"/>
    <n v="0"/>
  </r>
  <r>
    <d v="2024-01-19T09:00:00"/>
    <x v="1"/>
    <x v="10"/>
    <n v="1001"/>
    <x v="1"/>
    <n v="30"/>
    <n v="3750"/>
    <n v="112500"/>
    <x v="384"/>
    <n v="96"/>
    <x v="500"/>
    <x v="18"/>
    <d v="2024-01-19T00:00:00"/>
    <d v="1899-12-30T09:00:00"/>
    <n v="16"/>
    <n v="0"/>
  </r>
  <r>
    <d v="2024-01-19T09:00:00"/>
    <x v="1"/>
    <x v="1"/>
    <n v="1001"/>
    <x v="1"/>
    <n v="30"/>
    <n v="3400"/>
    <n v="102000"/>
    <x v="446"/>
    <n v="96"/>
    <x v="463"/>
    <x v="18"/>
    <d v="2024-01-19T00:00:00"/>
    <d v="1899-12-30T09:00:00"/>
    <n v="13"/>
    <n v="0"/>
  </r>
  <r>
    <d v="2024-01-19T09:00:00"/>
    <x v="1"/>
    <x v="6"/>
    <n v="1001"/>
    <x v="1"/>
    <n v="50"/>
    <n v="3350"/>
    <n v="167500"/>
    <x v="376"/>
    <n v="88"/>
    <x v="509"/>
    <x v="18"/>
    <d v="2024-01-19T00:00:00"/>
    <d v="1899-12-30T09:00:00"/>
    <n v="15"/>
    <n v="0"/>
  </r>
  <r>
    <d v="2024-01-19T09:00:00"/>
    <x v="1"/>
    <x v="9"/>
    <n v="1001"/>
    <x v="1"/>
    <n v="40"/>
    <n v="3650"/>
    <n v="146000"/>
    <x v="430"/>
    <n v="96"/>
    <x v="511"/>
    <x v="18"/>
    <d v="2024-01-19T00:00:00"/>
    <d v="1899-12-30T09:00:00"/>
    <n v="14"/>
    <n v="0"/>
  </r>
  <r>
    <d v="2024-01-19T10:00:00"/>
    <x v="0"/>
    <x v="15"/>
    <n v="13"/>
    <x v="0"/>
    <n v="1500"/>
    <n v="130"/>
    <n v="195000"/>
    <x v="393"/>
    <n v="72"/>
    <x v="493"/>
    <x v="18"/>
    <d v="2024-01-19T00:00:00"/>
    <d v="1899-12-30T10:00:00"/>
    <n v="1"/>
    <n v="0"/>
  </r>
  <r>
    <d v="2024-01-19T10:00:00"/>
    <x v="1"/>
    <x v="1"/>
    <n v="1002"/>
    <x v="1"/>
    <n v="30"/>
    <n v="3400"/>
    <n v="102000"/>
    <x v="462"/>
    <n v="96"/>
    <x v="490"/>
    <x v="18"/>
    <d v="2024-01-19T00:00:00"/>
    <d v="1899-12-30T10:00:00"/>
    <n v="13"/>
    <n v="0"/>
  </r>
  <r>
    <d v="2024-01-19T10:00:00"/>
    <x v="1"/>
    <x v="9"/>
    <n v="1002"/>
    <x v="1"/>
    <n v="35"/>
    <n v="3750"/>
    <n v="131250"/>
    <x v="384"/>
    <n v="84"/>
    <x v="500"/>
    <x v="18"/>
    <d v="2024-01-19T00:00:00"/>
    <d v="1899-12-30T10:00:00"/>
    <n v="14"/>
    <n v="0"/>
  </r>
  <r>
    <d v="2024-01-19T10:00:00"/>
    <x v="1"/>
    <x v="4"/>
    <n v="1002"/>
    <x v="1"/>
    <n v="30"/>
    <n v="4200"/>
    <n v="126000"/>
    <x v="411"/>
    <n v="84"/>
    <x v="448"/>
    <x v="18"/>
    <d v="2024-01-19T00:00:00"/>
    <d v="1899-12-30T10:00:00"/>
    <n v="10"/>
    <n v="0"/>
  </r>
  <r>
    <d v="2024-01-19T10:00:00"/>
    <x v="1"/>
    <x v="7"/>
    <n v="1002"/>
    <x v="1"/>
    <n v="20"/>
    <n v="3800"/>
    <n v="76000"/>
    <x v="442"/>
    <n v="96"/>
    <x v="436"/>
    <x v="18"/>
    <d v="2024-01-19T00:00:00"/>
    <d v="1899-12-30T10:00:00"/>
    <n v="12"/>
    <n v="0"/>
  </r>
  <r>
    <d v="2024-01-19T10:00:00"/>
    <x v="1"/>
    <x v="6"/>
    <n v="1002"/>
    <x v="1"/>
    <n v="30"/>
    <n v="3450"/>
    <n v="103500"/>
    <x v="393"/>
    <n v="88"/>
    <x v="493"/>
    <x v="18"/>
    <d v="2024-01-19T00:00:00"/>
    <d v="1899-12-30T10:00:00"/>
    <n v="15"/>
    <n v="0"/>
  </r>
  <r>
    <d v="2024-01-19T10:00:00"/>
    <x v="1"/>
    <x v="10"/>
    <n v="1002"/>
    <x v="1"/>
    <n v="30"/>
    <n v="3750"/>
    <n v="112500"/>
    <x v="384"/>
    <n v="96"/>
    <x v="500"/>
    <x v="18"/>
    <d v="2024-01-19T00:00:00"/>
    <d v="1899-12-30T10:00:00"/>
    <n v="16"/>
    <n v="0"/>
  </r>
  <r>
    <d v="2024-01-19T10:00:00"/>
    <x v="1"/>
    <x v="3"/>
    <n v="1002"/>
    <x v="1"/>
    <n v="23"/>
    <n v="4000"/>
    <n v="92000"/>
    <x v="361"/>
    <n v="96"/>
    <x v="457"/>
    <x v="18"/>
    <d v="2024-01-19T00:00:00"/>
    <d v="1899-12-30T10:00:00"/>
    <n v="11"/>
    <n v="0"/>
  </r>
  <r>
    <d v="2024-01-19T10:00:00"/>
    <x v="1"/>
    <x v="2"/>
    <n v="1002"/>
    <x v="1"/>
    <n v="15"/>
    <n v="3799"/>
    <n v="56985"/>
    <x v="376"/>
    <n v="76"/>
    <x v="509"/>
    <x v="18"/>
    <d v="2024-01-19T00:00:00"/>
    <d v="1899-12-30T10:00:00"/>
    <n v="9"/>
    <n v="0"/>
  </r>
  <r>
    <d v="2024-01-19T10:00:00"/>
    <x v="1"/>
    <x v="8"/>
    <n v="1002"/>
    <x v="1"/>
    <n v="15"/>
    <n v="3950"/>
    <n v="59250"/>
    <x v="475"/>
    <n v="96"/>
    <x v="456"/>
    <x v="18"/>
    <d v="2024-01-19T00:00:00"/>
    <d v="1899-12-30T10:00:00"/>
    <n v="7"/>
    <n v="0"/>
  </r>
  <r>
    <d v="2024-01-19T13:00:00"/>
    <x v="0"/>
    <x v="11"/>
    <n v="15"/>
    <x v="3"/>
    <n v="200"/>
    <n v="1500"/>
    <n v="300000"/>
    <x v="384"/>
    <n v="72"/>
    <x v="500"/>
    <x v="18"/>
    <d v="2024-01-19T00:00:00"/>
    <d v="1899-12-30T13:00:00"/>
    <n v="6"/>
    <n v="0"/>
  </r>
  <r>
    <d v="2024-01-19T13:00:00"/>
    <x v="0"/>
    <x v="6"/>
    <n v="2"/>
    <x v="5"/>
    <n v="326"/>
    <n v="10"/>
    <n v="3260"/>
    <x v="384"/>
    <n v="72"/>
    <x v="500"/>
    <x v="18"/>
    <d v="2024-01-19T00:00:00"/>
    <d v="1899-12-30T13:00:00"/>
    <n v="15"/>
    <n v="0"/>
  </r>
  <r>
    <d v="2024-01-19T14:00:00"/>
    <x v="2"/>
    <x v="3"/>
    <n v="2008"/>
    <x v="2"/>
    <n v="10"/>
    <n v="6800"/>
    <n v="68000"/>
    <x v="394"/>
    <n v="84"/>
    <x v="456"/>
    <x v="18"/>
    <d v="2024-01-19T00:00:00"/>
    <d v="1899-12-30T14:00:00"/>
    <n v="11"/>
    <n v="0"/>
  </r>
  <r>
    <d v="2024-01-19T14:00:00"/>
    <x v="2"/>
    <x v="4"/>
    <n v="2008"/>
    <x v="1"/>
    <n v="80"/>
    <n v="4200"/>
    <n v="336000"/>
    <x v="394"/>
    <n v="114"/>
    <x v="512"/>
    <x v="18"/>
    <d v="2024-01-19T00:00:00"/>
    <d v="1899-12-30T14:00:00"/>
    <n v="10"/>
    <n v="0"/>
  </r>
  <r>
    <d v="2024-01-19T14:00:00"/>
    <x v="2"/>
    <x v="1"/>
    <n v="2008"/>
    <x v="2"/>
    <n v="30"/>
    <n v="6300"/>
    <n v="189000"/>
    <x v="476"/>
    <n v="132"/>
    <x v="465"/>
    <x v="18"/>
    <d v="2024-01-19T00:00:00"/>
    <d v="1899-12-30T14:00:00"/>
    <n v="13"/>
    <n v="0"/>
  </r>
  <r>
    <d v="2024-01-19T14:00:00"/>
    <x v="0"/>
    <x v="15"/>
    <n v="13"/>
    <x v="3"/>
    <n v="300"/>
    <n v="1400"/>
    <n v="420000"/>
    <x v="394"/>
    <n v="72"/>
    <x v="456"/>
    <x v="18"/>
    <d v="2024-01-19T00:00:00"/>
    <d v="1899-12-30T14:00:00"/>
    <n v="1"/>
    <n v="0"/>
  </r>
  <r>
    <d v="2024-01-19T14:00:00"/>
    <x v="2"/>
    <x v="1"/>
    <n v="2008"/>
    <x v="1"/>
    <n v="30"/>
    <n v="3300"/>
    <n v="99000"/>
    <x v="477"/>
    <n v="132"/>
    <x v="513"/>
    <x v="18"/>
    <d v="2024-01-19T00:00:00"/>
    <d v="1899-12-30T14:00:00"/>
    <n v="13"/>
    <n v="0"/>
  </r>
  <r>
    <d v="2024-01-19T14:00:00"/>
    <x v="2"/>
    <x v="9"/>
    <n v="2008"/>
    <x v="2"/>
    <n v="25"/>
    <n v="6650"/>
    <n v="166250"/>
    <x v="384"/>
    <n v="120"/>
    <x v="514"/>
    <x v="18"/>
    <d v="2024-01-19T00:00:00"/>
    <d v="1899-12-30T14:00:00"/>
    <n v="14"/>
    <n v="0"/>
  </r>
  <r>
    <d v="2024-01-19T14:00:00"/>
    <x v="2"/>
    <x v="3"/>
    <n v="2008"/>
    <x v="1"/>
    <n v="40"/>
    <n v="4000"/>
    <n v="160000"/>
    <x v="478"/>
    <n v="132"/>
    <x v="498"/>
    <x v="18"/>
    <d v="2024-01-19T00:00:00"/>
    <d v="1899-12-30T14:00:00"/>
    <n v="11"/>
    <n v="0"/>
  </r>
  <r>
    <d v="2024-01-19T14:00:00"/>
    <x v="2"/>
    <x v="2"/>
    <n v="2008"/>
    <x v="2"/>
    <n v="30"/>
    <n v="6585"/>
    <n v="197550"/>
    <x v="421"/>
    <n v="132"/>
    <x v="387"/>
    <x v="18"/>
    <d v="2024-01-19T00:00:00"/>
    <d v="1899-12-30T14:00:00"/>
    <n v="9"/>
    <n v="0"/>
  </r>
  <r>
    <d v="2024-01-19T14:00:00"/>
    <x v="2"/>
    <x v="7"/>
    <n v="2008"/>
    <x v="1"/>
    <n v="30"/>
    <n v="3800"/>
    <n v="114000"/>
    <x v="479"/>
    <n v="120"/>
    <x v="515"/>
    <x v="18"/>
    <d v="2024-01-19T00:00:00"/>
    <d v="1899-12-30T14:00:00"/>
    <n v="12"/>
    <n v="0"/>
  </r>
  <r>
    <d v="2024-01-19T14:00:00"/>
    <x v="2"/>
    <x v="8"/>
    <n v="2008"/>
    <x v="1"/>
    <n v="75"/>
    <n v="3800"/>
    <n v="285000"/>
    <x v="480"/>
    <n v="132"/>
    <x v="516"/>
    <x v="18"/>
    <d v="2024-01-19T00:00:00"/>
    <d v="1899-12-30T14:00:00"/>
    <n v="7"/>
    <n v="0"/>
  </r>
  <r>
    <d v="2024-01-19T14:00:00"/>
    <x v="2"/>
    <x v="2"/>
    <n v="2008"/>
    <x v="1"/>
    <n v="30"/>
    <n v="3799"/>
    <n v="113970"/>
    <x v="384"/>
    <n v="112"/>
    <x v="514"/>
    <x v="18"/>
    <d v="2024-01-19T00:00:00"/>
    <d v="1899-12-30T14:00:00"/>
    <n v="9"/>
    <n v="0"/>
  </r>
  <r>
    <d v="2024-01-19T14:00:00"/>
    <x v="2"/>
    <x v="9"/>
    <n v="2008"/>
    <x v="1"/>
    <n v="36"/>
    <n v="3750"/>
    <n v="135000"/>
    <x v="408"/>
    <n v="120"/>
    <x v="517"/>
    <x v="18"/>
    <d v="2024-01-19T00:00:00"/>
    <d v="1899-12-30T14:00:00"/>
    <n v="14"/>
    <n v="0"/>
  </r>
  <r>
    <d v="2024-01-19T14:00:00"/>
    <x v="2"/>
    <x v="5"/>
    <n v="2008"/>
    <x v="1"/>
    <n v="50"/>
    <n v="4155"/>
    <n v="207750"/>
    <x v="474"/>
    <n v="120"/>
    <x v="485"/>
    <x v="18"/>
    <d v="2024-01-19T00:00:00"/>
    <d v="1899-12-30T14:00:00"/>
    <n v="8"/>
    <n v="0"/>
  </r>
  <r>
    <d v="2024-01-19T14:00:00"/>
    <x v="2"/>
    <x v="10"/>
    <n v="2008"/>
    <x v="1"/>
    <n v="30"/>
    <n v="3750"/>
    <n v="112500"/>
    <x v="430"/>
    <n v="132"/>
    <x v="518"/>
    <x v="18"/>
    <d v="2024-01-19T00:00:00"/>
    <d v="1899-12-30T14:00:00"/>
    <n v="16"/>
    <n v="0"/>
  </r>
  <r>
    <d v="2024-01-19T14:00:00"/>
    <x v="2"/>
    <x v="10"/>
    <n v="2008"/>
    <x v="2"/>
    <n v="30"/>
    <n v="6050"/>
    <n v="181500"/>
    <x v="430"/>
    <n v="132"/>
    <x v="518"/>
    <x v="18"/>
    <d v="2024-01-19T00:00:00"/>
    <d v="1899-12-30T14:00:00"/>
    <n v="16"/>
    <n v="0"/>
  </r>
  <r>
    <d v="2024-01-19T14:00:00"/>
    <x v="2"/>
    <x v="7"/>
    <n v="2008"/>
    <x v="2"/>
    <n v="30"/>
    <n v="6750"/>
    <n v="202500"/>
    <x v="481"/>
    <n v="120"/>
    <x v="519"/>
    <x v="18"/>
    <d v="2024-01-19T00:00:00"/>
    <d v="1899-12-30T14:00:00"/>
    <n v="12"/>
    <n v="0"/>
  </r>
  <r>
    <d v="2024-01-19T14:00:00"/>
    <x v="2"/>
    <x v="8"/>
    <n v="2008"/>
    <x v="2"/>
    <n v="22"/>
    <n v="7000"/>
    <n v="154000"/>
    <x v="482"/>
    <n v="132"/>
    <x v="465"/>
    <x v="18"/>
    <d v="2024-01-19T00:00:00"/>
    <d v="1899-12-30T14:00:00"/>
    <n v="7"/>
    <n v="0"/>
  </r>
  <r>
    <d v="2024-01-19T14:00:00"/>
    <x v="2"/>
    <x v="6"/>
    <n v="2008"/>
    <x v="2"/>
    <n v="50"/>
    <n v="6350"/>
    <n v="317500"/>
    <x v="384"/>
    <n v="48"/>
    <x v="261"/>
    <x v="18"/>
    <d v="2024-01-19T00:00:00"/>
    <d v="1899-12-30T14:00:00"/>
    <n v="15"/>
    <n v="0"/>
  </r>
  <r>
    <d v="2024-01-19T14:00:00"/>
    <x v="2"/>
    <x v="6"/>
    <n v="2008"/>
    <x v="1"/>
    <n v="45"/>
    <n v="4050"/>
    <n v="182250"/>
    <x v="384"/>
    <n v="48"/>
    <x v="261"/>
    <x v="18"/>
    <d v="2024-01-19T00:00:00"/>
    <d v="1899-12-30T14:00:00"/>
    <n v="15"/>
    <n v="0"/>
  </r>
  <r>
    <d v="2024-01-19T15:00:00"/>
    <x v="0"/>
    <x v="12"/>
    <n v="10"/>
    <x v="3"/>
    <n v="400"/>
    <n v="1400"/>
    <n v="560000"/>
    <x v="483"/>
    <n v="48"/>
    <x v="427"/>
    <x v="18"/>
    <d v="2024-01-19T00:00:00"/>
    <d v="1899-12-30T15:00:00"/>
    <n v="5"/>
    <n v="0"/>
  </r>
  <r>
    <d v="2024-01-19T17:00:00"/>
    <x v="1"/>
    <x v="3"/>
    <n v="1001"/>
    <x v="2"/>
    <n v="6"/>
    <n v="6400"/>
    <n v="38400"/>
    <x v="441"/>
    <n v="72"/>
    <x v="428"/>
    <x v="18"/>
    <d v="2024-01-19T00:00:00"/>
    <d v="1899-12-30T17:00:00"/>
    <n v="11"/>
    <n v="0"/>
  </r>
  <r>
    <d v="2024-01-19T17:00:00"/>
    <x v="1"/>
    <x v="7"/>
    <n v="1001"/>
    <x v="2"/>
    <n v="5"/>
    <n v="6700"/>
    <n v="33500"/>
    <x v="458"/>
    <n v="96"/>
    <x v="491"/>
    <x v="18"/>
    <d v="2024-01-19T00:00:00"/>
    <d v="1899-12-30T17:00:00"/>
    <n v="12"/>
    <n v="0"/>
  </r>
  <r>
    <d v="2024-01-19T17:00:00"/>
    <x v="1"/>
    <x v="6"/>
    <n v="1001"/>
    <x v="2"/>
    <n v="10"/>
    <n v="6400"/>
    <n v="64000"/>
    <x v="409"/>
    <n v="64"/>
    <x v="447"/>
    <x v="18"/>
    <d v="2024-01-19T00:00:00"/>
    <d v="1899-12-30T17:00:00"/>
    <n v="15"/>
    <n v="0"/>
  </r>
  <r>
    <d v="2024-01-19T17:00:00"/>
    <x v="1"/>
    <x v="1"/>
    <n v="1001"/>
    <x v="2"/>
    <n v="9"/>
    <n v="6300"/>
    <n v="56700"/>
    <x v="469"/>
    <n v="96"/>
    <x v="490"/>
    <x v="18"/>
    <d v="2024-01-19T00:00:00"/>
    <d v="1899-12-30T17:00:00"/>
    <n v="13"/>
    <n v="0"/>
  </r>
  <r>
    <d v="2024-01-19T17:00:00"/>
    <x v="1"/>
    <x v="10"/>
    <n v="1001"/>
    <x v="2"/>
    <n v="8"/>
    <n v="6050"/>
    <n v="48400"/>
    <x v="430"/>
    <n v="96"/>
    <x v="511"/>
    <x v="18"/>
    <d v="2024-01-19T00:00:00"/>
    <d v="1899-12-30T17:00:00"/>
    <n v="16"/>
    <n v="0"/>
  </r>
  <r>
    <d v="2024-01-19T18:00:00"/>
    <x v="0"/>
    <x v="13"/>
    <n v="7"/>
    <x v="3"/>
    <n v="300"/>
    <n v="1650"/>
    <n v="495000"/>
    <x v="416"/>
    <n v="24"/>
    <x v="389"/>
    <x v="18"/>
    <d v="2024-01-19T00:00:00"/>
    <d v="1899-12-30T18:00:00"/>
    <n v="2"/>
    <n v="0"/>
  </r>
  <r>
    <d v="2024-01-19T19:00:00"/>
    <x v="1"/>
    <x v="1"/>
    <n v="1005"/>
    <x v="1"/>
    <n v="30"/>
    <n v="3400"/>
    <n v="102000"/>
    <x v="476"/>
    <n v="96"/>
    <x v="467"/>
    <x v="18"/>
    <d v="2024-01-19T00:00:00"/>
    <d v="1899-12-30T19:00:00"/>
    <n v="13"/>
    <n v="0"/>
  </r>
  <r>
    <d v="2024-01-19T19:00:00"/>
    <x v="1"/>
    <x v="5"/>
    <n v="1005"/>
    <x v="1"/>
    <n v="35"/>
    <n v="4100"/>
    <n v="143500"/>
    <x v="484"/>
    <n v="156"/>
    <x v="520"/>
    <x v="18"/>
    <d v="2024-01-19T00:00:00"/>
    <d v="1899-12-30T19:00:00"/>
    <n v="8"/>
    <n v="0"/>
  </r>
  <r>
    <d v="2024-01-19T19:00:00"/>
    <x v="1"/>
    <x v="9"/>
    <n v="1005"/>
    <x v="1"/>
    <n v="39"/>
    <n v="3750"/>
    <n v="146250"/>
    <x v="416"/>
    <n v="84"/>
    <x v="457"/>
    <x v="18"/>
    <d v="2024-01-19T00:00:00"/>
    <d v="1899-12-30T19:00:00"/>
    <n v="14"/>
    <n v="0"/>
  </r>
  <r>
    <d v="2024-01-19T19:00:00"/>
    <x v="1"/>
    <x v="7"/>
    <n v="1005"/>
    <x v="1"/>
    <n v="30"/>
    <n v="3800"/>
    <n v="114000"/>
    <x v="463"/>
    <n v="96"/>
    <x v="489"/>
    <x v="18"/>
    <d v="2024-01-19T00:00:00"/>
    <d v="1899-12-30T19:00:00"/>
    <n v="12"/>
    <n v="0"/>
  </r>
  <r>
    <d v="2024-01-19T19:00:00"/>
    <x v="1"/>
    <x v="2"/>
    <n v="1005"/>
    <x v="1"/>
    <n v="15"/>
    <n v="3799"/>
    <n v="56985"/>
    <x v="416"/>
    <n v="76"/>
    <x v="457"/>
    <x v="18"/>
    <d v="2024-01-19T00:00:00"/>
    <d v="1899-12-30T19:00:00"/>
    <n v="9"/>
    <n v="0"/>
  </r>
  <r>
    <d v="2024-01-19T19:00:00"/>
    <x v="1"/>
    <x v="4"/>
    <n v="1005"/>
    <x v="1"/>
    <n v="30"/>
    <n v="4200"/>
    <n v="126000"/>
    <x v="485"/>
    <n v="84"/>
    <x v="457"/>
    <x v="18"/>
    <d v="2024-01-19T00:00:00"/>
    <d v="1899-12-30T19:00:00"/>
    <n v="10"/>
    <n v="0"/>
  </r>
  <r>
    <d v="2024-01-19T19:00:00"/>
    <x v="1"/>
    <x v="10"/>
    <n v="1005"/>
    <x v="1"/>
    <n v="30"/>
    <n v="3750"/>
    <n v="112500"/>
    <x v="420"/>
    <n v="96"/>
    <x v="419"/>
    <x v="18"/>
    <d v="2024-01-19T00:00:00"/>
    <d v="1899-12-30T19:00:00"/>
    <n v="16"/>
    <n v="0"/>
  </r>
  <r>
    <d v="2024-01-19T19:00:00"/>
    <x v="1"/>
    <x v="3"/>
    <n v="1005"/>
    <x v="1"/>
    <n v="30"/>
    <n v="4000"/>
    <n v="120000"/>
    <x v="486"/>
    <n v="96"/>
    <x v="508"/>
    <x v="18"/>
    <d v="2024-01-19T00:00:00"/>
    <d v="1899-12-30T19:00:00"/>
    <n v="11"/>
    <n v="0"/>
  </r>
  <r>
    <d v="2024-01-19T19:00:00"/>
    <x v="0"/>
    <x v="14"/>
    <n v="7"/>
    <x v="0"/>
    <n v="4000"/>
    <n v="135"/>
    <n v="540000"/>
    <x v="487"/>
    <n v="72"/>
    <x v="462"/>
    <x v="18"/>
    <d v="2024-01-19T00:00:00"/>
    <d v="1899-12-30T19:00:00"/>
    <n v="3"/>
    <n v="0"/>
  </r>
  <r>
    <d v="2024-01-19T19:00:00"/>
    <x v="1"/>
    <x v="6"/>
    <n v="1005"/>
    <x v="1"/>
    <n v="50"/>
    <n v="3400"/>
    <n v="170000"/>
    <x v="441"/>
    <n v="88"/>
    <x v="510"/>
    <x v="18"/>
    <d v="2024-01-19T00:00:00"/>
    <d v="1899-12-30T19:00:00"/>
    <n v="15"/>
    <n v="0"/>
  </r>
  <r>
    <d v="2024-01-19T19:00:00"/>
    <x v="1"/>
    <x v="8"/>
    <n v="1005"/>
    <x v="1"/>
    <n v="31"/>
    <n v="4150"/>
    <n v="128650"/>
    <x v="437"/>
    <n v="96"/>
    <x v="467"/>
    <x v="18"/>
    <d v="2024-01-19T00:00:00"/>
    <d v="1899-12-30T19:00:00"/>
    <n v="7"/>
    <n v="0"/>
  </r>
  <r>
    <d v="2024-01-19T19:00:00"/>
    <x v="0"/>
    <x v="13"/>
    <n v="7"/>
    <x v="0"/>
    <n v="5000"/>
    <n v="120"/>
    <n v="600000"/>
    <x v="446"/>
    <n v="24"/>
    <x v="261"/>
    <x v="18"/>
    <d v="2024-01-19T00:00:00"/>
    <d v="1899-12-30T19:00:00"/>
    <n v="2"/>
    <n v="0"/>
  </r>
  <r>
    <d v="2024-01-19T21:00:00"/>
    <x v="0"/>
    <x v="14"/>
    <n v="7"/>
    <x v="3"/>
    <n v="400"/>
    <n v="1350"/>
    <n v="540000"/>
    <x v="446"/>
    <n v="72"/>
    <x v="463"/>
    <x v="18"/>
    <d v="2024-01-19T00:00:00"/>
    <d v="1899-12-30T21:00:00"/>
    <n v="3"/>
    <n v="0"/>
  </r>
  <r>
    <d v="2024-01-19T22:00:00"/>
    <x v="1"/>
    <x v="9"/>
    <n v="1011"/>
    <x v="2"/>
    <n v="5"/>
    <n v="6650"/>
    <n v="33250"/>
    <x v="420"/>
    <n v="84"/>
    <x v="419"/>
    <x v="18"/>
    <d v="2024-01-19T00:00:00"/>
    <d v="1899-12-30T22:00:00"/>
    <n v="14"/>
    <n v="0"/>
  </r>
  <r>
    <d v="2024-01-19T22:00:00"/>
    <x v="1"/>
    <x v="1"/>
    <n v="1011"/>
    <x v="2"/>
    <n v="12"/>
    <n v="6300"/>
    <n v="75600"/>
    <x v="458"/>
    <n v="96"/>
    <x v="491"/>
    <x v="18"/>
    <d v="2024-01-19T00:00:00"/>
    <d v="1899-12-30T22:00:00"/>
    <n v="13"/>
    <n v="0"/>
  </r>
  <r>
    <d v="2024-01-19T22:00:00"/>
    <x v="1"/>
    <x v="7"/>
    <n v="1011"/>
    <x v="2"/>
    <n v="7"/>
    <n v="6700"/>
    <n v="46900"/>
    <x v="364"/>
    <n v="96"/>
    <x v="496"/>
    <x v="18"/>
    <d v="2024-01-19T00:00:00"/>
    <d v="1899-12-30T22:00:00"/>
    <n v="12"/>
    <n v="0"/>
  </r>
  <r>
    <d v="2024-01-19T22:00:00"/>
    <x v="1"/>
    <x v="3"/>
    <n v="1011"/>
    <x v="2"/>
    <n v="8"/>
    <n v="6400"/>
    <n v="51200"/>
    <x v="447"/>
    <n v="72"/>
    <x v="452"/>
    <x v="18"/>
    <d v="2024-01-19T00:00:00"/>
    <d v="1899-12-30T22:00:00"/>
    <n v="11"/>
    <n v="0"/>
  </r>
  <r>
    <d v="2024-01-19T22:00:00"/>
    <x v="1"/>
    <x v="10"/>
    <n v="1011"/>
    <x v="2"/>
    <n v="10"/>
    <n v="6050"/>
    <n v="60500"/>
    <x v="467"/>
    <n v="96"/>
    <x v="521"/>
    <x v="18"/>
    <d v="2024-01-19T00:00:00"/>
    <d v="1899-12-30T22:00:00"/>
    <n v="16"/>
    <n v="0"/>
  </r>
  <r>
    <d v="2024-01-19T22:00:00"/>
    <x v="1"/>
    <x v="6"/>
    <n v="1011"/>
    <x v="2"/>
    <n v="13"/>
    <n v="6400"/>
    <n v="83200"/>
    <x v="441"/>
    <n v="64"/>
    <x v="428"/>
    <x v="18"/>
    <d v="2024-01-19T00:00:00"/>
    <d v="1899-12-30T22:00:00"/>
    <n v="15"/>
    <n v="0"/>
  </r>
  <r>
    <d v="2024-01-19T23:00:00"/>
    <x v="0"/>
    <x v="12"/>
    <n v="16"/>
    <x v="0"/>
    <n v="2000"/>
    <n v="120"/>
    <n v="240000"/>
    <x v="424"/>
    <n v="48"/>
    <x v="421"/>
    <x v="18"/>
    <d v="2024-01-19T00:00:00"/>
    <d v="1899-12-30T23:00:00"/>
    <n v="5"/>
    <n v="0"/>
  </r>
  <r>
    <d v="2024-01-19T23:00:00"/>
    <x v="0"/>
    <x v="0"/>
    <n v="9"/>
    <x v="3"/>
    <n v="400"/>
    <n v="1350"/>
    <n v="540000"/>
    <x v="441"/>
    <n v="24"/>
    <x v="410"/>
    <x v="18"/>
    <d v="2024-01-19T00:00:00"/>
    <d v="1899-12-30T23:00:00"/>
    <n v="4"/>
    <n v="0"/>
  </r>
  <r>
    <d v="2024-01-20T00:00:00"/>
    <x v="1"/>
    <x v="5"/>
    <n v="1002"/>
    <x v="2"/>
    <n v="5"/>
    <n v="6911"/>
    <n v="34555"/>
    <x v="458"/>
    <n v="96"/>
    <x v="491"/>
    <x v="19"/>
    <d v="2024-01-20T00:00:00"/>
    <d v="1899-12-30T00:00:00"/>
    <n v="8"/>
    <n v="0"/>
  </r>
  <r>
    <d v="2024-01-20T00:00:00"/>
    <x v="1"/>
    <x v="3"/>
    <n v="1002"/>
    <x v="2"/>
    <n v="8"/>
    <n v="6400"/>
    <n v="51200"/>
    <x v="448"/>
    <n v="72"/>
    <x v="454"/>
    <x v="19"/>
    <d v="2024-01-20T00:00:00"/>
    <d v="1899-12-30T00:00:00"/>
    <n v="11"/>
    <n v="0"/>
  </r>
  <r>
    <d v="2024-01-20T00:00:00"/>
    <x v="1"/>
    <x v="10"/>
    <n v="1002"/>
    <x v="2"/>
    <n v="10"/>
    <n v="6050"/>
    <n v="60500"/>
    <x v="467"/>
    <n v="96"/>
    <x v="461"/>
    <x v="19"/>
    <d v="2024-01-20T00:00:00"/>
    <d v="1899-12-30T00:00:00"/>
    <n v="16"/>
    <n v="0"/>
  </r>
  <r>
    <d v="2024-01-20T00:00:00"/>
    <x v="0"/>
    <x v="0"/>
    <n v="8"/>
    <x v="3"/>
    <n v="450"/>
    <n v="1350"/>
    <n v="607500"/>
    <x v="421"/>
    <n v="24"/>
    <x v="390"/>
    <x v="19"/>
    <d v="2024-01-20T00:00:00"/>
    <d v="1899-12-30T00:00:00"/>
    <n v="4"/>
    <n v="0"/>
  </r>
  <r>
    <d v="2024-01-20T00:00:00"/>
    <x v="1"/>
    <x v="1"/>
    <n v="1002"/>
    <x v="2"/>
    <n v="12"/>
    <n v="6300"/>
    <n v="75600"/>
    <x v="454"/>
    <n v="96"/>
    <x v="459"/>
    <x v="19"/>
    <d v="2024-01-20T00:00:00"/>
    <d v="1899-12-30T00:00:00"/>
    <n v="13"/>
    <n v="0"/>
  </r>
  <r>
    <d v="2024-01-20T00:00:00"/>
    <x v="1"/>
    <x v="9"/>
    <n v="1002"/>
    <x v="2"/>
    <n v="6"/>
    <n v="6650"/>
    <n v="39900"/>
    <x v="424"/>
    <n v="84"/>
    <x v="451"/>
    <x v="19"/>
    <d v="2024-01-20T00:00:00"/>
    <d v="1899-12-30T00:00:00"/>
    <n v="14"/>
    <n v="0"/>
  </r>
  <r>
    <d v="2024-01-20T00:00:00"/>
    <x v="1"/>
    <x v="2"/>
    <n v="1002"/>
    <x v="2"/>
    <n v="7"/>
    <n v="6699"/>
    <n v="46893"/>
    <x v="424"/>
    <n v="75"/>
    <x v="451"/>
    <x v="19"/>
    <d v="2024-01-20T00:00:00"/>
    <d v="1899-12-30T00:00:00"/>
    <n v="9"/>
    <n v="0"/>
  </r>
  <r>
    <d v="2024-01-20T00:00:00"/>
    <x v="1"/>
    <x v="7"/>
    <n v="1002"/>
    <x v="2"/>
    <n v="9"/>
    <n v="6750"/>
    <n v="60750"/>
    <x v="481"/>
    <n v="96"/>
    <x v="522"/>
    <x v="19"/>
    <d v="2024-01-20T00:00:00"/>
    <d v="1899-12-30T00:00:00"/>
    <n v="12"/>
    <n v="0"/>
  </r>
  <r>
    <d v="2024-01-20T00:00:00"/>
    <x v="1"/>
    <x v="6"/>
    <n v="1002"/>
    <x v="2"/>
    <n v="13"/>
    <n v="6400"/>
    <n v="83200"/>
    <x v="446"/>
    <n v="64"/>
    <x v="411"/>
    <x v="19"/>
    <d v="2024-01-20T00:00:00"/>
    <d v="1899-12-30T00:00:00"/>
    <n v="15"/>
    <n v="0"/>
  </r>
  <r>
    <d v="2024-01-20T01:00:00"/>
    <x v="0"/>
    <x v="12"/>
    <n v="9"/>
    <x v="3"/>
    <n v="150"/>
    <n v="1400"/>
    <n v="210000"/>
    <x v="488"/>
    <n v="72"/>
    <x v="464"/>
    <x v="19"/>
    <d v="2024-01-20T00:00:00"/>
    <d v="1899-12-30T01:00:00"/>
    <n v="5"/>
    <n v="0"/>
  </r>
  <r>
    <d v="2024-01-20T01:00:00"/>
    <x v="0"/>
    <x v="14"/>
    <n v="12"/>
    <x v="3"/>
    <n v="720"/>
    <n v="1300"/>
    <n v="936000"/>
    <x v="488"/>
    <n v="72"/>
    <x v="464"/>
    <x v="19"/>
    <d v="2024-01-20T00:00:00"/>
    <d v="1899-12-30T01:00:00"/>
    <n v="3"/>
    <n v="0"/>
  </r>
  <r>
    <d v="2024-01-20T02:00:00"/>
    <x v="0"/>
    <x v="14"/>
    <n v="12"/>
    <x v="0"/>
    <n v="3000"/>
    <n v="120"/>
    <n v="360000"/>
    <x v="446"/>
    <n v="72"/>
    <x v="463"/>
    <x v="19"/>
    <d v="2024-01-20T00:00:00"/>
    <d v="1899-12-30T02:00:00"/>
    <n v="3"/>
    <n v="0"/>
  </r>
  <r>
    <d v="2024-01-20T04:00:00"/>
    <x v="0"/>
    <x v="14"/>
    <n v="13"/>
    <x v="0"/>
    <n v="2000"/>
    <n v="125"/>
    <n v="250000"/>
    <x v="447"/>
    <n v="72"/>
    <x v="523"/>
    <x v="19"/>
    <d v="2024-01-20T00:00:00"/>
    <d v="1899-12-30T04:00:00"/>
    <n v="3"/>
    <n v="0"/>
  </r>
  <r>
    <d v="2024-01-20T05:00:00"/>
    <x v="0"/>
    <x v="11"/>
    <n v="7"/>
    <x v="0"/>
    <n v="1913"/>
    <n v="130"/>
    <n v="248690"/>
    <x v="437"/>
    <n v="72"/>
    <x v="467"/>
    <x v="19"/>
    <d v="2024-01-20T00:00:00"/>
    <d v="1899-12-30T05:00:00"/>
    <n v="6"/>
    <n v="0"/>
  </r>
  <r>
    <d v="2024-01-20T06:00:00"/>
    <x v="0"/>
    <x v="11"/>
    <n v="7"/>
    <x v="3"/>
    <n v="114"/>
    <n v="1500"/>
    <n v="171000"/>
    <x v="477"/>
    <n v="72"/>
    <x v="489"/>
    <x v="19"/>
    <d v="2024-01-20T00:00:00"/>
    <d v="1899-12-30T06:00:00"/>
    <n v="6"/>
    <n v="0"/>
  </r>
  <r>
    <d v="2024-01-20T06:00:00"/>
    <x v="0"/>
    <x v="6"/>
    <n v="12"/>
    <x v="2"/>
    <n v="100"/>
    <n v="6100"/>
    <n v="610000"/>
    <x v="448"/>
    <n v="72"/>
    <x v="466"/>
    <x v="19"/>
    <d v="2024-01-20T00:00:00"/>
    <d v="1899-12-30T06:00:00"/>
    <n v="15"/>
    <n v="0"/>
  </r>
  <r>
    <d v="2024-01-20T07:00:00"/>
    <x v="1"/>
    <x v="7"/>
    <n v="1005"/>
    <x v="2"/>
    <n v="15"/>
    <n v="6750"/>
    <n v="101250"/>
    <x v="489"/>
    <n v="96"/>
    <x v="330"/>
    <x v="19"/>
    <d v="2024-01-20T00:00:00"/>
    <d v="1899-12-30T07:00:00"/>
    <n v="12"/>
    <n v="0"/>
  </r>
  <r>
    <d v="2024-01-20T07:00:00"/>
    <x v="1"/>
    <x v="6"/>
    <n v="1005"/>
    <x v="2"/>
    <n v="23"/>
    <n v="6400"/>
    <n v="147200"/>
    <x v="387"/>
    <n v="64"/>
    <x v="455"/>
    <x v="19"/>
    <d v="2024-01-20T00:00:00"/>
    <d v="1899-12-30T07:00:00"/>
    <n v="15"/>
    <n v="0"/>
  </r>
  <r>
    <d v="2024-01-20T07:00:00"/>
    <x v="1"/>
    <x v="3"/>
    <n v="1005"/>
    <x v="2"/>
    <n v="13"/>
    <n v="6400"/>
    <n v="83200"/>
    <x v="460"/>
    <n v="72"/>
    <x v="448"/>
    <x v="19"/>
    <d v="2024-01-20T00:00:00"/>
    <d v="1899-12-30T07:00:00"/>
    <n v="11"/>
    <n v="0"/>
  </r>
  <r>
    <d v="2024-01-20T07:00:00"/>
    <x v="1"/>
    <x v="1"/>
    <n v="1005"/>
    <x v="2"/>
    <n v="20"/>
    <n v="6000"/>
    <n v="120000"/>
    <x v="480"/>
    <n v="96"/>
    <x v="516"/>
    <x v="19"/>
    <d v="2024-01-20T00:00:00"/>
    <d v="1899-12-30T07:00:00"/>
    <n v="13"/>
    <n v="0"/>
  </r>
  <r>
    <d v="2024-01-20T07:00:00"/>
    <x v="1"/>
    <x v="9"/>
    <n v="1005"/>
    <x v="2"/>
    <n v="9"/>
    <n v="6650"/>
    <n v="59850"/>
    <x v="387"/>
    <n v="84"/>
    <x v="345"/>
    <x v="19"/>
    <d v="2024-01-20T00:00:00"/>
    <d v="1899-12-30T07:00:00"/>
    <n v="14"/>
    <n v="0"/>
  </r>
  <r>
    <d v="2024-01-20T07:00:00"/>
    <x v="1"/>
    <x v="10"/>
    <n v="1005"/>
    <x v="2"/>
    <n v="18"/>
    <n v="6050"/>
    <n v="108900"/>
    <x v="460"/>
    <n v="96"/>
    <x v="494"/>
    <x v="19"/>
    <d v="2024-01-20T00:00:00"/>
    <d v="1899-12-30T07:00:00"/>
    <n v="16"/>
    <n v="0"/>
  </r>
  <r>
    <d v="2024-01-20T08:00:00"/>
    <x v="0"/>
    <x v="0"/>
    <n v="8"/>
    <x v="0"/>
    <n v="650"/>
    <n v="130"/>
    <n v="84500"/>
    <x v="462"/>
    <n v="24"/>
    <x v="443"/>
    <x v="19"/>
    <d v="2024-01-20T00:00:00"/>
    <d v="1899-12-30T08:00:00"/>
    <n v="4"/>
    <n v="0"/>
  </r>
  <r>
    <d v="2024-01-20T08:00:00"/>
    <x v="0"/>
    <x v="14"/>
    <n v="13"/>
    <x v="3"/>
    <n v="150"/>
    <n v="1300"/>
    <n v="195000"/>
    <x v="477"/>
    <n v="72"/>
    <x v="489"/>
    <x v="19"/>
    <d v="2024-01-20T00:00:00"/>
    <d v="1899-12-30T08:00:00"/>
    <n v="3"/>
    <n v="0"/>
  </r>
  <r>
    <d v="2024-01-20T08:00:00"/>
    <x v="0"/>
    <x v="15"/>
    <n v="14"/>
    <x v="3"/>
    <n v="400"/>
    <n v="1350"/>
    <n v="540000"/>
    <x v="387"/>
    <n v="24"/>
    <x v="422"/>
    <x v="19"/>
    <d v="2024-01-20T00:00:00"/>
    <d v="1899-12-30T08:00:00"/>
    <n v="1"/>
    <n v="0"/>
  </r>
  <r>
    <d v="2024-01-20T09:00:00"/>
    <x v="0"/>
    <x v="5"/>
    <n v="4"/>
    <x v="5"/>
    <n v="144"/>
    <n v="15"/>
    <n v="2160"/>
    <x v="477"/>
    <n v="72"/>
    <x v="489"/>
    <x v="19"/>
    <d v="2024-01-20T00:00:00"/>
    <d v="1899-12-30T09:00:00"/>
    <n v="8"/>
    <n v="0"/>
  </r>
  <r>
    <d v="2024-01-20T10:00:00"/>
    <x v="2"/>
    <x v="5"/>
    <n v="2009"/>
    <x v="1"/>
    <n v="50"/>
    <n v="4155"/>
    <n v="207750"/>
    <x v="454"/>
    <n v="120"/>
    <x v="480"/>
    <x v="19"/>
    <d v="2024-01-20T00:00:00"/>
    <d v="1899-12-30T10:00:00"/>
    <n v="8"/>
    <n v="0"/>
  </r>
  <r>
    <d v="2024-01-20T10:00:00"/>
    <x v="2"/>
    <x v="7"/>
    <n v="2009"/>
    <x v="2"/>
    <n v="30"/>
    <n v="6800"/>
    <n v="204000"/>
    <x v="490"/>
    <n v="120"/>
    <x v="524"/>
    <x v="19"/>
    <d v="2024-01-20T00:00:00"/>
    <d v="1899-12-30T10:00:00"/>
    <n v="12"/>
    <n v="0"/>
  </r>
  <r>
    <d v="2024-01-20T10:00:00"/>
    <x v="1"/>
    <x v="10"/>
    <n v="1003"/>
    <x v="2"/>
    <n v="5"/>
    <n v="6050"/>
    <n v="30250"/>
    <x v="491"/>
    <n v="96"/>
    <x v="508"/>
    <x v="19"/>
    <d v="2024-01-20T00:00:00"/>
    <d v="1899-12-30T10:00:00"/>
    <n v="16"/>
    <n v="0"/>
  </r>
  <r>
    <d v="2024-01-20T10:00:00"/>
    <x v="1"/>
    <x v="7"/>
    <n v="1003"/>
    <x v="2"/>
    <n v="3"/>
    <n v="6750"/>
    <n v="27000"/>
    <x v="492"/>
    <n v="96"/>
    <x v="517"/>
    <x v="19"/>
    <d v="2024-01-20T00:00:00"/>
    <d v="1899-12-30T10:00:00"/>
    <n v="12"/>
    <n v="0"/>
  </r>
  <r>
    <d v="2024-01-20T10:00:00"/>
    <x v="2"/>
    <x v="3"/>
    <n v="2009"/>
    <x v="1"/>
    <n v="40"/>
    <n v="4000"/>
    <n v="160000"/>
    <x v="493"/>
    <n v="132"/>
    <x v="525"/>
    <x v="19"/>
    <d v="2024-01-20T00:00:00"/>
    <d v="1899-12-30T10:00:00"/>
    <n v="11"/>
    <n v="0"/>
  </r>
  <r>
    <d v="2024-01-20T10:00:00"/>
    <x v="2"/>
    <x v="10"/>
    <n v="2009"/>
    <x v="1"/>
    <n v="30"/>
    <n v="3750"/>
    <n v="112500"/>
    <x v="485"/>
    <n v="132"/>
    <x v="526"/>
    <x v="19"/>
    <d v="2024-01-20T00:00:00"/>
    <d v="1899-12-30T10:00:00"/>
    <n v="16"/>
    <n v="0"/>
  </r>
  <r>
    <d v="2024-01-20T10:00:00"/>
    <x v="1"/>
    <x v="7"/>
    <n v="1003"/>
    <x v="2"/>
    <n v="1"/>
    <n v="6750"/>
    <n v="6750"/>
    <x v="490"/>
    <n v="96"/>
    <x v="331"/>
    <x v="19"/>
    <d v="2024-01-20T00:00:00"/>
    <d v="1899-12-30T10:00:00"/>
    <n v="12"/>
    <n v="0"/>
  </r>
  <r>
    <d v="2024-01-20T10:00:00"/>
    <x v="2"/>
    <x v="8"/>
    <n v="2009"/>
    <x v="2"/>
    <n v="31"/>
    <n v="7000"/>
    <n v="217000"/>
    <x v="494"/>
    <n v="132"/>
    <x v="496"/>
    <x v="19"/>
    <d v="2024-01-20T00:00:00"/>
    <d v="1899-12-30T10:00:00"/>
    <n v="7"/>
    <n v="0"/>
  </r>
  <r>
    <d v="2024-01-20T10:00:00"/>
    <x v="1"/>
    <x v="3"/>
    <n v="1003"/>
    <x v="2"/>
    <n v="3"/>
    <n v="6400"/>
    <n v="19200"/>
    <x v="437"/>
    <n v="72"/>
    <x v="503"/>
    <x v="19"/>
    <d v="2024-01-20T00:00:00"/>
    <d v="1899-12-30T10:00:00"/>
    <n v="11"/>
    <n v="0"/>
  </r>
  <r>
    <d v="2024-01-20T10:00:00"/>
    <x v="2"/>
    <x v="10"/>
    <n v="2009"/>
    <x v="2"/>
    <n v="30"/>
    <n v="6050"/>
    <n v="181500"/>
    <x v="491"/>
    <n v="132"/>
    <x v="527"/>
    <x v="19"/>
    <d v="2024-01-20T00:00:00"/>
    <d v="1899-12-30T10:00:00"/>
    <n v="16"/>
    <n v="0"/>
  </r>
  <r>
    <d v="2024-01-20T10:00:00"/>
    <x v="2"/>
    <x v="4"/>
    <n v="2009"/>
    <x v="1"/>
    <n v="80"/>
    <n v="4200"/>
    <n v="336000"/>
    <x v="461"/>
    <n v="114"/>
    <x v="495"/>
    <x v="19"/>
    <d v="2024-01-20T00:00:00"/>
    <d v="1899-12-30T10:00:00"/>
    <n v="10"/>
    <n v="0"/>
  </r>
  <r>
    <d v="2024-01-20T10:00:00"/>
    <x v="1"/>
    <x v="6"/>
    <n v="1003"/>
    <x v="2"/>
    <n v="6"/>
    <n v="6400"/>
    <n v="38400"/>
    <x v="461"/>
    <n v="64"/>
    <x v="493"/>
    <x v="19"/>
    <d v="2024-01-20T00:00:00"/>
    <d v="1899-12-30T10:00:00"/>
    <n v="15"/>
    <n v="0"/>
  </r>
  <r>
    <d v="2024-01-20T10:00:00"/>
    <x v="2"/>
    <x v="9"/>
    <n v="2009"/>
    <x v="2"/>
    <n v="30"/>
    <n v="6650"/>
    <n v="199500"/>
    <x v="477"/>
    <n v="120"/>
    <x v="513"/>
    <x v="19"/>
    <d v="2024-01-20T00:00:00"/>
    <d v="1899-12-30T10:00:00"/>
    <n v="14"/>
    <n v="0"/>
  </r>
  <r>
    <d v="2024-01-20T10:00:00"/>
    <x v="1"/>
    <x v="5"/>
    <n v="1003"/>
    <x v="2"/>
    <n v="30"/>
    <n v="5848"/>
    <n v="175440"/>
    <x v="495"/>
    <n v="120"/>
    <x v="528"/>
    <x v="19"/>
    <d v="2024-01-20T00:00:00"/>
    <d v="1899-12-30T10:00:00"/>
    <n v="8"/>
    <n v="0"/>
  </r>
  <r>
    <d v="2024-01-20T10:00:00"/>
    <x v="2"/>
    <x v="5"/>
    <n v="2009"/>
    <x v="2"/>
    <n v="35"/>
    <n v="6400"/>
    <n v="224000"/>
    <x v="496"/>
    <n v="156"/>
    <x v="529"/>
    <x v="19"/>
    <d v="2024-01-20T00:00:00"/>
    <d v="1899-12-30T10:00:00"/>
    <n v="8"/>
    <n v="0"/>
  </r>
  <r>
    <d v="2024-01-20T10:00:00"/>
    <x v="2"/>
    <x v="6"/>
    <n v="2009"/>
    <x v="2"/>
    <n v="50"/>
    <n v="6350"/>
    <n v="317500"/>
    <x v="461"/>
    <n v="48"/>
    <x v="428"/>
    <x v="19"/>
    <d v="2024-01-20T00:00:00"/>
    <d v="1899-12-30T10:00:00"/>
    <n v="15"/>
    <n v="0"/>
  </r>
  <r>
    <d v="2024-01-20T10:00:00"/>
    <x v="2"/>
    <x v="3"/>
    <n v="2009"/>
    <x v="2"/>
    <n v="10"/>
    <n v="6800"/>
    <n v="68000"/>
    <x v="477"/>
    <n v="84"/>
    <x v="489"/>
    <x v="19"/>
    <d v="2024-01-20T00:00:00"/>
    <d v="1899-12-30T10:00:00"/>
    <n v="11"/>
    <n v="0"/>
  </r>
  <r>
    <d v="2024-01-20T10:00:00"/>
    <x v="2"/>
    <x v="9"/>
    <n v="2009"/>
    <x v="1"/>
    <n v="36"/>
    <n v="3750"/>
    <n v="135000"/>
    <x v="477"/>
    <n v="120"/>
    <x v="527"/>
    <x v="19"/>
    <d v="2024-01-20T00:00:00"/>
    <d v="1899-12-30T10:00:00"/>
    <n v="14"/>
    <n v="0"/>
  </r>
  <r>
    <d v="2024-01-20T10:00:00"/>
    <x v="2"/>
    <x v="2"/>
    <n v="2009"/>
    <x v="1"/>
    <n v="30"/>
    <n v="3799"/>
    <n v="113970"/>
    <x v="477"/>
    <n v="112"/>
    <x v="513"/>
    <x v="19"/>
    <d v="2024-01-20T00:00:00"/>
    <d v="1899-12-30T10:00:00"/>
    <n v="9"/>
    <n v="0"/>
  </r>
  <r>
    <d v="2024-01-20T10:00:00"/>
    <x v="1"/>
    <x v="1"/>
    <n v="1003"/>
    <x v="2"/>
    <n v="5"/>
    <n v="6000"/>
    <n v="30000"/>
    <x v="497"/>
    <n v="96"/>
    <x v="514"/>
    <x v="19"/>
    <d v="2024-01-20T00:00:00"/>
    <d v="1899-12-30T10:00:00"/>
    <n v="13"/>
    <n v="0"/>
  </r>
  <r>
    <d v="2024-01-20T10:00:00"/>
    <x v="2"/>
    <x v="1"/>
    <n v="2009"/>
    <x v="2"/>
    <n v="30"/>
    <n v="6000"/>
    <n v="180000"/>
    <x v="314"/>
    <n v="132"/>
    <x v="530"/>
    <x v="19"/>
    <d v="2024-01-20T00:00:00"/>
    <d v="1899-12-30T10:00:00"/>
    <n v="13"/>
    <n v="0"/>
  </r>
  <r>
    <d v="2024-01-20T10:00:00"/>
    <x v="2"/>
    <x v="2"/>
    <n v="2009"/>
    <x v="2"/>
    <n v="15"/>
    <n v="6699"/>
    <n v="100485"/>
    <x v="460"/>
    <n v="119"/>
    <x v="495"/>
    <x v="19"/>
    <d v="2024-01-20T00:00:00"/>
    <d v="1899-12-30T10:00:00"/>
    <n v="9"/>
    <n v="0"/>
  </r>
  <r>
    <d v="2024-01-20T10:00:00"/>
    <x v="2"/>
    <x v="6"/>
    <n v="2009"/>
    <x v="1"/>
    <n v="45"/>
    <n v="4100"/>
    <n v="184500"/>
    <x v="461"/>
    <n v="48"/>
    <x v="428"/>
    <x v="19"/>
    <d v="2024-01-20T00:00:00"/>
    <d v="1899-12-30T10:00:00"/>
    <n v="15"/>
    <n v="0"/>
  </r>
  <r>
    <d v="2024-01-20T10:00:00"/>
    <x v="2"/>
    <x v="1"/>
    <n v="2009"/>
    <x v="1"/>
    <n v="30"/>
    <n v="3000"/>
    <n v="90000"/>
    <x v="481"/>
    <n v="132"/>
    <x v="519"/>
    <x v="19"/>
    <d v="2024-01-20T00:00:00"/>
    <d v="1899-12-30T10:00:00"/>
    <n v="13"/>
    <n v="0"/>
  </r>
  <r>
    <d v="2024-01-20T10:00:00"/>
    <x v="2"/>
    <x v="7"/>
    <n v="2009"/>
    <x v="1"/>
    <n v="30"/>
    <n v="3800"/>
    <n v="114000"/>
    <x v="362"/>
    <n v="120"/>
    <x v="387"/>
    <x v="19"/>
    <d v="2024-01-20T00:00:00"/>
    <d v="1899-12-30T10:00:00"/>
    <n v="12"/>
    <n v="0"/>
  </r>
  <r>
    <d v="2024-01-20T10:00:00"/>
    <x v="2"/>
    <x v="8"/>
    <n v="2009"/>
    <x v="1"/>
    <n v="72"/>
    <n v="3900"/>
    <n v="280800"/>
    <x v="472"/>
    <n v="132"/>
    <x v="376"/>
    <x v="19"/>
    <d v="2024-01-20T00:00:00"/>
    <d v="1899-12-30T10:00:00"/>
    <n v="7"/>
    <n v="0"/>
  </r>
  <r>
    <d v="2024-01-20T11:00:00"/>
    <x v="3"/>
    <x v="6"/>
    <n v="3006"/>
    <x v="1"/>
    <n v="6"/>
    <n v="4150"/>
    <n v="24900"/>
    <x v="434"/>
    <n v="260"/>
    <x v="470"/>
    <x v="19"/>
    <d v="2024-01-20T00:00:00"/>
    <d v="1899-12-30T11:00:00"/>
    <n v="15"/>
    <n v="0"/>
  </r>
  <r>
    <d v="2024-01-20T11:00:00"/>
    <x v="3"/>
    <x v="6"/>
    <n v="3002"/>
    <x v="1"/>
    <n v="4"/>
    <n v="4150"/>
    <n v="16600"/>
    <x v="460"/>
    <n v="260"/>
    <x v="531"/>
    <x v="19"/>
    <d v="2024-01-20T00:00:00"/>
    <d v="1899-12-30T11:00:00"/>
    <n v="15"/>
    <n v="0"/>
  </r>
  <r>
    <d v="2024-01-20T11:00:00"/>
    <x v="3"/>
    <x v="9"/>
    <n v="3002"/>
    <x v="1"/>
    <n v="11"/>
    <n v="4200"/>
    <n v="46200"/>
    <x v="461"/>
    <n v="252"/>
    <x v="532"/>
    <x v="19"/>
    <d v="2024-01-20T00:00:00"/>
    <d v="1899-12-30T11:00:00"/>
    <n v="14"/>
    <n v="0"/>
  </r>
  <r>
    <d v="2024-01-20T11:00:00"/>
    <x v="3"/>
    <x v="9"/>
    <n v="3006"/>
    <x v="1"/>
    <n v="15"/>
    <n v="4200"/>
    <n v="63000"/>
    <x v="461"/>
    <n v="252"/>
    <x v="533"/>
    <x v="19"/>
    <d v="2024-01-20T00:00:00"/>
    <d v="1899-12-30T11:00:00"/>
    <n v="14"/>
    <n v="0"/>
  </r>
  <r>
    <d v="2024-01-20T12:00:00"/>
    <x v="0"/>
    <x v="0"/>
    <n v="9"/>
    <x v="0"/>
    <n v="2000"/>
    <n v="110"/>
    <n v="220000"/>
    <x v="434"/>
    <n v="48"/>
    <x v="499"/>
    <x v="19"/>
    <d v="2024-01-20T00:00:00"/>
    <d v="1899-12-30T12:00:00"/>
    <n v="4"/>
    <n v="0"/>
  </r>
  <r>
    <d v="2024-01-20T13:00:00"/>
    <x v="0"/>
    <x v="11"/>
    <n v="15"/>
    <x v="3"/>
    <n v="200"/>
    <n v="1500"/>
    <n v="300000"/>
    <x v="491"/>
    <n v="72"/>
    <x v="508"/>
    <x v="19"/>
    <d v="2024-01-20T00:00:00"/>
    <d v="1899-12-30T13:00:00"/>
    <n v="6"/>
    <n v="0"/>
  </r>
  <r>
    <d v="2024-01-20T13:00:00"/>
    <x v="0"/>
    <x v="2"/>
    <n v="4"/>
    <x v="5"/>
    <n v="64"/>
    <n v="15"/>
    <n v="960"/>
    <x v="491"/>
    <n v="72"/>
    <x v="508"/>
    <x v="19"/>
    <d v="2024-01-20T00:00:00"/>
    <d v="1899-12-30T13:00:00"/>
    <n v="9"/>
    <n v="0"/>
  </r>
  <r>
    <d v="2024-01-20T13:00:00"/>
    <x v="0"/>
    <x v="0"/>
    <n v="11"/>
    <x v="3"/>
    <n v="500"/>
    <n v="1350"/>
    <n v="675000"/>
    <x v="460"/>
    <n v="24"/>
    <x v="395"/>
    <x v="19"/>
    <d v="2024-01-20T00:00:00"/>
    <d v="1899-12-30T13:00:00"/>
    <n v="4"/>
    <n v="0"/>
  </r>
  <r>
    <d v="2024-01-20T13:00:00"/>
    <x v="0"/>
    <x v="13"/>
    <n v="15"/>
    <x v="0"/>
    <n v="2500"/>
    <n v="125"/>
    <n v="312500"/>
    <x v="491"/>
    <n v="48"/>
    <x v="500"/>
    <x v="19"/>
    <d v="2024-01-20T00:00:00"/>
    <d v="1899-12-30T13:00:00"/>
    <n v="2"/>
    <n v="0"/>
  </r>
  <r>
    <d v="2024-01-20T13:00:00"/>
    <x v="0"/>
    <x v="11"/>
    <n v="15"/>
    <x v="3"/>
    <n v="200"/>
    <n v="1500"/>
    <n v="300000"/>
    <x v="491"/>
    <n v="72"/>
    <x v="508"/>
    <x v="19"/>
    <d v="2024-01-20T00:00:00"/>
    <d v="1899-12-30T13:00:00"/>
    <n v="6"/>
    <n v="0"/>
  </r>
  <r>
    <d v="2024-01-20T14:00:00"/>
    <x v="1"/>
    <x v="7"/>
    <n v="1003"/>
    <x v="1"/>
    <n v="30"/>
    <n v="3800"/>
    <n v="114000"/>
    <x v="498"/>
    <n v="96"/>
    <x v="504"/>
    <x v="19"/>
    <d v="2024-01-20T00:00:00"/>
    <d v="1899-12-30T14:00:00"/>
    <n v="12"/>
    <n v="0"/>
  </r>
  <r>
    <d v="2024-01-20T14:00:00"/>
    <x v="1"/>
    <x v="3"/>
    <n v="1003"/>
    <x v="1"/>
    <n v="30"/>
    <n v="4000"/>
    <n v="120000"/>
    <x v="472"/>
    <n v="96"/>
    <x v="346"/>
    <x v="19"/>
    <d v="2024-01-20T00:00:00"/>
    <d v="1899-12-30T14:00:00"/>
    <n v="11"/>
    <n v="0"/>
  </r>
  <r>
    <d v="2024-01-20T14:00:00"/>
    <x v="1"/>
    <x v="2"/>
    <n v="1011"/>
    <x v="1"/>
    <n v="15"/>
    <n v="3799"/>
    <n v="56985"/>
    <x v="491"/>
    <n v="76"/>
    <x v="508"/>
    <x v="19"/>
    <d v="2024-01-20T00:00:00"/>
    <d v="1899-12-30T14:00:00"/>
    <n v="9"/>
    <n v="0"/>
  </r>
  <r>
    <d v="2024-01-20T14:00:00"/>
    <x v="1"/>
    <x v="2"/>
    <n v="1003"/>
    <x v="1"/>
    <n v="15"/>
    <n v="3799"/>
    <n v="56985"/>
    <x v="491"/>
    <n v="76"/>
    <x v="508"/>
    <x v="19"/>
    <d v="2024-01-20T00:00:00"/>
    <d v="1899-12-30T14:00:00"/>
    <n v="9"/>
    <n v="0"/>
  </r>
  <r>
    <d v="2024-01-20T14:00:00"/>
    <x v="1"/>
    <x v="3"/>
    <n v="1011"/>
    <x v="1"/>
    <n v="17"/>
    <n v="4000"/>
    <n v="68000"/>
    <x v="480"/>
    <n v="96"/>
    <x v="516"/>
    <x v="19"/>
    <d v="2024-01-20T00:00:00"/>
    <d v="1899-12-30T14:00:00"/>
    <n v="11"/>
    <n v="0"/>
  </r>
  <r>
    <d v="2024-01-20T14:00:00"/>
    <x v="1"/>
    <x v="10"/>
    <n v="1003"/>
    <x v="1"/>
    <n v="30"/>
    <n v="3750"/>
    <n v="112500"/>
    <x v="485"/>
    <n v="96"/>
    <x v="449"/>
    <x v="19"/>
    <d v="2024-01-20T00:00:00"/>
    <d v="1899-12-30T14:00:00"/>
    <n v="16"/>
    <n v="0"/>
  </r>
  <r>
    <d v="2024-01-20T14:00:00"/>
    <x v="1"/>
    <x v="9"/>
    <n v="1003"/>
    <x v="1"/>
    <n v="31"/>
    <n v="3750"/>
    <n v="116250"/>
    <x v="491"/>
    <n v="84"/>
    <x v="508"/>
    <x v="19"/>
    <d v="2024-01-20T00:00:00"/>
    <d v="1899-12-30T14:00:00"/>
    <n v="14"/>
    <n v="0"/>
  </r>
  <r>
    <d v="2024-01-20T14:00:00"/>
    <x v="1"/>
    <x v="6"/>
    <n v="1011"/>
    <x v="1"/>
    <n v="33"/>
    <n v="3400"/>
    <n v="112200"/>
    <x v="442"/>
    <n v="88"/>
    <x v="459"/>
    <x v="19"/>
    <d v="2024-01-20T00:00:00"/>
    <d v="1899-12-30T14:00:00"/>
    <n v="15"/>
    <n v="0"/>
  </r>
  <r>
    <d v="2024-01-20T14:00:00"/>
    <x v="1"/>
    <x v="9"/>
    <n v="1011"/>
    <x v="1"/>
    <n v="25"/>
    <n v="3750"/>
    <n v="93750"/>
    <x v="491"/>
    <n v="84"/>
    <x v="508"/>
    <x v="19"/>
    <d v="2024-01-20T00:00:00"/>
    <d v="1899-12-30T14:00:00"/>
    <n v="14"/>
    <n v="0"/>
  </r>
  <r>
    <d v="2024-01-20T14:00:00"/>
    <x v="1"/>
    <x v="4"/>
    <n v="1003"/>
    <x v="1"/>
    <n v="21"/>
    <n v="4200"/>
    <n v="88200"/>
    <x v="442"/>
    <n v="84"/>
    <x v="459"/>
    <x v="19"/>
    <d v="2024-01-20T00:00:00"/>
    <d v="1899-12-30T14:00:00"/>
    <n v="10"/>
    <n v="0"/>
  </r>
  <r>
    <d v="2024-01-20T14:00:00"/>
    <x v="1"/>
    <x v="10"/>
    <n v="1011"/>
    <x v="1"/>
    <n v="29"/>
    <n v="3750"/>
    <n v="108750"/>
    <x v="485"/>
    <n v="96"/>
    <x v="449"/>
    <x v="19"/>
    <d v="2024-01-20T00:00:00"/>
    <d v="1899-12-30T14:00:00"/>
    <n v="16"/>
    <n v="0"/>
  </r>
  <r>
    <d v="2024-01-20T14:00:00"/>
    <x v="1"/>
    <x v="7"/>
    <n v="1011"/>
    <x v="1"/>
    <n v="19"/>
    <n v="3800"/>
    <n v="72200"/>
    <x v="498"/>
    <n v="96"/>
    <x v="504"/>
    <x v="19"/>
    <d v="2024-01-20T00:00:00"/>
    <d v="1899-12-30T14:00:00"/>
    <n v="12"/>
    <n v="0"/>
  </r>
  <r>
    <d v="2024-01-20T14:00:00"/>
    <x v="1"/>
    <x v="1"/>
    <n v="1003"/>
    <x v="1"/>
    <n v="30"/>
    <n v="3100"/>
    <n v="93000"/>
    <x v="499"/>
    <n v="96"/>
    <x v="331"/>
    <x v="19"/>
    <d v="2024-01-20T00:00:00"/>
    <d v="1899-12-30T14:00:00"/>
    <n v="13"/>
    <n v="0"/>
  </r>
  <r>
    <d v="2024-01-20T14:00:00"/>
    <x v="1"/>
    <x v="1"/>
    <n v="1011"/>
    <x v="1"/>
    <n v="30"/>
    <n v="3100"/>
    <n v="93000"/>
    <x v="499"/>
    <n v="96"/>
    <x v="331"/>
    <x v="19"/>
    <d v="2024-01-20T00:00:00"/>
    <d v="1899-12-30T14:00:00"/>
    <n v="13"/>
    <n v="0"/>
  </r>
  <r>
    <d v="2024-01-20T14:00:00"/>
    <x v="1"/>
    <x v="4"/>
    <n v="1011"/>
    <x v="1"/>
    <n v="14"/>
    <n v="4200"/>
    <n v="58800"/>
    <x v="442"/>
    <n v="84"/>
    <x v="459"/>
    <x v="19"/>
    <d v="2024-01-20T00:00:00"/>
    <d v="1899-12-30T14:00:00"/>
    <n v="10"/>
    <n v="0"/>
  </r>
  <r>
    <d v="2024-01-20T14:00:00"/>
    <x v="1"/>
    <x v="6"/>
    <n v="1003"/>
    <x v="1"/>
    <n v="50"/>
    <n v="3400"/>
    <n v="170000"/>
    <x v="442"/>
    <n v="88"/>
    <x v="459"/>
    <x v="19"/>
    <d v="2024-01-20T00:00:00"/>
    <d v="1899-12-30T14:00:00"/>
    <n v="15"/>
    <n v="0"/>
  </r>
  <r>
    <d v="2024-01-20T15:00:00"/>
    <x v="0"/>
    <x v="13"/>
    <n v="15"/>
    <x v="0"/>
    <n v="2800"/>
    <n v="125"/>
    <n v="350000"/>
    <x v="437"/>
    <n v="72"/>
    <x v="467"/>
    <x v="19"/>
    <d v="2024-01-20T00:00:00"/>
    <d v="1899-12-30T15:00:00"/>
    <n v="2"/>
    <n v="0"/>
  </r>
  <r>
    <d v="2024-01-20T16:00:00"/>
    <x v="0"/>
    <x v="0"/>
    <n v="8"/>
    <x v="0"/>
    <n v="1400"/>
    <n v="110"/>
    <n v="154000"/>
    <x v="442"/>
    <n v="48"/>
    <x v="436"/>
    <x v="19"/>
    <d v="2024-01-20T00:00:00"/>
    <d v="1899-12-30T16:00:00"/>
    <n v="4"/>
    <n v="0"/>
  </r>
  <r>
    <d v="2024-01-20T17:00:00"/>
    <x v="0"/>
    <x v="11"/>
    <n v="10"/>
    <x v="3"/>
    <n v="118"/>
    <n v="1550"/>
    <n v="182900"/>
    <x v="485"/>
    <n v="24"/>
    <x v="483"/>
    <x v="19"/>
    <d v="2024-01-20T00:00:00"/>
    <d v="1899-12-30T17:00:00"/>
    <n v="6"/>
    <n v="0"/>
  </r>
  <r>
    <d v="2024-01-20T17:00:00"/>
    <x v="0"/>
    <x v="13"/>
    <n v="8"/>
    <x v="3"/>
    <n v="400"/>
    <n v="1700"/>
    <n v="680000"/>
    <x v="442"/>
    <n v="48"/>
    <x v="436"/>
    <x v="19"/>
    <d v="2024-01-20T00:00:00"/>
    <d v="1899-12-30T17:00:00"/>
    <n v="2"/>
    <n v="0"/>
  </r>
  <r>
    <d v="2024-01-20T19:00:00"/>
    <x v="1"/>
    <x v="4"/>
    <n v="1006"/>
    <x v="1"/>
    <n v="30"/>
    <n v="4200"/>
    <n v="126000"/>
    <x v="500"/>
    <n v="84"/>
    <x v="534"/>
    <x v="19"/>
    <d v="2024-01-20T00:00:00"/>
    <d v="1899-12-30T19:00:00"/>
    <n v="10"/>
    <n v="0"/>
  </r>
  <r>
    <d v="2024-01-20T19:00:00"/>
    <x v="1"/>
    <x v="8"/>
    <n v="1006"/>
    <x v="1"/>
    <n v="28"/>
    <n v="4200"/>
    <n v="117600"/>
    <x v="361"/>
    <n v="120"/>
    <x v="535"/>
    <x v="19"/>
    <d v="2024-01-20T00:00:00"/>
    <d v="1899-12-30T19:00:00"/>
    <n v="7"/>
    <n v="0"/>
  </r>
  <r>
    <d v="2024-01-20T19:00:00"/>
    <x v="1"/>
    <x v="9"/>
    <n v="1006"/>
    <x v="1"/>
    <n v="39"/>
    <n v="3750"/>
    <n v="146250"/>
    <x v="500"/>
    <n v="84"/>
    <x v="534"/>
    <x v="19"/>
    <d v="2024-01-20T00:00:00"/>
    <d v="1899-12-30T19:00:00"/>
    <n v="14"/>
    <n v="0"/>
  </r>
  <r>
    <d v="2024-01-20T19:00:00"/>
    <x v="1"/>
    <x v="10"/>
    <n v="1006"/>
    <x v="1"/>
    <n v="30"/>
    <n v="3750"/>
    <n v="112500"/>
    <x v="501"/>
    <n v="96"/>
    <x v="486"/>
    <x v="19"/>
    <d v="2024-01-20T00:00:00"/>
    <d v="1899-12-30T19:00:00"/>
    <n v="16"/>
    <n v="0"/>
  </r>
  <r>
    <d v="2024-01-20T19:00:00"/>
    <x v="1"/>
    <x v="1"/>
    <n v="1006"/>
    <x v="1"/>
    <n v="30"/>
    <n v="3100"/>
    <n v="93000"/>
    <x v="494"/>
    <n v="96"/>
    <x v="504"/>
    <x v="19"/>
    <d v="2024-01-20T00:00:00"/>
    <d v="1899-12-30T19:00:00"/>
    <n v="13"/>
    <n v="0"/>
  </r>
  <r>
    <d v="2024-01-20T19:00:00"/>
    <x v="1"/>
    <x v="7"/>
    <n v="1006"/>
    <x v="1"/>
    <n v="30"/>
    <n v="3800"/>
    <n v="114000"/>
    <x v="478"/>
    <n v="96"/>
    <x v="505"/>
    <x v="19"/>
    <d v="2024-01-20T00:00:00"/>
    <d v="1899-12-30T19:00:00"/>
    <n v="12"/>
    <n v="0"/>
  </r>
  <r>
    <d v="2024-01-20T19:00:00"/>
    <x v="1"/>
    <x v="3"/>
    <n v="1006"/>
    <x v="1"/>
    <n v="30"/>
    <n v="4000"/>
    <n v="120000"/>
    <x v="476"/>
    <n v="96"/>
    <x v="465"/>
    <x v="19"/>
    <d v="2024-01-20T00:00:00"/>
    <d v="1899-12-30T19:00:00"/>
    <n v="11"/>
    <n v="0"/>
  </r>
  <r>
    <d v="2024-01-20T19:00:00"/>
    <x v="1"/>
    <x v="5"/>
    <n v="1006"/>
    <x v="1"/>
    <n v="32"/>
    <n v="4100"/>
    <n v="131200"/>
    <x v="363"/>
    <n v="156"/>
    <x v="377"/>
    <x v="19"/>
    <d v="2024-01-20T00:00:00"/>
    <d v="1899-12-30T19:00:00"/>
    <n v="8"/>
    <n v="0"/>
  </r>
  <r>
    <d v="2024-01-20T19:00:00"/>
    <x v="1"/>
    <x v="2"/>
    <n v="1006"/>
    <x v="1"/>
    <n v="15"/>
    <n v="3799"/>
    <n v="56985"/>
    <x v="485"/>
    <n v="76"/>
    <x v="449"/>
    <x v="19"/>
    <d v="2024-01-20T00:00:00"/>
    <d v="1899-12-30T19:00:00"/>
    <n v="9"/>
    <n v="0"/>
  </r>
  <r>
    <d v="2024-01-20T19:00:00"/>
    <x v="1"/>
    <x v="6"/>
    <n v="1006"/>
    <x v="1"/>
    <n v="50"/>
    <n v="3400"/>
    <n v="170000"/>
    <x v="500"/>
    <n v="88"/>
    <x v="534"/>
    <x v="19"/>
    <d v="2024-01-20T00:00:00"/>
    <d v="1899-12-30T19:00:00"/>
    <n v="15"/>
    <n v="0"/>
  </r>
  <r>
    <d v="2024-01-20T20:00:00"/>
    <x v="0"/>
    <x v="12"/>
    <n v="10"/>
    <x v="3"/>
    <n v="600"/>
    <n v="1400"/>
    <n v="840000"/>
    <x v="459"/>
    <n v="24"/>
    <x v="402"/>
    <x v="19"/>
    <d v="2024-01-20T00:00:00"/>
    <d v="1899-12-30T20:00:00"/>
    <n v="5"/>
    <n v="0"/>
  </r>
  <r>
    <d v="2024-01-20T20:00:00"/>
    <x v="0"/>
    <x v="0"/>
    <n v="11"/>
    <x v="0"/>
    <n v="2000"/>
    <n v="120"/>
    <n v="240000"/>
    <x v="500"/>
    <n v="48"/>
    <x v="462"/>
    <x v="19"/>
    <d v="2024-01-20T00:00:00"/>
    <d v="1899-12-30T20:00:00"/>
    <n v="4"/>
    <n v="0"/>
  </r>
  <r>
    <d v="2024-01-20T22:00:00"/>
    <x v="1"/>
    <x v="1"/>
    <n v="1009"/>
    <x v="2"/>
    <n v="9"/>
    <n v="6000"/>
    <n v="54000"/>
    <x v="502"/>
    <n v="96"/>
    <x v="387"/>
    <x v="19"/>
    <d v="2024-01-20T00:00:00"/>
    <d v="1899-12-30T22:00:00"/>
    <n v="13"/>
    <n v="0"/>
  </r>
  <r>
    <d v="2024-01-20T22:00:00"/>
    <x v="1"/>
    <x v="3"/>
    <n v="1009"/>
    <x v="2"/>
    <n v="7"/>
    <n v="6400"/>
    <n v="44800"/>
    <x v="503"/>
    <n v="72"/>
    <x v="440"/>
    <x v="19"/>
    <d v="2024-01-20T00:00:00"/>
    <d v="1899-12-30T22:00:00"/>
    <n v="11"/>
    <n v="0"/>
  </r>
  <r>
    <d v="2024-01-20T22:00:00"/>
    <x v="1"/>
    <x v="6"/>
    <n v="1009"/>
    <x v="2"/>
    <n v="11"/>
    <n v="6400"/>
    <n v="70400"/>
    <x v="501"/>
    <n v="64"/>
    <x v="451"/>
    <x v="19"/>
    <d v="2024-01-20T00:00:00"/>
    <d v="1899-12-30T22:00:00"/>
    <n v="15"/>
    <n v="0"/>
  </r>
  <r>
    <d v="2024-01-20T22:00:00"/>
    <x v="1"/>
    <x v="10"/>
    <n v="1009"/>
    <x v="2"/>
    <n v="8"/>
    <n v="6050"/>
    <n v="48400"/>
    <x v="504"/>
    <n v="96"/>
    <x v="514"/>
    <x v="19"/>
    <d v="2024-01-20T00:00:00"/>
    <d v="1899-12-30T22:00:00"/>
    <n v="16"/>
    <n v="0"/>
  </r>
  <r>
    <d v="2024-01-20T22:00:00"/>
    <x v="1"/>
    <x v="7"/>
    <n v="1009"/>
    <x v="2"/>
    <n v="6"/>
    <n v="6750"/>
    <n v="40500"/>
    <x v="490"/>
    <n v="96"/>
    <x v="331"/>
    <x v="19"/>
    <d v="2024-01-20T00:00:00"/>
    <d v="1899-12-30T22:00:00"/>
    <n v="12"/>
    <n v="0"/>
  </r>
  <r>
    <d v="2024-01-20T23:00:00"/>
    <x v="0"/>
    <x v="0"/>
    <n v="13"/>
    <x v="3"/>
    <n v="500"/>
    <n v="1350"/>
    <n v="675000"/>
    <x v="504"/>
    <n v="24"/>
    <x v="411"/>
    <x v="19"/>
    <d v="2024-01-20T00:00:00"/>
    <d v="1899-12-30T23:00:00"/>
    <n v="4"/>
    <n v="0"/>
  </r>
  <r>
    <d v="2024-01-21T00:00:00"/>
    <x v="0"/>
    <x v="15"/>
    <n v="13"/>
    <x v="3"/>
    <n v="300"/>
    <n v="1400"/>
    <n v="420000"/>
    <x v="504"/>
    <n v="72"/>
    <x v="514"/>
    <x v="20"/>
    <d v="2024-01-21T00:00:00"/>
    <d v="1899-12-30T00:00:00"/>
    <n v="1"/>
    <n v="0"/>
  </r>
  <r>
    <d v="2024-01-21T00:00:00"/>
    <x v="1"/>
    <x v="6"/>
    <n v="1008"/>
    <x v="1"/>
    <n v="50"/>
    <n v="3400"/>
    <n v="170000"/>
    <x v="504"/>
    <n v="88"/>
    <x v="514"/>
    <x v="20"/>
    <d v="2024-01-21T00:00:00"/>
    <d v="1899-12-30T00:00:00"/>
    <n v="15"/>
    <n v="0"/>
  </r>
  <r>
    <d v="2024-01-21T00:00:00"/>
    <x v="1"/>
    <x v="9"/>
    <n v="1008"/>
    <x v="1"/>
    <n v="35"/>
    <n v="3650"/>
    <n v="127750"/>
    <x v="472"/>
    <n v="96"/>
    <x v="346"/>
    <x v="20"/>
    <d v="2024-01-21T00:00:00"/>
    <d v="1899-12-30T00:00:00"/>
    <n v="14"/>
    <n v="0"/>
  </r>
  <r>
    <d v="2024-01-21T00:00:00"/>
    <x v="0"/>
    <x v="0"/>
    <n v="13"/>
    <x v="0"/>
    <n v="1657"/>
    <n v="110"/>
    <n v="182270"/>
    <x v="504"/>
    <n v="72"/>
    <x v="514"/>
    <x v="20"/>
    <d v="2024-01-21T00:00:00"/>
    <d v="1899-12-30T00:00:00"/>
    <n v="4"/>
    <n v="0"/>
  </r>
  <r>
    <d v="2024-01-21T00:00:00"/>
    <x v="1"/>
    <x v="3"/>
    <n v="1008"/>
    <x v="1"/>
    <n v="40"/>
    <n v="3900"/>
    <n v="156000"/>
    <x v="505"/>
    <n v="108"/>
    <x v="524"/>
    <x v="20"/>
    <d v="2024-01-21T00:00:00"/>
    <d v="1899-12-30T00:00:00"/>
    <n v="11"/>
    <n v="0"/>
  </r>
  <r>
    <d v="2024-01-21T00:00:00"/>
    <x v="1"/>
    <x v="4"/>
    <n v="1008"/>
    <x v="1"/>
    <n v="23"/>
    <n v="4200"/>
    <n v="96600"/>
    <x v="501"/>
    <n v="84"/>
    <x v="486"/>
    <x v="20"/>
    <d v="2024-01-21T00:00:00"/>
    <d v="1899-12-30T00:00:00"/>
    <n v="10"/>
    <n v="0"/>
  </r>
  <r>
    <d v="2024-01-21T00:00:00"/>
    <x v="1"/>
    <x v="10"/>
    <n v="1008"/>
    <x v="1"/>
    <n v="50"/>
    <n v="3650"/>
    <n v="182500"/>
    <x v="499"/>
    <n v="120"/>
    <x v="536"/>
    <x v="20"/>
    <d v="2024-01-21T00:00:00"/>
    <d v="1899-12-30T00:00:00"/>
    <n v="16"/>
    <n v="0"/>
  </r>
  <r>
    <d v="2024-01-21T00:00:00"/>
    <x v="1"/>
    <x v="7"/>
    <n v="1008"/>
    <x v="1"/>
    <n v="45"/>
    <n v="3750"/>
    <n v="168750"/>
    <x v="506"/>
    <n v="120"/>
    <x v="507"/>
    <x v="20"/>
    <d v="2024-01-21T00:00:00"/>
    <d v="1899-12-30T00:00:00"/>
    <n v="12"/>
    <n v="0"/>
  </r>
  <r>
    <d v="2024-01-21T00:00:00"/>
    <x v="1"/>
    <x v="1"/>
    <n v="1008"/>
    <x v="1"/>
    <n v="50"/>
    <n v="3000"/>
    <n v="150000"/>
    <x v="414"/>
    <n v="120"/>
    <x v="381"/>
    <x v="20"/>
    <d v="2024-01-21T00:00:00"/>
    <d v="1899-12-30T00:00:00"/>
    <n v="13"/>
    <n v="0"/>
  </r>
  <r>
    <d v="2024-01-21T03:00:00"/>
    <x v="0"/>
    <x v="7"/>
    <n v="3"/>
    <x v="5"/>
    <n v="138"/>
    <n v="10"/>
    <n v="1380"/>
    <x v="503"/>
    <n v="72"/>
    <x v="512"/>
    <x v="20"/>
    <d v="2024-01-21T00:00:00"/>
    <d v="1899-12-30T03:00:00"/>
    <n v="12"/>
    <n v="0"/>
  </r>
  <r>
    <d v="2024-01-21T04:00:00"/>
    <x v="0"/>
    <x v="4"/>
    <n v="5"/>
    <x v="5"/>
    <n v="235"/>
    <n v="8"/>
    <n v="1880"/>
    <x v="480"/>
    <n v="72"/>
    <x v="516"/>
    <x v="20"/>
    <d v="2024-01-21T00:00:00"/>
    <d v="1899-12-30T04:00:00"/>
    <n v="10"/>
    <n v="0"/>
  </r>
  <r>
    <d v="2024-01-21T04:00:00"/>
    <x v="0"/>
    <x v="15"/>
    <n v="14"/>
    <x v="3"/>
    <n v="400"/>
    <n v="1350"/>
    <n v="540000"/>
    <x v="480"/>
    <n v="24"/>
    <x v="452"/>
    <x v="20"/>
    <d v="2024-01-21T00:00:00"/>
    <d v="1899-12-30T04:00:00"/>
    <n v="1"/>
    <n v="0"/>
  </r>
  <r>
    <d v="2024-01-21T05:00:00"/>
    <x v="0"/>
    <x v="15"/>
    <n v="14"/>
    <x v="0"/>
    <n v="3000"/>
    <n v="120"/>
    <n v="360000"/>
    <x v="431"/>
    <n v="72"/>
    <x v="517"/>
    <x v="20"/>
    <d v="2024-01-21T00:00:00"/>
    <d v="1899-12-30T05:00:00"/>
    <n v="1"/>
    <n v="0"/>
  </r>
  <r>
    <d v="2024-01-21T06:00:00"/>
    <x v="2"/>
    <x v="6"/>
    <n v="2010"/>
    <x v="1"/>
    <n v="45"/>
    <n v="4100"/>
    <n v="184500"/>
    <x v="507"/>
    <n v="48"/>
    <x v="537"/>
    <x v="20"/>
    <d v="2024-01-21T00:00:00"/>
    <d v="1899-12-30T06:00:00"/>
    <n v="15"/>
    <n v="0"/>
  </r>
  <r>
    <d v="2024-01-21T06:00:00"/>
    <x v="2"/>
    <x v="3"/>
    <n v="2010"/>
    <x v="1"/>
    <n v="40"/>
    <n v="4000"/>
    <n v="160000"/>
    <x v="360"/>
    <n v="132"/>
    <x v="538"/>
    <x v="20"/>
    <d v="2024-01-21T00:00:00"/>
    <d v="1899-12-30T06:00:00"/>
    <n v="11"/>
    <n v="0"/>
  </r>
  <r>
    <d v="2024-01-21T06:00:00"/>
    <x v="2"/>
    <x v="2"/>
    <n v="2010"/>
    <x v="1"/>
    <n v="30"/>
    <n v="3799"/>
    <n v="113970"/>
    <x v="507"/>
    <n v="112"/>
    <x v="520"/>
    <x v="20"/>
    <d v="2024-01-21T00:00:00"/>
    <d v="1899-12-30T06:00:00"/>
    <n v="9"/>
    <n v="0"/>
  </r>
  <r>
    <d v="2024-01-21T06:00:00"/>
    <x v="2"/>
    <x v="10"/>
    <n v="2010"/>
    <x v="2"/>
    <n v="30"/>
    <n v="6050"/>
    <n v="181500"/>
    <x v="498"/>
    <n v="132"/>
    <x v="381"/>
    <x v="20"/>
    <d v="2024-01-21T00:00:00"/>
    <d v="1899-12-30T06:00:00"/>
    <n v="16"/>
    <n v="0"/>
  </r>
  <r>
    <d v="2024-01-21T06:00:00"/>
    <x v="2"/>
    <x v="5"/>
    <n v="2010"/>
    <x v="2"/>
    <n v="10"/>
    <n v="6964"/>
    <n v="69640"/>
    <x v="508"/>
    <n v="132"/>
    <x v="379"/>
    <x v="20"/>
    <d v="2024-01-21T00:00:00"/>
    <d v="1899-12-30T06:00:00"/>
    <n v="8"/>
    <n v="0"/>
  </r>
  <r>
    <d v="2024-01-21T06:00:00"/>
    <x v="2"/>
    <x v="7"/>
    <n v="2010"/>
    <x v="2"/>
    <n v="30"/>
    <n v="6800"/>
    <n v="204000"/>
    <x v="509"/>
    <n v="120"/>
    <x v="539"/>
    <x v="20"/>
    <d v="2024-01-21T00:00:00"/>
    <d v="1899-12-30T06:00:00"/>
    <n v="12"/>
    <n v="0"/>
  </r>
  <r>
    <d v="2024-01-21T06:00:00"/>
    <x v="2"/>
    <x v="1"/>
    <n v="2010"/>
    <x v="1"/>
    <n v="30"/>
    <n v="3000"/>
    <n v="90000"/>
    <x v="510"/>
    <n v="132"/>
    <x v="540"/>
    <x v="20"/>
    <d v="2024-01-21T00:00:00"/>
    <d v="1899-12-30T06:00:00"/>
    <n v="13"/>
    <n v="0"/>
  </r>
  <r>
    <d v="2024-01-21T06:00:00"/>
    <x v="2"/>
    <x v="5"/>
    <n v="2010"/>
    <x v="1"/>
    <n v="50"/>
    <n v="4155"/>
    <n v="207750"/>
    <x v="454"/>
    <n v="120"/>
    <x v="541"/>
    <x v="20"/>
    <d v="2024-01-21T00:00:00"/>
    <d v="1899-12-30T06:00:00"/>
    <n v="8"/>
    <n v="0"/>
  </r>
  <r>
    <d v="2024-01-21T06:00:00"/>
    <x v="2"/>
    <x v="9"/>
    <n v="2010"/>
    <x v="2"/>
    <n v="30"/>
    <n v="6650"/>
    <n v="199500"/>
    <x v="507"/>
    <n v="120"/>
    <x v="520"/>
    <x v="20"/>
    <d v="2024-01-21T00:00:00"/>
    <d v="1899-12-30T06:00:00"/>
    <n v="14"/>
    <n v="0"/>
  </r>
  <r>
    <d v="2024-01-21T06:00:00"/>
    <x v="2"/>
    <x v="2"/>
    <n v="2010"/>
    <x v="2"/>
    <n v="15"/>
    <n v="6699"/>
    <n v="100485"/>
    <x v="314"/>
    <n v="119"/>
    <x v="530"/>
    <x v="20"/>
    <d v="2024-01-21T00:00:00"/>
    <d v="1899-12-30T06:00:00"/>
    <n v="9"/>
    <n v="0"/>
  </r>
  <r>
    <d v="2024-01-21T06:00:00"/>
    <x v="2"/>
    <x v="3"/>
    <n v="2010"/>
    <x v="2"/>
    <n v="10"/>
    <n v="6800"/>
    <n v="68000"/>
    <x v="314"/>
    <n v="84"/>
    <x v="506"/>
    <x v="20"/>
    <d v="2024-01-21T00:00:00"/>
    <d v="1899-12-30T06:00:00"/>
    <n v="11"/>
    <n v="0"/>
  </r>
  <r>
    <d v="2024-01-21T06:00:00"/>
    <x v="2"/>
    <x v="8"/>
    <n v="2010"/>
    <x v="1"/>
    <n v="75"/>
    <n v="3900"/>
    <n v="292500"/>
    <x v="486"/>
    <n v="132"/>
    <x v="542"/>
    <x v="20"/>
    <d v="2024-01-21T00:00:00"/>
    <d v="1899-12-30T06:00:00"/>
    <n v="7"/>
    <n v="0"/>
  </r>
  <r>
    <d v="2024-01-21T06:00:00"/>
    <x v="2"/>
    <x v="6"/>
    <n v="2010"/>
    <x v="2"/>
    <n v="50"/>
    <n v="6350"/>
    <n v="317500"/>
    <x v="507"/>
    <n v="48"/>
    <x v="537"/>
    <x v="20"/>
    <d v="2024-01-21T00:00:00"/>
    <d v="1899-12-30T06:00:00"/>
    <n v="15"/>
    <n v="0"/>
  </r>
  <r>
    <d v="2024-01-21T06:00:00"/>
    <x v="2"/>
    <x v="10"/>
    <n v="2010"/>
    <x v="1"/>
    <n v="30"/>
    <n v="3750"/>
    <n v="112500"/>
    <x v="463"/>
    <n v="132"/>
    <x v="380"/>
    <x v="20"/>
    <d v="2024-01-21T00:00:00"/>
    <d v="1899-12-30T06:00:00"/>
    <n v="16"/>
    <n v="0"/>
  </r>
  <r>
    <d v="2024-01-21T06:00:00"/>
    <x v="2"/>
    <x v="8"/>
    <n v="2010"/>
    <x v="2"/>
    <n v="36"/>
    <n v="7000"/>
    <n v="252000"/>
    <x v="494"/>
    <n v="132"/>
    <x v="543"/>
    <x v="20"/>
    <d v="2024-01-21T00:00:00"/>
    <d v="1899-12-30T06:00:00"/>
    <n v="7"/>
    <n v="0"/>
  </r>
  <r>
    <d v="2024-01-21T06:00:00"/>
    <x v="2"/>
    <x v="9"/>
    <n v="2010"/>
    <x v="1"/>
    <n v="40"/>
    <n v="3750"/>
    <n v="150000"/>
    <x v="507"/>
    <n v="120"/>
    <x v="520"/>
    <x v="20"/>
    <d v="2024-01-21T00:00:00"/>
    <d v="1899-12-30T06:00:00"/>
    <n v="14"/>
    <n v="0"/>
  </r>
  <r>
    <d v="2024-01-21T06:00:00"/>
    <x v="2"/>
    <x v="1"/>
    <n v="2010"/>
    <x v="2"/>
    <n v="30"/>
    <n v="6000"/>
    <n v="180000"/>
    <x v="494"/>
    <n v="132"/>
    <x v="543"/>
    <x v="20"/>
    <d v="2024-01-21T00:00:00"/>
    <d v="1899-12-30T06:00:00"/>
    <n v="13"/>
    <n v="0"/>
  </r>
  <r>
    <d v="2024-01-21T06:00:00"/>
    <x v="2"/>
    <x v="7"/>
    <n v="2010"/>
    <x v="1"/>
    <n v="30"/>
    <n v="3800"/>
    <n v="114000"/>
    <x v="506"/>
    <n v="120"/>
    <x v="507"/>
    <x v="20"/>
    <d v="2024-01-21T00:00:00"/>
    <d v="1899-12-30T06:00:00"/>
    <n v="12"/>
    <n v="0"/>
  </r>
  <r>
    <d v="2024-01-21T07:00:00"/>
    <x v="1"/>
    <x v="3"/>
    <n v="1006"/>
    <x v="2"/>
    <n v="15"/>
    <n v="6400"/>
    <n v="96000"/>
    <x v="472"/>
    <n v="72"/>
    <x v="468"/>
    <x v="20"/>
    <d v="2024-01-21T00:00:00"/>
    <d v="1899-12-30T07:00:00"/>
    <n v="11"/>
    <n v="0"/>
  </r>
  <r>
    <d v="2024-01-21T07:00:00"/>
    <x v="1"/>
    <x v="10"/>
    <n v="1006"/>
    <x v="2"/>
    <n v="17"/>
    <n v="6050"/>
    <n v="102850"/>
    <x v="486"/>
    <n v="96"/>
    <x v="544"/>
    <x v="20"/>
    <d v="2024-01-21T00:00:00"/>
    <d v="1899-12-30T07:00:00"/>
    <n v="16"/>
    <n v="0"/>
  </r>
  <r>
    <d v="2024-01-21T07:00:00"/>
    <x v="1"/>
    <x v="7"/>
    <n v="1006"/>
    <x v="2"/>
    <n v="13"/>
    <n v="6750"/>
    <n v="87750"/>
    <x v="489"/>
    <n v="96"/>
    <x v="526"/>
    <x v="20"/>
    <d v="2024-01-21T00:00:00"/>
    <d v="1899-12-30T07:00:00"/>
    <n v="12"/>
    <n v="0"/>
  </r>
  <r>
    <d v="2024-01-21T07:00:00"/>
    <x v="1"/>
    <x v="9"/>
    <n v="1006"/>
    <x v="2"/>
    <n v="10"/>
    <n v="6650"/>
    <n v="66500"/>
    <x v="511"/>
    <n v="84"/>
    <x v="330"/>
    <x v="20"/>
    <d v="2024-01-21T00:00:00"/>
    <d v="1899-12-30T07:00:00"/>
    <n v="14"/>
    <n v="0"/>
  </r>
  <r>
    <d v="2024-01-21T07:00:00"/>
    <x v="1"/>
    <x v="1"/>
    <n v="1006"/>
    <x v="2"/>
    <n v="20"/>
    <n v="6000"/>
    <n v="120000"/>
    <x v="414"/>
    <n v="96"/>
    <x v="496"/>
    <x v="20"/>
    <d v="2024-01-21T00:00:00"/>
    <d v="1899-12-30T07:00:00"/>
    <n v="13"/>
    <n v="0"/>
  </r>
  <r>
    <d v="2024-01-21T07:00:00"/>
    <x v="1"/>
    <x v="6"/>
    <n v="1006"/>
    <x v="2"/>
    <n v="23"/>
    <n v="6400"/>
    <n v="147200"/>
    <x v="314"/>
    <n v="64"/>
    <x v="345"/>
    <x v="20"/>
    <d v="2024-01-21T00:00:00"/>
    <d v="1899-12-30T07:00:00"/>
    <n v="15"/>
    <n v="0"/>
  </r>
  <r>
    <d v="2024-01-21T10:00:00"/>
    <x v="0"/>
    <x v="13"/>
    <n v="14"/>
    <x v="0"/>
    <n v="1500"/>
    <n v="125"/>
    <n v="187500"/>
    <x v="463"/>
    <n v="72"/>
    <x v="498"/>
    <x v="20"/>
    <d v="2024-01-21T00:00:00"/>
    <d v="1899-12-30T10:00:00"/>
    <n v="2"/>
    <n v="0"/>
  </r>
  <r>
    <d v="2024-01-21T11:00:00"/>
    <x v="1"/>
    <x v="9"/>
    <n v="1004"/>
    <x v="1"/>
    <n v="33"/>
    <n v="3750"/>
    <n v="123750"/>
    <x v="498"/>
    <n v="84"/>
    <x v="504"/>
    <x v="20"/>
    <d v="2024-01-21T00:00:00"/>
    <d v="1899-12-30T11:00:00"/>
    <n v="14"/>
    <n v="0"/>
  </r>
  <r>
    <d v="2024-01-21T11:00:00"/>
    <x v="1"/>
    <x v="10"/>
    <n v="1004"/>
    <x v="1"/>
    <n v="30"/>
    <n v="3750"/>
    <n v="112500"/>
    <x v="362"/>
    <n v="96"/>
    <x v="387"/>
    <x v="20"/>
    <d v="2024-01-21T00:00:00"/>
    <d v="1899-12-30T11:00:00"/>
    <n v="16"/>
    <n v="0"/>
  </r>
  <r>
    <d v="2024-01-21T11:00:00"/>
    <x v="1"/>
    <x v="5"/>
    <n v="1004"/>
    <x v="1"/>
    <n v="49"/>
    <n v="4100"/>
    <n v="200900"/>
    <x v="512"/>
    <n v="156"/>
    <x v="545"/>
    <x v="20"/>
    <d v="2024-01-21T00:00:00"/>
    <d v="1899-12-30T11:00:00"/>
    <n v="8"/>
    <n v="0"/>
  </r>
  <r>
    <d v="2024-01-21T11:00:00"/>
    <x v="1"/>
    <x v="7"/>
    <n v="1004"/>
    <x v="1"/>
    <n v="43"/>
    <n v="3750"/>
    <n v="161250"/>
    <x v="513"/>
    <n v="120"/>
    <x v="539"/>
    <x v="20"/>
    <d v="2024-01-21T00:00:00"/>
    <d v="1899-12-30T11:00:00"/>
    <n v="12"/>
    <n v="0"/>
  </r>
  <r>
    <d v="2024-01-21T11:00:00"/>
    <x v="1"/>
    <x v="4"/>
    <n v="1004"/>
    <x v="1"/>
    <n v="25"/>
    <n v="4200"/>
    <n v="105000"/>
    <x v="498"/>
    <n v="84"/>
    <x v="387"/>
    <x v="20"/>
    <d v="2024-01-21T00:00:00"/>
    <d v="1899-12-30T11:00:00"/>
    <n v="10"/>
    <n v="0"/>
  </r>
  <r>
    <d v="2024-01-21T11:00:00"/>
    <x v="1"/>
    <x v="1"/>
    <n v="1004"/>
    <x v="1"/>
    <n v="30"/>
    <n v="3100"/>
    <n v="93000"/>
    <x v="499"/>
    <n v="96"/>
    <x v="536"/>
    <x v="20"/>
    <d v="2024-01-21T00:00:00"/>
    <d v="1899-12-30T11:00:00"/>
    <n v="13"/>
    <n v="0"/>
  </r>
  <r>
    <d v="2024-01-21T11:00:00"/>
    <x v="1"/>
    <x v="6"/>
    <n v="1004"/>
    <x v="1"/>
    <n v="30"/>
    <n v="3500"/>
    <n v="105000"/>
    <x v="472"/>
    <n v="87"/>
    <x v="346"/>
    <x v="20"/>
    <d v="2024-01-21T00:00:00"/>
    <d v="1899-12-30T11:00:00"/>
    <n v="15"/>
    <n v="0"/>
  </r>
  <r>
    <d v="2024-01-21T11:00:00"/>
    <x v="1"/>
    <x v="3"/>
    <n v="1004"/>
    <x v="1"/>
    <n v="30"/>
    <n v="4000"/>
    <n v="120000"/>
    <x v="514"/>
    <n v="96"/>
    <x v="465"/>
    <x v="20"/>
    <d v="2024-01-21T00:00:00"/>
    <d v="1899-12-30T11:00:00"/>
    <n v="11"/>
    <n v="0"/>
  </r>
  <r>
    <d v="2024-01-21T11:00:00"/>
    <x v="1"/>
    <x v="8"/>
    <n v="1004"/>
    <x v="1"/>
    <n v="22"/>
    <n v="4200"/>
    <n v="92400"/>
    <x v="506"/>
    <n v="120"/>
    <x v="507"/>
    <x v="20"/>
    <d v="2024-01-21T00:00:00"/>
    <d v="1899-12-30T11:00:00"/>
    <n v="7"/>
    <n v="0"/>
  </r>
  <r>
    <d v="2024-01-21T12:00:00"/>
    <x v="0"/>
    <x v="12"/>
    <n v="16"/>
    <x v="3"/>
    <n v="350"/>
    <n v="1450"/>
    <n v="507500"/>
    <x v="472"/>
    <n v="24"/>
    <x v="499"/>
    <x v="20"/>
    <d v="2024-01-21T00:00:00"/>
    <d v="1899-12-30T12:00:00"/>
    <n v="5"/>
    <n v="0"/>
  </r>
  <r>
    <d v="2024-01-21T12:00:00"/>
    <x v="0"/>
    <x v="12"/>
    <n v="16"/>
    <x v="0"/>
    <n v="1700"/>
    <n v="120"/>
    <n v="204000"/>
    <x v="479"/>
    <n v="48"/>
    <x v="494"/>
    <x v="20"/>
    <d v="2024-01-21T00:00:00"/>
    <d v="1899-12-30T12:00:00"/>
    <n v="5"/>
    <n v="0"/>
  </r>
  <r>
    <d v="2024-01-21T14:00:00"/>
    <x v="1"/>
    <x v="2"/>
    <n v="1009"/>
    <x v="1"/>
    <n v="15"/>
    <n v="3799"/>
    <n v="56985"/>
    <x v="362"/>
    <n v="76"/>
    <x v="387"/>
    <x v="20"/>
    <d v="2024-01-21T00:00:00"/>
    <d v="1899-12-30T14:00:00"/>
    <n v="9"/>
    <n v="0"/>
  </r>
  <r>
    <d v="2024-01-21T14:00:00"/>
    <x v="1"/>
    <x v="10"/>
    <n v="1009"/>
    <x v="1"/>
    <n v="24"/>
    <n v="3750"/>
    <n v="90000"/>
    <x v="515"/>
    <n v="96"/>
    <x v="496"/>
    <x v="20"/>
    <d v="2024-01-21T00:00:00"/>
    <d v="1899-12-30T14:00:00"/>
    <n v="16"/>
    <n v="0"/>
  </r>
  <r>
    <d v="2024-01-21T14:00:00"/>
    <x v="1"/>
    <x v="1"/>
    <n v="1009"/>
    <x v="1"/>
    <n v="30"/>
    <n v="3100"/>
    <n v="93000"/>
    <x v="516"/>
    <n v="96"/>
    <x v="546"/>
    <x v="20"/>
    <d v="2024-01-21T00:00:00"/>
    <d v="1899-12-30T14:00:00"/>
    <n v="13"/>
    <n v="0"/>
  </r>
  <r>
    <d v="2024-01-21T14:00:00"/>
    <x v="1"/>
    <x v="7"/>
    <n v="1009"/>
    <x v="1"/>
    <n v="19"/>
    <n v="3800"/>
    <n v="72200"/>
    <x v="315"/>
    <n v="96"/>
    <x v="547"/>
    <x v="20"/>
    <d v="2024-01-21T00:00:00"/>
    <d v="1899-12-30T14:00:00"/>
    <n v="12"/>
    <n v="0"/>
  </r>
  <r>
    <d v="2024-01-21T14:00:00"/>
    <x v="0"/>
    <x v="6"/>
    <n v="4"/>
    <x v="5"/>
    <n v="158"/>
    <n v="20"/>
    <n v="3160"/>
    <x v="362"/>
    <n v="72"/>
    <x v="387"/>
    <x v="20"/>
    <d v="2024-01-21T00:00:00"/>
    <d v="1899-12-30T14:00:00"/>
    <n v="15"/>
    <n v="0"/>
  </r>
  <r>
    <d v="2024-01-21T14:00:00"/>
    <x v="1"/>
    <x v="9"/>
    <n v="1009"/>
    <x v="1"/>
    <n v="28"/>
    <n v="3650"/>
    <n v="102200"/>
    <x v="486"/>
    <n v="84"/>
    <x v="544"/>
    <x v="20"/>
    <d v="2024-01-21T00:00:00"/>
    <d v="1899-12-30T14:00:00"/>
    <n v="14"/>
    <n v="0"/>
  </r>
  <r>
    <d v="2024-01-21T14:00:00"/>
    <x v="0"/>
    <x v="11"/>
    <n v="8"/>
    <x v="0"/>
    <n v="1928"/>
    <n v="150"/>
    <n v="289200"/>
    <x v="486"/>
    <n v="72"/>
    <x v="544"/>
    <x v="20"/>
    <d v="2024-01-21T00:00:00"/>
    <d v="1899-12-30T14:00:00"/>
    <n v="6"/>
    <n v="0"/>
  </r>
  <r>
    <d v="2024-01-21T14:00:00"/>
    <x v="1"/>
    <x v="4"/>
    <n v="1009"/>
    <x v="1"/>
    <n v="14"/>
    <n v="4200"/>
    <n v="58800"/>
    <x v="486"/>
    <n v="84"/>
    <x v="544"/>
    <x v="20"/>
    <d v="2024-01-21T00:00:00"/>
    <d v="1899-12-30T14:00:00"/>
    <n v="10"/>
    <n v="0"/>
  </r>
  <r>
    <d v="2024-01-21T14:00:00"/>
    <x v="1"/>
    <x v="6"/>
    <n v="1009"/>
    <x v="1"/>
    <n v="32"/>
    <n v="3450"/>
    <n v="110400"/>
    <x v="362"/>
    <n v="88"/>
    <x v="387"/>
    <x v="20"/>
    <d v="2024-01-21T00:00:00"/>
    <d v="1899-12-30T14:00:00"/>
    <n v="15"/>
    <n v="0"/>
  </r>
  <r>
    <d v="2024-01-21T14:00:00"/>
    <x v="0"/>
    <x v="6"/>
    <n v="4"/>
    <x v="5"/>
    <n v="158"/>
    <n v="20"/>
    <n v="3160"/>
    <x v="362"/>
    <n v="72"/>
    <x v="387"/>
    <x v="20"/>
    <d v="2024-01-21T00:00:00"/>
    <d v="1899-12-30T14:00:00"/>
    <n v="15"/>
    <n v="0"/>
  </r>
  <r>
    <d v="2024-01-21T15:00:00"/>
    <x v="0"/>
    <x v="12"/>
    <n v="9"/>
    <x v="0"/>
    <n v="2000"/>
    <n v="120"/>
    <n v="240000"/>
    <x v="362"/>
    <n v="48"/>
    <x v="548"/>
    <x v="20"/>
    <d v="2024-01-21T00:00:00"/>
    <d v="1899-12-30T15:00:00"/>
    <n v="5"/>
    <n v="0"/>
  </r>
  <r>
    <d v="2024-01-21T15:00:00"/>
    <x v="0"/>
    <x v="2"/>
    <n v="4"/>
    <x v="5"/>
    <n v="63"/>
    <n v="20"/>
    <n v="1260"/>
    <x v="361"/>
    <n v="72"/>
    <x v="535"/>
    <x v="20"/>
    <d v="2024-01-21T00:00:00"/>
    <d v="1899-12-30T15:00:00"/>
    <n v="9"/>
    <n v="0"/>
  </r>
  <r>
    <d v="2024-01-21T15:00:00"/>
    <x v="0"/>
    <x v="12"/>
    <n v="9"/>
    <x v="3"/>
    <n v="200"/>
    <n v="1400"/>
    <n v="280000"/>
    <x v="476"/>
    <n v="48"/>
    <x v="467"/>
    <x v="20"/>
    <d v="2024-01-21T00:00:00"/>
    <d v="1899-12-30T15:00:00"/>
    <n v="5"/>
    <n v="0"/>
  </r>
  <r>
    <d v="2024-01-21T15:00:00"/>
    <x v="0"/>
    <x v="11"/>
    <n v="15"/>
    <x v="3"/>
    <n v="200"/>
    <n v="1500"/>
    <n v="300000"/>
    <x v="454"/>
    <n v="72"/>
    <x v="480"/>
    <x v="20"/>
    <d v="2024-01-21T00:00:00"/>
    <d v="1899-12-30T15:00:00"/>
    <n v="6"/>
    <n v="0"/>
  </r>
  <r>
    <d v="2024-01-21T15:00:00"/>
    <x v="0"/>
    <x v="11"/>
    <n v="15"/>
    <x v="3"/>
    <n v="200"/>
    <n v="1500"/>
    <n v="300000"/>
    <x v="454"/>
    <n v="72"/>
    <x v="480"/>
    <x v="20"/>
    <d v="2024-01-21T00:00:00"/>
    <d v="1899-12-30T15:00:00"/>
    <n v="6"/>
    <n v="0"/>
  </r>
  <r>
    <d v="2024-01-21T16:00:00"/>
    <x v="2"/>
    <x v="9"/>
    <n v="2011"/>
    <x v="2"/>
    <n v="30"/>
    <n v="6650"/>
    <n v="199500"/>
    <x v="476"/>
    <n v="120"/>
    <x v="549"/>
    <x v="20"/>
    <d v="2024-01-21T00:00:00"/>
    <d v="1899-12-30T16:00:00"/>
    <n v="14"/>
    <n v="0"/>
  </r>
  <r>
    <d v="2024-01-21T16:00:00"/>
    <x v="1"/>
    <x v="2"/>
    <n v="1001"/>
    <x v="1"/>
    <n v="15"/>
    <n v="3799"/>
    <n v="56985"/>
    <x v="476"/>
    <n v="76"/>
    <x v="524"/>
    <x v="20"/>
    <d v="2024-01-21T00:00:00"/>
    <d v="1899-12-30T16:00:00"/>
    <n v="9"/>
    <n v="0"/>
  </r>
  <r>
    <d v="2024-01-21T16:00:00"/>
    <x v="2"/>
    <x v="3"/>
    <n v="2011"/>
    <x v="2"/>
    <n v="10"/>
    <n v="6800"/>
    <n v="68000"/>
    <x v="454"/>
    <n v="84"/>
    <x v="480"/>
    <x v="20"/>
    <d v="2024-01-21T00:00:00"/>
    <d v="1899-12-30T16:00:00"/>
    <n v="11"/>
    <n v="0"/>
  </r>
  <r>
    <d v="2024-01-21T16:00:00"/>
    <x v="2"/>
    <x v="1"/>
    <n v="2011"/>
    <x v="2"/>
    <n v="30"/>
    <n v="6000"/>
    <n v="180000"/>
    <x v="473"/>
    <n v="132"/>
    <x v="375"/>
    <x v="20"/>
    <d v="2024-01-21T00:00:00"/>
    <d v="1899-12-30T16:00:00"/>
    <n v="13"/>
    <n v="0"/>
  </r>
  <r>
    <d v="2024-01-21T16:00:00"/>
    <x v="2"/>
    <x v="3"/>
    <n v="2011"/>
    <x v="1"/>
    <n v="40"/>
    <n v="4000"/>
    <n v="160000"/>
    <x v="517"/>
    <n v="132"/>
    <x v="550"/>
    <x v="20"/>
    <d v="2024-01-21T00:00:00"/>
    <d v="1899-12-30T16:00:00"/>
    <n v="11"/>
    <n v="0"/>
  </r>
  <r>
    <d v="2024-01-21T16:00:00"/>
    <x v="2"/>
    <x v="2"/>
    <n v="2011"/>
    <x v="1"/>
    <n v="30"/>
    <n v="3799"/>
    <n v="113970"/>
    <x v="476"/>
    <n v="112"/>
    <x v="549"/>
    <x v="20"/>
    <d v="2024-01-21T00:00:00"/>
    <d v="1899-12-30T16:00:00"/>
    <n v="9"/>
    <n v="0"/>
  </r>
  <r>
    <d v="2024-01-21T16:00:00"/>
    <x v="2"/>
    <x v="9"/>
    <n v="2011"/>
    <x v="1"/>
    <n v="40"/>
    <n v="3750"/>
    <n v="150000"/>
    <x v="476"/>
    <n v="120"/>
    <x v="549"/>
    <x v="20"/>
    <d v="2024-01-21T00:00:00"/>
    <d v="1899-12-30T16:00:00"/>
    <n v="14"/>
    <n v="0"/>
  </r>
  <r>
    <d v="2024-01-21T16:00:00"/>
    <x v="2"/>
    <x v="10"/>
    <n v="2011"/>
    <x v="1"/>
    <n v="30"/>
    <n v="3750"/>
    <n v="112500"/>
    <x v="360"/>
    <n v="132"/>
    <x v="538"/>
    <x v="20"/>
    <d v="2024-01-21T00:00:00"/>
    <d v="1899-12-30T16:00:00"/>
    <n v="16"/>
    <n v="0"/>
  </r>
  <r>
    <d v="2024-01-21T16:00:00"/>
    <x v="2"/>
    <x v="8"/>
    <n v="2011"/>
    <x v="2"/>
    <n v="24"/>
    <n v="7000"/>
    <n v="168000"/>
    <x v="518"/>
    <n v="132"/>
    <x v="551"/>
    <x v="20"/>
    <d v="2024-01-21T00:00:00"/>
    <d v="1899-12-30T16:00:00"/>
    <n v="7"/>
    <n v="0"/>
  </r>
  <r>
    <d v="2024-01-21T16:00:00"/>
    <x v="2"/>
    <x v="5"/>
    <n v="2011"/>
    <x v="1"/>
    <n v="50"/>
    <n v="4155"/>
    <n v="207750"/>
    <x v="515"/>
    <n v="120"/>
    <x v="552"/>
    <x v="20"/>
    <d v="2024-01-21T00:00:00"/>
    <d v="1899-12-30T16:00:00"/>
    <n v="8"/>
    <n v="0"/>
  </r>
  <r>
    <d v="2024-01-21T16:00:00"/>
    <x v="2"/>
    <x v="6"/>
    <n v="2011"/>
    <x v="2"/>
    <n v="50"/>
    <n v="6400"/>
    <n v="320000"/>
    <x v="454"/>
    <n v="48"/>
    <x v="521"/>
    <x v="20"/>
    <d v="2024-01-21T00:00:00"/>
    <d v="1899-12-30T16:00:00"/>
    <n v="15"/>
    <n v="0"/>
  </r>
  <r>
    <d v="2024-01-21T16:00:00"/>
    <x v="1"/>
    <x v="6"/>
    <n v="1001"/>
    <x v="1"/>
    <n v="50"/>
    <n v="3450"/>
    <n v="172500"/>
    <x v="454"/>
    <n v="88"/>
    <x v="480"/>
    <x v="20"/>
    <d v="2024-01-21T00:00:00"/>
    <d v="1899-12-30T16:00:00"/>
    <n v="15"/>
    <n v="0"/>
  </r>
  <r>
    <d v="2024-01-21T16:00:00"/>
    <x v="1"/>
    <x v="9"/>
    <n v="1001"/>
    <x v="1"/>
    <n v="40"/>
    <n v="3650"/>
    <n v="146000"/>
    <x v="476"/>
    <n v="84"/>
    <x v="465"/>
    <x v="20"/>
    <d v="2024-01-21T00:00:00"/>
    <d v="1899-12-30T16:00:00"/>
    <n v="14"/>
    <n v="0"/>
  </r>
  <r>
    <d v="2024-01-21T16:00:00"/>
    <x v="2"/>
    <x v="7"/>
    <n v="2011"/>
    <x v="2"/>
    <n v="30"/>
    <n v="6800"/>
    <n v="204000"/>
    <x v="519"/>
    <n v="120"/>
    <x v="553"/>
    <x v="20"/>
    <d v="2024-01-21T00:00:00"/>
    <d v="1899-12-30T16:00:00"/>
    <n v="12"/>
    <n v="0"/>
  </r>
  <r>
    <d v="2024-01-21T16:00:00"/>
    <x v="2"/>
    <x v="7"/>
    <n v="2011"/>
    <x v="1"/>
    <n v="30"/>
    <n v="3800"/>
    <n v="114000"/>
    <x v="513"/>
    <n v="120"/>
    <x v="539"/>
    <x v="20"/>
    <d v="2024-01-21T00:00:00"/>
    <d v="1899-12-30T16:00:00"/>
    <n v="12"/>
    <n v="0"/>
  </r>
  <r>
    <d v="2024-01-21T16:00:00"/>
    <x v="1"/>
    <x v="7"/>
    <n v="1001"/>
    <x v="1"/>
    <n v="30"/>
    <n v="3800"/>
    <n v="114000"/>
    <x v="266"/>
    <n v="96"/>
    <x v="314"/>
    <x v="20"/>
    <d v="2024-01-21T00:00:00"/>
    <d v="1899-12-30T16:00:00"/>
    <n v="12"/>
    <n v="0"/>
  </r>
  <r>
    <d v="2024-01-21T16:00:00"/>
    <x v="1"/>
    <x v="3"/>
    <n v="1001"/>
    <x v="1"/>
    <n v="33"/>
    <n v="3900"/>
    <n v="128700"/>
    <x v="506"/>
    <n v="108"/>
    <x v="507"/>
    <x v="20"/>
    <d v="2024-01-21T00:00:00"/>
    <d v="1899-12-30T16:00:00"/>
    <n v="11"/>
    <n v="0"/>
  </r>
  <r>
    <d v="2024-01-21T16:00:00"/>
    <x v="1"/>
    <x v="10"/>
    <n v="1001"/>
    <x v="1"/>
    <n v="30"/>
    <n v="3750"/>
    <n v="112500"/>
    <x v="360"/>
    <n v="96"/>
    <x v="527"/>
    <x v="20"/>
    <d v="2024-01-21T00:00:00"/>
    <d v="1899-12-30T16:00:00"/>
    <n v="16"/>
    <n v="0"/>
  </r>
  <r>
    <d v="2024-01-21T16:00:00"/>
    <x v="0"/>
    <x v="14"/>
    <n v="13"/>
    <x v="3"/>
    <n v="150"/>
    <n v="1350"/>
    <n v="202500"/>
    <x v="454"/>
    <n v="24"/>
    <x v="436"/>
    <x v="20"/>
    <d v="2024-01-21T00:00:00"/>
    <d v="1899-12-30T16:00:00"/>
    <n v="3"/>
    <n v="0"/>
  </r>
  <r>
    <d v="2024-01-21T16:00:00"/>
    <x v="2"/>
    <x v="8"/>
    <n v="2011"/>
    <x v="1"/>
    <n v="75"/>
    <n v="3900"/>
    <n v="292500"/>
    <x v="520"/>
    <n v="132"/>
    <x v="379"/>
    <x v="20"/>
    <d v="2024-01-21T00:00:00"/>
    <d v="1899-12-30T16:00:00"/>
    <n v="7"/>
    <n v="0"/>
  </r>
  <r>
    <d v="2024-01-21T16:00:00"/>
    <x v="2"/>
    <x v="2"/>
    <n v="2011"/>
    <x v="2"/>
    <n v="15"/>
    <n v="6699"/>
    <n v="100485"/>
    <x v="422"/>
    <n v="119"/>
    <x v="551"/>
    <x v="20"/>
    <d v="2024-01-21T00:00:00"/>
    <d v="1899-12-30T16:00:00"/>
    <n v="9"/>
    <n v="0"/>
  </r>
  <r>
    <d v="2024-01-21T16:00:00"/>
    <x v="1"/>
    <x v="4"/>
    <n v="1001"/>
    <x v="1"/>
    <n v="25"/>
    <n v="4200"/>
    <n v="105000"/>
    <x v="476"/>
    <n v="84"/>
    <x v="465"/>
    <x v="20"/>
    <d v="2024-01-21T00:00:00"/>
    <d v="1899-12-30T16:00:00"/>
    <n v="10"/>
    <n v="0"/>
  </r>
  <r>
    <d v="2024-01-21T16:00:00"/>
    <x v="2"/>
    <x v="1"/>
    <n v="2011"/>
    <x v="1"/>
    <n v="30"/>
    <n v="3000"/>
    <n v="90000"/>
    <x v="521"/>
    <n v="132"/>
    <x v="377"/>
    <x v="20"/>
    <d v="2024-01-21T00:00:00"/>
    <d v="1899-12-30T16:00:00"/>
    <n v="13"/>
    <n v="0"/>
  </r>
  <r>
    <d v="2024-01-21T16:00:00"/>
    <x v="2"/>
    <x v="6"/>
    <n v="2011"/>
    <x v="1"/>
    <n v="45"/>
    <n v="4100"/>
    <n v="184500"/>
    <x v="454"/>
    <n v="48"/>
    <x v="521"/>
    <x v="20"/>
    <d v="2024-01-21T00:00:00"/>
    <d v="1899-12-30T16:00:00"/>
    <n v="15"/>
    <n v="0"/>
  </r>
  <r>
    <d v="2024-01-21T16:00:00"/>
    <x v="0"/>
    <x v="13"/>
    <n v="7"/>
    <x v="3"/>
    <n v="500"/>
    <n v="1600"/>
    <n v="800000"/>
    <x v="361"/>
    <n v="72"/>
    <x v="535"/>
    <x v="20"/>
    <d v="2024-01-21T00:00:00"/>
    <d v="1899-12-30T16:00:00"/>
    <n v="2"/>
    <n v="0"/>
  </r>
  <r>
    <d v="2024-01-21T16:00:00"/>
    <x v="1"/>
    <x v="1"/>
    <n v="1001"/>
    <x v="1"/>
    <n v="30"/>
    <n v="3100"/>
    <n v="93000"/>
    <x v="518"/>
    <n v="96"/>
    <x v="547"/>
    <x v="20"/>
    <d v="2024-01-21T00:00:00"/>
    <d v="1899-12-30T16:00:00"/>
    <n v="13"/>
    <n v="0"/>
  </r>
  <r>
    <d v="2024-01-21T16:00:00"/>
    <x v="2"/>
    <x v="10"/>
    <n v="2011"/>
    <x v="2"/>
    <n v="30"/>
    <n v="6050"/>
    <n v="181500"/>
    <x v="360"/>
    <n v="132"/>
    <x v="538"/>
    <x v="20"/>
    <d v="2024-01-21T00:00:00"/>
    <d v="1899-12-30T16:00:00"/>
    <n v="16"/>
    <n v="0"/>
  </r>
  <r>
    <d v="2024-01-21T17:00:00"/>
    <x v="0"/>
    <x v="0"/>
    <n v="8"/>
    <x v="0"/>
    <n v="1000"/>
    <n v="120"/>
    <n v="120000"/>
    <x v="454"/>
    <n v="24"/>
    <x v="436"/>
    <x v="20"/>
    <d v="2024-01-21T00:00:00"/>
    <d v="1899-12-30T17:00:00"/>
    <n v="4"/>
    <n v="0"/>
  </r>
  <r>
    <d v="2024-01-21T21:00:00"/>
    <x v="1"/>
    <x v="1"/>
    <n v="1008"/>
    <x v="2"/>
    <n v="25"/>
    <n v="5900"/>
    <n v="147500"/>
    <x v="518"/>
    <n v="120"/>
    <x v="551"/>
    <x v="20"/>
    <d v="2024-01-21T00:00:00"/>
    <d v="1899-12-30T21:00:00"/>
    <n v="13"/>
    <n v="0"/>
  </r>
  <r>
    <d v="2024-01-21T21:00:00"/>
    <x v="1"/>
    <x v="6"/>
    <n v="1008"/>
    <x v="2"/>
    <n v="28"/>
    <n v="6300"/>
    <n v="176400"/>
    <x v="517"/>
    <n v="89"/>
    <x v="495"/>
    <x v="20"/>
    <d v="2024-01-21T00:00:00"/>
    <d v="1899-12-30T21:00:00"/>
    <n v="15"/>
    <n v="0"/>
  </r>
  <r>
    <d v="2024-01-21T21:00:00"/>
    <x v="1"/>
    <x v="10"/>
    <n v="1008"/>
    <x v="2"/>
    <n v="21"/>
    <n v="5950"/>
    <n v="124950"/>
    <x v="414"/>
    <n v="120"/>
    <x v="554"/>
    <x v="20"/>
    <d v="2024-01-21T00:00:00"/>
    <d v="1899-12-30T21:00:00"/>
    <n v="16"/>
    <n v="0"/>
  </r>
  <r>
    <d v="2024-01-21T22:00:00"/>
    <x v="0"/>
    <x v="11"/>
    <n v="11"/>
    <x v="3"/>
    <n v="120"/>
    <n v="1550"/>
    <n v="186000"/>
    <x v="522"/>
    <n v="48"/>
    <x v="555"/>
    <x v="20"/>
    <d v="2024-01-21T00:00:00"/>
    <d v="1899-12-30T22:00:00"/>
    <n v="6"/>
    <n v="0"/>
  </r>
  <r>
    <d v="2024-01-21T23:00:00"/>
    <x v="0"/>
    <x v="14"/>
    <n v="7"/>
    <x v="3"/>
    <n v="200"/>
    <n v="1350"/>
    <n v="270000"/>
    <x v="422"/>
    <n v="72"/>
    <x v="441"/>
    <x v="20"/>
    <d v="2024-01-21T00:00:00"/>
    <d v="1899-12-30T23:00:00"/>
    <n v="3"/>
    <n v="0"/>
  </r>
  <r>
    <d v="2024-01-22T00:00:00"/>
    <x v="0"/>
    <x v="13"/>
    <n v="7"/>
    <x v="0"/>
    <n v="7000"/>
    <n v="120"/>
    <n v="840000"/>
    <x v="517"/>
    <n v="72"/>
    <x v="495"/>
    <x v="21"/>
    <d v="2024-01-22T00:00:00"/>
    <d v="1899-12-30T00:00:00"/>
    <n v="2"/>
    <n v="0"/>
  </r>
  <r>
    <d v="2024-01-22T01:00:00"/>
    <x v="1"/>
    <x v="10"/>
    <n v="1001"/>
    <x v="2"/>
    <n v="7"/>
    <n v="6050"/>
    <n v="42350"/>
    <x v="523"/>
    <n v="96"/>
    <x v="556"/>
    <x v="21"/>
    <d v="2024-01-22T00:00:00"/>
    <d v="1899-12-30T01:00:00"/>
    <n v="16"/>
    <n v="0"/>
  </r>
  <r>
    <d v="2024-01-22T01:00:00"/>
    <x v="1"/>
    <x v="7"/>
    <n v="1002"/>
    <x v="1"/>
    <n v="30"/>
    <n v="3800"/>
    <n v="114000"/>
    <x v="266"/>
    <n v="96"/>
    <x v="314"/>
    <x v="21"/>
    <d v="2024-01-22T00:00:00"/>
    <d v="1899-12-30T01:00:00"/>
    <n v="12"/>
    <n v="0"/>
  </r>
  <r>
    <d v="2024-01-22T01:00:00"/>
    <x v="1"/>
    <x v="7"/>
    <n v="1001"/>
    <x v="2"/>
    <n v="5"/>
    <n v="6750"/>
    <n v="33750"/>
    <x v="456"/>
    <n v="96"/>
    <x v="556"/>
    <x v="21"/>
    <d v="2024-01-22T00:00:00"/>
    <d v="1899-12-30T01:00:00"/>
    <n v="12"/>
    <n v="0"/>
  </r>
  <r>
    <d v="2024-01-22T01:00:00"/>
    <x v="1"/>
    <x v="1"/>
    <n v="1002"/>
    <x v="1"/>
    <n v="30"/>
    <n v="3100"/>
    <n v="93000"/>
    <x v="524"/>
    <n v="96"/>
    <x v="557"/>
    <x v="21"/>
    <d v="2024-01-22T00:00:00"/>
    <d v="1899-12-30T01:00:00"/>
    <n v="13"/>
    <n v="0"/>
  </r>
  <r>
    <d v="2024-01-22T01:00:00"/>
    <x v="1"/>
    <x v="9"/>
    <n v="1002"/>
    <x v="1"/>
    <n v="35"/>
    <n v="3750"/>
    <n v="131250"/>
    <x v="517"/>
    <n v="84"/>
    <x v="495"/>
    <x v="21"/>
    <d v="2024-01-22T00:00:00"/>
    <d v="1899-12-30T01:00:00"/>
    <n v="14"/>
    <n v="0"/>
  </r>
  <r>
    <d v="2024-01-22T01:00:00"/>
    <x v="0"/>
    <x v="15"/>
    <n v="14"/>
    <x v="3"/>
    <n v="400"/>
    <n v="1350"/>
    <n v="540000"/>
    <x v="517"/>
    <n v="24"/>
    <x v="464"/>
    <x v="21"/>
    <d v="2024-01-22T00:00:00"/>
    <d v="1899-12-30T01:00:00"/>
    <n v="1"/>
    <n v="0"/>
  </r>
  <r>
    <d v="2024-01-22T01:00:00"/>
    <x v="1"/>
    <x v="4"/>
    <n v="1002"/>
    <x v="1"/>
    <n v="20"/>
    <n v="4200"/>
    <n v="84000"/>
    <x v="517"/>
    <n v="84"/>
    <x v="495"/>
    <x v="21"/>
    <d v="2024-01-22T00:00:00"/>
    <d v="1899-12-30T01:00:00"/>
    <n v="10"/>
    <n v="0"/>
  </r>
  <r>
    <d v="2024-01-22T01:00:00"/>
    <x v="1"/>
    <x v="3"/>
    <n v="1001"/>
    <x v="2"/>
    <n v="6"/>
    <n v="6400"/>
    <n v="38400"/>
    <x v="499"/>
    <n v="72"/>
    <x v="331"/>
    <x v="21"/>
    <d v="2024-01-22T00:00:00"/>
    <d v="1899-12-30T01:00:00"/>
    <n v="11"/>
    <n v="0"/>
  </r>
  <r>
    <d v="2024-01-22T01:00:00"/>
    <x v="1"/>
    <x v="6"/>
    <n v="1001"/>
    <x v="2"/>
    <n v="9"/>
    <n v="6400"/>
    <n v="57600"/>
    <x v="520"/>
    <n v="64"/>
    <x v="331"/>
    <x v="21"/>
    <d v="2024-01-22T00:00:00"/>
    <d v="1899-12-30T01:00:00"/>
    <n v="15"/>
    <n v="0"/>
  </r>
  <r>
    <d v="2024-01-22T01:00:00"/>
    <x v="1"/>
    <x v="10"/>
    <n v="1002"/>
    <x v="1"/>
    <n v="30"/>
    <n v="3750"/>
    <n v="112500"/>
    <x v="492"/>
    <n v="96"/>
    <x v="546"/>
    <x v="21"/>
    <d v="2024-01-22T00:00:00"/>
    <d v="1899-12-30T01:00:00"/>
    <n v="16"/>
    <n v="0"/>
  </r>
  <r>
    <d v="2024-01-22T01:00:00"/>
    <x v="1"/>
    <x v="1"/>
    <n v="1001"/>
    <x v="2"/>
    <n v="8"/>
    <n v="6000"/>
    <n v="48000"/>
    <x v="514"/>
    <n v="96"/>
    <x v="558"/>
    <x v="21"/>
    <d v="2024-01-22T00:00:00"/>
    <d v="1899-12-30T01:00:00"/>
    <n v="13"/>
    <n v="0"/>
  </r>
  <r>
    <d v="2024-01-22T01:00:00"/>
    <x v="1"/>
    <x v="3"/>
    <n v="1002"/>
    <x v="1"/>
    <n v="27"/>
    <n v="4000"/>
    <n v="108000"/>
    <x v="523"/>
    <n v="96"/>
    <x v="556"/>
    <x v="21"/>
    <d v="2024-01-22T00:00:00"/>
    <d v="1899-12-30T01:00:00"/>
    <n v="11"/>
    <n v="0"/>
  </r>
  <r>
    <d v="2024-01-22T01:00:00"/>
    <x v="1"/>
    <x v="2"/>
    <n v="1002"/>
    <x v="1"/>
    <n v="15"/>
    <n v="3799"/>
    <n v="56985"/>
    <x v="517"/>
    <n v="76"/>
    <x v="495"/>
    <x v="21"/>
    <d v="2024-01-22T00:00:00"/>
    <d v="1899-12-30T01:00:00"/>
    <n v="9"/>
    <n v="0"/>
  </r>
  <r>
    <d v="2024-01-22T01:00:00"/>
    <x v="1"/>
    <x v="6"/>
    <n v="1002"/>
    <x v="1"/>
    <n v="30"/>
    <n v="3550"/>
    <n v="106500"/>
    <x v="497"/>
    <n v="87"/>
    <x v="527"/>
    <x v="21"/>
    <d v="2024-01-22T00:00:00"/>
    <d v="1899-12-30T01:00:00"/>
    <n v="15"/>
    <n v="0"/>
  </r>
  <r>
    <d v="2024-01-22T02:00:00"/>
    <x v="0"/>
    <x v="15"/>
    <n v="13"/>
    <x v="0"/>
    <n v="1500"/>
    <n v="130"/>
    <n v="195000"/>
    <x v="497"/>
    <n v="72"/>
    <x v="527"/>
    <x v="21"/>
    <d v="2024-01-22T00:00:00"/>
    <d v="1899-12-30T02:00:00"/>
    <n v="1"/>
    <n v="0"/>
  </r>
  <r>
    <d v="2024-01-22T04:00:00"/>
    <x v="0"/>
    <x v="12"/>
    <n v="12"/>
    <x v="3"/>
    <n v="300"/>
    <n v="1550"/>
    <n v="465000"/>
    <x v="510"/>
    <n v="72"/>
    <x v="559"/>
    <x v="21"/>
    <d v="2024-01-22T00:00:00"/>
    <d v="1899-12-30T04:00:00"/>
    <n v="5"/>
    <n v="0"/>
  </r>
  <r>
    <d v="2024-01-22T04:00:00"/>
    <x v="0"/>
    <x v="0"/>
    <n v="12"/>
    <x v="0"/>
    <n v="500"/>
    <n v="125"/>
    <n v="62500"/>
    <x v="492"/>
    <n v="48"/>
    <x v="517"/>
    <x v="21"/>
    <d v="2024-01-22T00:00:00"/>
    <d v="1899-12-30T04:00:00"/>
    <n v="4"/>
    <n v="0"/>
  </r>
  <r>
    <d v="2024-01-22T05:00:00"/>
    <x v="1"/>
    <x v="6"/>
    <n v="1010"/>
    <x v="2"/>
    <n v="12"/>
    <n v="6400"/>
    <n v="76800"/>
    <x v="525"/>
    <n v="64"/>
    <x v="330"/>
    <x v="21"/>
    <d v="2024-01-22T00:00:00"/>
    <d v="1899-12-30T05:00:00"/>
    <n v="15"/>
    <n v="0"/>
  </r>
  <r>
    <d v="2024-01-22T05:00:00"/>
    <x v="1"/>
    <x v="3"/>
    <n v="1010"/>
    <x v="2"/>
    <n v="8"/>
    <n v="6400"/>
    <n v="51200"/>
    <x v="523"/>
    <n v="72"/>
    <x v="498"/>
    <x v="21"/>
    <d v="2024-01-22T00:00:00"/>
    <d v="1899-12-30T05:00:00"/>
    <n v="11"/>
    <n v="0"/>
  </r>
  <r>
    <d v="2024-01-22T05:00:00"/>
    <x v="1"/>
    <x v="1"/>
    <n v="1010"/>
    <x v="2"/>
    <n v="10"/>
    <n v="6000"/>
    <n v="60000"/>
    <x v="526"/>
    <n v="96"/>
    <x v="554"/>
    <x v="21"/>
    <d v="2024-01-22T00:00:00"/>
    <d v="1899-12-30T05:00:00"/>
    <n v="13"/>
    <n v="0"/>
  </r>
  <r>
    <d v="2024-01-22T05:00:00"/>
    <x v="1"/>
    <x v="7"/>
    <n v="1010"/>
    <x v="2"/>
    <n v="7"/>
    <n v="6750"/>
    <n v="47250"/>
    <x v="456"/>
    <n v="96"/>
    <x v="556"/>
    <x v="21"/>
    <d v="2024-01-22T00:00:00"/>
    <d v="1899-12-30T05:00:00"/>
    <n v="12"/>
    <n v="0"/>
  </r>
  <r>
    <d v="2024-01-22T05:00:00"/>
    <x v="0"/>
    <x v="12"/>
    <n v="16"/>
    <x v="3"/>
    <n v="350"/>
    <n v="1450"/>
    <n v="507500"/>
    <x v="499"/>
    <n v="24"/>
    <x v="466"/>
    <x v="21"/>
    <d v="2024-01-22T00:00:00"/>
    <d v="1899-12-30T05:00:00"/>
    <n v="5"/>
    <n v="0"/>
  </r>
  <r>
    <d v="2024-01-22T05:00:00"/>
    <x v="0"/>
    <x v="0"/>
    <n v="12"/>
    <x v="3"/>
    <n v="50"/>
    <n v="1500"/>
    <n v="75000"/>
    <x v="493"/>
    <n v="48"/>
    <x v="528"/>
    <x v="21"/>
    <d v="2024-01-22T00:00:00"/>
    <d v="1899-12-30T05:00:00"/>
    <n v="4"/>
    <n v="0"/>
  </r>
  <r>
    <d v="2024-01-22T05:00:00"/>
    <x v="1"/>
    <x v="5"/>
    <n v="1010"/>
    <x v="2"/>
    <n v="5"/>
    <n v="6911"/>
    <n v="34555"/>
    <x v="527"/>
    <n v="96"/>
    <x v="520"/>
    <x v="21"/>
    <d v="2024-01-22T00:00:00"/>
    <d v="1899-12-30T05:00:00"/>
    <n v="8"/>
    <n v="0"/>
  </r>
  <r>
    <d v="2024-01-22T05:00:00"/>
    <x v="1"/>
    <x v="10"/>
    <n v="1010"/>
    <x v="2"/>
    <n v="9"/>
    <n v="6050"/>
    <n v="54450"/>
    <x v="414"/>
    <n v="96"/>
    <x v="381"/>
    <x v="21"/>
    <d v="2024-01-22T00:00:00"/>
    <d v="1899-12-30T05:00:00"/>
    <n v="16"/>
    <n v="0"/>
  </r>
  <r>
    <d v="2024-01-22T05:00:00"/>
    <x v="1"/>
    <x v="2"/>
    <n v="1010"/>
    <x v="2"/>
    <n v="6"/>
    <n v="6699"/>
    <n v="40194"/>
    <x v="492"/>
    <n v="75"/>
    <x v="560"/>
    <x v="21"/>
    <d v="2024-01-22T00:00:00"/>
    <d v="1899-12-30T05:00:00"/>
    <n v="9"/>
    <n v="0"/>
  </r>
  <r>
    <d v="2024-01-22T06:00:00"/>
    <x v="0"/>
    <x v="15"/>
    <n v="10"/>
    <x v="3"/>
    <n v="300"/>
    <n v="1500"/>
    <n v="450000"/>
    <x v="499"/>
    <n v="48"/>
    <x v="331"/>
    <x v="21"/>
    <d v="2024-01-22T00:00:00"/>
    <d v="1899-12-30T06:00:00"/>
    <n v="1"/>
    <n v="0"/>
  </r>
  <r>
    <d v="2024-01-22T07:00:00"/>
    <x v="1"/>
    <x v="6"/>
    <n v="1007"/>
    <x v="1"/>
    <n v="50"/>
    <n v="3450"/>
    <n v="172500"/>
    <x v="528"/>
    <n v="88"/>
    <x v="546"/>
    <x v="21"/>
    <d v="2024-01-22T00:00:00"/>
    <d v="1899-12-30T07:00:00"/>
    <n v="15"/>
    <n v="0"/>
  </r>
  <r>
    <d v="2024-01-22T07:00:00"/>
    <x v="1"/>
    <x v="7"/>
    <n v="1007"/>
    <x v="1"/>
    <n v="30"/>
    <n v="3800"/>
    <n v="114000"/>
    <x v="513"/>
    <n v="96"/>
    <x v="539"/>
    <x v="21"/>
    <d v="2024-01-22T00:00:00"/>
    <d v="1899-12-30T07:00:00"/>
    <n v="12"/>
    <n v="0"/>
  </r>
  <r>
    <d v="2024-01-22T07:00:00"/>
    <x v="1"/>
    <x v="3"/>
    <n v="1007"/>
    <x v="1"/>
    <n v="30"/>
    <n v="4000"/>
    <n v="120000"/>
    <x v="266"/>
    <n v="96"/>
    <x v="314"/>
    <x v="21"/>
    <d v="2024-01-22T00:00:00"/>
    <d v="1899-12-30T07:00:00"/>
    <n v="11"/>
    <n v="0"/>
  </r>
  <r>
    <d v="2024-01-22T07:00:00"/>
    <x v="1"/>
    <x v="1"/>
    <n v="1007"/>
    <x v="1"/>
    <n v="30"/>
    <n v="3100"/>
    <n v="93000"/>
    <x v="402"/>
    <n v="96"/>
    <x v="539"/>
    <x v="21"/>
    <d v="2024-01-22T00:00:00"/>
    <d v="1899-12-30T07:00:00"/>
    <n v="13"/>
    <n v="0"/>
  </r>
  <r>
    <d v="2024-01-22T07:00:00"/>
    <x v="1"/>
    <x v="8"/>
    <n v="1007"/>
    <x v="1"/>
    <n v="36"/>
    <n v="4200"/>
    <n v="151200"/>
    <x v="357"/>
    <n v="120"/>
    <x v="561"/>
    <x v="21"/>
    <d v="2024-01-22T00:00:00"/>
    <d v="1899-12-30T07:00:00"/>
    <n v="7"/>
    <n v="0"/>
  </r>
  <r>
    <d v="2024-01-22T07:00:00"/>
    <x v="1"/>
    <x v="10"/>
    <n v="1007"/>
    <x v="1"/>
    <n v="30"/>
    <n v="3750"/>
    <n v="112500"/>
    <x v="502"/>
    <n v="96"/>
    <x v="519"/>
    <x v="21"/>
    <d v="2024-01-22T00:00:00"/>
    <d v="1899-12-30T07:00:00"/>
    <n v="16"/>
    <n v="0"/>
  </r>
  <r>
    <d v="2024-01-22T07:00:00"/>
    <x v="1"/>
    <x v="5"/>
    <n v="1007"/>
    <x v="1"/>
    <n v="31"/>
    <n v="4100"/>
    <n v="127100"/>
    <x v="529"/>
    <n v="156"/>
    <x v="562"/>
    <x v="21"/>
    <d v="2024-01-22T00:00:00"/>
    <d v="1899-12-30T07:00:00"/>
    <n v="8"/>
    <n v="0"/>
  </r>
  <r>
    <d v="2024-01-22T07:00:00"/>
    <x v="1"/>
    <x v="2"/>
    <n v="1007"/>
    <x v="1"/>
    <n v="15"/>
    <n v="3799"/>
    <n v="56985"/>
    <x v="525"/>
    <n v="76"/>
    <x v="526"/>
    <x v="21"/>
    <d v="2024-01-22T00:00:00"/>
    <d v="1899-12-30T07:00:00"/>
    <n v="9"/>
    <n v="0"/>
  </r>
  <r>
    <d v="2024-01-22T07:00:00"/>
    <x v="1"/>
    <x v="4"/>
    <n v="1007"/>
    <x v="1"/>
    <n v="30"/>
    <n v="4200"/>
    <n v="126000"/>
    <x v="530"/>
    <n v="84"/>
    <x v="546"/>
    <x v="21"/>
    <d v="2024-01-22T00:00:00"/>
    <d v="1899-12-30T07:00:00"/>
    <n v="10"/>
    <n v="0"/>
  </r>
  <r>
    <d v="2024-01-22T07:00:00"/>
    <x v="1"/>
    <x v="9"/>
    <n v="1007"/>
    <x v="1"/>
    <n v="40"/>
    <n v="3650"/>
    <n v="146000"/>
    <x v="525"/>
    <n v="84"/>
    <x v="526"/>
    <x v="21"/>
    <d v="2024-01-22T00:00:00"/>
    <d v="1899-12-30T07:00:00"/>
    <n v="14"/>
    <n v="0"/>
  </r>
  <r>
    <d v="2024-01-22T08:00:00"/>
    <x v="2"/>
    <x v="1"/>
    <n v="2001"/>
    <x v="2"/>
    <n v="30"/>
    <n v="6000"/>
    <n v="180000"/>
    <x v="526"/>
    <n v="132"/>
    <x v="563"/>
    <x v="21"/>
    <d v="2024-01-22T00:00:00"/>
    <d v="1899-12-30T08:00:00"/>
    <n v="13"/>
    <n v="0"/>
  </r>
  <r>
    <d v="2024-01-22T08:00:00"/>
    <x v="1"/>
    <x v="1"/>
    <n v="1004"/>
    <x v="2"/>
    <n v="13"/>
    <n v="6000"/>
    <n v="78000"/>
    <x v="526"/>
    <n v="96"/>
    <x v="554"/>
    <x v="21"/>
    <d v="2024-01-22T00:00:00"/>
    <d v="1899-12-30T08:00:00"/>
    <n v="13"/>
    <n v="0"/>
  </r>
  <r>
    <d v="2024-01-22T08:00:00"/>
    <x v="2"/>
    <x v="7"/>
    <n v="2001"/>
    <x v="1"/>
    <n v="30"/>
    <n v="3850"/>
    <n v="115500"/>
    <x v="513"/>
    <n v="120"/>
    <x v="564"/>
    <x v="21"/>
    <d v="2024-01-22T00:00:00"/>
    <d v="1899-12-30T08:00:00"/>
    <n v="12"/>
    <n v="0"/>
  </r>
  <r>
    <d v="2024-01-22T08:00:00"/>
    <x v="2"/>
    <x v="10"/>
    <n v="2001"/>
    <x v="2"/>
    <n v="30"/>
    <n v="6050"/>
    <n v="181500"/>
    <x v="364"/>
    <n v="132"/>
    <x v="565"/>
    <x v="21"/>
    <d v="2024-01-22T00:00:00"/>
    <d v="1899-12-30T08:00:00"/>
    <n v="16"/>
    <n v="0"/>
  </r>
  <r>
    <d v="2024-01-22T08:00:00"/>
    <x v="2"/>
    <x v="8"/>
    <n v="2001"/>
    <x v="2"/>
    <n v="14"/>
    <n v="7000"/>
    <n v="98000"/>
    <x v="521"/>
    <n v="132"/>
    <x v="566"/>
    <x v="21"/>
    <d v="2024-01-22T00:00:00"/>
    <d v="1899-12-30T08:00:00"/>
    <n v="7"/>
    <n v="0"/>
  </r>
  <r>
    <d v="2024-01-22T08:00:00"/>
    <x v="2"/>
    <x v="2"/>
    <n v="2001"/>
    <x v="2"/>
    <n v="21"/>
    <n v="6585"/>
    <n v="138285"/>
    <x v="531"/>
    <n v="132"/>
    <x v="567"/>
    <x v="21"/>
    <d v="2024-01-22T00:00:00"/>
    <d v="1899-12-30T08:00:00"/>
    <n v="9"/>
    <n v="0"/>
  </r>
  <r>
    <d v="2024-01-22T08:00:00"/>
    <x v="1"/>
    <x v="7"/>
    <n v="1011"/>
    <x v="2"/>
    <n v="6"/>
    <n v="6750"/>
    <n v="40500"/>
    <x v="456"/>
    <n v="96"/>
    <x v="556"/>
    <x v="21"/>
    <d v="2024-01-22T00:00:00"/>
    <d v="1899-12-30T08:00:00"/>
    <n v="12"/>
    <n v="0"/>
  </r>
  <r>
    <d v="2024-01-22T08:00:00"/>
    <x v="2"/>
    <x v="7"/>
    <n v="2001"/>
    <x v="2"/>
    <n v="24"/>
    <n v="6800"/>
    <n v="163200"/>
    <x v="532"/>
    <n v="120"/>
    <x v="515"/>
    <x v="21"/>
    <d v="2024-01-22T00:00:00"/>
    <d v="1899-12-30T08:00:00"/>
    <n v="12"/>
    <n v="0"/>
  </r>
  <r>
    <d v="2024-01-22T08:00:00"/>
    <x v="2"/>
    <x v="1"/>
    <n v="2001"/>
    <x v="1"/>
    <n v="30"/>
    <n v="3000"/>
    <n v="90000"/>
    <x v="533"/>
    <n v="132"/>
    <x v="568"/>
    <x v="21"/>
    <d v="2024-01-22T00:00:00"/>
    <d v="1899-12-30T08:00:00"/>
    <n v="13"/>
    <n v="0"/>
  </r>
  <r>
    <d v="2024-01-22T08:00:00"/>
    <x v="1"/>
    <x v="1"/>
    <n v="1011"/>
    <x v="2"/>
    <n v="10"/>
    <n v="6000"/>
    <n v="60000"/>
    <x v="412"/>
    <n v="96"/>
    <x v="542"/>
    <x v="21"/>
    <d v="2024-01-22T00:00:00"/>
    <d v="1899-12-30T08:00:00"/>
    <n v="13"/>
    <n v="0"/>
  </r>
  <r>
    <d v="2024-01-22T08:00:00"/>
    <x v="1"/>
    <x v="10"/>
    <n v="1011"/>
    <x v="2"/>
    <n v="9"/>
    <n v="6050"/>
    <n v="54450"/>
    <x v="414"/>
    <n v="96"/>
    <x v="376"/>
    <x v="21"/>
    <d v="2024-01-22T00:00:00"/>
    <d v="1899-12-30T08:00:00"/>
    <n v="16"/>
    <n v="0"/>
  </r>
  <r>
    <d v="2024-01-22T08:00:00"/>
    <x v="2"/>
    <x v="5"/>
    <n v="2001"/>
    <x v="1"/>
    <n v="30"/>
    <n v="3889"/>
    <n v="116670"/>
    <x v="414"/>
    <n v="132"/>
    <x v="569"/>
    <x v="21"/>
    <d v="2024-01-22T00:00:00"/>
    <d v="1899-12-30T08:00:00"/>
    <n v="8"/>
    <n v="0"/>
  </r>
  <r>
    <d v="2024-01-22T08:00:00"/>
    <x v="2"/>
    <x v="8"/>
    <n v="2001"/>
    <x v="1"/>
    <n v="44"/>
    <n v="3900"/>
    <n v="171600"/>
    <x v="478"/>
    <n v="132"/>
    <x v="484"/>
    <x v="21"/>
    <d v="2024-01-22T00:00:00"/>
    <d v="1899-12-30T08:00:00"/>
    <n v="7"/>
    <n v="0"/>
  </r>
  <r>
    <d v="2024-01-22T08:00:00"/>
    <x v="2"/>
    <x v="3"/>
    <n v="2001"/>
    <x v="1"/>
    <n v="40"/>
    <n v="4000"/>
    <n v="160000"/>
    <x v="484"/>
    <n v="132"/>
    <x v="570"/>
    <x v="21"/>
    <d v="2024-01-22T00:00:00"/>
    <d v="1899-12-30T08:00:00"/>
    <n v="11"/>
    <n v="0"/>
  </r>
  <r>
    <d v="2024-01-22T08:00:00"/>
    <x v="2"/>
    <x v="10"/>
    <n v="2001"/>
    <x v="1"/>
    <n v="30"/>
    <n v="3750"/>
    <n v="112500"/>
    <x v="414"/>
    <n v="132"/>
    <x v="569"/>
    <x v="21"/>
    <d v="2024-01-22T00:00:00"/>
    <d v="1899-12-30T08:00:00"/>
    <n v="16"/>
    <n v="0"/>
  </r>
  <r>
    <d v="2024-01-22T08:00:00"/>
    <x v="2"/>
    <x v="6"/>
    <n v="2001"/>
    <x v="1"/>
    <n v="45"/>
    <n v="4100"/>
    <n v="184500"/>
    <x v="530"/>
    <n v="48"/>
    <x v="534"/>
    <x v="21"/>
    <d v="2024-01-22T00:00:00"/>
    <d v="1899-12-30T08:00:00"/>
    <n v="15"/>
    <n v="0"/>
  </r>
  <r>
    <d v="2024-01-22T08:00:00"/>
    <x v="1"/>
    <x v="9"/>
    <n v="1004"/>
    <x v="2"/>
    <n v="6"/>
    <n v="6650"/>
    <n v="39900"/>
    <x v="530"/>
    <n v="84"/>
    <x v="571"/>
    <x v="21"/>
    <d v="2024-01-22T00:00:00"/>
    <d v="1899-12-30T08:00:00"/>
    <n v="14"/>
    <n v="0"/>
  </r>
  <r>
    <d v="2024-01-22T08:00:00"/>
    <x v="2"/>
    <x v="9"/>
    <n v="2001"/>
    <x v="2"/>
    <n v="18"/>
    <n v="6650"/>
    <n v="119700"/>
    <x v="530"/>
    <n v="120"/>
    <x v="572"/>
    <x v="21"/>
    <d v="2024-01-22T00:00:00"/>
    <d v="1899-12-30T08:00:00"/>
    <n v="14"/>
    <n v="0"/>
  </r>
  <r>
    <d v="2024-01-22T08:00:00"/>
    <x v="1"/>
    <x v="3"/>
    <n v="1011"/>
    <x v="2"/>
    <n v="7"/>
    <n v="6400"/>
    <n v="44800"/>
    <x v="266"/>
    <n v="72"/>
    <x v="544"/>
    <x v="21"/>
    <d v="2024-01-22T00:00:00"/>
    <d v="1899-12-30T08:00:00"/>
    <n v="11"/>
    <n v="0"/>
  </r>
  <r>
    <d v="2024-01-22T08:00:00"/>
    <x v="2"/>
    <x v="6"/>
    <n v="2001"/>
    <x v="2"/>
    <n v="42"/>
    <n v="6400"/>
    <n v="268800"/>
    <x v="530"/>
    <n v="48"/>
    <x v="534"/>
    <x v="21"/>
    <d v="2024-01-22T00:00:00"/>
    <d v="1899-12-30T08:00:00"/>
    <n v="15"/>
    <n v="0"/>
  </r>
  <r>
    <d v="2024-01-22T08:00:00"/>
    <x v="2"/>
    <x v="3"/>
    <n v="2001"/>
    <x v="2"/>
    <n v="10"/>
    <n v="6800"/>
    <n v="68000"/>
    <x v="530"/>
    <n v="84"/>
    <x v="571"/>
    <x v="21"/>
    <d v="2024-01-22T00:00:00"/>
    <d v="1899-12-30T08:00:00"/>
    <n v="11"/>
    <n v="0"/>
  </r>
  <r>
    <d v="2024-01-22T08:00:00"/>
    <x v="2"/>
    <x v="4"/>
    <n v="2001"/>
    <x v="1"/>
    <n v="57"/>
    <n v="4300"/>
    <n v="245100"/>
    <x v="530"/>
    <n v="114"/>
    <x v="572"/>
    <x v="21"/>
    <d v="2024-01-22T00:00:00"/>
    <d v="1899-12-30T08:00:00"/>
    <n v="10"/>
    <n v="0"/>
  </r>
  <r>
    <d v="2024-01-22T08:00:00"/>
    <x v="2"/>
    <x v="2"/>
    <n v="2001"/>
    <x v="1"/>
    <n v="30"/>
    <n v="3799"/>
    <n v="113970"/>
    <x v="530"/>
    <n v="112"/>
    <x v="572"/>
    <x v="21"/>
    <d v="2024-01-22T00:00:00"/>
    <d v="1899-12-30T08:00:00"/>
    <n v="9"/>
    <n v="0"/>
  </r>
  <r>
    <d v="2024-01-22T08:00:00"/>
    <x v="1"/>
    <x v="6"/>
    <n v="1004"/>
    <x v="2"/>
    <n v="14"/>
    <n v="6400"/>
    <n v="89600"/>
    <x v="506"/>
    <n v="64"/>
    <x v="504"/>
    <x v="21"/>
    <d v="2024-01-22T00:00:00"/>
    <d v="1899-12-30T08:00:00"/>
    <n v="15"/>
    <n v="0"/>
  </r>
  <r>
    <d v="2024-01-22T08:00:00"/>
    <x v="2"/>
    <x v="9"/>
    <n v="2001"/>
    <x v="1"/>
    <n v="30"/>
    <n v="4000"/>
    <n v="120000"/>
    <x v="506"/>
    <n v="84"/>
    <x v="507"/>
    <x v="21"/>
    <d v="2024-01-22T00:00:00"/>
    <d v="1899-12-30T08:00:00"/>
    <n v="14"/>
    <n v="0"/>
  </r>
  <r>
    <d v="2024-01-22T08:00:00"/>
    <x v="1"/>
    <x v="6"/>
    <n v="1011"/>
    <x v="2"/>
    <n v="11"/>
    <n v="6400"/>
    <n v="70400"/>
    <x v="528"/>
    <n v="64"/>
    <x v="518"/>
    <x v="21"/>
    <d v="2024-01-22T00:00:00"/>
    <d v="1899-12-30T08:00:00"/>
    <n v="15"/>
    <n v="0"/>
  </r>
  <r>
    <d v="2024-01-22T11:00:00"/>
    <x v="0"/>
    <x v="14"/>
    <n v="10"/>
    <x v="0"/>
    <n v="5000"/>
    <n v="125"/>
    <n v="625000"/>
    <x v="315"/>
    <n v="72"/>
    <x v="547"/>
    <x v="21"/>
    <d v="2024-01-22T00:00:00"/>
    <d v="1899-12-30T11:00:00"/>
    <n v="3"/>
    <n v="0"/>
  </r>
  <r>
    <d v="2024-01-22T11:00:00"/>
    <x v="0"/>
    <x v="0"/>
    <n v="9"/>
    <x v="0"/>
    <n v="1800"/>
    <n v="110"/>
    <n v="198000"/>
    <x v="315"/>
    <n v="48"/>
    <x v="346"/>
    <x v="21"/>
    <d v="2024-01-22T00:00:00"/>
    <d v="1899-12-30T11:00:00"/>
    <n v="4"/>
    <n v="0"/>
  </r>
  <r>
    <d v="2024-01-22T12:00:00"/>
    <x v="1"/>
    <x v="8"/>
    <n v="1010"/>
    <x v="1"/>
    <n v="14"/>
    <n v="4150"/>
    <n v="58100"/>
    <x v="266"/>
    <n v="96"/>
    <x v="314"/>
    <x v="21"/>
    <d v="2024-01-22T00:00:00"/>
    <d v="1899-12-30T12:00:00"/>
    <n v="7"/>
    <n v="0"/>
  </r>
  <r>
    <d v="2024-01-22T12:00:00"/>
    <x v="1"/>
    <x v="6"/>
    <n v="1010"/>
    <x v="1"/>
    <n v="49"/>
    <n v="3450"/>
    <n v="169050"/>
    <x v="502"/>
    <n v="88"/>
    <x v="519"/>
    <x v="21"/>
    <d v="2024-01-22T00:00:00"/>
    <d v="1899-12-30T12:00:00"/>
    <n v="15"/>
    <n v="0"/>
  </r>
  <r>
    <d v="2024-01-22T12:00:00"/>
    <x v="0"/>
    <x v="13"/>
    <n v="15"/>
    <x v="0"/>
    <n v="3000"/>
    <n v="130"/>
    <n v="390000"/>
    <x v="315"/>
    <n v="24"/>
    <x v="468"/>
    <x v="21"/>
    <d v="2024-01-22T00:00:00"/>
    <d v="1899-12-30T12:00:00"/>
    <n v="2"/>
    <n v="0"/>
  </r>
  <r>
    <d v="2024-01-22T12:00:00"/>
    <x v="1"/>
    <x v="1"/>
    <n v="1010"/>
    <x v="1"/>
    <n v="30"/>
    <n v="3100"/>
    <n v="93000"/>
    <x v="453"/>
    <n v="96"/>
    <x v="549"/>
    <x v="21"/>
    <d v="2024-01-22T00:00:00"/>
    <d v="1899-12-30T12:00:00"/>
    <n v="13"/>
    <n v="0"/>
  </r>
  <r>
    <d v="2024-01-22T12:00:00"/>
    <x v="1"/>
    <x v="2"/>
    <n v="1010"/>
    <x v="1"/>
    <n v="15"/>
    <n v="3799"/>
    <n v="56985"/>
    <x v="315"/>
    <n v="76"/>
    <x v="547"/>
    <x v="21"/>
    <d v="2024-01-22T00:00:00"/>
    <d v="1899-12-30T12:00:00"/>
    <n v="9"/>
    <n v="0"/>
  </r>
  <r>
    <d v="2024-01-22T12:00:00"/>
    <x v="1"/>
    <x v="10"/>
    <n v="1010"/>
    <x v="1"/>
    <n v="30"/>
    <n v="3750"/>
    <n v="112500"/>
    <x v="412"/>
    <n v="96"/>
    <x v="376"/>
    <x v="21"/>
    <d v="2024-01-22T00:00:00"/>
    <d v="1899-12-30T12:00:00"/>
    <n v="16"/>
    <n v="0"/>
  </r>
  <r>
    <d v="2024-01-22T12:00:00"/>
    <x v="1"/>
    <x v="4"/>
    <n v="1010"/>
    <x v="1"/>
    <n v="19"/>
    <n v="4200"/>
    <n v="79800"/>
    <x v="493"/>
    <n v="84"/>
    <x v="525"/>
    <x v="21"/>
    <d v="2024-01-22T00:00:00"/>
    <d v="1899-12-30T12:00:00"/>
    <n v="10"/>
    <n v="0"/>
  </r>
  <r>
    <d v="2024-01-22T12:00:00"/>
    <x v="1"/>
    <x v="7"/>
    <n v="1010"/>
    <x v="1"/>
    <n v="25"/>
    <n v="3800"/>
    <n v="95000"/>
    <x v="524"/>
    <n v="96"/>
    <x v="557"/>
    <x v="21"/>
    <d v="2024-01-22T00:00:00"/>
    <d v="1899-12-30T12:00:00"/>
    <n v="12"/>
    <n v="0"/>
  </r>
  <r>
    <d v="2024-01-22T12:00:00"/>
    <x v="1"/>
    <x v="3"/>
    <n v="1010"/>
    <x v="1"/>
    <n v="22"/>
    <n v="4000"/>
    <n v="88000"/>
    <x v="534"/>
    <n v="96"/>
    <x v="557"/>
    <x v="21"/>
    <d v="2024-01-22T00:00:00"/>
    <d v="1899-12-30T12:00:00"/>
    <n v="11"/>
    <n v="0"/>
  </r>
  <r>
    <d v="2024-01-22T12:00:00"/>
    <x v="0"/>
    <x v="13"/>
    <n v="15"/>
    <x v="0"/>
    <n v="3000"/>
    <n v="130"/>
    <n v="390000"/>
    <x v="315"/>
    <n v="24"/>
    <x v="468"/>
    <x v="21"/>
    <d v="2024-01-22T00:00:00"/>
    <d v="1899-12-30T12:00:00"/>
    <n v="2"/>
    <n v="0"/>
  </r>
  <r>
    <d v="2024-01-22T12:00:00"/>
    <x v="1"/>
    <x v="9"/>
    <n v="1010"/>
    <x v="1"/>
    <n v="33"/>
    <n v="3650"/>
    <n v="120450"/>
    <x v="315"/>
    <n v="84"/>
    <x v="547"/>
    <x v="21"/>
    <d v="2024-01-22T00:00:00"/>
    <d v="1899-12-30T12:00:00"/>
    <n v="14"/>
    <n v="0"/>
  </r>
  <r>
    <d v="2024-01-22T16:00:00"/>
    <x v="0"/>
    <x v="13"/>
    <n v="7"/>
    <x v="3"/>
    <n v="500"/>
    <n v="1600"/>
    <n v="800000"/>
    <x v="534"/>
    <n v="24"/>
    <x v="459"/>
    <x v="21"/>
    <d v="2024-01-22T00:00:00"/>
    <d v="1899-12-30T16:00:00"/>
    <n v="2"/>
    <n v="0"/>
  </r>
  <r>
    <d v="2024-01-22T17:00:00"/>
    <x v="0"/>
    <x v="11"/>
    <n v="11"/>
    <x v="0"/>
    <n v="1950"/>
    <n v="130"/>
    <n v="253500"/>
    <x v="534"/>
    <n v="24"/>
    <x v="459"/>
    <x v="21"/>
    <d v="2024-01-22T00:00:00"/>
    <d v="1899-12-30T17:00:00"/>
    <n v="6"/>
    <n v="0"/>
  </r>
  <r>
    <d v="2024-01-22T17:00:00"/>
    <x v="1"/>
    <x v="3"/>
    <n v="1002"/>
    <x v="2"/>
    <n v="7"/>
    <n v="6400"/>
    <n v="44800"/>
    <x v="414"/>
    <n v="72"/>
    <x v="496"/>
    <x v="21"/>
    <d v="2024-01-22T00:00:00"/>
    <d v="1899-12-30T17:00:00"/>
    <n v="11"/>
    <n v="0"/>
  </r>
  <r>
    <d v="2024-01-22T17:00:00"/>
    <x v="1"/>
    <x v="5"/>
    <n v="1002"/>
    <x v="2"/>
    <n v="6"/>
    <n v="6911"/>
    <n v="41466"/>
    <x v="496"/>
    <n v="96"/>
    <x v="529"/>
    <x v="21"/>
    <d v="2024-01-22T00:00:00"/>
    <d v="1899-12-30T17:00:00"/>
    <n v="8"/>
    <n v="0"/>
  </r>
  <r>
    <d v="2024-01-22T17:00:00"/>
    <x v="1"/>
    <x v="1"/>
    <n v="1002"/>
    <x v="2"/>
    <n v="10"/>
    <n v="6000"/>
    <n v="60000"/>
    <x v="509"/>
    <n v="96"/>
    <x v="552"/>
    <x v="21"/>
    <d v="2024-01-22T00:00:00"/>
    <d v="1899-12-30T17:00:00"/>
    <n v="13"/>
    <n v="0"/>
  </r>
  <r>
    <d v="2024-01-22T17:00:00"/>
    <x v="1"/>
    <x v="2"/>
    <n v="1002"/>
    <x v="2"/>
    <n v="5"/>
    <n v="6699"/>
    <n v="33495"/>
    <x v="534"/>
    <n v="76"/>
    <x v="557"/>
    <x v="21"/>
    <d v="2024-01-22T00:00:00"/>
    <d v="1899-12-30T17:00:00"/>
    <n v="9"/>
    <n v="0"/>
  </r>
  <r>
    <d v="2024-01-22T17:00:00"/>
    <x v="1"/>
    <x v="10"/>
    <n v="1002"/>
    <x v="2"/>
    <n v="9"/>
    <n v="6050"/>
    <n v="54450"/>
    <x v="412"/>
    <n v="96"/>
    <x v="376"/>
    <x v="21"/>
    <d v="2024-01-22T00:00:00"/>
    <d v="1899-12-30T17:00:00"/>
    <n v="16"/>
    <n v="0"/>
  </r>
  <r>
    <d v="2024-01-22T17:00:00"/>
    <x v="1"/>
    <x v="6"/>
    <n v="1002"/>
    <x v="2"/>
    <n v="11"/>
    <n v="6400"/>
    <n v="70400"/>
    <x v="535"/>
    <n v="64"/>
    <x v="535"/>
    <x v="21"/>
    <d v="2024-01-22T00:00:00"/>
    <d v="1899-12-30T17:00:00"/>
    <n v="15"/>
    <n v="0"/>
  </r>
  <r>
    <d v="2024-01-22T17:00:00"/>
    <x v="1"/>
    <x v="7"/>
    <n v="1002"/>
    <x v="2"/>
    <n v="8"/>
    <n v="6750"/>
    <n v="54000"/>
    <x v="456"/>
    <n v="96"/>
    <x v="538"/>
    <x v="21"/>
    <d v="2024-01-22T00:00:00"/>
    <d v="1899-12-30T17:00:00"/>
    <n v="12"/>
    <n v="0"/>
  </r>
  <r>
    <d v="2024-01-22T19:00:00"/>
    <x v="0"/>
    <x v="0"/>
    <n v="8"/>
    <x v="3"/>
    <n v="500"/>
    <n v="1350"/>
    <n v="675000"/>
    <x v="535"/>
    <n v="24"/>
    <x v="449"/>
    <x v="21"/>
    <d v="2024-01-22T00:00:00"/>
    <d v="1899-12-30T19:00:00"/>
    <n v="4"/>
    <n v="0"/>
  </r>
  <r>
    <d v="2024-01-22T19:00:00"/>
    <x v="0"/>
    <x v="11"/>
    <n v="15"/>
    <x v="3"/>
    <n v="426"/>
    <n v="1460"/>
    <n v="621960"/>
    <x v="513"/>
    <n v="72"/>
    <x v="539"/>
    <x v="21"/>
    <d v="2024-01-22T00:00:00"/>
    <d v="1899-12-30T19:00:00"/>
    <n v="6"/>
    <n v="0"/>
  </r>
  <r>
    <d v="2024-01-22T20:00:00"/>
    <x v="2"/>
    <x v="8"/>
    <n v="2002"/>
    <x v="2"/>
    <n v="13"/>
    <n v="7200"/>
    <n v="93600"/>
    <x v="521"/>
    <n v="132"/>
    <x v="573"/>
    <x v="21"/>
    <d v="2024-01-22T00:00:00"/>
    <d v="1899-12-30T20:00:00"/>
    <n v="7"/>
    <n v="0"/>
  </r>
  <r>
    <d v="2024-01-22T20:00:00"/>
    <x v="2"/>
    <x v="10"/>
    <n v="2002"/>
    <x v="2"/>
    <n v="30"/>
    <n v="6050"/>
    <n v="181500"/>
    <x v="403"/>
    <n v="132"/>
    <x v="574"/>
    <x v="21"/>
    <d v="2024-01-22T00:00:00"/>
    <d v="1899-12-30T20:00:00"/>
    <n v="16"/>
    <n v="0"/>
  </r>
  <r>
    <d v="2024-01-22T20:00:00"/>
    <x v="2"/>
    <x v="4"/>
    <n v="2002"/>
    <x v="2"/>
    <n v="19"/>
    <n v="6400"/>
    <n v="121600"/>
    <x v="519"/>
    <n v="84"/>
    <x v="553"/>
    <x v="21"/>
    <d v="2024-01-22T00:00:00"/>
    <d v="1899-12-30T20:00:00"/>
    <n v="10"/>
    <n v="0"/>
  </r>
  <r>
    <d v="2024-01-22T20:00:00"/>
    <x v="2"/>
    <x v="1"/>
    <n v="2002"/>
    <x v="1"/>
    <n v="30"/>
    <n v="3000"/>
    <n v="90000"/>
    <x v="536"/>
    <n v="132"/>
    <x v="575"/>
    <x v="21"/>
    <d v="2024-01-22T00:00:00"/>
    <d v="1899-12-30T20:00:00"/>
    <n v="13"/>
    <n v="0"/>
  </r>
  <r>
    <d v="2024-01-22T20:00:00"/>
    <x v="2"/>
    <x v="2"/>
    <n v="2002"/>
    <x v="1"/>
    <n v="30"/>
    <n v="3799"/>
    <n v="113970"/>
    <x v="531"/>
    <n v="112"/>
    <x v="567"/>
    <x v="21"/>
    <d v="2024-01-22T00:00:00"/>
    <d v="1899-12-30T20:00:00"/>
    <n v="9"/>
    <n v="0"/>
  </r>
  <r>
    <d v="2024-01-22T20:00:00"/>
    <x v="2"/>
    <x v="9"/>
    <n v="2002"/>
    <x v="2"/>
    <n v="17"/>
    <n v="6650"/>
    <n v="113050"/>
    <x v="513"/>
    <n v="120"/>
    <x v="564"/>
    <x v="21"/>
    <d v="2024-01-22T00:00:00"/>
    <d v="1899-12-30T20:00:00"/>
    <n v="14"/>
    <n v="0"/>
  </r>
  <r>
    <d v="2024-01-22T20:00:00"/>
    <x v="2"/>
    <x v="7"/>
    <n v="2002"/>
    <x v="2"/>
    <n v="25"/>
    <n v="6800"/>
    <n v="170000"/>
    <x v="537"/>
    <n v="120"/>
    <x v="576"/>
    <x v="21"/>
    <d v="2024-01-22T00:00:00"/>
    <d v="1899-12-30T20:00:00"/>
    <n v="12"/>
    <n v="0"/>
  </r>
  <r>
    <d v="2024-01-22T20:00:00"/>
    <x v="2"/>
    <x v="7"/>
    <n v="2002"/>
    <x v="1"/>
    <n v="30"/>
    <n v="3850"/>
    <n v="115500"/>
    <x v="538"/>
    <n v="120"/>
    <x v="435"/>
    <x v="21"/>
    <d v="2024-01-22T00:00:00"/>
    <d v="1899-12-30T20:00:00"/>
    <n v="12"/>
    <n v="0"/>
  </r>
  <r>
    <d v="2024-01-22T20:00:00"/>
    <x v="2"/>
    <x v="2"/>
    <n v="2002"/>
    <x v="2"/>
    <n v="15"/>
    <n v="6699"/>
    <n v="100485"/>
    <x v="478"/>
    <n v="119"/>
    <x v="484"/>
    <x v="21"/>
    <d v="2024-01-22T00:00:00"/>
    <d v="1899-12-30T20:00:00"/>
    <n v="9"/>
    <n v="0"/>
  </r>
  <r>
    <d v="2024-01-22T20:00:00"/>
    <x v="2"/>
    <x v="1"/>
    <n v="2002"/>
    <x v="2"/>
    <n v="30"/>
    <n v="6000"/>
    <n v="180000"/>
    <x v="539"/>
    <n v="132"/>
    <x v="433"/>
    <x v="21"/>
    <d v="2024-01-22T00:00:00"/>
    <d v="1899-12-30T20:00:00"/>
    <n v="13"/>
    <n v="0"/>
  </r>
  <r>
    <d v="2024-01-22T20:00:00"/>
    <x v="2"/>
    <x v="3"/>
    <n v="2002"/>
    <x v="2"/>
    <n v="10"/>
    <n v="6800"/>
    <n v="68000"/>
    <x v="513"/>
    <n v="84"/>
    <x v="539"/>
    <x v="21"/>
    <d v="2024-01-22T00:00:00"/>
    <d v="1899-12-30T20:00:00"/>
    <n v="11"/>
    <n v="0"/>
  </r>
  <r>
    <d v="2024-01-22T20:00:00"/>
    <x v="2"/>
    <x v="3"/>
    <n v="2002"/>
    <x v="1"/>
    <n v="40"/>
    <n v="4000"/>
    <n v="160000"/>
    <x v="403"/>
    <n v="132"/>
    <x v="574"/>
    <x v="21"/>
    <d v="2024-01-22T00:00:00"/>
    <d v="1899-12-30T20:00:00"/>
    <n v="11"/>
    <n v="0"/>
  </r>
  <r>
    <d v="2024-01-22T20:00:00"/>
    <x v="2"/>
    <x v="5"/>
    <n v="2002"/>
    <x v="1"/>
    <n v="46"/>
    <n v="4155"/>
    <n v="191130"/>
    <x v="414"/>
    <n v="120"/>
    <x v="569"/>
    <x v="21"/>
    <d v="2024-01-22T00:00:00"/>
    <d v="1899-12-30T20:00:00"/>
    <n v="8"/>
    <n v="0"/>
  </r>
  <r>
    <d v="2024-01-22T20:00:00"/>
    <x v="2"/>
    <x v="6"/>
    <n v="2002"/>
    <x v="2"/>
    <n v="38"/>
    <n v="6400"/>
    <n v="243200"/>
    <x v="531"/>
    <n v="48"/>
    <x v="506"/>
    <x v="21"/>
    <d v="2024-01-22T00:00:00"/>
    <d v="1899-12-30T20:00:00"/>
    <n v="15"/>
    <n v="0"/>
  </r>
  <r>
    <d v="2024-01-22T20:00:00"/>
    <x v="2"/>
    <x v="10"/>
    <n v="2002"/>
    <x v="1"/>
    <n v="30"/>
    <n v="3750"/>
    <n v="112500"/>
    <x v="519"/>
    <n v="132"/>
    <x v="577"/>
    <x v="21"/>
    <d v="2024-01-22T00:00:00"/>
    <d v="1899-12-30T20:00:00"/>
    <n v="16"/>
    <n v="0"/>
  </r>
  <r>
    <d v="2024-01-22T20:00:00"/>
    <x v="2"/>
    <x v="6"/>
    <n v="2002"/>
    <x v="1"/>
    <n v="45"/>
    <n v="4100"/>
    <n v="184500"/>
    <x v="513"/>
    <n v="48"/>
    <x v="518"/>
    <x v="21"/>
    <d v="2024-01-22T00:00:00"/>
    <d v="1899-12-30T20:00:00"/>
    <n v="15"/>
    <n v="0"/>
  </r>
  <r>
    <d v="2024-01-22T20:00:00"/>
    <x v="2"/>
    <x v="9"/>
    <n v="2002"/>
    <x v="1"/>
    <n v="30"/>
    <n v="4000"/>
    <n v="120000"/>
    <x v="513"/>
    <n v="84"/>
    <x v="539"/>
    <x v="21"/>
    <d v="2024-01-22T00:00:00"/>
    <d v="1899-12-30T20:00:00"/>
    <n v="14"/>
    <n v="0"/>
  </r>
  <r>
    <d v="2024-01-22T20:00:00"/>
    <x v="2"/>
    <x v="8"/>
    <n v="2002"/>
    <x v="1"/>
    <n v="40"/>
    <n v="4100"/>
    <n v="164000"/>
    <x v="531"/>
    <n v="132"/>
    <x v="567"/>
    <x v="21"/>
    <d v="2024-01-22T00:00:00"/>
    <d v="1899-12-30T20:00:00"/>
    <n v="7"/>
    <n v="0"/>
  </r>
  <r>
    <d v="2024-01-22T21:00:00"/>
    <x v="1"/>
    <x v="1"/>
    <n v="1007"/>
    <x v="2"/>
    <n v="16"/>
    <n v="6000"/>
    <n v="96000"/>
    <x v="532"/>
    <n v="96"/>
    <x v="550"/>
    <x v="21"/>
    <d v="2024-01-22T00:00:00"/>
    <d v="1899-12-30T21:00:00"/>
    <n v="13"/>
    <n v="0"/>
  </r>
  <r>
    <d v="2024-01-22T21:00:00"/>
    <x v="1"/>
    <x v="7"/>
    <n v="1007"/>
    <x v="2"/>
    <n v="21"/>
    <n v="6750"/>
    <n v="141750"/>
    <x v="537"/>
    <n v="96"/>
    <x v="540"/>
    <x v="21"/>
    <d v="2024-01-22T00:00:00"/>
    <d v="1899-12-30T21:00:00"/>
    <n v="12"/>
    <n v="0"/>
  </r>
  <r>
    <d v="2024-01-22T21:00:00"/>
    <x v="1"/>
    <x v="4"/>
    <n v="1007"/>
    <x v="2"/>
    <n v="14"/>
    <n v="6300"/>
    <n v="88200"/>
    <x v="478"/>
    <n v="84"/>
    <x v="380"/>
    <x v="21"/>
    <d v="2024-01-22T00:00:00"/>
    <d v="1899-12-30T21:00:00"/>
    <n v="10"/>
    <n v="0"/>
  </r>
  <r>
    <d v="2024-01-22T21:00:00"/>
    <x v="1"/>
    <x v="3"/>
    <n v="1007"/>
    <x v="2"/>
    <n v="20"/>
    <n v="6400"/>
    <n v="128000"/>
    <x v="526"/>
    <n v="72"/>
    <x v="522"/>
    <x v="21"/>
    <d v="2024-01-22T00:00:00"/>
    <d v="1899-12-30T21:00:00"/>
    <n v="11"/>
    <n v="0"/>
  </r>
  <r>
    <d v="2024-01-22T21:00:00"/>
    <x v="1"/>
    <x v="2"/>
    <n v="1007"/>
    <x v="2"/>
    <n v="24"/>
    <n v="6499"/>
    <n v="155976"/>
    <x v="478"/>
    <n v="84"/>
    <x v="380"/>
    <x v="21"/>
    <d v="2024-01-22T00:00:00"/>
    <d v="1899-12-30T21:00:00"/>
    <n v="9"/>
    <n v="0"/>
  </r>
  <r>
    <d v="2024-01-22T21:00:00"/>
    <x v="1"/>
    <x v="9"/>
    <n v="1007"/>
    <x v="2"/>
    <n v="12"/>
    <n v="6650"/>
    <n v="79800"/>
    <x v="513"/>
    <n v="84"/>
    <x v="539"/>
    <x v="21"/>
    <d v="2024-01-22T00:00:00"/>
    <d v="1899-12-30T21:00:00"/>
    <n v="14"/>
    <n v="0"/>
  </r>
  <r>
    <d v="2024-01-22T21:00:00"/>
    <x v="1"/>
    <x v="10"/>
    <n v="1007"/>
    <x v="2"/>
    <n v="30"/>
    <n v="6050"/>
    <n v="181500"/>
    <x v="519"/>
    <n v="96"/>
    <x v="553"/>
    <x v="21"/>
    <d v="2024-01-22T00:00:00"/>
    <d v="1899-12-30T21:00:00"/>
    <n v="16"/>
    <n v="0"/>
  </r>
  <r>
    <d v="2024-01-22T21:00:00"/>
    <x v="1"/>
    <x v="6"/>
    <n v="1007"/>
    <x v="2"/>
    <n v="18"/>
    <n v="6400"/>
    <n v="115200"/>
    <x v="412"/>
    <n v="64"/>
    <x v="441"/>
    <x v="21"/>
    <d v="2024-01-22T00:00:00"/>
    <d v="1899-12-30T21:00:00"/>
    <n v="15"/>
    <n v="0"/>
  </r>
  <r>
    <d v="2024-01-22T22:00:00"/>
    <x v="1"/>
    <x v="5"/>
    <n v="1005"/>
    <x v="1"/>
    <n v="41"/>
    <n v="4100"/>
    <n v="168100"/>
    <x v="529"/>
    <n v="144"/>
    <x v="562"/>
    <x v="21"/>
    <d v="2024-01-22T00:00:00"/>
    <d v="1899-12-30T22:00:00"/>
    <n v="8"/>
    <n v="0"/>
  </r>
  <r>
    <d v="2024-01-22T22:00:00"/>
    <x v="1"/>
    <x v="8"/>
    <n v="1005"/>
    <x v="1"/>
    <n v="35"/>
    <n v="4150"/>
    <n v="145250"/>
    <x v="412"/>
    <n v="96"/>
    <x v="376"/>
    <x v="21"/>
    <d v="2024-01-22T00:00:00"/>
    <d v="1899-12-30T22:00:00"/>
    <n v="7"/>
    <n v="0"/>
  </r>
  <r>
    <d v="2024-01-22T22:00:00"/>
    <x v="1"/>
    <x v="1"/>
    <n v="1005"/>
    <x v="1"/>
    <n v="30"/>
    <n v="3100"/>
    <n v="93000"/>
    <x v="540"/>
    <n v="96"/>
    <x v="572"/>
    <x v="21"/>
    <d v="2024-01-22T00:00:00"/>
    <d v="1899-12-30T22:00:00"/>
    <n v="13"/>
    <n v="0"/>
  </r>
  <r>
    <d v="2024-01-22T22:00:00"/>
    <x v="1"/>
    <x v="2"/>
    <n v="1005"/>
    <x v="1"/>
    <n v="15"/>
    <n v="3799"/>
    <n v="56985"/>
    <x v="478"/>
    <n v="76"/>
    <x v="380"/>
    <x v="21"/>
    <d v="2024-01-22T00:00:00"/>
    <d v="1899-12-30T22:00:00"/>
    <n v="9"/>
    <n v="0"/>
  </r>
  <r>
    <d v="2024-01-22T22:00:00"/>
    <x v="1"/>
    <x v="6"/>
    <n v="1005"/>
    <x v="1"/>
    <n v="50"/>
    <n v="3450"/>
    <n v="172500"/>
    <x v="412"/>
    <n v="88"/>
    <x v="376"/>
    <x v="21"/>
    <d v="2024-01-22T00:00:00"/>
    <d v="1899-12-30T22:00:00"/>
    <n v="15"/>
    <n v="0"/>
  </r>
  <r>
    <d v="2024-01-22T22:00:00"/>
    <x v="1"/>
    <x v="3"/>
    <n v="1005"/>
    <x v="1"/>
    <n v="30"/>
    <n v="4000"/>
    <n v="120000"/>
    <x v="516"/>
    <n v="96"/>
    <x v="552"/>
    <x v="21"/>
    <d v="2024-01-22T00:00:00"/>
    <d v="1899-12-30T22:00:00"/>
    <n v="11"/>
    <n v="0"/>
  </r>
  <r>
    <d v="2024-01-22T22:00:00"/>
    <x v="1"/>
    <x v="7"/>
    <n v="1005"/>
    <x v="1"/>
    <n v="30"/>
    <n v="3800"/>
    <n v="114000"/>
    <x v="541"/>
    <n v="96"/>
    <x v="540"/>
    <x v="21"/>
    <d v="2024-01-22T00:00:00"/>
    <d v="1899-12-30T22:00:00"/>
    <n v="12"/>
    <n v="0"/>
  </r>
  <r>
    <d v="2024-01-22T22:00:00"/>
    <x v="1"/>
    <x v="9"/>
    <n v="1005"/>
    <x v="1"/>
    <n v="40"/>
    <n v="3650"/>
    <n v="146000"/>
    <x v="478"/>
    <n v="84"/>
    <x v="380"/>
    <x v="21"/>
    <d v="2024-01-22T00:00:00"/>
    <d v="1899-12-30T22:00:00"/>
    <n v="14"/>
    <n v="0"/>
  </r>
  <r>
    <d v="2024-01-22T22:00:00"/>
    <x v="1"/>
    <x v="10"/>
    <n v="1005"/>
    <x v="1"/>
    <n v="30"/>
    <n v="3750"/>
    <n v="112500"/>
    <x v="519"/>
    <n v="96"/>
    <x v="553"/>
    <x v="21"/>
    <d v="2024-01-22T00:00:00"/>
    <d v="1899-12-30T22:00:00"/>
    <n v="16"/>
    <n v="0"/>
  </r>
  <r>
    <d v="2024-01-23T00:00:00"/>
    <x v="0"/>
    <x v="12"/>
    <n v="16"/>
    <x v="3"/>
    <n v="350"/>
    <n v="1450"/>
    <n v="507500"/>
    <x v="542"/>
    <n v="48"/>
    <x v="527"/>
    <x v="22"/>
    <d v="2024-01-23T00:00:00"/>
    <d v="1899-12-30T00:00:00"/>
    <n v="5"/>
    <n v="0"/>
  </r>
  <r>
    <d v="2024-01-23T00:00:00"/>
    <x v="0"/>
    <x v="5"/>
    <n v="4"/>
    <x v="5"/>
    <n v="260"/>
    <n v="20"/>
    <n v="5200"/>
    <x v="402"/>
    <n v="72"/>
    <x v="578"/>
    <x v="22"/>
    <d v="2024-01-23T00:00:00"/>
    <d v="1899-12-30T00:00:00"/>
    <n v="8"/>
    <n v="0"/>
  </r>
  <r>
    <d v="2024-01-23T01:00:00"/>
    <x v="0"/>
    <x v="15"/>
    <n v="14"/>
    <x v="3"/>
    <n v="400"/>
    <n v="1350"/>
    <n v="540000"/>
    <x v="403"/>
    <n v="24"/>
    <x v="485"/>
    <x v="22"/>
    <d v="2024-01-23T00:00:00"/>
    <d v="1899-12-30T01:00:00"/>
    <n v="1"/>
    <n v="0"/>
  </r>
  <r>
    <d v="2024-01-23T02:00:00"/>
    <x v="1"/>
    <x v="3"/>
    <n v="1011"/>
    <x v="1"/>
    <n v="17"/>
    <n v="4000"/>
    <n v="68000"/>
    <x v="543"/>
    <n v="96"/>
    <x v="538"/>
    <x v="22"/>
    <d v="2024-01-23T00:00:00"/>
    <d v="1899-12-30T02:00:00"/>
    <n v="11"/>
    <n v="0"/>
  </r>
  <r>
    <d v="2024-01-23T02:00:00"/>
    <x v="1"/>
    <x v="2"/>
    <n v="1011"/>
    <x v="1"/>
    <n v="15"/>
    <n v="3799"/>
    <n v="56985"/>
    <x v="542"/>
    <n v="76"/>
    <x v="542"/>
    <x v="22"/>
    <d v="2024-01-23T00:00:00"/>
    <d v="1899-12-30T02:00:00"/>
    <n v="9"/>
    <n v="0"/>
  </r>
  <r>
    <d v="2024-01-23T02:00:00"/>
    <x v="0"/>
    <x v="15"/>
    <n v="13"/>
    <x v="3"/>
    <n v="300"/>
    <n v="1400"/>
    <n v="420000"/>
    <x v="526"/>
    <n v="72"/>
    <x v="554"/>
    <x v="22"/>
    <d v="2024-01-23T00:00:00"/>
    <d v="1899-12-30T02:00:00"/>
    <n v="1"/>
    <n v="0"/>
  </r>
  <r>
    <d v="2024-01-23T02:00:00"/>
    <x v="1"/>
    <x v="10"/>
    <n v="1011"/>
    <x v="1"/>
    <n v="25"/>
    <n v="3750"/>
    <n v="93750"/>
    <x v="519"/>
    <n v="96"/>
    <x v="553"/>
    <x v="22"/>
    <d v="2024-01-23T00:00:00"/>
    <d v="1899-12-30T02:00:00"/>
    <n v="16"/>
    <n v="0"/>
  </r>
  <r>
    <d v="2024-01-23T02:00:00"/>
    <x v="1"/>
    <x v="9"/>
    <n v="1011"/>
    <x v="1"/>
    <n v="29"/>
    <n v="3650"/>
    <n v="105850"/>
    <x v="542"/>
    <n v="84"/>
    <x v="541"/>
    <x v="22"/>
    <d v="2024-01-23T00:00:00"/>
    <d v="1899-12-30T02:00:00"/>
    <n v="14"/>
    <n v="0"/>
  </r>
  <r>
    <d v="2024-01-23T02:00:00"/>
    <x v="1"/>
    <x v="1"/>
    <n v="1011"/>
    <x v="1"/>
    <n v="30"/>
    <n v="3100"/>
    <n v="93000"/>
    <x v="527"/>
    <n v="96"/>
    <x v="579"/>
    <x v="22"/>
    <d v="2024-01-23T00:00:00"/>
    <d v="1899-12-30T02:00:00"/>
    <n v="13"/>
    <n v="0"/>
  </r>
  <r>
    <d v="2024-01-23T02:00:00"/>
    <x v="1"/>
    <x v="6"/>
    <n v="1011"/>
    <x v="1"/>
    <n v="33"/>
    <n v="3450"/>
    <n v="113850"/>
    <x v="544"/>
    <n v="88"/>
    <x v="541"/>
    <x v="22"/>
    <d v="2024-01-23T00:00:00"/>
    <d v="1899-12-30T02:00:00"/>
    <n v="15"/>
    <n v="0"/>
  </r>
  <r>
    <d v="2024-01-23T02:00:00"/>
    <x v="1"/>
    <x v="7"/>
    <n v="1011"/>
    <x v="1"/>
    <n v="19"/>
    <n v="3800"/>
    <n v="72200"/>
    <x v="541"/>
    <n v="96"/>
    <x v="540"/>
    <x v="22"/>
    <d v="2024-01-23T00:00:00"/>
    <d v="1899-12-30T02:00:00"/>
    <n v="12"/>
    <n v="0"/>
  </r>
  <r>
    <d v="2024-01-23T02:00:00"/>
    <x v="1"/>
    <x v="8"/>
    <n v="1011"/>
    <x v="1"/>
    <n v="13"/>
    <n v="4150"/>
    <n v="53950"/>
    <x v="526"/>
    <n v="96"/>
    <x v="554"/>
    <x v="22"/>
    <d v="2024-01-23T00:00:00"/>
    <d v="1899-12-30T02:00:00"/>
    <n v="7"/>
    <n v="0"/>
  </r>
  <r>
    <d v="2024-01-23T04:00:00"/>
    <x v="0"/>
    <x v="14"/>
    <n v="12"/>
    <x v="0"/>
    <n v="3000"/>
    <n v="120"/>
    <n v="360000"/>
    <x v="490"/>
    <n v="72"/>
    <x v="580"/>
    <x v="22"/>
    <d v="2024-01-23T00:00:00"/>
    <d v="1899-12-30T04:00:00"/>
    <n v="3"/>
    <n v="0"/>
  </r>
  <r>
    <d v="2024-01-23T05:00:00"/>
    <x v="0"/>
    <x v="13"/>
    <n v="15"/>
    <x v="0"/>
    <n v="2661"/>
    <n v="125"/>
    <n v="332625"/>
    <x v="544"/>
    <n v="72"/>
    <x v="541"/>
    <x v="22"/>
    <d v="2024-01-23T00:00:00"/>
    <d v="1899-12-30T05:00:00"/>
    <n v="2"/>
    <n v="0"/>
  </r>
  <r>
    <d v="2024-01-23T05:00:00"/>
    <x v="0"/>
    <x v="14"/>
    <n v="12"/>
    <x v="3"/>
    <n v="720"/>
    <n v="1300"/>
    <n v="936000"/>
    <x v="490"/>
    <n v="72"/>
    <x v="580"/>
    <x v="22"/>
    <d v="2024-01-23T00:00:00"/>
    <d v="1899-12-30T05:00:00"/>
    <n v="3"/>
    <n v="0"/>
  </r>
  <r>
    <d v="2024-01-23T06:00:00"/>
    <x v="0"/>
    <x v="1"/>
    <n v="4"/>
    <x v="5"/>
    <n v="266"/>
    <n v="5"/>
    <n v="1330"/>
    <x v="402"/>
    <n v="72"/>
    <x v="578"/>
    <x v="22"/>
    <d v="2024-01-23T00:00:00"/>
    <d v="1899-12-30T06:00:00"/>
    <n v="13"/>
    <n v="0"/>
  </r>
  <r>
    <d v="2024-01-23T07:00:00"/>
    <x v="1"/>
    <x v="3"/>
    <n v="1003"/>
    <x v="2"/>
    <n v="4"/>
    <n v="6400"/>
    <n v="25600"/>
    <x v="508"/>
    <n v="72"/>
    <x v="519"/>
    <x v="22"/>
    <d v="2024-01-23T00:00:00"/>
    <d v="1899-12-30T07:00:00"/>
    <n v="11"/>
    <n v="0"/>
  </r>
  <r>
    <d v="2024-01-23T07:00:00"/>
    <x v="1"/>
    <x v="1"/>
    <n v="1003"/>
    <x v="2"/>
    <n v="6"/>
    <n v="6000"/>
    <n v="36000"/>
    <x v="364"/>
    <n v="96"/>
    <x v="565"/>
    <x v="22"/>
    <d v="2024-01-23T00:00:00"/>
    <d v="1899-12-30T07:00:00"/>
    <n v="13"/>
    <n v="0"/>
  </r>
  <r>
    <d v="2024-01-23T07:00:00"/>
    <x v="1"/>
    <x v="5"/>
    <n v="1003"/>
    <x v="2"/>
    <n v="30"/>
    <n v="6310"/>
    <n v="189300"/>
    <x v="545"/>
    <n v="120"/>
    <x v="581"/>
    <x v="22"/>
    <d v="2024-01-23T00:00:00"/>
    <d v="1899-12-30T07:00:00"/>
    <n v="8"/>
    <n v="0"/>
  </r>
  <r>
    <d v="2024-01-23T07:00:00"/>
    <x v="1"/>
    <x v="7"/>
    <n v="1003"/>
    <x v="2"/>
    <n v="4"/>
    <n v="6750"/>
    <n v="27000"/>
    <x v="456"/>
    <n v="96"/>
    <x v="538"/>
    <x v="22"/>
    <d v="2024-01-23T00:00:00"/>
    <d v="1899-12-30T07:00:00"/>
    <n v="12"/>
    <n v="0"/>
  </r>
  <r>
    <d v="2024-01-23T07:00:00"/>
    <x v="1"/>
    <x v="6"/>
    <n v="1003"/>
    <x v="2"/>
    <n v="7"/>
    <n v="6400"/>
    <n v="44800"/>
    <x v="516"/>
    <n v="64"/>
    <x v="546"/>
    <x v="22"/>
    <d v="2024-01-23T00:00:00"/>
    <d v="1899-12-30T07:00:00"/>
    <n v="15"/>
    <n v="0"/>
  </r>
  <r>
    <d v="2024-01-23T07:00:00"/>
    <x v="1"/>
    <x v="10"/>
    <n v="1003"/>
    <x v="2"/>
    <n v="5"/>
    <n v="6050"/>
    <n v="30250"/>
    <x v="521"/>
    <n v="96"/>
    <x v="572"/>
    <x v="22"/>
    <d v="2024-01-23T00:00:00"/>
    <d v="1899-12-30T07:00:00"/>
    <n v="16"/>
    <n v="0"/>
  </r>
  <r>
    <d v="2024-01-23T08:00:00"/>
    <x v="0"/>
    <x v="15"/>
    <n v="10"/>
    <x v="0"/>
    <n v="1500"/>
    <n v="140"/>
    <n v="210000"/>
    <x v="519"/>
    <n v="24"/>
    <x v="506"/>
    <x v="22"/>
    <d v="2024-01-23T00:00:00"/>
    <d v="1899-12-30T08:00:00"/>
    <n v="1"/>
    <n v="0"/>
  </r>
  <r>
    <d v="2024-01-23T08:00:00"/>
    <x v="0"/>
    <x v="0"/>
    <n v="9"/>
    <x v="0"/>
    <n v="2500"/>
    <n v="110"/>
    <n v="275000"/>
    <x v="516"/>
    <n v="24"/>
    <x v="518"/>
    <x v="22"/>
    <d v="2024-01-23T00:00:00"/>
    <d v="1899-12-30T08:00:00"/>
    <n v="4"/>
    <n v="0"/>
  </r>
  <r>
    <d v="2024-01-23T09:00:00"/>
    <x v="1"/>
    <x v="7"/>
    <n v="1003"/>
    <x v="1"/>
    <n v="30"/>
    <n v="3800"/>
    <n v="114000"/>
    <x v="541"/>
    <n v="96"/>
    <x v="540"/>
    <x v="22"/>
    <d v="2024-01-23T00:00:00"/>
    <d v="1899-12-30T09:00:00"/>
    <n v="12"/>
    <n v="0"/>
  </r>
  <r>
    <d v="2024-01-23T09:00:00"/>
    <x v="0"/>
    <x v="14"/>
    <n v="13"/>
    <x v="3"/>
    <n v="150"/>
    <n v="1300"/>
    <n v="195000"/>
    <x v="516"/>
    <n v="72"/>
    <x v="552"/>
    <x v="22"/>
    <d v="2024-01-23T00:00:00"/>
    <d v="1899-12-30T09:00:00"/>
    <n v="3"/>
    <n v="0"/>
  </r>
  <r>
    <d v="2024-01-23T09:00:00"/>
    <x v="1"/>
    <x v="2"/>
    <n v="1003"/>
    <x v="1"/>
    <n v="15"/>
    <n v="3799"/>
    <n v="56985"/>
    <x v="516"/>
    <n v="76"/>
    <x v="552"/>
    <x v="22"/>
    <d v="2024-01-23T00:00:00"/>
    <d v="1899-12-30T09:00:00"/>
    <n v="9"/>
    <n v="0"/>
  </r>
  <r>
    <d v="2024-01-23T09:00:00"/>
    <x v="1"/>
    <x v="10"/>
    <n v="1003"/>
    <x v="1"/>
    <n v="30"/>
    <n v="3750"/>
    <n v="112500"/>
    <x v="363"/>
    <n v="96"/>
    <x v="377"/>
    <x v="22"/>
    <d v="2024-01-23T00:00:00"/>
    <d v="1899-12-30T09:00:00"/>
    <n v="16"/>
    <n v="0"/>
  </r>
  <r>
    <d v="2024-01-23T09:00:00"/>
    <x v="1"/>
    <x v="3"/>
    <n v="1003"/>
    <x v="1"/>
    <n v="30"/>
    <n v="4000"/>
    <n v="120000"/>
    <x v="508"/>
    <n v="96"/>
    <x v="379"/>
    <x v="22"/>
    <d v="2024-01-23T00:00:00"/>
    <d v="1899-12-30T09:00:00"/>
    <n v="11"/>
    <n v="0"/>
  </r>
  <r>
    <d v="2024-01-23T09:00:00"/>
    <x v="1"/>
    <x v="9"/>
    <n v="1003"/>
    <x v="1"/>
    <n v="36"/>
    <n v="3650"/>
    <n v="131400"/>
    <x v="516"/>
    <n v="84"/>
    <x v="552"/>
    <x v="22"/>
    <d v="2024-01-23T00:00:00"/>
    <d v="1899-12-30T09:00:00"/>
    <n v="14"/>
    <n v="0"/>
  </r>
  <r>
    <d v="2024-01-23T09:00:00"/>
    <x v="1"/>
    <x v="6"/>
    <n v="1003"/>
    <x v="1"/>
    <n v="50"/>
    <n v="3450"/>
    <n v="172500"/>
    <x v="494"/>
    <n v="88"/>
    <x v="543"/>
    <x v="22"/>
    <d v="2024-01-23T00:00:00"/>
    <d v="1899-12-30T09:00:00"/>
    <n v="15"/>
    <n v="0"/>
  </r>
  <r>
    <d v="2024-01-23T09:00:00"/>
    <x v="1"/>
    <x v="1"/>
    <n v="1003"/>
    <x v="1"/>
    <n v="30"/>
    <n v="3100"/>
    <n v="93000"/>
    <x v="546"/>
    <n v="96"/>
    <x v="375"/>
    <x v="22"/>
    <d v="2024-01-23T00:00:00"/>
    <d v="1899-12-30T09:00:00"/>
    <n v="13"/>
    <n v="0"/>
  </r>
  <r>
    <d v="2024-01-23T10:00:00"/>
    <x v="0"/>
    <x v="3"/>
    <n v="4"/>
    <x v="5"/>
    <n v="201"/>
    <n v="20"/>
    <n v="4020"/>
    <x v="402"/>
    <n v="72"/>
    <x v="578"/>
    <x v="22"/>
    <d v="2024-01-23T00:00:00"/>
    <d v="1899-12-30T10:00:00"/>
    <n v="11"/>
    <n v="0"/>
  </r>
  <r>
    <d v="2024-01-23T11:00:00"/>
    <x v="0"/>
    <x v="14"/>
    <n v="7"/>
    <x v="3"/>
    <n v="200"/>
    <n v="1350"/>
    <n v="270000"/>
    <x v="495"/>
    <n v="72"/>
    <x v="550"/>
    <x v="22"/>
    <d v="2024-01-23T00:00:00"/>
    <d v="1899-12-30T11:00:00"/>
    <n v="3"/>
    <n v="0"/>
  </r>
  <r>
    <d v="2024-01-23T11:00:00"/>
    <x v="0"/>
    <x v="0"/>
    <n v="11"/>
    <x v="3"/>
    <n v="500"/>
    <n v="1350"/>
    <n v="675000"/>
    <x v="494"/>
    <n v="72"/>
    <x v="543"/>
    <x v="22"/>
    <d v="2024-01-23T00:00:00"/>
    <d v="1899-12-30T11:00:00"/>
    <n v="4"/>
    <n v="0"/>
  </r>
  <r>
    <d v="2024-01-23T12:00:00"/>
    <x v="0"/>
    <x v="14"/>
    <n v="13"/>
    <x v="0"/>
    <n v="2000"/>
    <n v="125"/>
    <n v="250000"/>
    <x v="495"/>
    <n v="72"/>
    <x v="550"/>
    <x v="22"/>
    <d v="2024-01-23T00:00:00"/>
    <d v="1899-12-30T12:00:00"/>
    <n v="3"/>
    <n v="0"/>
  </r>
  <r>
    <d v="2024-01-23T12:00:00"/>
    <x v="0"/>
    <x v="2"/>
    <n v="4"/>
    <x v="5"/>
    <n v="119"/>
    <n v="20"/>
    <n v="2380"/>
    <x v="521"/>
    <n v="72"/>
    <x v="572"/>
    <x v="22"/>
    <d v="2024-01-23T00:00:00"/>
    <d v="1899-12-30T12:00:00"/>
    <n v="9"/>
    <n v="0"/>
  </r>
  <r>
    <d v="2024-01-23T12:00:00"/>
    <x v="1"/>
    <x v="7"/>
    <n v="1005"/>
    <x v="2"/>
    <n v="15"/>
    <n v="6750"/>
    <n v="101250"/>
    <x v="547"/>
    <n v="96"/>
    <x v="582"/>
    <x v="22"/>
    <d v="2024-01-23T00:00:00"/>
    <d v="1899-12-30T12:00:00"/>
    <n v="12"/>
    <n v="0"/>
  </r>
  <r>
    <d v="2024-01-23T12:00:00"/>
    <x v="1"/>
    <x v="3"/>
    <n v="1005"/>
    <x v="2"/>
    <n v="17"/>
    <n v="6400"/>
    <n v="108800"/>
    <x v="545"/>
    <n v="72"/>
    <x v="380"/>
    <x v="22"/>
    <d v="2024-01-23T00:00:00"/>
    <d v="1899-12-30T12:00:00"/>
    <n v="11"/>
    <n v="0"/>
  </r>
  <r>
    <d v="2024-01-23T12:00:00"/>
    <x v="0"/>
    <x v="13"/>
    <n v="7"/>
    <x v="3"/>
    <n v="500"/>
    <n v="1600"/>
    <n v="800000"/>
    <x v="496"/>
    <n v="48"/>
    <x v="314"/>
    <x v="22"/>
    <d v="2024-01-23T00:00:00"/>
    <d v="1899-12-30T12:00:00"/>
    <n v="2"/>
    <n v="0"/>
  </r>
  <r>
    <d v="2024-01-23T12:00:00"/>
    <x v="1"/>
    <x v="6"/>
    <n v="1005"/>
    <x v="2"/>
    <n v="26"/>
    <n v="6400"/>
    <n v="166400"/>
    <x v="495"/>
    <n v="64"/>
    <x v="525"/>
    <x v="22"/>
    <d v="2024-01-23T00:00:00"/>
    <d v="1899-12-30T12:00:00"/>
    <n v="15"/>
    <n v="0"/>
  </r>
  <r>
    <d v="2024-01-23T12:00:00"/>
    <x v="1"/>
    <x v="10"/>
    <n v="1005"/>
    <x v="2"/>
    <n v="20"/>
    <n v="6050"/>
    <n v="121000"/>
    <x v="363"/>
    <n v="96"/>
    <x v="377"/>
    <x v="22"/>
    <d v="2024-01-23T00:00:00"/>
    <d v="1899-12-30T12:00:00"/>
    <n v="16"/>
    <n v="0"/>
  </r>
  <r>
    <d v="2024-01-23T12:00:00"/>
    <x v="1"/>
    <x v="4"/>
    <n v="1005"/>
    <x v="2"/>
    <n v="11"/>
    <n v="6300"/>
    <n v="69300"/>
    <x v="518"/>
    <n v="84"/>
    <x v="551"/>
    <x v="22"/>
    <d v="2024-01-23T00:00:00"/>
    <d v="1899-12-30T12:00:00"/>
    <n v="10"/>
    <n v="0"/>
  </r>
  <r>
    <d v="2024-01-23T12:00:00"/>
    <x v="1"/>
    <x v="9"/>
    <n v="1005"/>
    <x v="2"/>
    <n v="9"/>
    <n v="6650"/>
    <n v="59850"/>
    <x v="518"/>
    <n v="84"/>
    <x v="551"/>
    <x v="22"/>
    <d v="2024-01-23T00:00:00"/>
    <d v="1899-12-30T12:00:00"/>
    <n v="14"/>
    <n v="0"/>
  </r>
  <r>
    <d v="2024-01-23T12:00:00"/>
    <x v="1"/>
    <x v="1"/>
    <n v="1005"/>
    <x v="2"/>
    <n v="23"/>
    <n v="6000"/>
    <n v="138000"/>
    <x v="509"/>
    <n v="96"/>
    <x v="564"/>
    <x v="22"/>
    <d v="2024-01-23T00:00:00"/>
    <d v="1899-12-30T12:00:00"/>
    <n v="13"/>
    <n v="0"/>
  </r>
  <r>
    <d v="2024-01-23T13:00:00"/>
    <x v="0"/>
    <x v="9"/>
    <n v="5"/>
    <x v="5"/>
    <n v="1325"/>
    <n v="10"/>
    <n v="13250"/>
    <x v="495"/>
    <n v="72"/>
    <x v="550"/>
    <x v="22"/>
    <d v="2024-01-23T00:00:00"/>
    <d v="1899-12-30T13:00:00"/>
    <n v="14"/>
    <n v="0"/>
  </r>
  <r>
    <d v="2024-01-23T15:00:00"/>
    <x v="0"/>
    <x v="0"/>
    <n v="13"/>
    <x v="0"/>
    <n v="2000"/>
    <n v="110"/>
    <n v="220000"/>
    <x v="541"/>
    <n v="48"/>
    <x v="558"/>
    <x v="22"/>
    <d v="2024-01-23T00:00:00"/>
    <d v="1899-12-30T15:00:00"/>
    <n v="4"/>
    <n v="0"/>
  </r>
  <r>
    <d v="2024-01-23T15:00:00"/>
    <x v="0"/>
    <x v="13"/>
    <n v="7"/>
    <x v="3"/>
    <n v="100"/>
    <n v="1600"/>
    <n v="160000"/>
    <x v="527"/>
    <n v="24"/>
    <x v="524"/>
    <x v="22"/>
    <d v="2024-01-23T00:00:00"/>
    <d v="1899-12-30T15:00:00"/>
    <n v="2"/>
    <n v="0"/>
  </r>
  <r>
    <d v="2024-01-23T16:00:00"/>
    <x v="2"/>
    <x v="3"/>
    <n v="2003"/>
    <x v="2"/>
    <n v="10"/>
    <n v="6800"/>
    <n v="68000"/>
    <x v="524"/>
    <n v="84"/>
    <x v="582"/>
    <x v="22"/>
    <d v="2024-01-23T00:00:00"/>
    <d v="1899-12-30T16:00:00"/>
    <n v="11"/>
    <n v="0"/>
  </r>
  <r>
    <d v="2024-01-23T16:00:00"/>
    <x v="2"/>
    <x v="4"/>
    <n v="2003"/>
    <x v="2"/>
    <n v="30"/>
    <n v="6400"/>
    <n v="192000"/>
    <x v="541"/>
    <n v="84"/>
    <x v="572"/>
    <x v="22"/>
    <d v="2024-01-23T00:00:00"/>
    <d v="1899-12-30T16:00:00"/>
    <n v="10"/>
    <n v="0"/>
  </r>
  <r>
    <d v="2024-01-23T16:00:00"/>
    <x v="2"/>
    <x v="6"/>
    <n v="2003"/>
    <x v="2"/>
    <n v="50"/>
    <n v="6400"/>
    <n v="320000"/>
    <x v="541"/>
    <n v="48"/>
    <x v="559"/>
    <x v="22"/>
    <d v="2024-01-23T00:00:00"/>
    <d v="1899-12-30T16:00:00"/>
    <n v="15"/>
    <n v="0"/>
  </r>
  <r>
    <d v="2024-01-23T16:00:00"/>
    <x v="2"/>
    <x v="10"/>
    <n v="2003"/>
    <x v="2"/>
    <n v="30"/>
    <n v="6050"/>
    <n v="181500"/>
    <x v="363"/>
    <n v="132"/>
    <x v="583"/>
    <x v="22"/>
    <d v="2024-01-23T00:00:00"/>
    <d v="1899-12-30T16:00:00"/>
    <n v="16"/>
    <n v="0"/>
  </r>
  <r>
    <d v="2024-01-23T16:00:00"/>
    <x v="2"/>
    <x v="7"/>
    <n v="2003"/>
    <x v="1"/>
    <n v="30"/>
    <n v="3850"/>
    <n v="115500"/>
    <x v="541"/>
    <n v="120"/>
    <x v="584"/>
    <x v="22"/>
    <d v="2024-01-23T00:00:00"/>
    <d v="1899-12-30T16:00:00"/>
    <n v="12"/>
    <n v="0"/>
  </r>
  <r>
    <d v="2024-01-23T16:00:00"/>
    <x v="2"/>
    <x v="1"/>
    <n v="2003"/>
    <x v="2"/>
    <n v="30"/>
    <n v="6000"/>
    <n v="180000"/>
    <x v="548"/>
    <n v="132"/>
    <x v="585"/>
    <x v="22"/>
    <d v="2024-01-23T00:00:00"/>
    <d v="1899-12-30T16:00:00"/>
    <n v="13"/>
    <n v="0"/>
  </r>
  <r>
    <d v="2024-01-23T16:00:00"/>
    <x v="2"/>
    <x v="10"/>
    <n v="2003"/>
    <x v="1"/>
    <n v="30"/>
    <n v="3750"/>
    <n v="112500"/>
    <x v="363"/>
    <n v="132"/>
    <x v="583"/>
    <x v="22"/>
    <d v="2024-01-23T00:00:00"/>
    <d v="1899-12-30T16:00:00"/>
    <n v="16"/>
    <n v="0"/>
  </r>
  <r>
    <d v="2024-01-23T16:00:00"/>
    <x v="2"/>
    <x v="3"/>
    <n v="2003"/>
    <x v="1"/>
    <n v="20"/>
    <n v="4300"/>
    <n v="86000"/>
    <x v="549"/>
    <n v="96"/>
    <x v="299"/>
    <x v="22"/>
    <d v="2024-01-23T00:00:00"/>
    <d v="1899-12-30T16:00:00"/>
    <n v="11"/>
    <n v="0"/>
  </r>
  <r>
    <d v="2024-01-23T16:00:00"/>
    <x v="1"/>
    <x v="3"/>
    <n v="1009"/>
    <x v="2"/>
    <n v="8"/>
    <n v="6400"/>
    <n v="51200"/>
    <x v="359"/>
    <n v="72"/>
    <x v="376"/>
    <x v="22"/>
    <d v="2024-01-23T00:00:00"/>
    <d v="1899-12-30T16:00:00"/>
    <n v="11"/>
    <n v="0"/>
  </r>
  <r>
    <d v="2024-01-23T16:00:00"/>
    <x v="2"/>
    <x v="2"/>
    <n v="2003"/>
    <x v="2"/>
    <n v="15"/>
    <n v="6699"/>
    <n v="100485"/>
    <x v="540"/>
    <n v="119"/>
    <x v="586"/>
    <x v="22"/>
    <d v="2024-01-23T00:00:00"/>
    <d v="1899-12-30T16:00:00"/>
    <n v="9"/>
    <n v="0"/>
  </r>
  <r>
    <d v="2024-01-23T16:00:00"/>
    <x v="1"/>
    <x v="6"/>
    <n v="1009"/>
    <x v="2"/>
    <n v="12"/>
    <n v="6400"/>
    <n v="76800"/>
    <x v="527"/>
    <n v="64"/>
    <x v="520"/>
    <x v="22"/>
    <d v="2024-01-23T00:00:00"/>
    <d v="1899-12-30T16:00:00"/>
    <n v="15"/>
    <n v="0"/>
  </r>
  <r>
    <d v="2024-01-23T16:00:00"/>
    <x v="2"/>
    <x v="9"/>
    <n v="2003"/>
    <x v="2"/>
    <n v="30"/>
    <n v="6650"/>
    <n v="199500"/>
    <x v="541"/>
    <n v="120"/>
    <x v="584"/>
    <x v="22"/>
    <d v="2024-01-23T00:00:00"/>
    <d v="1899-12-30T16:00:00"/>
    <n v="14"/>
    <n v="0"/>
  </r>
  <r>
    <d v="2024-01-23T16:00:00"/>
    <x v="2"/>
    <x v="8"/>
    <n v="2003"/>
    <x v="1"/>
    <n v="75"/>
    <n v="4300"/>
    <n v="322500"/>
    <x v="550"/>
    <n v="132"/>
    <x v="583"/>
    <x v="22"/>
    <d v="2024-01-23T00:00:00"/>
    <d v="1899-12-30T16:00:00"/>
    <n v="7"/>
    <n v="0"/>
  </r>
  <r>
    <d v="2024-01-23T16:00:00"/>
    <x v="2"/>
    <x v="8"/>
    <n v="2003"/>
    <x v="2"/>
    <n v="25"/>
    <n v="7200"/>
    <n v="180000"/>
    <x v="363"/>
    <n v="132"/>
    <x v="583"/>
    <x v="22"/>
    <d v="2024-01-23T00:00:00"/>
    <d v="1899-12-30T16:00:00"/>
    <n v="7"/>
    <n v="0"/>
  </r>
  <r>
    <d v="2024-01-23T16:00:00"/>
    <x v="2"/>
    <x v="5"/>
    <n v="2003"/>
    <x v="1"/>
    <n v="50"/>
    <n v="4155"/>
    <n v="207750"/>
    <x v="364"/>
    <n v="120"/>
    <x v="587"/>
    <x v="22"/>
    <d v="2024-01-23T00:00:00"/>
    <d v="1899-12-30T16:00:00"/>
    <n v="8"/>
    <n v="0"/>
  </r>
  <r>
    <d v="2024-01-23T16:00:00"/>
    <x v="1"/>
    <x v="7"/>
    <n v="1009"/>
    <x v="2"/>
    <n v="7"/>
    <n v="6750"/>
    <n v="47250"/>
    <x v="550"/>
    <n v="96"/>
    <x v="484"/>
    <x v="22"/>
    <d v="2024-01-23T00:00:00"/>
    <d v="1899-12-30T16:00:00"/>
    <n v="12"/>
    <n v="0"/>
  </r>
  <r>
    <d v="2024-01-23T16:00:00"/>
    <x v="2"/>
    <x v="1"/>
    <n v="2003"/>
    <x v="1"/>
    <n v="30"/>
    <n v="3000"/>
    <n v="90000"/>
    <x v="551"/>
    <n v="132"/>
    <x v="588"/>
    <x v="22"/>
    <d v="2024-01-23T00:00:00"/>
    <d v="1899-12-30T16:00:00"/>
    <n v="13"/>
    <n v="0"/>
  </r>
  <r>
    <d v="2024-01-23T16:00:00"/>
    <x v="2"/>
    <x v="6"/>
    <n v="2003"/>
    <x v="1"/>
    <n v="45"/>
    <n v="4100"/>
    <n v="184500"/>
    <x v="541"/>
    <n v="48"/>
    <x v="559"/>
    <x v="22"/>
    <d v="2024-01-23T00:00:00"/>
    <d v="1899-12-30T16:00:00"/>
    <n v="15"/>
    <n v="0"/>
  </r>
  <r>
    <d v="2024-01-23T16:00:00"/>
    <x v="1"/>
    <x v="1"/>
    <n v="1009"/>
    <x v="2"/>
    <n v="10"/>
    <n v="6000"/>
    <n v="60000"/>
    <x v="509"/>
    <n v="96"/>
    <x v="564"/>
    <x v="22"/>
    <d v="2024-01-23T00:00:00"/>
    <d v="1899-12-30T16:00:00"/>
    <n v="13"/>
    <n v="0"/>
  </r>
  <r>
    <d v="2024-01-23T16:00:00"/>
    <x v="2"/>
    <x v="9"/>
    <n v="2003"/>
    <x v="1"/>
    <n v="40"/>
    <n v="4000"/>
    <n v="160000"/>
    <x v="541"/>
    <n v="84"/>
    <x v="540"/>
    <x v="22"/>
    <d v="2024-01-23T00:00:00"/>
    <d v="1899-12-30T16:00:00"/>
    <n v="14"/>
    <n v="0"/>
  </r>
  <r>
    <d v="2024-01-23T16:00:00"/>
    <x v="2"/>
    <x v="2"/>
    <n v="2003"/>
    <x v="1"/>
    <n v="30"/>
    <n v="3799"/>
    <n v="113970"/>
    <x v="541"/>
    <n v="112"/>
    <x v="584"/>
    <x v="22"/>
    <d v="2024-01-23T00:00:00"/>
    <d v="1899-12-30T16:00:00"/>
    <n v="9"/>
    <n v="0"/>
  </r>
  <r>
    <d v="2024-01-23T16:00:00"/>
    <x v="2"/>
    <x v="5"/>
    <n v="2003"/>
    <x v="2"/>
    <n v="10"/>
    <n v="6964"/>
    <n v="69640"/>
    <x v="552"/>
    <n v="132"/>
    <x v="588"/>
    <x v="22"/>
    <d v="2024-01-23T00:00:00"/>
    <d v="1899-12-30T16:00:00"/>
    <n v="8"/>
    <n v="0"/>
  </r>
  <r>
    <d v="2024-01-23T16:00:00"/>
    <x v="2"/>
    <x v="7"/>
    <n v="2003"/>
    <x v="2"/>
    <n v="17"/>
    <n v="6800"/>
    <n v="115600"/>
    <x v="550"/>
    <n v="120"/>
    <x v="583"/>
    <x v="22"/>
    <d v="2024-01-23T00:00:00"/>
    <d v="1899-12-30T16:00:00"/>
    <n v="12"/>
    <n v="0"/>
  </r>
  <r>
    <d v="2024-01-23T16:00:00"/>
    <x v="2"/>
    <x v="7"/>
    <n v="2003"/>
    <x v="2"/>
    <n v="13"/>
    <n v="6800"/>
    <n v="204000"/>
    <x v="553"/>
    <n v="120"/>
    <x v="589"/>
    <x v="22"/>
    <d v="2024-01-23T00:00:00"/>
    <d v="1899-12-30T16:00:00"/>
    <n v="12"/>
    <n v="0"/>
  </r>
  <r>
    <d v="2024-01-23T16:00:00"/>
    <x v="1"/>
    <x v="10"/>
    <n v="1009"/>
    <x v="2"/>
    <n v="9"/>
    <n v="6050"/>
    <n v="54450"/>
    <x v="402"/>
    <n v="96"/>
    <x v="578"/>
    <x v="22"/>
    <d v="2024-01-23T00:00:00"/>
    <d v="1899-12-30T16:00:00"/>
    <n v="16"/>
    <n v="0"/>
  </r>
  <r>
    <d v="2024-01-23T20:00:00"/>
    <x v="0"/>
    <x v="11"/>
    <n v="11"/>
    <x v="0"/>
    <n v="1927"/>
    <n v="140"/>
    <n v="269780"/>
    <x v="521"/>
    <n v="24"/>
    <x v="501"/>
    <x v="22"/>
    <d v="2024-01-23T00:00:00"/>
    <d v="1899-12-30T20:00:00"/>
    <n v="6"/>
    <n v="0"/>
  </r>
  <r>
    <d v="2024-01-23T21:00:00"/>
    <x v="0"/>
    <x v="12"/>
    <n v="16"/>
    <x v="0"/>
    <n v="1700"/>
    <n v="120"/>
    <n v="204000"/>
    <x v="359"/>
    <n v="48"/>
    <x v="376"/>
    <x v="22"/>
    <d v="2024-01-23T00:00:00"/>
    <d v="1899-12-30T21:00:00"/>
    <n v="5"/>
    <n v="0"/>
  </r>
  <r>
    <d v="2024-01-23T21:00:00"/>
    <x v="0"/>
    <x v="11"/>
    <n v="15"/>
    <x v="3"/>
    <n v="500"/>
    <n v="1450"/>
    <n v="725000"/>
    <x v="359"/>
    <n v="72"/>
    <x v="590"/>
    <x v="22"/>
    <d v="2024-01-23T00:00:00"/>
    <d v="1899-12-30T21:00:00"/>
    <n v="6"/>
    <n v="0"/>
  </r>
  <r>
    <d v="2024-01-23T21:00:00"/>
    <x v="0"/>
    <x v="11"/>
    <n v="15"/>
    <x v="3"/>
    <n v="500"/>
    <n v="1450"/>
    <n v="725000"/>
    <x v="359"/>
    <n v="72"/>
    <x v="590"/>
    <x v="22"/>
    <d v="2024-01-23T00:00:00"/>
    <d v="1899-12-30T21:00:00"/>
    <n v="6"/>
    <n v="0"/>
  </r>
  <r>
    <d v="2024-01-23T23:00:00"/>
    <x v="1"/>
    <x v="7"/>
    <n v="1001"/>
    <x v="1"/>
    <n v="11"/>
    <n v="3800"/>
    <n v="41800"/>
    <x v="536"/>
    <n v="96"/>
    <x v="563"/>
    <x v="22"/>
    <d v="2024-01-23T00:00:00"/>
    <d v="1899-12-30T23:00:00"/>
    <n v="12"/>
    <n v="0"/>
  </r>
  <r>
    <d v="2024-01-23T23:00:00"/>
    <x v="1"/>
    <x v="3"/>
    <n v="1001"/>
    <x v="1"/>
    <n v="33"/>
    <n v="3900"/>
    <n v="128700"/>
    <x v="554"/>
    <n v="108"/>
    <x v="591"/>
    <x v="22"/>
    <d v="2024-01-23T00:00:00"/>
    <d v="1899-12-30T23:00:00"/>
    <n v="11"/>
    <n v="0"/>
  </r>
  <r>
    <d v="2024-01-23T23:00:00"/>
    <x v="1"/>
    <x v="1"/>
    <n v="1001"/>
    <x v="1"/>
    <n v="30"/>
    <n v="3100"/>
    <n v="93000"/>
    <x v="555"/>
    <n v="96"/>
    <x v="577"/>
    <x v="22"/>
    <d v="2024-01-23T00:00:00"/>
    <d v="1899-12-30T23:00:00"/>
    <n v="13"/>
    <n v="0"/>
  </r>
  <r>
    <d v="2024-01-23T23:00:00"/>
    <x v="1"/>
    <x v="2"/>
    <n v="1001"/>
    <x v="1"/>
    <n v="15"/>
    <n v="3799"/>
    <n v="56985"/>
    <x v="473"/>
    <n v="76"/>
    <x v="375"/>
    <x v="22"/>
    <d v="2024-01-23T00:00:00"/>
    <d v="1899-12-30T23:00:00"/>
    <n v="9"/>
    <n v="0"/>
  </r>
  <r>
    <d v="2024-01-23T23:00:00"/>
    <x v="1"/>
    <x v="6"/>
    <n v="1001"/>
    <x v="1"/>
    <n v="50"/>
    <n v="3500"/>
    <n v="175000"/>
    <x v="364"/>
    <n v="88"/>
    <x v="565"/>
    <x v="22"/>
    <d v="2024-01-23T00:00:00"/>
    <d v="1899-12-30T23:00:00"/>
    <n v="15"/>
    <n v="0"/>
  </r>
  <r>
    <d v="2024-01-23T23:00:00"/>
    <x v="1"/>
    <x v="9"/>
    <n v="1001"/>
    <x v="1"/>
    <n v="40"/>
    <n v="3650"/>
    <n v="146000"/>
    <x v="364"/>
    <n v="84"/>
    <x v="565"/>
    <x v="22"/>
    <d v="2024-01-23T00:00:00"/>
    <d v="1899-12-30T23:00:00"/>
    <n v="14"/>
    <n v="0"/>
  </r>
  <r>
    <d v="2024-01-23T23:00:00"/>
    <x v="1"/>
    <x v="10"/>
    <n v="1001"/>
    <x v="1"/>
    <n v="30"/>
    <n v="3750"/>
    <n v="112500"/>
    <x v="556"/>
    <n v="96"/>
    <x v="561"/>
    <x v="22"/>
    <d v="2024-01-23T00:00:00"/>
    <d v="1899-12-30T23:00:00"/>
    <n v="16"/>
    <n v="0"/>
  </r>
  <r>
    <d v="2024-01-23T23:00:00"/>
    <x v="0"/>
    <x v="0"/>
    <n v="9"/>
    <x v="3"/>
    <n v="500"/>
    <n v="1350"/>
    <n v="675000"/>
    <x v="364"/>
    <n v="24"/>
    <x v="496"/>
    <x v="22"/>
    <d v="2024-01-23T00:00:00"/>
    <d v="1899-12-30T23:00:00"/>
    <n v="4"/>
    <n v="0"/>
  </r>
  <r>
    <d v="2024-01-23T23:00:00"/>
    <x v="1"/>
    <x v="4"/>
    <n v="1001"/>
    <x v="1"/>
    <n v="22"/>
    <n v="4200"/>
    <n v="92400"/>
    <x v="364"/>
    <n v="84"/>
    <x v="565"/>
    <x v="22"/>
    <d v="2024-01-23T00:00:00"/>
    <d v="1899-12-30T23:00:00"/>
    <n v="10"/>
    <n v="0"/>
  </r>
  <r>
    <d v="2024-01-23T23:00:00"/>
    <x v="1"/>
    <x v="7"/>
    <n v="1001"/>
    <x v="1"/>
    <n v="19"/>
    <n v="3800"/>
    <n v="114000"/>
    <x v="455"/>
    <n v="96"/>
    <x v="481"/>
    <x v="22"/>
    <d v="2024-01-23T00:00:00"/>
    <d v="1899-12-30T23:00:00"/>
    <n v="12"/>
    <n v="0"/>
  </r>
  <r>
    <d v="2024-01-24T02:00:00"/>
    <x v="1"/>
    <x v="6"/>
    <n v="1006"/>
    <x v="1"/>
    <n v="50"/>
    <n v="3500"/>
    <n v="175000"/>
    <x v="557"/>
    <n v="88"/>
    <x v="592"/>
    <x v="23"/>
    <d v="2024-01-24T00:00:00"/>
    <d v="1899-12-30T02:00:00"/>
    <n v="15"/>
    <n v="0"/>
  </r>
  <r>
    <d v="2024-01-24T02:00:00"/>
    <x v="0"/>
    <x v="15"/>
    <n v="7"/>
    <x v="0"/>
    <n v="1500"/>
    <n v="140"/>
    <n v="210000"/>
    <x v="549"/>
    <n v="72"/>
    <x v="299"/>
    <x v="23"/>
    <d v="2024-01-24T00:00:00"/>
    <d v="1899-12-30T02:00:00"/>
    <n v="1"/>
    <n v="0"/>
  </r>
  <r>
    <d v="2024-01-24T02:00:00"/>
    <x v="1"/>
    <x v="4"/>
    <n v="1006"/>
    <x v="1"/>
    <n v="36"/>
    <n v="4200"/>
    <n v="151200"/>
    <x v="549"/>
    <n v="84"/>
    <x v="570"/>
    <x v="23"/>
    <d v="2024-01-24T00:00:00"/>
    <d v="1899-12-30T02:00:00"/>
    <n v="10"/>
    <n v="0"/>
  </r>
  <r>
    <d v="2024-01-24T02:00:00"/>
    <x v="1"/>
    <x v="9"/>
    <n v="1006"/>
    <x v="1"/>
    <n v="40"/>
    <n v="3650"/>
    <n v="146000"/>
    <x v="549"/>
    <n v="84"/>
    <x v="570"/>
    <x v="23"/>
    <d v="2024-01-24T00:00:00"/>
    <d v="1899-12-30T02:00:00"/>
    <n v="14"/>
    <n v="0"/>
  </r>
  <r>
    <d v="2024-01-24T02:00:00"/>
    <x v="1"/>
    <x v="2"/>
    <n v="1006"/>
    <x v="1"/>
    <n v="15"/>
    <n v="3799"/>
    <n v="56985"/>
    <x v="549"/>
    <n v="76"/>
    <x v="299"/>
    <x v="23"/>
    <d v="2024-01-24T00:00:00"/>
    <d v="1899-12-30T02:00:00"/>
    <n v="9"/>
    <n v="0"/>
  </r>
  <r>
    <d v="2024-01-24T02:00:00"/>
    <x v="1"/>
    <x v="7"/>
    <n v="1006"/>
    <x v="1"/>
    <n v="30"/>
    <n v="3800"/>
    <n v="114000"/>
    <x v="558"/>
    <n v="96"/>
    <x v="593"/>
    <x v="23"/>
    <d v="2024-01-24T00:00:00"/>
    <d v="1899-12-30T02:00:00"/>
    <n v="12"/>
    <n v="0"/>
  </r>
  <r>
    <d v="2024-01-24T02:00:00"/>
    <x v="1"/>
    <x v="5"/>
    <n v="1006"/>
    <x v="1"/>
    <n v="32"/>
    <n v="4100"/>
    <n v="131200"/>
    <x v="558"/>
    <n v="144"/>
    <x v="594"/>
    <x v="23"/>
    <d v="2024-01-24T00:00:00"/>
    <d v="1899-12-30T02:00:00"/>
    <n v="8"/>
    <n v="0"/>
  </r>
  <r>
    <d v="2024-01-24T02:00:00"/>
    <x v="1"/>
    <x v="1"/>
    <n v="1006"/>
    <x v="1"/>
    <n v="30"/>
    <n v="3100"/>
    <n v="93000"/>
    <x v="559"/>
    <n v="96"/>
    <x v="595"/>
    <x v="23"/>
    <d v="2024-01-24T00:00:00"/>
    <d v="1899-12-30T02:00:00"/>
    <n v="13"/>
    <n v="0"/>
  </r>
  <r>
    <d v="2024-01-24T02:00:00"/>
    <x v="1"/>
    <x v="10"/>
    <n v="1006"/>
    <x v="1"/>
    <n v="30"/>
    <n v="3750"/>
    <n v="112500"/>
    <x v="560"/>
    <n v="96"/>
    <x v="570"/>
    <x v="23"/>
    <d v="2024-01-24T00:00:00"/>
    <d v="1899-12-30T02:00:00"/>
    <n v="16"/>
    <n v="0"/>
  </r>
  <r>
    <d v="2024-01-24T02:00:00"/>
    <x v="1"/>
    <x v="3"/>
    <n v="1006"/>
    <x v="1"/>
    <n v="30"/>
    <n v="4000"/>
    <n v="120000"/>
    <x v="357"/>
    <n v="96"/>
    <x v="561"/>
    <x v="23"/>
    <d v="2024-01-24T00:00:00"/>
    <d v="1899-12-30T02:00:00"/>
    <n v="11"/>
    <n v="0"/>
  </r>
  <r>
    <d v="2024-01-24T02:00:00"/>
    <x v="0"/>
    <x v="15"/>
    <n v="10"/>
    <x v="3"/>
    <n v="300"/>
    <n v="1500"/>
    <n v="450000"/>
    <x v="557"/>
    <n v="24"/>
    <x v="559"/>
    <x v="23"/>
    <d v="2024-01-24T00:00:00"/>
    <d v="1899-12-30T02:00:00"/>
    <n v="1"/>
    <n v="0"/>
  </r>
  <r>
    <d v="2024-01-24T03:00:00"/>
    <x v="0"/>
    <x v="15"/>
    <n v="14"/>
    <x v="3"/>
    <n v="400"/>
    <n v="1350"/>
    <n v="540000"/>
    <x v="481"/>
    <n v="24"/>
    <x v="522"/>
    <x v="23"/>
    <d v="2024-01-24T00:00:00"/>
    <d v="1899-12-30T03:00:00"/>
    <n v="1"/>
    <n v="0"/>
  </r>
  <r>
    <d v="2024-01-24T08:00:00"/>
    <x v="0"/>
    <x v="11"/>
    <n v="9"/>
    <x v="3"/>
    <n v="135"/>
    <n v="1450"/>
    <n v="195750"/>
    <x v="509"/>
    <n v="72"/>
    <x v="564"/>
    <x v="23"/>
    <d v="2024-01-24T00:00:00"/>
    <d v="1899-12-30T08:00:00"/>
    <n v="6"/>
    <n v="0"/>
  </r>
  <r>
    <d v="2024-01-24T09:00:00"/>
    <x v="0"/>
    <x v="13"/>
    <n v="15"/>
    <x v="0"/>
    <n v="2800"/>
    <n v="130"/>
    <n v="364000"/>
    <x v="509"/>
    <n v="72"/>
    <x v="564"/>
    <x v="23"/>
    <d v="2024-01-24T00:00:00"/>
    <d v="1899-12-30T09:00:00"/>
    <n v="2"/>
    <n v="0"/>
  </r>
  <r>
    <d v="2024-01-24T09:00:00"/>
    <x v="1"/>
    <x v="7"/>
    <n v="1001"/>
    <x v="2"/>
    <n v="6"/>
    <n v="6750"/>
    <n v="40500"/>
    <x v="561"/>
    <n v="96"/>
    <x v="569"/>
    <x v="23"/>
    <d v="2024-01-24T00:00:00"/>
    <d v="1899-12-30T09:00:00"/>
    <n v="12"/>
    <n v="0"/>
  </r>
  <r>
    <d v="2024-01-24T09:00:00"/>
    <x v="1"/>
    <x v="6"/>
    <n v="1001"/>
    <x v="2"/>
    <n v="11"/>
    <n v="6450"/>
    <n v="70950"/>
    <x v="562"/>
    <n v="64"/>
    <x v="543"/>
    <x v="23"/>
    <d v="2024-01-24T00:00:00"/>
    <d v="1899-12-30T09:00:00"/>
    <n v="15"/>
    <n v="0"/>
  </r>
  <r>
    <d v="2024-01-24T09:00:00"/>
    <x v="1"/>
    <x v="9"/>
    <n v="1004"/>
    <x v="1"/>
    <n v="39"/>
    <n v="3750"/>
    <n v="146250"/>
    <x v="532"/>
    <n v="84"/>
    <x v="574"/>
    <x v="23"/>
    <d v="2024-01-24T00:00:00"/>
    <d v="1899-12-30T09:00:00"/>
    <n v="14"/>
    <n v="0"/>
  </r>
  <r>
    <d v="2024-01-24T09:00:00"/>
    <x v="1"/>
    <x v="5"/>
    <n v="1004"/>
    <x v="1"/>
    <n v="51"/>
    <n v="4100"/>
    <n v="209100"/>
    <x v="563"/>
    <n v="144"/>
    <x v="596"/>
    <x v="23"/>
    <d v="2024-01-24T00:00:00"/>
    <d v="1899-12-30T09:00:00"/>
    <n v="8"/>
    <n v="0"/>
  </r>
  <r>
    <d v="2024-01-24T09:00:00"/>
    <x v="1"/>
    <x v="3"/>
    <n v="1001"/>
    <x v="2"/>
    <n v="7"/>
    <n v="6400"/>
    <n v="44800"/>
    <x v="537"/>
    <n v="72"/>
    <x v="540"/>
    <x v="23"/>
    <d v="2024-01-24T00:00:00"/>
    <d v="1899-12-30T09:00:00"/>
    <n v="11"/>
    <n v="0"/>
  </r>
  <r>
    <d v="2024-01-24T09:00:00"/>
    <x v="1"/>
    <x v="10"/>
    <n v="1001"/>
    <x v="2"/>
    <n v="8"/>
    <n v="6050"/>
    <n v="48400"/>
    <x v="532"/>
    <n v="96"/>
    <x v="574"/>
    <x v="23"/>
    <d v="2024-01-24T00:00:00"/>
    <d v="1899-12-30T09:00:00"/>
    <n v="16"/>
    <n v="0"/>
  </r>
  <r>
    <d v="2024-01-24T09:00:00"/>
    <x v="1"/>
    <x v="6"/>
    <n v="1004"/>
    <x v="1"/>
    <n v="30"/>
    <n v="3600"/>
    <n v="108000"/>
    <x v="509"/>
    <n v="87"/>
    <x v="564"/>
    <x v="23"/>
    <d v="2024-01-24T00:00:00"/>
    <d v="1899-12-30T09:00:00"/>
    <n v="15"/>
    <n v="0"/>
  </r>
  <r>
    <d v="2024-01-24T09:00:00"/>
    <x v="1"/>
    <x v="10"/>
    <n v="1004"/>
    <x v="1"/>
    <n v="30"/>
    <n v="3750"/>
    <n v="112500"/>
    <x v="562"/>
    <n v="96"/>
    <x v="569"/>
    <x v="23"/>
    <d v="2024-01-24T00:00:00"/>
    <d v="1899-12-30T09:00:00"/>
    <n v="16"/>
    <n v="0"/>
  </r>
  <r>
    <d v="2024-01-24T09:00:00"/>
    <x v="1"/>
    <x v="3"/>
    <n v="1004"/>
    <x v="1"/>
    <n v="30"/>
    <n v="4000"/>
    <n v="120000"/>
    <x v="554"/>
    <n v="96"/>
    <x v="568"/>
    <x v="23"/>
    <d v="2024-01-24T00:00:00"/>
    <d v="1899-12-30T09:00:00"/>
    <n v="11"/>
    <n v="0"/>
  </r>
  <r>
    <d v="2024-01-24T09:00:00"/>
    <x v="1"/>
    <x v="7"/>
    <n v="1004"/>
    <x v="1"/>
    <n v="50"/>
    <n v="3750"/>
    <n v="187500"/>
    <x v="564"/>
    <n v="120"/>
    <x v="588"/>
    <x v="23"/>
    <d v="2024-01-24T00:00:00"/>
    <d v="1899-12-30T09:00:00"/>
    <n v="12"/>
    <n v="0"/>
  </r>
  <r>
    <d v="2024-01-24T09:00:00"/>
    <x v="1"/>
    <x v="4"/>
    <n v="1001"/>
    <x v="2"/>
    <n v="5"/>
    <n v="6100"/>
    <n v="30500"/>
    <x v="509"/>
    <n v="84"/>
    <x v="564"/>
    <x v="23"/>
    <d v="2024-01-24T00:00:00"/>
    <d v="1899-12-30T09:00:00"/>
    <n v="10"/>
    <n v="0"/>
  </r>
  <r>
    <d v="2024-01-24T09:00:00"/>
    <x v="1"/>
    <x v="1"/>
    <n v="1004"/>
    <x v="1"/>
    <n v="30"/>
    <n v="3100"/>
    <n v="93000"/>
    <x v="565"/>
    <n v="96"/>
    <x v="575"/>
    <x v="23"/>
    <d v="2024-01-24T00:00:00"/>
    <d v="1899-12-30T09:00:00"/>
    <n v="13"/>
    <n v="0"/>
  </r>
  <r>
    <d v="2024-01-24T09:00:00"/>
    <x v="1"/>
    <x v="1"/>
    <n v="1001"/>
    <x v="2"/>
    <n v="9"/>
    <n v="6000"/>
    <n v="54000"/>
    <x v="546"/>
    <n v="96"/>
    <x v="418"/>
    <x v="23"/>
    <d v="2024-01-24T00:00:00"/>
    <d v="1899-12-30T09:00:00"/>
    <n v="13"/>
    <n v="0"/>
  </r>
  <r>
    <d v="2024-01-24T09:00:00"/>
    <x v="0"/>
    <x v="13"/>
    <n v="15"/>
    <x v="0"/>
    <n v="2800"/>
    <n v="130"/>
    <n v="364000"/>
    <x v="509"/>
    <n v="72"/>
    <x v="564"/>
    <x v="23"/>
    <d v="2024-01-24T00:00:00"/>
    <d v="1899-12-30T09:00:00"/>
    <n v="2"/>
    <n v="0"/>
  </r>
  <r>
    <d v="2024-01-24T10:00:00"/>
    <x v="1"/>
    <x v="10"/>
    <n v="1009"/>
    <x v="1"/>
    <n v="23"/>
    <n v="3750"/>
    <n v="86250"/>
    <x v="566"/>
    <n v="96"/>
    <x v="563"/>
    <x v="23"/>
    <d v="2024-01-24T00:00:00"/>
    <d v="1899-12-30T10:00:00"/>
    <n v="16"/>
    <n v="0"/>
  </r>
  <r>
    <d v="2024-01-24T10:00:00"/>
    <x v="0"/>
    <x v="0"/>
    <n v="11"/>
    <x v="0"/>
    <n v="3000"/>
    <n v="110"/>
    <n v="330000"/>
    <x v="456"/>
    <n v="72"/>
    <x v="484"/>
    <x v="23"/>
    <d v="2024-01-24T00:00:00"/>
    <d v="1899-12-30T10:00:00"/>
    <n v="4"/>
    <n v="0"/>
  </r>
  <r>
    <d v="2024-01-24T10:00:00"/>
    <x v="1"/>
    <x v="2"/>
    <n v="1009"/>
    <x v="1"/>
    <n v="15"/>
    <n v="3599"/>
    <n v="53985"/>
    <x v="456"/>
    <n v="76"/>
    <x v="484"/>
    <x v="23"/>
    <d v="2024-01-24T00:00:00"/>
    <d v="1899-12-30T10:00:00"/>
    <n v="9"/>
    <n v="0"/>
  </r>
  <r>
    <d v="2024-01-24T10:00:00"/>
    <x v="0"/>
    <x v="15"/>
    <n v="14"/>
    <x v="0"/>
    <n v="3000"/>
    <n v="125"/>
    <n v="375000"/>
    <x v="456"/>
    <n v="72"/>
    <x v="484"/>
    <x v="23"/>
    <d v="2024-01-24T00:00:00"/>
    <d v="1899-12-30T10:00:00"/>
    <n v="1"/>
    <n v="0"/>
  </r>
  <r>
    <d v="2024-01-24T10:00:00"/>
    <x v="1"/>
    <x v="6"/>
    <n v="1009"/>
    <x v="1"/>
    <n v="34"/>
    <n v="3500"/>
    <n v="119000"/>
    <x v="456"/>
    <n v="88"/>
    <x v="545"/>
    <x v="23"/>
    <d v="2024-01-24T00:00:00"/>
    <d v="1899-12-30T10:00:00"/>
    <n v="15"/>
    <n v="0"/>
  </r>
  <r>
    <d v="2024-01-24T10:00:00"/>
    <x v="0"/>
    <x v="0"/>
    <n v="8"/>
    <x v="0"/>
    <n v="2800"/>
    <n v="110"/>
    <n v="308000"/>
    <x v="456"/>
    <n v="48"/>
    <x v="538"/>
    <x v="23"/>
    <d v="2024-01-24T00:00:00"/>
    <d v="1899-12-30T10:00:00"/>
    <n v="4"/>
    <n v="0"/>
  </r>
  <r>
    <d v="2024-01-24T10:00:00"/>
    <x v="0"/>
    <x v="0"/>
    <n v="8"/>
    <x v="3"/>
    <n v="800"/>
    <n v="1355"/>
    <n v="1084000"/>
    <x v="456"/>
    <n v="48"/>
    <x v="538"/>
    <x v="23"/>
    <d v="2024-01-24T00:00:00"/>
    <d v="1899-12-30T10:00:00"/>
    <n v="4"/>
    <n v="0"/>
  </r>
  <r>
    <d v="2024-01-24T10:00:00"/>
    <x v="0"/>
    <x v="11"/>
    <n v="11"/>
    <x v="3"/>
    <n v="81"/>
    <n v="1550"/>
    <n v="125550"/>
    <x v="456"/>
    <n v="24"/>
    <x v="556"/>
    <x v="23"/>
    <d v="2024-01-24T00:00:00"/>
    <d v="1899-12-30T10:00:00"/>
    <n v="6"/>
    <n v="0"/>
  </r>
  <r>
    <d v="2024-01-24T10:00:00"/>
    <x v="1"/>
    <x v="9"/>
    <n v="1009"/>
    <x v="1"/>
    <n v="30"/>
    <n v="3650"/>
    <n v="109500"/>
    <x v="547"/>
    <n v="84"/>
    <x v="593"/>
    <x v="23"/>
    <d v="2024-01-24T00:00:00"/>
    <d v="1899-12-30T10:00:00"/>
    <n v="14"/>
    <n v="0"/>
  </r>
  <r>
    <d v="2024-01-24T10:00:00"/>
    <x v="1"/>
    <x v="7"/>
    <n v="1009"/>
    <x v="1"/>
    <n v="20"/>
    <n v="3800"/>
    <n v="76000"/>
    <x v="564"/>
    <n v="96"/>
    <x v="577"/>
    <x v="23"/>
    <d v="2024-01-24T00:00:00"/>
    <d v="1899-12-30T10:00:00"/>
    <n v="12"/>
    <n v="0"/>
  </r>
  <r>
    <d v="2024-01-24T10:00:00"/>
    <x v="1"/>
    <x v="1"/>
    <n v="1009"/>
    <x v="1"/>
    <n v="30"/>
    <n v="3100"/>
    <n v="93000"/>
    <x v="565"/>
    <n v="96"/>
    <x v="575"/>
    <x v="23"/>
    <d v="2024-01-24T00:00:00"/>
    <d v="1899-12-30T10:00:00"/>
    <n v="13"/>
    <n v="0"/>
  </r>
  <r>
    <d v="2024-01-24T11:00:00"/>
    <x v="0"/>
    <x v="13"/>
    <n v="14"/>
    <x v="0"/>
    <n v="1500"/>
    <n v="125"/>
    <n v="187500"/>
    <x v="512"/>
    <n v="72"/>
    <x v="545"/>
    <x v="23"/>
    <d v="2024-01-24T00:00:00"/>
    <d v="1899-12-30T11:00:00"/>
    <n v="2"/>
    <n v="0"/>
  </r>
  <r>
    <d v="2024-01-24T12:00:00"/>
    <x v="2"/>
    <x v="4"/>
    <n v="2004"/>
    <x v="2"/>
    <n v="16"/>
    <n v="6200"/>
    <n v="99200"/>
    <x v="512"/>
    <n v="84"/>
    <x v="545"/>
    <x v="23"/>
    <d v="2024-01-24T00:00:00"/>
    <d v="1899-12-30T12:00:00"/>
    <n v="10"/>
    <n v="0"/>
  </r>
  <r>
    <d v="2024-01-24T12:00:00"/>
    <x v="2"/>
    <x v="1"/>
    <n v="2004"/>
    <x v="2"/>
    <n v="28"/>
    <n v="6000"/>
    <n v="168000"/>
    <x v="536"/>
    <n v="132"/>
    <x v="596"/>
    <x v="23"/>
    <d v="2024-01-24T00:00:00"/>
    <d v="1899-12-30T12:00:00"/>
    <n v="13"/>
    <n v="0"/>
  </r>
  <r>
    <d v="2024-01-24T12:00:00"/>
    <x v="2"/>
    <x v="7"/>
    <n v="2004"/>
    <x v="2"/>
    <n v="14"/>
    <n v="6800"/>
    <n v="95200"/>
    <x v="529"/>
    <n v="120"/>
    <x v="562"/>
    <x v="23"/>
    <d v="2024-01-24T00:00:00"/>
    <d v="1899-12-30T12:00:00"/>
    <n v="12"/>
    <n v="0"/>
  </r>
  <r>
    <d v="2024-01-24T12:00:00"/>
    <x v="2"/>
    <x v="2"/>
    <n v="2004"/>
    <x v="2"/>
    <n v="15"/>
    <n v="6364"/>
    <n v="95460"/>
    <x v="533"/>
    <n v="119"/>
    <x v="597"/>
    <x v="23"/>
    <d v="2024-01-24T00:00:00"/>
    <d v="1899-12-30T12:00:00"/>
    <n v="9"/>
    <n v="0"/>
  </r>
  <r>
    <d v="2024-01-24T12:00:00"/>
    <x v="2"/>
    <x v="6"/>
    <n v="2004"/>
    <x v="2"/>
    <n v="32"/>
    <n v="6450"/>
    <n v="206400"/>
    <x v="548"/>
    <n v="48"/>
    <x v="542"/>
    <x v="23"/>
    <d v="2024-01-24T00:00:00"/>
    <d v="1899-12-30T12:00:00"/>
    <n v="15"/>
    <n v="0"/>
  </r>
  <r>
    <d v="2024-01-24T12:00:00"/>
    <x v="2"/>
    <x v="9"/>
    <n v="2004"/>
    <x v="1"/>
    <n v="40"/>
    <n v="4100"/>
    <n v="164000"/>
    <x v="566"/>
    <n v="82"/>
    <x v="563"/>
    <x v="23"/>
    <d v="2024-01-24T00:00:00"/>
    <d v="1899-12-30T12:00:00"/>
    <n v="14"/>
    <n v="0"/>
  </r>
  <r>
    <d v="2024-01-24T12:00:00"/>
    <x v="2"/>
    <x v="10"/>
    <n v="2004"/>
    <x v="1"/>
    <n v="30"/>
    <n v="3750"/>
    <n v="112500"/>
    <x v="533"/>
    <n v="132"/>
    <x v="597"/>
    <x v="23"/>
    <d v="2024-01-24T00:00:00"/>
    <d v="1899-12-30T12:00:00"/>
    <n v="16"/>
    <n v="0"/>
  </r>
  <r>
    <d v="2024-01-24T12:00:00"/>
    <x v="2"/>
    <x v="5"/>
    <n v="2004"/>
    <x v="1"/>
    <n v="46"/>
    <n v="4155"/>
    <n v="191130"/>
    <x v="567"/>
    <n v="120"/>
    <x v="598"/>
    <x v="23"/>
    <d v="2024-01-24T00:00:00"/>
    <d v="1899-12-30T12:00:00"/>
    <n v="8"/>
    <n v="0"/>
  </r>
  <r>
    <d v="2024-01-24T12:00:00"/>
    <x v="2"/>
    <x v="2"/>
    <n v="2004"/>
    <x v="1"/>
    <n v="30"/>
    <n v="3599"/>
    <n v="107970"/>
    <x v="512"/>
    <n v="112"/>
    <x v="599"/>
    <x v="23"/>
    <d v="2024-01-24T00:00:00"/>
    <d v="1899-12-30T12:00:00"/>
    <n v="9"/>
    <n v="0"/>
  </r>
  <r>
    <d v="2024-01-24T12:00:00"/>
    <x v="2"/>
    <x v="3"/>
    <n v="2004"/>
    <x v="2"/>
    <n v="10"/>
    <n v="6800"/>
    <n v="68000"/>
    <x v="566"/>
    <n v="84"/>
    <x v="563"/>
    <x v="23"/>
    <d v="2024-01-24T00:00:00"/>
    <d v="1899-12-30T12:00:00"/>
    <n v="11"/>
    <n v="0"/>
  </r>
  <r>
    <d v="2024-01-24T12:00:00"/>
    <x v="2"/>
    <x v="8"/>
    <n v="2004"/>
    <x v="1"/>
    <n v="40"/>
    <n v="4300"/>
    <n v="172000"/>
    <x v="568"/>
    <n v="132"/>
    <x v="594"/>
    <x v="23"/>
    <d v="2024-01-24T00:00:00"/>
    <d v="1899-12-30T12:00:00"/>
    <n v="7"/>
    <n v="0"/>
  </r>
  <r>
    <d v="2024-01-24T12:00:00"/>
    <x v="2"/>
    <x v="10"/>
    <n v="2004"/>
    <x v="2"/>
    <n v="25"/>
    <n v="6050"/>
    <n v="151250"/>
    <x v="533"/>
    <n v="132"/>
    <x v="597"/>
    <x v="23"/>
    <d v="2024-01-24T00:00:00"/>
    <d v="1899-12-30T12:00:00"/>
    <n v="16"/>
    <n v="0"/>
  </r>
  <r>
    <d v="2024-01-24T12:00:00"/>
    <x v="2"/>
    <x v="7"/>
    <n v="2004"/>
    <x v="1"/>
    <n v="30"/>
    <n v="3850"/>
    <n v="115500"/>
    <x v="569"/>
    <n v="120"/>
    <x v="417"/>
    <x v="23"/>
    <d v="2024-01-24T00:00:00"/>
    <d v="1899-12-30T12:00:00"/>
    <n v="12"/>
    <n v="0"/>
  </r>
  <r>
    <d v="2024-01-24T12:00:00"/>
    <x v="2"/>
    <x v="1"/>
    <n v="2004"/>
    <x v="1"/>
    <n v="30"/>
    <n v="3000"/>
    <n v="90000"/>
    <x v="570"/>
    <n v="132"/>
    <x v="600"/>
    <x v="23"/>
    <d v="2024-01-24T00:00:00"/>
    <d v="1899-12-30T12:00:00"/>
    <n v="13"/>
    <n v="0"/>
  </r>
  <r>
    <d v="2024-01-24T12:00:00"/>
    <x v="2"/>
    <x v="3"/>
    <n v="2004"/>
    <x v="1"/>
    <n v="20"/>
    <n v="4300"/>
    <n v="86000"/>
    <x v="559"/>
    <n v="96"/>
    <x v="595"/>
    <x v="23"/>
    <d v="2024-01-24T00:00:00"/>
    <d v="1899-12-30T12:00:00"/>
    <n v="11"/>
    <n v="0"/>
  </r>
  <r>
    <d v="2024-01-24T12:00:00"/>
    <x v="2"/>
    <x v="6"/>
    <n v="2004"/>
    <x v="1"/>
    <n v="45"/>
    <n v="4150"/>
    <n v="186750"/>
    <x v="548"/>
    <n v="48"/>
    <x v="542"/>
    <x v="23"/>
    <d v="2024-01-24T00:00:00"/>
    <d v="1899-12-30T12:00:00"/>
    <n v="15"/>
    <n v="0"/>
  </r>
  <r>
    <d v="2024-01-24T12:00:00"/>
    <x v="2"/>
    <x v="9"/>
    <n v="2004"/>
    <x v="2"/>
    <n v="12"/>
    <n v="6650"/>
    <n v="79800"/>
    <x v="512"/>
    <n v="120"/>
    <x v="599"/>
    <x v="23"/>
    <d v="2024-01-24T00:00:00"/>
    <d v="1899-12-30T12:00:00"/>
    <n v="14"/>
    <n v="0"/>
  </r>
  <r>
    <d v="2024-01-24T13:00:00"/>
    <x v="0"/>
    <x v="6"/>
    <n v="12"/>
    <x v="1"/>
    <n v="100"/>
    <n v="3200"/>
    <n v="320000"/>
    <x v="566"/>
    <n v="72"/>
    <x v="563"/>
    <x v="23"/>
    <d v="2024-01-24T00:00:00"/>
    <d v="1899-12-30T13:00:00"/>
    <n v="15"/>
    <n v="0"/>
  </r>
  <r>
    <d v="2024-01-24T16:00:00"/>
    <x v="1"/>
    <x v="6"/>
    <n v="1002"/>
    <x v="1"/>
    <n v="30"/>
    <n v="3600"/>
    <n v="108000"/>
    <x v="533"/>
    <n v="87"/>
    <x v="568"/>
    <x v="23"/>
    <d v="2024-01-24T00:00:00"/>
    <d v="1899-12-30T16:00:00"/>
    <n v="15"/>
    <n v="0"/>
  </r>
  <r>
    <d v="2024-01-24T16:00:00"/>
    <x v="1"/>
    <x v="3"/>
    <n v="1006"/>
    <x v="2"/>
    <n v="20"/>
    <n v="6400"/>
    <n v="128000"/>
    <x v="550"/>
    <n v="72"/>
    <x v="484"/>
    <x v="23"/>
    <d v="2024-01-24T00:00:00"/>
    <d v="1899-12-30T16:00:00"/>
    <n v="11"/>
    <n v="0"/>
  </r>
  <r>
    <d v="2024-01-24T16:00:00"/>
    <x v="1"/>
    <x v="9"/>
    <n v="1002"/>
    <x v="1"/>
    <n v="39"/>
    <n v="3750"/>
    <n v="146250"/>
    <x v="533"/>
    <n v="84"/>
    <x v="568"/>
    <x v="23"/>
    <d v="2024-01-24T00:00:00"/>
    <d v="1899-12-30T16:00:00"/>
    <n v="14"/>
    <n v="0"/>
  </r>
  <r>
    <d v="2024-01-24T16:00:00"/>
    <x v="1"/>
    <x v="6"/>
    <n v="1006"/>
    <x v="2"/>
    <n v="28"/>
    <n v="6450"/>
    <n v="180600"/>
    <x v="554"/>
    <n v="64"/>
    <x v="579"/>
    <x v="23"/>
    <d v="2024-01-24T00:00:00"/>
    <d v="1899-12-30T16:00:00"/>
    <n v="15"/>
    <n v="0"/>
  </r>
  <r>
    <d v="2024-01-24T16:00:00"/>
    <x v="1"/>
    <x v="10"/>
    <n v="1006"/>
    <x v="2"/>
    <n v="16"/>
    <n v="6050"/>
    <n v="96800"/>
    <x v="555"/>
    <n v="96"/>
    <x v="577"/>
    <x v="23"/>
    <d v="2024-01-24T00:00:00"/>
    <d v="1899-12-30T16:00:00"/>
    <n v="16"/>
    <n v="0"/>
  </r>
  <r>
    <d v="2024-01-24T16:00:00"/>
    <x v="1"/>
    <x v="3"/>
    <n v="1002"/>
    <x v="1"/>
    <n v="30"/>
    <n v="4000"/>
    <n v="120000"/>
    <x v="571"/>
    <n v="96"/>
    <x v="433"/>
    <x v="23"/>
    <d v="2024-01-24T00:00:00"/>
    <d v="1899-12-30T16:00:00"/>
    <n v="11"/>
    <n v="0"/>
  </r>
  <r>
    <d v="2024-01-24T16:00:00"/>
    <x v="1"/>
    <x v="10"/>
    <n v="1002"/>
    <x v="1"/>
    <n v="23"/>
    <n v="3750"/>
    <n v="86250"/>
    <x v="555"/>
    <n v="96"/>
    <x v="577"/>
    <x v="23"/>
    <d v="2024-01-24T00:00:00"/>
    <d v="1899-12-30T16:00:00"/>
    <n v="16"/>
    <n v="0"/>
  </r>
  <r>
    <d v="2024-01-24T16:00:00"/>
    <x v="1"/>
    <x v="1"/>
    <n v="1002"/>
    <x v="1"/>
    <n v="30"/>
    <n v="3100"/>
    <n v="93000"/>
    <x v="572"/>
    <n v="96"/>
    <x v="474"/>
    <x v="23"/>
    <d v="2024-01-24T00:00:00"/>
    <d v="1899-12-30T16:00:00"/>
    <n v="13"/>
    <n v="0"/>
  </r>
  <r>
    <d v="2024-01-24T16:00:00"/>
    <x v="1"/>
    <x v="1"/>
    <n v="1006"/>
    <x v="2"/>
    <n v="25"/>
    <n v="6000"/>
    <n v="150000"/>
    <x v="452"/>
    <n v="96"/>
    <x v="573"/>
    <x v="23"/>
    <d v="2024-01-24T00:00:00"/>
    <d v="1899-12-30T16:00:00"/>
    <n v="13"/>
    <n v="0"/>
  </r>
  <r>
    <d v="2024-01-24T16:00:00"/>
    <x v="0"/>
    <x v="0"/>
    <n v="9"/>
    <x v="3"/>
    <n v="600"/>
    <n v="1355"/>
    <n v="813000"/>
    <x v="555"/>
    <n v="48"/>
    <x v="572"/>
    <x v="23"/>
    <d v="2024-01-24T00:00:00"/>
    <d v="1899-12-30T16:00:00"/>
    <n v="4"/>
    <n v="0"/>
  </r>
  <r>
    <d v="2024-01-24T16:00:00"/>
    <x v="1"/>
    <x v="7"/>
    <n v="1002"/>
    <x v="1"/>
    <n v="30"/>
    <n v="3850"/>
    <n v="115500"/>
    <x v="573"/>
    <n v="96"/>
    <x v="581"/>
    <x v="23"/>
    <d v="2024-01-24T00:00:00"/>
    <d v="1899-12-30T16:00:00"/>
    <n v="12"/>
    <n v="0"/>
  </r>
  <r>
    <d v="2024-01-24T16:00:00"/>
    <x v="1"/>
    <x v="2"/>
    <n v="1002"/>
    <x v="1"/>
    <n v="15"/>
    <n v="3599"/>
    <n v="53985"/>
    <x v="537"/>
    <n v="76"/>
    <x v="576"/>
    <x v="23"/>
    <d v="2024-01-24T00:00:00"/>
    <d v="1899-12-30T16:00:00"/>
    <n v="9"/>
    <n v="0"/>
  </r>
  <r>
    <d v="2024-01-24T16:00:00"/>
    <x v="1"/>
    <x v="4"/>
    <n v="1006"/>
    <x v="2"/>
    <n v="12"/>
    <n v="6100"/>
    <n v="73200"/>
    <x v="537"/>
    <n v="84"/>
    <x v="576"/>
    <x v="23"/>
    <d v="2024-01-24T00:00:00"/>
    <d v="1899-12-30T16:00:00"/>
    <n v="10"/>
    <n v="0"/>
  </r>
  <r>
    <d v="2024-01-24T16:00:00"/>
    <x v="0"/>
    <x v="12"/>
    <n v="10"/>
    <x v="3"/>
    <n v="600"/>
    <n v="1500"/>
    <n v="900000"/>
    <x v="537"/>
    <n v="24"/>
    <x v="558"/>
    <x v="23"/>
    <d v="2024-01-24T00:00:00"/>
    <d v="1899-12-30T16:00:00"/>
    <n v="5"/>
    <n v="0"/>
  </r>
  <r>
    <d v="2024-01-24T16:00:00"/>
    <x v="1"/>
    <x v="9"/>
    <n v="1006"/>
    <x v="2"/>
    <n v="9"/>
    <n v="6650"/>
    <n v="59850"/>
    <x v="537"/>
    <n v="84"/>
    <x v="576"/>
    <x v="23"/>
    <d v="2024-01-24T00:00:00"/>
    <d v="1899-12-30T16:00:00"/>
    <n v="14"/>
    <n v="0"/>
  </r>
  <r>
    <d v="2024-01-24T16:00:00"/>
    <x v="1"/>
    <x v="7"/>
    <n v="1006"/>
    <x v="2"/>
    <n v="19"/>
    <n v="6750"/>
    <n v="128250"/>
    <x v="572"/>
    <n v="96"/>
    <x v="474"/>
    <x v="23"/>
    <d v="2024-01-24T00:00:00"/>
    <d v="1899-12-30T16:00:00"/>
    <n v="12"/>
    <n v="0"/>
  </r>
  <r>
    <d v="2024-01-24T17:00:00"/>
    <x v="0"/>
    <x v="14"/>
    <n v="10"/>
    <x v="0"/>
    <n v="5000"/>
    <n v="125"/>
    <n v="625000"/>
    <x v="533"/>
    <n v="72"/>
    <x v="568"/>
    <x v="23"/>
    <d v="2024-01-24T00:00:00"/>
    <d v="1899-12-30T17:00:00"/>
    <n v="3"/>
    <n v="0"/>
  </r>
  <r>
    <d v="2024-01-24T17:00:00"/>
    <x v="0"/>
    <x v="0"/>
    <n v="12"/>
    <x v="0"/>
    <n v="935"/>
    <n v="125"/>
    <n v="116875"/>
    <x v="574"/>
    <n v="48"/>
    <x v="601"/>
    <x v="23"/>
    <d v="2024-01-24T00:00:00"/>
    <d v="1899-12-30T17:00:00"/>
    <n v="4"/>
    <n v="0"/>
  </r>
  <r>
    <d v="2024-01-24T18:00:00"/>
    <x v="1"/>
    <x v="6"/>
    <n v="1008"/>
    <x v="1"/>
    <n v="50"/>
    <n v="3500"/>
    <n v="175000"/>
    <x v="533"/>
    <n v="88"/>
    <x v="568"/>
    <x v="23"/>
    <d v="2024-01-24T00:00:00"/>
    <d v="1899-12-30T18:00:00"/>
    <n v="15"/>
    <n v="0"/>
  </r>
  <r>
    <d v="2024-01-24T18:00:00"/>
    <x v="1"/>
    <x v="2"/>
    <n v="1011"/>
    <x v="2"/>
    <n v="6"/>
    <n v="6360"/>
    <n v="38160"/>
    <x v="554"/>
    <n v="76"/>
    <x v="595"/>
    <x v="23"/>
    <d v="2024-01-24T00:00:00"/>
    <d v="1899-12-30T18:00:00"/>
    <n v="9"/>
    <n v="0"/>
  </r>
  <r>
    <d v="2024-01-24T18:00:00"/>
    <x v="1"/>
    <x v="9"/>
    <n v="1008"/>
    <x v="1"/>
    <n v="39"/>
    <n v="3650"/>
    <n v="142350"/>
    <x v="559"/>
    <n v="84"/>
    <x v="595"/>
    <x v="23"/>
    <d v="2024-01-24T00:00:00"/>
    <d v="1899-12-30T18:00:00"/>
    <n v="14"/>
    <n v="0"/>
  </r>
  <r>
    <d v="2024-01-24T18:00:00"/>
    <x v="1"/>
    <x v="7"/>
    <n v="1008"/>
    <x v="1"/>
    <n v="45"/>
    <n v="3800"/>
    <n v="171000"/>
    <x v="575"/>
    <n v="120"/>
    <x v="602"/>
    <x v="23"/>
    <d v="2024-01-24T00:00:00"/>
    <d v="1899-12-30T18:00:00"/>
    <n v="12"/>
    <n v="0"/>
  </r>
  <r>
    <d v="2024-01-24T18:00:00"/>
    <x v="1"/>
    <x v="1"/>
    <n v="1008"/>
    <x v="1"/>
    <n v="50"/>
    <n v="3000"/>
    <n v="150000"/>
    <x v="538"/>
    <n v="120"/>
    <x v="469"/>
    <x v="23"/>
    <d v="2024-01-24T00:00:00"/>
    <d v="1899-12-30T18:00:00"/>
    <n v="13"/>
    <n v="0"/>
  </r>
  <r>
    <d v="2024-01-24T18:00:00"/>
    <x v="1"/>
    <x v="10"/>
    <n v="1011"/>
    <x v="2"/>
    <n v="11"/>
    <n v="6050"/>
    <n v="66550"/>
    <x v="545"/>
    <n v="96"/>
    <x v="581"/>
    <x v="23"/>
    <d v="2024-01-24T00:00:00"/>
    <d v="1899-12-30T18:00:00"/>
    <n v="16"/>
    <n v="0"/>
  </r>
  <r>
    <d v="2024-01-24T18:00:00"/>
    <x v="1"/>
    <x v="3"/>
    <n v="1011"/>
    <x v="2"/>
    <n v="10"/>
    <n v="6400"/>
    <n v="64000"/>
    <x v="561"/>
    <n v="72"/>
    <x v="569"/>
    <x v="23"/>
    <d v="2024-01-24T00:00:00"/>
    <d v="1899-12-30T18:00:00"/>
    <n v="11"/>
    <n v="0"/>
  </r>
  <r>
    <d v="2024-01-24T18:00:00"/>
    <x v="1"/>
    <x v="10"/>
    <n v="1008"/>
    <x v="1"/>
    <n v="34"/>
    <n v="3650"/>
    <n v="124100"/>
    <x v="576"/>
    <n v="120"/>
    <x v="603"/>
    <x v="23"/>
    <d v="2024-01-24T00:00:00"/>
    <d v="1899-12-30T18:00:00"/>
    <n v="16"/>
    <n v="0"/>
  </r>
  <r>
    <d v="2024-01-24T18:00:00"/>
    <x v="1"/>
    <x v="7"/>
    <n v="1011"/>
    <x v="2"/>
    <n v="8"/>
    <n v="6750"/>
    <n v="54000"/>
    <x v="572"/>
    <n v="96"/>
    <x v="474"/>
    <x v="23"/>
    <d v="2024-01-24T00:00:00"/>
    <d v="1899-12-30T18:00:00"/>
    <n v="12"/>
    <n v="0"/>
  </r>
  <r>
    <d v="2024-01-24T18:00:00"/>
    <x v="1"/>
    <x v="1"/>
    <n v="1011"/>
    <x v="2"/>
    <n v="13"/>
    <n v="6000"/>
    <n v="78000"/>
    <x v="452"/>
    <n v="96"/>
    <x v="472"/>
    <x v="23"/>
    <d v="2024-01-24T00:00:00"/>
    <d v="1899-12-30T18:00:00"/>
    <n v="13"/>
    <n v="0"/>
  </r>
  <r>
    <d v="2024-01-24T18:00:00"/>
    <x v="1"/>
    <x v="4"/>
    <n v="1011"/>
    <x v="2"/>
    <n v="7"/>
    <n v="6100"/>
    <n v="42700"/>
    <x v="554"/>
    <n v="84"/>
    <x v="591"/>
    <x v="23"/>
    <d v="2024-01-24T00:00:00"/>
    <d v="1899-12-30T18:00:00"/>
    <n v="10"/>
    <n v="0"/>
  </r>
  <r>
    <d v="2024-01-24T18:00:00"/>
    <x v="1"/>
    <x v="3"/>
    <n v="1008"/>
    <x v="1"/>
    <n v="30"/>
    <n v="3900"/>
    <n v="117000"/>
    <x v="577"/>
    <n v="108"/>
    <x v="604"/>
    <x v="23"/>
    <d v="2024-01-24T00:00:00"/>
    <d v="1899-12-30T18:00:00"/>
    <n v="11"/>
    <n v="0"/>
  </r>
  <r>
    <d v="2024-01-24T18:00:00"/>
    <x v="1"/>
    <x v="9"/>
    <n v="1011"/>
    <x v="2"/>
    <n v="5"/>
    <n v="6650"/>
    <n v="33250"/>
    <x v="554"/>
    <n v="84"/>
    <x v="591"/>
    <x v="23"/>
    <d v="2024-01-24T00:00:00"/>
    <d v="1899-12-30T18:00:00"/>
    <n v="14"/>
    <n v="0"/>
  </r>
  <r>
    <d v="2024-01-24T18:00:00"/>
    <x v="1"/>
    <x v="6"/>
    <n v="1011"/>
    <x v="2"/>
    <n v="15"/>
    <n v="6450"/>
    <n v="96750"/>
    <x v="554"/>
    <n v="64"/>
    <x v="579"/>
    <x v="23"/>
    <d v="2024-01-24T00:00:00"/>
    <d v="1899-12-30T18:00:00"/>
    <n v="15"/>
    <n v="0"/>
  </r>
  <r>
    <d v="2024-01-24T19:00:00"/>
    <x v="0"/>
    <x v="8"/>
    <n v="2"/>
    <x v="5"/>
    <n v="1000"/>
    <n v="7"/>
    <n v="7000"/>
    <x v="555"/>
    <n v="24"/>
    <x v="530"/>
    <x v="23"/>
    <d v="2024-01-24T00:00:00"/>
    <d v="1899-12-30T19:00:00"/>
    <n v="7"/>
    <n v="0"/>
  </r>
  <r>
    <d v="2024-01-24T21:00:00"/>
    <x v="0"/>
    <x v="0"/>
    <n v="9"/>
    <x v="0"/>
    <n v="3000"/>
    <n v="115"/>
    <n v="345000"/>
    <x v="578"/>
    <n v="48"/>
    <x v="605"/>
    <x v="23"/>
    <d v="2024-01-24T00:00:00"/>
    <d v="1899-12-30T21:00:00"/>
    <n v="4"/>
    <n v="0"/>
  </r>
  <r>
    <d v="2024-01-24T22:00:00"/>
    <x v="0"/>
    <x v="12"/>
    <n v="16"/>
    <x v="3"/>
    <n v="350"/>
    <n v="1450"/>
    <n v="507500"/>
    <x v="545"/>
    <n v="48"/>
    <x v="377"/>
    <x v="23"/>
    <d v="2024-01-24T00:00:00"/>
    <d v="1899-12-30T22:00:00"/>
    <n v="5"/>
    <n v="0"/>
  </r>
  <r>
    <d v="2024-01-25T01:00:00"/>
    <x v="3"/>
    <x v="10"/>
    <n v="3004"/>
    <x v="2"/>
    <n v="16"/>
    <n v="6800"/>
    <n v="108800"/>
    <x v="579"/>
    <n v="156"/>
    <x v="606"/>
    <x v="24"/>
    <d v="2024-01-25T00:00:00"/>
    <d v="1899-12-30T01:00:00"/>
    <n v="16"/>
    <n v="0"/>
  </r>
  <r>
    <d v="2024-01-25T01:00:00"/>
    <x v="0"/>
    <x v="15"/>
    <n v="13"/>
    <x v="0"/>
    <n v="1500"/>
    <n v="130"/>
    <n v="195000"/>
    <x v="451"/>
    <n v="72"/>
    <x v="566"/>
    <x v="24"/>
    <d v="2024-01-25T00:00:00"/>
    <d v="1899-12-30T01:00:00"/>
    <n v="1"/>
    <n v="0"/>
  </r>
  <r>
    <d v="2024-01-25T01:00:00"/>
    <x v="3"/>
    <x v="10"/>
    <n v="3003"/>
    <x v="2"/>
    <n v="12"/>
    <n v="6800"/>
    <n v="81600"/>
    <x v="580"/>
    <n v="156"/>
    <x v="607"/>
    <x v="24"/>
    <d v="2024-01-25T00:00:00"/>
    <d v="1899-12-30T01:00:00"/>
    <n v="16"/>
    <n v="0"/>
  </r>
  <r>
    <d v="2024-01-25T01:00:00"/>
    <x v="3"/>
    <x v="10"/>
    <n v="3001"/>
    <x v="2"/>
    <n v="7"/>
    <n v="6800"/>
    <n v="47600"/>
    <x v="580"/>
    <n v="156"/>
    <x v="607"/>
    <x v="24"/>
    <d v="2024-01-25T00:00:00"/>
    <d v="1899-12-30T01:00:00"/>
    <n v="16"/>
    <n v="0"/>
  </r>
  <r>
    <d v="2024-01-25T03:00:00"/>
    <x v="0"/>
    <x v="15"/>
    <n v="14"/>
    <x v="3"/>
    <n v="400"/>
    <n v="1350"/>
    <n v="540000"/>
    <x v="452"/>
    <n v="24"/>
    <x v="552"/>
    <x v="24"/>
    <d v="2024-01-25T00:00:00"/>
    <d v="1899-12-30T03:00:00"/>
    <n v="1"/>
    <n v="0"/>
  </r>
  <r>
    <d v="2024-01-25T07:00:00"/>
    <x v="0"/>
    <x v="12"/>
    <n v="16"/>
    <x v="0"/>
    <n v="1178"/>
    <n v="125"/>
    <n v="147250"/>
    <x v="550"/>
    <n v="24"/>
    <x v="538"/>
    <x v="24"/>
    <d v="2024-01-25T00:00:00"/>
    <d v="1899-12-30T07:00:00"/>
    <n v="5"/>
    <n v="0"/>
  </r>
  <r>
    <d v="2024-01-25T07:00:00"/>
    <x v="0"/>
    <x v="13"/>
    <n v="15"/>
    <x v="0"/>
    <n v="2800"/>
    <n v="130"/>
    <n v="364000"/>
    <x v="451"/>
    <n v="72"/>
    <x v="566"/>
    <x v="24"/>
    <d v="2024-01-25T00:00:00"/>
    <d v="1899-12-30T07:00:00"/>
    <n v="2"/>
    <n v="0"/>
  </r>
  <r>
    <d v="2024-01-25T08:00:00"/>
    <x v="2"/>
    <x v="3"/>
    <n v="2005"/>
    <x v="1"/>
    <n v="40"/>
    <n v="4000"/>
    <n v="160000"/>
    <x v="581"/>
    <n v="132"/>
    <x v="608"/>
    <x v="24"/>
    <d v="2024-01-25T00:00:00"/>
    <d v="1899-12-30T08:00:00"/>
    <n v="11"/>
    <n v="0"/>
  </r>
  <r>
    <d v="2024-01-25T08:00:00"/>
    <x v="2"/>
    <x v="10"/>
    <n v="2005"/>
    <x v="1"/>
    <n v="30"/>
    <n v="3750"/>
    <n v="112500"/>
    <x v="579"/>
    <n v="132"/>
    <x v="473"/>
    <x v="24"/>
    <d v="2024-01-25T00:00:00"/>
    <d v="1899-12-30T08:00:00"/>
    <n v="16"/>
    <n v="0"/>
  </r>
  <r>
    <d v="2024-01-25T08:00:00"/>
    <x v="2"/>
    <x v="10"/>
    <n v="2005"/>
    <x v="2"/>
    <n v="30"/>
    <n v="6050"/>
    <n v="181500"/>
    <x v="561"/>
    <n v="132"/>
    <x v="609"/>
    <x v="24"/>
    <d v="2024-01-25T00:00:00"/>
    <d v="1899-12-30T08:00:00"/>
    <n v="16"/>
    <n v="0"/>
  </r>
  <r>
    <d v="2024-01-25T08:00:00"/>
    <x v="2"/>
    <x v="3"/>
    <n v="2005"/>
    <x v="2"/>
    <n v="10"/>
    <n v="6800"/>
    <n v="68000"/>
    <x v="561"/>
    <n v="84"/>
    <x v="587"/>
    <x v="24"/>
    <d v="2024-01-25T00:00:00"/>
    <d v="1899-12-30T08:00:00"/>
    <n v="11"/>
    <n v="0"/>
  </r>
  <r>
    <d v="2024-01-25T08:00:00"/>
    <x v="2"/>
    <x v="4"/>
    <n v="2005"/>
    <x v="2"/>
    <n v="30"/>
    <n v="6100"/>
    <n v="183000"/>
    <x v="561"/>
    <n v="84"/>
    <x v="587"/>
    <x v="24"/>
    <d v="2024-01-25T00:00:00"/>
    <d v="1899-12-30T08:00:00"/>
    <n v="10"/>
    <n v="0"/>
  </r>
  <r>
    <d v="2024-01-25T08:00:00"/>
    <x v="2"/>
    <x v="7"/>
    <n v="2005"/>
    <x v="2"/>
    <n v="30"/>
    <n v="6800"/>
    <n v="204000"/>
    <x v="572"/>
    <n v="120"/>
    <x v="610"/>
    <x v="24"/>
    <d v="2024-01-25T00:00:00"/>
    <d v="1899-12-30T08:00:00"/>
    <n v="12"/>
    <n v="0"/>
  </r>
  <r>
    <d v="2024-01-25T08:00:00"/>
    <x v="2"/>
    <x v="6"/>
    <n v="2005"/>
    <x v="2"/>
    <n v="50"/>
    <n v="6450"/>
    <n v="322500"/>
    <x v="451"/>
    <n v="48"/>
    <x v="572"/>
    <x v="24"/>
    <d v="2024-01-25T00:00:00"/>
    <d v="1899-12-30T08:00:00"/>
    <n v="15"/>
    <n v="0"/>
  </r>
  <r>
    <d v="2024-01-25T08:00:00"/>
    <x v="2"/>
    <x v="1"/>
    <n v="2005"/>
    <x v="2"/>
    <n v="30"/>
    <n v="6000"/>
    <n v="180000"/>
    <x v="582"/>
    <n v="132"/>
    <x v="470"/>
    <x v="24"/>
    <d v="2024-01-25T00:00:00"/>
    <d v="1899-12-30T08:00:00"/>
    <n v="13"/>
    <n v="0"/>
  </r>
  <r>
    <d v="2024-01-25T08:00:00"/>
    <x v="2"/>
    <x v="2"/>
    <n v="2005"/>
    <x v="1"/>
    <n v="30"/>
    <n v="3599"/>
    <n v="107970"/>
    <x v="451"/>
    <n v="112"/>
    <x v="611"/>
    <x v="24"/>
    <d v="2024-01-25T00:00:00"/>
    <d v="1899-12-30T08:00:00"/>
    <n v="9"/>
    <n v="0"/>
  </r>
  <r>
    <d v="2024-01-25T08:00:00"/>
    <x v="2"/>
    <x v="9"/>
    <n v="2005"/>
    <x v="1"/>
    <n v="40"/>
    <n v="3750"/>
    <n v="150000"/>
    <x v="451"/>
    <n v="120"/>
    <x v="611"/>
    <x v="24"/>
    <d v="2024-01-25T00:00:00"/>
    <d v="1899-12-30T08:00:00"/>
    <n v="14"/>
    <n v="0"/>
  </r>
  <r>
    <d v="2024-01-25T08:00:00"/>
    <x v="2"/>
    <x v="4"/>
    <n v="2005"/>
    <x v="1"/>
    <n v="25"/>
    <n v="4100"/>
    <n v="102500"/>
    <x v="451"/>
    <n v="114"/>
    <x v="612"/>
    <x v="24"/>
    <d v="2024-01-25T00:00:00"/>
    <d v="1899-12-30T08:00:00"/>
    <n v="10"/>
    <n v="0"/>
  </r>
  <r>
    <d v="2024-01-25T08:00:00"/>
    <x v="2"/>
    <x v="9"/>
    <n v="2005"/>
    <x v="2"/>
    <n v="30"/>
    <n v="6650"/>
    <n v="199500"/>
    <x v="451"/>
    <n v="120"/>
    <x v="611"/>
    <x v="24"/>
    <d v="2024-01-25T00:00:00"/>
    <d v="1899-12-30T08:00:00"/>
    <n v="14"/>
    <n v="0"/>
  </r>
  <r>
    <d v="2024-01-25T08:00:00"/>
    <x v="2"/>
    <x v="7"/>
    <n v="2005"/>
    <x v="1"/>
    <n v="30"/>
    <n v="3900"/>
    <n v="117000"/>
    <x v="581"/>
    <n v="120"/>
    <x v="608"/>
    <x v="24"/>
    <d v="2024-01-25T00:00:00"/>
    <d v="1899-12-30T08:00:00"/>
    <n v="12"/>
    <n v="0"/>
  </r>
  <r>
    <d v="2024-01-25T08:00:00"/>
    <x v="2"/>
    <x v="2"/>
    <n v="2005"/>
    <x v="2"/>
    <n v="30"/>
    <n v="6255"/>
    <n v="187650"/>
    <x v="583"/>
    <n v="132"/>
    <x v="532"/>
    <x v="24"/>
    <d v="2024-01-25T00:00:00"/>
    <d v="1899-12-30T08:00:00"/>
    <n v="9"/>
    <n v="0"/>
  </r>
  <r>
    <d v="2024-01-25T08:00:00"/>
    <x v="2"/>
    <x v="1"/>
    <n v="2005"/>
    <x v="1"/>
    <n v="30"/>
    <n v="3000"/>
    <n v="90000"/>
    <x v="584"/>
    <n v="132"/>
    <x v="531"/>
    <x v="24"/>
    <d v="2024-01-25T00:00:00"/>
    <d v="1899-12-30T08:00:00"/>
    <n v="13"/>
    <n v="0"/>
  </r>
  <r>
    <d v="2024-01-25T08:00:00"/>
    <x v="2"/>
    <x v="8"/>
    <n v="2005"/>
    <x v="2"/>
    <n v="50"/>
    <n v="7100"/>
    <n v="355000"/>
    <x v="452"/>
    <n v="132"/>
    <x v="613"/>
    <x v="24"/>
    <d v="2024-01-25T00:00:00"/>
    <d v="1899-12-30T08:00:00"/>
    <n v="7"/>
    <n v="0"/>
  </r>
  <r>
    <d v="2024-01-25T08:00:00"/>
    <x v="2"/>
    <x v="6"/>
    <n v="2005"/>
    <x v="1"/>
    <n v="45"/>
    <n v="3750"/>
    <n v="168750"/>
    <x v="451"/>
    <n v="120"/>
    <x v="611"/>
    <x v="24"/>
    <d v="2024-01-25T00:00:00"/>
    <d v="1899-12-30T08:00:00"/>
    <n v="15"/>
    <n v="0"/>
  </r>
  <r>
    <d v="2024-01-25T08:00:00"/>
    <x v="0"/>
    <x v="0"/>
    <n v="11"/>
    <x v="3"/>
    <n v="600"/>
    <n v="1360"/>
    <n v="816000"/>
    <x v="452"/>
    <n v="24"/>
    <x v="552"/>
    <x v="24"/>
    <d v="2024-01-25T00:00:00"/>
    <d v="1899-12-30T08:00:00"/>
    <n v="4"/>
    <n v="0"/>
  </r>
  <r>
    <d v="2024-01-25T08:00:00"/>
    <x v="2"/>
    <x v="5"/>
    <n v="2005"/>
    <x v="2"/>
    <n v="50"/>
    <n v="6400"/>
    <n v="320000"/>
    <x v="585"/>
    <n v="144"/>
    <x v="614"/>
    <x v="24"/>
    <d v="2024-01-25T00:00:00"/>
    <d v="1899-12-30T08:00:00"/>
    <n v="8"/>
    <n v="0"/>
  </r>
  <r>
    <d v="2024-01-25T08:00:00"/>
    <x v="2"/>
    <x v="5"/>
    <n v="2005"/>
    <x v="1"/>
    <n v="50"/>
    <n v="4155"/>
    <n v="207750"/>
    <x v="564"/>
    <n v="120"/>
    <x v="611"/>
    <x v="24"/>
    <d v="2024-01-25T00:00:00"/>
    <d v="1899-12-30T08:00:00"/>
    <n v="8"/>
    <n v="0"/>
  </r>
  <r>
    <d v="2024-01-25T08:00:00"/>
    <x v="2"/>
    <x v="8"/>
    <n v="2005"/>
    <x v="1"/>
    <n v="65"/>
    <n v="4200"/>
    <n v="273000"/>
    <x v="580"/>
    <n v="132"/>
    <x v="477"/>
    <x v="24"/>
    <d v="2024-01-25T00:00:00"/>
    <d v="1899-12-30T08:00:00"/>
    <n v="7"/>
    <n v="0"/>
  </r>
  <r>
    <d v="2024-01-25T09:00:00"/>
    <x v="1"/>
    <x v="1"/>
    <n v="1004"/>
    <x v="2"/>
    <n v="20"/>
    <n v="6000"/>
    <n v="120000"/>
    <x v="586"/>
    <n v="96"/>
    <x v="615"/>
    <x v="24"/>
    <d v="2024-01-25T00:00:00"/>
    <d v="1899-12-30T09:00:00"/>
    <n v="13"/>
    <n v="0"/>
  </r>
  <r>
    <d v="2024-01-25T09:00:00"/>
    <x v="0"/>
    <x v="14"/>
    <n v="7"/>
    <x v="3"/>
    <n v="500"/>
    <n v="1350"/>
    <n v="675000"/>
    <x v="529"/>
    <n v="72"/>
    <x v="562"/>
    <x v="24"/>
    <d v="2024-01-25T00:00:00"/>
    <d v="1899-12-30T09:00:00"/>
    <n v="3"/>
    <n v="0"/>
  </r>
  <r>
    <d v="2024-01-25T09:00:00"/>
    <x v="1"/>
    <x v="9"/>
    <n v="1004"/>
    <x v="2"/>
    <n v="7"/>
    <n v="6650"/>
    <n v="46550"/>
    <x v="550"/>
    <n v="84"/>
    <x v="583"/>
    <x v="24"/>
    <d v="2024-01-25T00:00:00"/>
    <d v="1899-12-30T09:00:00"/>
    <n v="14"/>
    <n v="0"/>
  </r>
  <r>
    <d v="2024-01-25T09:00:00"/>
    <x v="1"/>
    <x v="4"/>
    <n v="1004"/>
    <x v="2"/>
    <n v="10"/>
    <n v="6000"/>
    <n v="60000"/>
    <x v="452"/>
    <n v="84"/>
    <x v="573"/>
    <x v="24"/>
    <d v="2024-01-25T00:00:00"/>
    <d v="1899-12-30T09:00:00"/>
    <n v="10"/>
    <n v="0"/>
  </r>
  <r>
    <d v="2024-01-25T09:00:00"/>
    <x v="1"/>
    <x v="6"/>
    <n v="1004"/>
    <x v="2"/>
    <n v="23"/>
    <n v="6450"/>
    <n v="148350"/>
    <x v="550"/>
    <n v="64"/>
    <x v="484"/>
    <x v="24"/>
    <d v="2024-01-25T00:00:00"/>
    <d v="1899-12-30T09:00:00"/>
    <n v="15"/>
    <n v="0"/>
  </r>
  <r>
    <d v="2024-01-25T10:00:00"/>
    <x v="1"/>
    <x v="1"/>
    <n v="1010"/>
    <x v="2"/>
    <n v="17"/>
    <n v="6000"/>
    <n v="102000"/>
    <x v="586"/>
    <n v="96"/>
    <x v="615"/>
    <x v="24"/>
    <d v="2024-01-25T00:00:00"/>
    <d v="1899-12-30T10:00:00"/>
    <n v="13"/>
    <n v="0"/>
  </r>
  <r>
    <d v="2024-01-25T10:00:00"/>
    <x v="1"/>
    <x v="2"/>
    <n v="1002"/>
    <x v="2"/>
    <n v="8"/>
    <n v="6360"/>
    <n v="50880"/>
    <x v="550"/>
    <n v="76"/>
    <x v="583"/>
    <x v="24"/>
    <d v="2024-01-25T00:00:00"/>
    <d v="1899-12-30T10:00:00"/>
    <n v="9"/>
    <n v="0"/>
  </r>
  <r>
    <d v="2024-01-25T10:00:00"/>
    <x v="1"/>
    <x v="9"/>
    <n v="1010"/>
    <x v="2"/>
    <n v="6"/>
    <n v="6650"/>
    <n v="39900"/>
    <x v="550"/>
    <n v="84"/>
    <x v="583"/>
    <x v="24"/>
    <d v="2024-01-25T00:00:00"/>
    <d v="1899-12-30T10:00:00"/>
    <n v="14"/>
    <n v="0"/>
  </r>
  <r>
    <d v="2024-01-25T10:00:00"/>
    <x v="1"/>
    <x v="4"/>
    <n v="1010"/>
    <x v="2"/>
    <n v="7"/>
    <n v="6000"/>
    <n v="42000"/>
    <x v="550"/>
    <n v="84"/>
    <x v="583"/>
    <x v="24"/>
    <d v="2024-01-25T00:00:00"/>
    <d v="1899-12-30T10:00:00"/>
    <n v="10"/>
    <n v="0"/>
  </r>
  <r>
    <d v="2024-01-25T10:00:00"/>
    <x v="1"/>
    <x v="4"/>
    <n v="1002"/>
    <x v="2"/>
    <n v="7"/>
    <n v="6000"/>
    <n v="42000"/>
    <x v="550"/>
    <n v="84"/>
    <x v="583"/>
    <x v="24"/>
    <d v="2024-01-25T00:00:00"/>
    <d v="1899-12-30T10:00:00"/>
    <n v="10"/>
    <n v="0"/>
  </r>
  <r>
    <d v="2024-01-25T10:00:00"/>
    <x v="1"/>
    <x v="6"/>
    <n v="1010"/>
    <x v="2"/>
    <n v="19"/>
    <n v="6450"/>
    <n v="122550"/>
    <x v="561"/>
    <n v="64"/>
    <x v="481"/>
    <x v="24"/>
    <d v="2024-01-25T00:00:00"/>
    <d v="1899-12-30T10:00:00"/>
    <n v="15"/>
    <n v="0"/>
  </r>
  <r>
    <d v="2024-01-25T10:00:00"/>
    <x v="1"/>
    <x v="2"/>
    <n v="1010"/>
    <x v="2"/>
    <n v="8"/>
    <n v="6360"/>
    <n v="50880"/>
    <x v="550"/>
    <n v="76"/>
    <x v="587"/>
    <x v="24"/>
    <d v="2024-01-25T00:00:00"/>
    <d v="1899-12-30T10:00:00"/>
    <n v="9"/>
    <n v="0"/>
  </r>
  <r>
    <d v="2024-01-25T10:00:00"/>
    <x v="1"/>
    <x v="9"/>
    <n v="1002"/>
    <x v="2"/>
    <n v="6"/>
    <n v="6650"/>
    <n v="39900"/>
    <x v="550"/>
    <n v="84"/>
    <x v="583"/>
    <x v="24"/>
    <d v="2024-01-25T00:00:00"/>
    <d v="1899-12-30T10:00:00"/>
    <n v="14"/>
    <n v="0"/>
  </r>
  <r>
    <d v="2024-01-25T10:00:00"/>
    <x v="1"/>
    <x v="6"/>
    <n v="1002"/>
    <x v="2"/>
    <n v="18"/>
    <n v="6450"/>
    <n v="116100"/>
    <x v="561"/>
    <n v="64"/>
    <x v="569"/>
    <x v="24"/>
    <d v="2024-01-25T00:00:00"/>
    <d v="1899-12-30T10:00:00"/>
    <n v="15"/>
    <n v="0"/>
  </r>
  <r>
    <d v="2024-01-25T10:00:00"/>
    <x v="1"/>
    <x v="7"/>
    <n v="1002"/>
    <x v="2"/>
    <n v="14"/>
    <n v="6750"/>
    <n v="94500"/>
    <x v="529"/>
    <n v="96"/>
    <x v="616"/>
    <x v="24"/>
    <d v="2024-01-25T00:00:00"/>
    <d v="1899-12-30T10:00:00"/>
    <n v="12"/>
    <n v="0"/>
  </r>
  <r>
    <d v="2024-01-25T10:00:00"/>
    <x v="1"/>
    <x v="7"/>
    <n v="1010"/>
    <x v="2"/>
    <n v="13"/>
    <n v="6750"/>
    <n v="87750"/>
    <x v="579"/>
    <n v="96"/>
    <x v="617"/>
    <x v="24"/>
    <d v="2024-01-25T00:00:00"/>
    <d v="1899-12-30T10:00:00"/>
    <n v="12"/>
    <n v="0"/>
  </r>
  <r>
    <d v="2024-01-25T10:00:00"/>
    <x v="1"/>
    <x v="3"/>
    <n v="1010"/>
    <x v="2"/>
    <n v="15"/>
    <n v="6400"/>
    <n v="96000"/>
    <x v="580"/>
    <n v="72"/>
    <x v="576"/>
    <x v="24"/>
    <d v="2024-01-25T00:00:00"/>
    <d v="1899-12-30T10:00:00"/>
    <n v="11"/>
    <n v="0"/>
  </r>
  <r>
    <d v="2024-01-25T10:00:00"/>
    <x v="1"/>
    <x v="3"/>
    <n v="1002"/>
    <x v="2"/>
    <n v="12"/>
    <n v="6400"/>
    <n v="76800"/>
    <x v="580"/>
    <n v="72"/>
    <x v="576"/>
    <x v="24"/>
    <d v="2024-01-25T00:00:00"/>
    <d v="1899-12-30T10:00:00"/>
    <n v="11"/>
    <n v="0"/>
  </r>
  <r>
    <d v="2024-01-25T10:00:00"/>
    <x v="1"/>
    <x v="5"/>
    <n v="1002"/>
    <x v="2"/>
    <n v="10"/>
    <n v="6911"/>
    <n v="69110"/>
    <x v="576"/>
    <n v="84"/>
    <x v="603"/>
    <x v="24"/>
    <d v="2024-01-25T00:00:00"/>
    <d v="1899-12-30T10:00:00"/>
    <n v="8"/>
    <n v="0"/>
  </r>
  <r>
    <d v="2024-01-25T10:00:00"/>
    <x v="1"/>
    <x v="10"/>
    <n v="1010"/>
    <x v="2"/>
    <n v="11"/>
    <n v="6050"/>
    <n v="66550"/>
    <x v="579"/>
    <n v="96"/>
    <x v="617"/>
    <x v="24"/>
    <d v="2024-01-25T00:00:00"/>
    <d v="1899-12-30T10:00:00"/>
    <n v="16"/>
    <n v="0"/>
  </r>
  <r>
    <d v="2024-01-25T10:00:00"/>
    <x v="1"/>
    <x v="10"/>
    <n v="1002"/>
    <x v="2"/>
    <n v="9"/>
    <n v="6050"/>
    <n v="54450"/>
    <x v="579"/>
    <n v="96"/>
    <x v="617"/>
    <x v="24"/>
    <d v="2024-01-25T00:00:00"/>
    <d v="1899-12-30T10:00:00"/>
    <n v="16"/>
    <n v="0"/>
  </r>
  <r>
    <d v="2024-01-25T10:00:00"/>
    <x v="3"/>
    <x v="10"/>
    <n v="3001"/>
    <x v="1"/>
    <n v="6"/>
    <n v="4500"/>
    <n v="27000"/>
    <x v="587"/>
    <n v="156"/>
    <x v="605"/>
    <x v="24"/>
    <d v="2024-01-25T00:00:00"/>
    <d v="1899-12-30T10:00:00"/>
    <n v="16"/>
    <n v="0"/>
  </r>
  <r>
    <d v="2024-01-25T10:00:00"/>
    <x v="1"/>
    <x v="1"/>
    <n v="1002"/>
    <x v="2"/>
    <n v="16"/>
    <n v="6000"/>
    <n v="96000"/>
    <x v="586"/>
    <n v="96"/>
    <x v="615"/>
    <x v="24"/>
    <d v="2024-01-25T00:00:00"/>
    <d v="1899-12-30T10:00:00"/>
    <n v="13"/>
    <n v="0"/>
  </r>
  <r>
    <d v="2024-01-25T11:00:00"/>
    <x v="0"/>
    <x v="0"/>
    <n v="13"/>
    <x v="0"/>
    <n v="3000"/>
    <n v="115"/>
    <n v="345000"/>
    <x v="561"/>
    <n v="48"/>
    <x v="569"/>
    <x v="24"/>
    <d v="2024-01-25T00:00:00"/>
    <d v="1899-12-30T11:00:00"/>
    <n v="4"/>
    <n v="0"/>
  </r>
  <r>
    <d v="2024-01-25T14:00:00"/>
    <x v="1"/>
    <x v="10"/>
    <n v="1011"/>
    <x v="1"/>
    <n v="22"/>
    <n v="3750"/>
    <n v="82500"/>
    <x v="580"/>
    <n v="96"/>
    <x v="604"/>
    <x v="24"/>
    <d v="2024-01-25T00:00:00"/>
    <d v="1899-12-30T14:00:00"/>
    <n v="16"/>
    <n v="0"/>
  </r>
  <r>
    <d v="2024-01-25T14:00:00"/>
    <x v="1"/>
    <x v="6"/>
    <n v="1011"/>
    <x v="1"/>
    <n v="33"/>
    <n v="3500"/>
    <n v="115500"/>
    <x v="580"/>
    <n v="88"/>
    <x v="618"/>
    <x v="24"/>
    <d v="2024-01-25T00:00:00"/>
    <d v="1899-12-30T14:00:00"/>
    <n v="15"/>
    <n v="0"/>
  </r>
  <r>
    <d v="2024-01-25T14:00:00"/>
    <x v="1"/>
    <x v="3"/>
    <n v="1011"/>
    <x v="1"/>
    <n v="17"/>
    <n v="4000"/>
    <n v="68000"/>
    <x v="581"/>
    <n v="96"/>
    <x v="619"/>
    <x v="24"/>
    <d v="2024-01-25T00:00:00"/>
    <d v="1899-12-30T14:00:00"/>
    <n v="11"/>
    <n v="0"/>
  </r>
  <r>
    <d v="2024-01-25T14:00:00"/>
    <x v="1"/>
    <x v="9"/>
    <n v="1011"/>
    <x v="1"/>
    <n v="25"/>
    <n v="3650"/>
    <n v="91250"/>
    <x v="588"/>
    <n v="84"/>
    <x v="604"/>
    <x v="24"/>
    <d v="2024-01-25T00:00:00"/>
    <d v="1899-12-30T14:00:00"/>
    <n v="14"/>
    <n v="0"/>
  </r>
  <r>
    <d v="2024-01-25T14:00:00"/>
    <x v="1"/>
    <x v="1"/>
    <n v="1011"/>
    <x v="1"/>
    <n v="30"/>
    <n v="3100"/>
    <n v="93000"/>
    <x v="589"/>
    <n v="96"/>
    <x v="620"/>
    <x v="24"/>
    <d v="2024-01-25T00:00:00"/>
    <d v="1899-12-30T14:00:00"/>
    <n v="13"/>
    <n v="0"/>
  </r>
  <r>
    <d v="2024-01-25T14:00:00"/>
    <x v="1"/>
    <x v="4"/>
    <n v="1011"/>
    <x v="1"/>
    <n v="14"/>
    <n v="4100"/>
    <n v="57400"/>
    <x v="529"/>
    <n v="84"/>
    <x v="562"/>
    <x v="24"/>
    <d v="2024-01-25T00:00:00"/>
    <d v="1899-12-30T14:00:00"/>
    <n v="10"/>
    <n v="0"/>
  </r>
  <r>
    <d v="2024-01-25T14:00:00"/>
    <x v="1"/>
    <x v="7"/>
    <n v="1011"/>
    <x v="1"/>
    <n v="19"/>
    <n v="3850"/>
    <n v="73150"/>
    <x v="582"/>
    <n v="96"/>
    <x v="621"/>
    <x v="24"/>
    <d v="2024-01-25T00:00:00"/>
    <d v="1899-12-30T14:00:00"/>
    <n v="12"/>
    <n v="0"/>
  </r>
  <r>
    <d v="2024-01-25T16:00:00"/>
    <x v="0"/>
    <x v="0"/>
    <n v="13"/>
    <x v="3"/>
    <n v="600"/>
    <n v="1355"/>
    <n v="813000"/>
    <x v="551"/>
    <n v="48"/>
    <x v="577"/>
    <x v="24"/>
    <d v="2024-01-25T00:00:00"/>
    <d v="1899-12-30T16:00:00"/>
    <n v="4"/>
    <n v="0"/>
  </r>
  <r>
    <d v="2024-01-25T16:00:00"/>
    <x v="0"/>
    <x v="13"/>
    <n v="7"/>
    <x v="3"/>
    <n v="768"/>
    <n v="1600"/>
    <n v="1228800"/>
    <x v="551"/>
    <n v="72"/>
    <x v="588"/>
    <x v="24"/>
    <d v="2024-01-25T00:00:00"/>
    <d v="1899-12-30T16:00:00"/>
    <n v="2"/>
    <n v="0"/>
  </r>
  <r>
    <d v="2024-01-25T18:00:00"/>
    <x v="2"/>
    <x v="3"/>
    <n v="2006"/>
    <x v="1"/>
    <n v="40"/>
    <n v="4000"/>
    <n v="160000"/>
    <x v="582"/>
    <n v="132"/>
    <x v="470"/>
    <x v="24"/>
    <d v="2024-01-25T00:00:00"/>
    <d v="1899-12-30T18:00:00"/>
    <n v="11"/>
    <n v="0"/>
  </r>
  <r>
    <d v="2024-01-25T18:00:00"/>
    <x v="2"/>
    <x v="1"/>
    <n v="2006"/>
    <x v="1"/>
    <n v="30"/>
    <n v="3000"/>
    <n v="90000"/>
    <x v="590"/>
    <n v="132"/>
    <x v="614"/>
    <x v="24"/>
    <d v="2024-01-25T00:00:00"/>
    <d v="1899-12-30T18:00:00"/>
    <n v="13"/>
    <n v="0"/>
  </r>
  <r>
    <d v="2024-01-25T18:00:00"/>
    <x v="1"/>
    <x v="4"/>
    <n v="1007"/>
    <x v="1"/>
    <n v="49"/>
    <n v="4200"/>
    <n v="205800"/>
    <x v="588"/>
    <n v="60"/>
    <x v="591"/>
    <x v="24"/>
    <d v="2024-01-25T00:00:00"/>
    <d v="1899-12-30T18:00:00"/>
    <n v="10"/>
    <n v="0"/>
  </r>
  <r>
    <d v="2024-01-25T18:00:00"/>
    <x v="1"/>
    <x v="1"/>
    <n v="1010"/>
    <x v="1"/>
    <n v="30"/>
    <n v="3100"/>
    <n v="93000"/>
    <x v="538"/>
    <n v="96"/>
    <x v="602"/>
    <x v="24"/>
    <d v="2024-01-25T00:00:00"/>
    <d v="1899-12-30T18:00:00"/>
    <n v="13"/>
    <n v="0"/>
  </r>
  <r>
    <d v="2024-01-25T18:00:00"/>
    <x v="2"/>
    <x v="5"/>
    <n v="2006"/>
    <x v="2"/>
    <n v="30"/>
    <n v="6555"/>
    <n v="196650"/>
    <x v="585"/>
    <n v="132"/>
    <x v="614"/>
    <x v="24"/>
    <d v="2024-01-25T00:00:00"/>
    <d v="1899-12-30T18:00:00"/>
    <n v="8"/>
    <n v="0"/>
  </r>
  <r>
    <d v="2024-01-25T18:00:00"/>
    <x v="1"/>
    <x v="7"/>
    <n v="1007"/>
    <x v="1"/>
    <n v="30"/>
    <n v="3850"/>
    <n v="115500"/>
    <x v="591"/>
    <n v="96"/>
    <x v="478"/>
    <x v="24"/>
    <d v="2024-01-25T00:00:00"/>
    <d v="1899-12-30T18:00:00"/>
    <n v="12"/>
    <n v="0"/>
  </r>
  <r>
    <d v="2024-01-25T18:00:00"/>
    <x v="2"/>
    <x v="6"/>
    <n v="2006"/>
    <x v="2"/>
    <n v="50"/>
    <n v="6450"/>
    <n v="322500"/>
    <x v="588"/>
    <n v="48"/>
    <x v="570"/>
    <x v="24"/>
    <d v="2024-01-25T00:00:00"/>
    <d v="1899-12-30T18:00:00"/>
    <n v="15"/>
    <n v="0"/>
  </r>
  <r>
    <d v="2024-01-25T18:00:00"/>
    <x v="2"/>
    <x v="7"/>
    <n v="2006"/>
    <x v="1"/>
    <n v="30"/>
    <n v="3900"/>
    <n v="117000"/>
    <x v="591"/>
    <n v="120"/>
    <x v="606"/>
    <x v="24"/>
    <d v="2024-01-25T00:00:00"/>
    <d v="1899-12-30T18:00:00"/>
    <n v="12"/>
    <n v="0"/>
  </r>
  <r>
    <d v="2024-01-25T18:00:00"/>
    <x v="2"/>
    <x v="2"/>
    <n v="2006"/>
    <x v="1"/>
    <n v="30"/>
    <n v="3599"/>
    <n v="107970"/>
    <x v="588"/>
    <n v="112"/>
    <x v="471"/>
    <x v="24"/>
    <d v="2024-01-25T00:00:00"/>
    <d v="1899-12-30T18:00:00"/>
    <n v="9"/>
    <n v="0"/>
  </r>
  <r>
    <d v="2024-01-25T18:00:00"/>
    <x v="1"/>
    <x v="9"/>
    <n v="1010"/>
    <x v="1"/>
    <n v="40"/>
    <n v="3650"/>
    <n v="146000"/>
    <x v="583"/>
    <n v="84"/>
    <x v="417"/>
    <x v="24"/>
    <d v="2024-01-25T00:00:00"/>
    <d v="1899-12-30T18:00:00"/>
    <n v="14"/>
    <n v="0"/>
  </r>
  <r>
    <d v="2024-01-25T18:00:00"/>
    <x v="1"/>
    <x v="2"/>
    <n v="1010"/>
    <x v="1"/>
    <n v="35"/>
    <n v="3599"/>
    <n v="125965"/>
    <x v="588"/>
    <n v="76"/>
    <x v="604"/>
    <x v="24"/>
    <d v="2024-01-25T00:00:00"/>
    <d v="1899-12-30T18:00:00"/>
    <n v="9"/>
    <n v="0"/>
  </r>
  <r>
    <d v="2024-01-25T18:00:00"/>
    <x v="1"/>
    <x v="10"/>
    <n v="1008"/>
    <x v="2"/>
    <n v="26"/>
    <n v="5950"/>
    <n v="154700"/>
    <x v="577"/>
    <n v="120"/>
    <x v="622"/>
    <x v="24"/>
    <d v="2024-01-25T00:00:00"/>
    <d v="1899-12-30T18:00:00"/>
    <n v="16"/>
    <n v="0"/>
  </r>
  <r>
    <d v="2024-01-25T18:00:00"/>
    <x v="1"/>
    <x v="10"/>
    <n v="1007"/>
    <x v="1"/>
    <n v="30"/>
    <n v="3750"/>
    <n v="112500"/>
    <x v="551"/>
    <n v="96"/>
    <x v="588"/>
    <x v="24"/>
    <d v="2024-01-25T00:00:00"/>
    <d v="1899-12-30T18:00:00"/>
    <n v="16"/>
    <n v="0"/>
  </r>
  <r>
    <d v="2024-01-25T18:00:00"/>
    <x v="1"/>
    <x v="9"/>
    <n v="1007"/>
    <x v="1"/>
    <n v="40"/>
    <n v="3650"/>
    <n v="146000"/>
    <x v="583"/>
    <n v="84"/>
    <x v="417"/>
    <x v="24"/>
    <d v="2024-01-25T00:00:00"/>
    <d v="1899-12-30T18:00:00"/>
    <n v="14"/>
    <n v="0"/>
  </r>
  <r>
    <d v="2024-01-25T18:00:00"/>
    <x v="2"/>
    <x v="4"/>
    <n v="2006"/>
    <x v="1"/>
    <n v="92"/>
    <n v="4000"/>
    <n v="368000"/>
    <x v="551"/>
    <n v="84"/>
    <x v="588"/>
    <x v="24"/>
    <d v="2024-01-25T00:00:00"/>
    <d v="1899-12-30T18:00:00"/>
    <n v="10"/>
    <n v="0"/>
  </r>
  <r>
    <d v="2024-01-25T18:00:00"/>
    <x v="2"/>
    <x v="10"/>
    <n v="2006"/>
    <x v="1"/>
    <n v="30"/>
    <n v="3750"/>
    <n v="112500"/>
    <x v="592"/>
    <n v="132"/>
    <x v="532"/>
    <x v="24"/>
    <d v="2024-01-25T00:00:00"/>
    <d v="1899-12-30T18:00:00"/>
    <n v="16"/>
    <n v="0"/>
  </r>
  <r>
    <d v="2024-01-25T18:00:00"/>
    <x v="2"/>
    <x v="10"/>
    <n v="2006"/>
    <x v="2"/>
    <n v="30"/>
    <n v="6050"/>
    <n v="181500"/>
    <x v="592"/>
    <n v="132"/>
    <x v="532"/>
    <x v="24"/>
    <d v="2024-01-25T00:00:00"/>
    <d v="1899-12-30T18:00:00"/>
    <n v="16"/>
    <n v="0"/>
  </r>
  <r>
    <d v="2024-01-25T18:00:00"/>
    <x v="1"/>
    <x v="2"/>
    <n v="1007"/>
    <x v="1"/>
    <n v="100"/>
    <n v="3250"/>
    <n v="325000"/>
    <x v="593"/>
    <n v="96"/>
    <x v="623"/>
    <x v="24"/>
    <d v="2024-01-25T00:00:00"/>
    <d v="1899-12-30T18:00:00"/>
    <n v="9"/>
    <n v="0"/>
  </r>
  <r>
    <d v="2024-01-25T18:00:00"/>
    <x v="2"/>
    <x v="2"/>
    <n v="2006"/>
    <x v="2"/>
    <n v="30"/>
    <n v="6255"/>
    <n v="187650"/>
    <x v="593"/>
    <n v="132"/>
    <x v="605"/>
    <x v="24"/>
    <d v="2024-01-25T00:00:00"/>
    <d v="1899-12-30T18:00:00"/>
    <n v="9"/>
    <n v="0"/>
  </r>
  <r>
    <d v="2024-01-25T18:00:00"/>
    <x v="1"/>
    <x v="7"/>
    <n v="1008"/>
    <x v="2"/>
    <n v="34"/>
    <n v="6700"/>
    <n v="227800"/>
    <x v="594"/>
    <n v="120"/>
    <x v="613"/>
    <x v="24"/>
    <d v="2024-01-25T00:00:00"/>
    <d v="1899-12-30T18:00:00"/>
    <n v="12"/>
    <n v="0"/>
  </r>
  <r>
    <d v="2024-01-25T18:00:00"/>
    <x v="1"/>
    <x v="3"/>
    <n v="1010"/>
    <x v="1"/>
    <n v="23"/>
    <n v="4000"/>
    <n v="92000"/>
    <x v="595"/>
    <n v="96"/>
    <x v="623"/>
    <x v="24"/>
    <d v="2024-01-25T00:00:00"/>
    <d v="1899-12-30T18:00:00"/>
    <n v="11"/>
    <n v="0"/>
  </r>
  <r>
    <d v="2024-01-25T18:00:00"/>
    <x v="2"/>
    <x v="5"/>
    <n v="2006"/>
    <x v="1"/>
    <n v="50"/>
    <n v="4155"/>
    <n v="207750"/>
    <x v="596"/>
    <n v="120"/>
    <x v="624"/>
    <x v="24"/>
    <d v="2024-01-25T00:00:00"/>
    <d v="1899-12-30T18:00:00"/>
    <n v="8"/>
    <n v="0"/>
  </r>
  <r>
    <d v="2024-01-25T18:00:00"/>
    <x v="1"/>
    <x v="7"/>
    <n v="1010"/>
    <x v="1"/>
    <n v="20"/>
    <n v="3850"/>
    <n v="77000"/>
    <x v="591"/>
    <n v="96"/>
    <x v="478"/>
    <x v="24"/>
    <d v="2024-01-25T00:00:00"/>
    <d v="1899-12-30T18:00:00"/>
    <n v="12"/>
    <n v="0"/>
  </r>
  <r>
    <d v="2024-01-25T18:00:00"/>
    <x v="2"/>
    <x v="3"/>
    <n v="2006"/>
    <x v="2"/>
    <n v="10"/>
    <n v="6800"/>
    <n v="68000"/>
    <x v="588"/>
    <n v="84"/>
    <x v="604"/>
    <x v="24"/>
    <d v="2024-01-25T00:00:00"/>
    <d v="1899-12-30T18:00:00"/>
    <n v="11"/>
    <n v="0"/>
  </r>
  <r>
    <d v="2024-01-25T18:00:00"/>
    <x v="1"/>
    <x v="3"/>
    <n v="1007"/>
    <x v="1"/>
    <n v="30"/>
    <n v="4000"/>
    <n v="120000"/>
    <x v="597"/>
    <n v="96"/>
    <x v="625"/>
    <x v="24"/>
    <d v="2024-01-25T00:00:00"/>
    <d v="1899-12-30T18:00:00"/>
    <n v="11"/>
    <n v="0"/>
  </r>
  <r>
    <d v="2024-01-25T18:00:00"/>
    <x v="2"/>
    <x v="9"/>
    <n v="2006"/>
    <x v="1"/>
    <n v="40"/>
    <n v="3750"/>
    <n v="150000"/>
    <x v="598"/>
    <n v="120"/>
    <x v="624"/>
    <x v="24"/>
    <d v="2024-01-25T00:00:00"/>
    <d v="1899-12-30T18:00:00"/>
    <n v="14"/>
    <n v="0"/>
  </r>
  <r>
    <d v="2024-01-25T18:00:00"/>
    <x v="2"/>
    <x v="9"/>
    <n v="2006"/>
    <x v="2"/>
    <n v="30"/>
    <n v="6650"/>
    <n v="199500"/>
    <x v="576"/>
    <n v="120"/>
    <x v="473"/>
    <x v="24"/>
    <d v="2024-01-25T00:00:00"/>
    <d v="1899-12-30T18:00:00"/>
    <n v="14"/>
    <n v="0"/>
  </r>
  <r>
    <d v="2024-01-25T18:00:00"/>
    <x v="2"/>
    <x v="8"/>
    <n v="2006"/>
    <x v="2"/>
    <n v="50"/>
    <n v="6900"/>
    <n v="345000"/>
    <x v="588"/>
    <n v="132"/>
    <x v="471"/>
    <x v="24"/>
    <d v="2024-01-25T00:00:00"/>
    <d v="1899-12-30T18:00:00"/>
    <n v="7"/>
    <n v="0"/>
  </r>
  <r>
    <d v="2024-01-25T18:00:00"/>
    <x v="1"/>
    <x v="4"/>
    <n v="1008"/>
    <x v="2"/>
    <n v="17"/>
    <n v="6000"/>
    <n v="102000"/>
    <x v="588"/>
    <n v="84"/>
    <x v="604"/>
    <x v="24"/>
    <d v="2024-01-25T00:00:00"/>
    <d v="1899-12-30T18:00:00"/>
    <n v="10"/>
    <n v="0"/>
  </r>
  <r>
    <d v="2024-01-25T18:00:00"/>
    <x v="1"/>
    <x v="3"/>
    <n v="1008"/>
    <x v="2"/>
    <n v="22"/>
    <n v="6200"/>
    <n v="136400"/>
    <x v="570"/>
    <n v="108"/>
    <x v="600"/>
    <x v="24"/>
    <d v="2024-01-25T00:00:00"/>
    <d v="1899-12-30T18:00:00"/>
    <n v="11"/>
    <n v="0"/>
  </r>
  <r>
    <d v="2024-01-25T18:00:00"/>
    <x v="2"/>
    <x v="8"/>
    <n v="2006"/>
    <x v="1"/>
    <n v="70"/>
    <n v="4200"/>
    <n v="294000"/>
    <x v="588"/>
    <n v="132"/>
    <x v="471"/>
    <x v="24"/>
    <d v="2024-01-25T00:00:00"/>
    <d v="1899-12-30T18:00:00"/>
    <n v="7"/>
    <n v="0"/>
  </r>
  <r>
    <d v="2024-01-25T18:00:00"/>
    <x v="1"/>
    <x v="6"/>
    <n v="1007"/>
    <x v="1"/>
    <n v="50"/>
    <n v="3500"/>
    <n v="175000"/>
    <x v="551"/>
    <n v="88"/>
    <x v="588"/>
    <x v="24"/>
    <d v="2024-01-25T00:00:00"/>
    <d v="1899-12-30T18:00:00"/>
    <n v="15"/>
    <n v="0"/>
  </r>
  <r>
    <d v="2024-01-25T18:00:00"/>
    <x v="1"/>
    <x v="4"/>
    <n v="1010"/>
    <x v="1"/>
    <n v="30"/>
    <n v="4200"/>
    <n v="126000"/>
    <x v="588"/>
    <n v="60"/>
    <x v="591"/>
    <x v="24"/>
    <d v="2024-01-25T00:00:00"/>
    <d v="1899-12-30T18:00:00"/>
    <n v="10"/>
    <n v="0"/>
  </r>
  <r>
    <d v="2024-01-25T18:00:00"/>
    <x v="1"/>
    <x v="1"/>
    <n v="1007"/>
    <x v="1"/>
    <n v="30"/>
    <n v="3100"/>
    <n v="93000"/>
    <x v="538"/>
    <n v="96"/>
    <x v="602"/>
    <x v="24"/>
    <d v="2024-01-25T00:00:00"/>
    <d v="1899-12-30T18:00:00"/>
    <n v="13"/>
    <n v="0"/>
  </r>
  <r>
    <d v="2024-01-25T18:00:00"/>
    <x v="1"/>
    <x v="10"/>
    <n v="1010"/>
    <x v="1"/>
    <n v="26"/>
    <n v="3750"/>
    <n v="97500"/>
    <x v="551"/>
    <n v="96"/>
    <x v="588"/>
    <x v="24"/>
    <d v="2024-01-25T00:00:00"/>
    <d v="1899-12-30T18:00:00"/>
    <n v="16"/>
    <n v="0"/>
  </r>
  <r>
    <d v="2024-01-25T18:00:00"/>
    <x v="1"/>
    <x v="6"/>
    <n v="1008"/>
    <x v="2"/>
    <n v="44"/>
    <n v="6350"/>
    <n v="279400"/>
    <x v="551"/>
    <n v="89"/>
    <x v="588"/>
    <x v="24"/>
    <d v="2024-01-25T00:00:00"/>
    <d v="1899-12-30T18:00:00"/>
    <n v="15"/>
    <n v="0"/>
  </r>
  <r>
    <d v="2024-01-25T18:00:00"/>
    <x v="1"/>
    <x v="1"/>
    <n v="1008"/>
    <x v="2"/>
    <n v="38"/>
    <n v="5900"/>
    <n v="224200"/>
    <x v="569"/>
    <n v="120"/>
    <x v="476"/>
    <x v="24"/>
    <d v="2024-01-25T00:00:00"/>
    <d v="1899-12-30T18:00:00"/>
    <n v="13"/>
    <n v="0"/>
  </r>
  <r>
    <d v="2024-01-25T18:00:00"/>
    <x v="2"/>
    <x v="7"/>
    <n v="2006"/>
    <x v="2"/>
    <n v="30"/>
    <n v="6800"/>
    <n v="204000"/>
    <x v="551"/>
    <n v="120"/>
    <x v="475"/>
    <x v="24"/>
    <d v="2024-01-25T00:00:00"/>
    <d v="1899-12-30T18:00:00"/>
    <n v="12"/>
    <n v="0"/>
  </r>
  <r>
    <d v="2024-01-25T18:00:00"/>
    <x v="1"/>
    <x v="6"/>
    <n v="1010"/>
    <x v="1"/>
    <n v="50"/>
    <n v="3500"/>
    <n v="175000"/>
    <x v="551"/>
    <n v="88"/>
    <x v="588"/>
    <x v="24"/>
    <d v="2024-01-25T00:00:00"/>
    <d v="1899-12-30T18:00:00"/>
    <n v="15"/>
    <n v="0"/>
  </r>
  <r>
    <d v="2024-01-25T18:00:00"/>
    <x v="2"/>
    <x v="6"/>
    <n v="2006"/>
    <x v="1"/>
    <n v="45"/>
    <n v="3750"/>
    <n v="168750"/>
    <x v="576"/>
    <n v="120"/>
    <x v="473"/>
    <x v="24"/>
    <d v="2024-01-25T00:00:00"/>
    <d v="1899-12-30T18:00:00"/>
    <n v="15"/>
    <n v="0"/>
  </r>
  <r>
    <d v="2024-01-25T18:00:00"/>
    <x v="2"/>
    <x v="4"/>
    <n v="2006"/>
    <x v="2"/>
    <n v="30"/>
    <n v="6100"/>
    <n v="183000"/>
    <x v="576"/>
    <n v="84"/>
    <x v="603"/>
    <x v="24"/>
    <d v="2024-01-25T00:00:00"/>
    <d v="1899-12-30T18:00:00"/>
    <n v="10"/>
    <n v="0"/>
  </r>
  <r>
    <d v="2024-01-25T21:00:00"/>
    <x v="0"/>
    <x v="12"/>
    <n v="16"/>
    <x v="0"/>
    <n v="1700"/>
    <n v="120"/>
    <n v="204000"/>
    <x v="598"/>
    <n v="24"/>
    <x v="377"/>
    <x v="24"/>
    <d v="2024-01-25T00:00:00"/>
    <d v="1899-12-30T21:00:00"/>
    <n v="5"/>
    <n v="0"/>
  </r>
  <r>
    <d v="2024-01-25T22:00:00"/>
    <x v="0"/>
    <x v="6"/>
    <n v="4"/>
    <x v="5"/>
    <n v="292"/>
    <n v="6"/>
    <n v="1752"/>
    <x v="592"/>
    <n v="72"/>
    <x v="626"/>
    <x v="24"/>
    <d v="2024-01-25T00:00:00"/>
    <d v="1899-12-30T22:00:00"/>
    <n v="15"/>
    <n v="0"/>
  </r>
  <r>
    <d v="2024-01-25T23:00:00"/>
    <x v="0"/>
    <x v="11"/>
    <n v="15"/>
    <x v="3"/>
    <n v="350"/>
    <n v="1500"/>
    <n v="525000"/>
    <x v="599"/>
    <n v="48"/>
    <x v="418"/>
    <x v="24"/>
    <d v="2024-01-25T00:00:00"/>
    <d v="1899-12-30T23:00:00"/>
    <n v="6"/>
    <n v="0"/>
  </r>
  <r>
    <d v="2024-01-25T23:00:00"/>
    <x v="0"/>
    <x v="7"/>
    <n v="3"/>
    <x v="5"/>
    <n v="225"/>
    <n v="10"/>
    <n v="2250"/>
    <x v="567"/>
    <n v="72"/>
    <x v="598"/>
    <x v="24"/>
    <d v="2024-01-25T00:00:00"/>
    <d v="1899-12-30T23:00:00"/>
    <n v="12"/>
    <n v="0"/>
  </r>
  <r>
    <d v="2024-01-25T23:00:00"/>
    <x v="0"/>
    <x v="11"/>
    <n v="15"/>
    <x v="3"/>
    <n v="350"/>
    <n v="1500"/>
    <n v="525000"/>
    <x v="599"/>
    <n v="48"/>
    <x v="418"/>
    <x v="24"/>
    <d v="2024-01-25T00:00:00"/>
    <d v="1899-12-30T23:00:00"/>
    <n v="6"/>
    <n v="0"/>
  </r>
  <r>
    <d v="2024-01-25T23:00:00"/>
    <x v="0"/>
    <x v="11"/>
    <n v="15"/>
    <x v="3"/>
    <n v="350"/>
    <n v="1500"/>
    <n v="525000"/>
    <x v="599"/>
    <n v="48"/>
    <x v="418"/>
    <x v="24"/>
    <d v="2024-01-25T00:00:00"/>
    <d v="1899-12-30T23:00:00"/>
    <n v="6"/>
    <n v="0"/>
  </r>
  <r>
    <d v="2024-01-25T23:00:00"/>
    <x v="0"/>
    <x v="11"/>
    <n v="15"/>
    <x v="3"/>
    <n v="350"/>
    <n v="1500"/>
    <n v="525000"/>
    <x v="599"/>
    <n v="48"/>
    <x v="418"/>
    <x v="24"/>
    <d v="2024-01-25T00:00:00"/>
    <d v="1899-12-30T23:00:00"/>
    <n v="6"/>
    <n v="0"/>
  </r>
  <r>
    <d v="2024-01-26T01:00:00"/>
    <x v="1"/>
    <x v="7"/>
    <n v="1005"/>
    <x v="1"/>
    <n v="30"/>
    <n v="3850"/>
    <n v="115500"/>
    <x v="591"/>
    <n v="96"/>
    <x v="478"/>
    <x v="25"/>
    <d v="2024-01-26T00:00:00"/>
    <d v="1899-12-30T01:00:00"/>
    <n v="12"/>
    <n v="0"/>
  </r>
  <r>
    <d v="2024-01-26T01:00:00"/>
    <x v="1"/>
    <x v="3"/>
    <n v="1005"/>
    <x v="1"/>
    <n v="30"/>
    <n v="4000"/>
    <n v="120000"/>
    <x v="600"/>
    <n v="96"/>
    <x v="600"/>
    <x v="25"/>
    <d v="2024-01-26T00:00:00"/>
    <d v="1899-12-30T01:00:00"/>
    <n v="11"/>
    <n v="0"/>
  </r>
  <r>
    <d v="2024-01-26T01:00:00"/>
    <x v="0"/>
    <x v="12"/>
    <n v="16"/>
    <x v="3"/>
    <n v="350"/>
    <n v="1450"/>
    <n v="507500"/>
    <x v="601"/>
    <n v="48"/>
    <x v="584"/>
    <x v="25"/>
    <d v="2024-01-26T00:00:00"/>
    <d v="1899-12-30T01:00:00"/>
    <n v="5"/>
    <n v="0"/>
  </r>
  <r>
    <d v="2024-01-26T01:00:00"/>
    <x v="1"/>
    <x v="10"/>
    <n v="1005"/>
    <x v="1"/>
    <n v="30"/>
    <n v="3750"/>
    <n v="112500"/>
    <x v="585"/>
    <n v="96"/>
    <x v="627"/>
    <x v="25"/>
    <d v="2024-01-26T00:00:00"/>
    <d v="1899-12-30T01:00:00"/>
    <n v="16"/>
    <n v="0"/>
  </r>
  <r>
    <d v="2024-01-26T01:00:00"/>
    <x v="1"/>
    <x v="4"/>
    <n v="1005"/>
    <x v="1"/>
    <n v="43"/>
    <n v="4200"/>
    <n v="180600"/>
    <x v="599"/>
    <n v="60"/>
    <x v="589"/>
    <x v="25"/>
    <d v="2024-01-26T00:00:00"/>
    <d v="1899-12-30T01:00:00"/>
    <n v="10"/>
    <n v="0"/>
  </r>
  <r>
    <d v="2024-01-26T01:00:00"/>
    <x v="1"/>
    <x v="9"/>
    <n v="1005"/>
    <x v="1"/>
    <n v="40"/>
    <n v="3650"/>
    <n v="146000"/>
    <x v="593"/>
    <n v="84"/>
    <x v="623"/>
    <x v="25"/>
    <d v="2024-01-26T00:00:00"/>
    <d v="1899-12-30T01:00:00"/>
    <n v="14"/>
    <n v="0"/>
  </r>
  <r>
    <d v="2024-01-26T01:00:00"/>
    <x v="1"/>
    <x v="6"/>
    <n v="1005"/>
    <x v="1"/>
    <n v="50"/>
    <n v="3500"/>
    <n v="175000"/>
    <x v="565"/>
    <n v="88"/>
    <x v="628"/>
    <x v="25"/>
    <d v="2024-01-26T00:00:00"/>
    <d v="1899-12-30T01:00:00"/>
    <n v="15"/>
    <n v="0"/>
  </r>
  <r>
    <d v="2024-01-26T01:00:00"/>
    <x v="1"/>
    <x v="2"/>
    <n v="1005"/>
    <x v="1"/>
    <n v="84"/>
    <n v="3250"/>
    <n v="273000"/>
    <x v="602"/>
    <n v="96"/>
    <x v="478"/>
    <x v="25"/>
    <d v="2024-01-26T00:00:00"/>
    <d v="1899-12-30T01:00:00"/>
    <n v="9"/>
    <n v="0"/>
  </r>
  <r>
    <d v="2024-01-26T01:00:00"/>
    <x v="1"/>
    <x v="1"/>
    <n v="1005"/>
    <x v="1"/>
    <n v="30"/>
    <n v="3100"/>
    <n v="93000"/>
    <x v="570"/>
    <n v="96"/>
    <x v="600"/>
    <x v="25"/>
    <d v="2024-01-26T00:00:00"/>
    <d v="1899-12-30T01:00:00"/>
    <n v="13"/>
    <n v="0"/>
  </r>
  <r>
    <d v="2024-01-26T04:00:00"/>
    <x v="1"/>
    <x v="4"/>
    <n v="1003"/>
    <x v="1"/>
    <n v="22"/>
    <n v="4200"/>
    <n v="92400"/>
    <x v="593"/>
    <n v="60"/>
    <x v="434"/>
    <x v="25"/>
    <d v="2024-01-26T00:00:00"/>
    <d v="1899-12-30T04:00:00"/>
    <n v="10"/>
    <n v="0"/>
  </r>
  <r>
    <d v="2024-01-26T04:00:00"/>
    <x v="1"/>
    <x v="1"/>
    <n v="1003"/>
    <x v="1"/>
    <n v="30"/>
    <n v="3100"/>
    <n v="93000"/>
    <x v="573"/>
    <n v="96"/>
    <x v="612"/>
    <x v="25"/>
    <d v="2024-01-26T00:00:00"/>
    <d v="1899-12-30T04:00:00"/>
    <n v="13"/>
    <n v="0"/>
  </r>
  <r>
    <d v="2024-01-26T04:00:00"/>
    <x v="2"/>
    <x v="7"/>
    <n v="2007"/>
    <x v="2"/>
    <n v="23"/>
    <n v="6800"/>
    <n v="156400"/>
    <x v="603"/>
    <n v="120"/>
    <x v="629"/>
    <x v="25"/>
    <d v="2024-01-26T00:00:00"/>
    <d v="1899-12-30T04:00:00"/>
    <n v="12"/>
    <n v="0"/>
  </r>
  <r>
    <d v="2024-01-26T04:00:00"/>
    <x v="0"/>
    <x v="15"/>
    <n v="14"/>
    <x v="3"/>
    <n v="400"/>
    <n v="1350"/>
    <n v="540000"/>
    <x v="567"/>
    <n v="24"/>
    <x v="564"/>
    <x v="25"/>
    <d v="2024-01-26T00:00:00"/>
    <d v="1899-12-30T04:00:00"/>
    <n v="1"/>
    <n v="0"/>
  </r>
  <r>
    <d v="2024-01-26T04:00:00"/>
    <x v="2"/>
    <x v="2"/>
    <n v="2007"/>
    <x v="2"/>
    <n v="15"/>
    <n v="6364"/>
    <n v="95460"/>
    <x v="601"/>
    <n v="119"/>
    <x v="607"/>
    <x v="25"/>
    <d v="2024-01-26T00:00:00"/>
    <d v="1899-12-30T04:00:00"/>
    <n v="9"/>
    <n v="0"/>
  </r>
  <r>
    <d v="2024-01-26T04:00:00"/>
    <x v="2"/>
    <x v="6"/>
    <n v="2007"/>
    <x v="1"/>
    <n v="45"/>
    <n v="4150"/>
    <n v="186750"/>
    <x v="601"/>
    <n v="48"/>
    <x v="576"/>
    <x v="25"/>
    <d v="2024-01-26T00:00:00"/>
    <d v="1899-12-30T04:00:00"/>
    <n v="15"/>
    <n v="0"/>
  </r>
  <r>
    <d v="2024-01-26T04:00:00"/>
    <x v="1"/>
    <x v="7"/>
    <n v="1003"/>
    <x v="2"/>
    <n v="5"/>
    <n v="6750"/>
    <n v="33750"/>
    <x v="604"/>
    <n v="96"/>
    <x v="630"/>
    <x v="25"/>
    <d v="2024-01-26T00:00:00"/>
    <d v="1899-12-30T04:00:00"/>
    <n v="12"/>
    <n v="0"/>
  </r>
  <r>
    <d v="2024-01-26T04:00:00"/>
    <x v="2"/>
    <x v="7"/>
    <n v="2007"/>
    <x v="1"/>
    <n v="28"/>
    <n v="3900"/>
    <n v="109200"/>
    <x v="600"/>
    <n v="120"/>
    <x v="607"/>
    <x v="25"/>
    <d v="2024-01-26T00:00:00"/>
    <d v="1899-12-30T04:00:00"/>
    <n v="12"/>
    <n v="0"/>
  </r>
  <r>
    <d v="2024-01-26T04:00:00"/>
    <x v="2"/>
    <x v="4"/>
    <n v="2007"/>
    <x v="1"/>
    <n v="32"/>
    <n v="4000"/>
    <n v="128000"/>
    <x v="567"/>
    <n v="84"/>
    <x v="598"/>
    <x v="25"/>
    <d v="2024-01-26T00:00:00"/>
    <d v="1899-12-30T04:00:00"/>
    <n v="10"/>
    <n v="0"/>
  </r>
  <r>
    <d v="2024-01-26T04:00:00"/>
    <x v="2"/>
    <x v="5"/>
    <n v="2007"/>
    <x v="2"/>
    <n v="10"/>
    <n v="6805"/>
    <n v="68050"/>
    <x v="567"/>
    <n v="110"/>
    <x v="631"/>
    <x v="25"/>
    <d v="2024-01-26T00:00:00"/>
    <d v="1899-12-30T04:00:00"/>
    <n v="8"/>
    <n v="0"/>
  </r>
  <r>
    <d v="2024-01-26T04:00:00"/>
    <x v="1"/>
    <x v="10"/>
    <n v="1003"/>
    <x v="1"/>
    <n v="29"/>
    <n v="3750"/>
    <n v="108750"/>
    <x v="538"/>
    <n v="96"/>
    <x v="602"/>
    <x v="25"/>
    <d v="2024-01-26T00:00:00"/>
    <d v="1899-12-30T04:00:00"/>
    <n v="16"/>
    <n v="0"/>
  </r>
  <r>
    <d v="2024-01-26T04:00:00"/>
    <x v="1"/>
    <x v="2"/>
    <n v="1003"/>
    <x v="1"/>
    <n v="50"/>
    <n v="3250"/>
    <n v="162500"/>
    <x v="455"/>
    <n v="96"/>
    <x v="596"/>
    <x v="25"/>
    <d v="2024-01-26T00:00:00"/>
    <d v="1899-12-30T04:00:00"/>
    <n v="9"/>
    <n v="0"/>
  </r>
  <r>
    <d v="2024-01-26T04:00:00"/>
    <x v="2"/>
    <x v="4"/>
    <n v="2007"/>
    <x v="2"/>
    <n v="20"/>
    <n v="6100"/>
    <n v="122000"/>
    <x v="593"/>
    <n v="84"/>
    <x v="623"/>
    <x v="25"/>
    <d v="2024-01-26T00:00:00"/>
    <d v="1899-12-30T04:00:00"/>
    <n v="10"/>
    <n v="0"/>
  </r>
  <r>
    <d v="2024-01-26T04:00:00"/>
    <x v="2"/>
    <x v="3"/>
    <n v="2007"/>
    <x v="1"/>
    <n v="20"/>
    <n v="4300"/>
    <n v="86000"/>
    <x v="604"/>
    <n v="96"/>
    <x v="630"/>
    <x v="25"/>
    <d v="2024-01-26T00:00:00"/>
    <d v="1899-12-30T04:00:00"/>
    <n v="11"/>
    <n v="0"/>
  </r>
  <r>
    <d v="2024-01-26T04:00:00"/>
    <x v="2"/>
    <x v="9"/>
    <n v="2007"/>
    <x v="1"/>
    <n v="37"/>
    <n v="4100"/>
    <n v="151700"/>
    <x v="593"/>
    <n v="82"/>
    <x v="623"/>
    <x v="25"/>
    <d v="2024-01-26T00:00:00"/>
    <d v="1899-12-30T04:00:00"/>
    <n v="14"/>
    <n v="0"/>
  </r>
  <r>
    <d v="2024-01-26T04:00:00"/>
    <x v="0"/>
    <x v="14"/>
    <n v="12"/>
    <x v="0"/>
    <n v="3400"/>
    <n v="120"/>
    <n v="408000"/>
    <x v="589"/>
    <n v="72"/>
    <x v="620"/>
    <x v="25"/>
    <d v="2024-01-26T00:00:00"/>
    <d v="1899-12-30T04:00:00"/>
    <n v="3"/>
    <n v="0"/>
  </r>
  <r>
    <d v="2024-01-26T04:00:00"/>
    <x v="1"/>
    <x v="1"/>
    <n v="1003"/>
    <x v="2"/>
    <n v="7"/>
    <n v="6000"/>
    <n v="42000"/>
    <x v="605"/>
    <n v="96"/>
    <x v="611"/>
    <x v="25"/>
    <d v="2024-01-26T00:00:00"/>
    <d v="1899-12-30T04:00:00"/>
    <n v="13"/>
    <n v="0"/>
  </r>
  <r>
    <d v="2024-01-26T04:00:00"/>
    <x v="2"/>
    <x v="6"/>
    <n v="2007"/>
    <x v="2"/>
    <n v="44"/>
    <n v="6450"/>
    <n v="283800"/>
    <x v="601"/>
    <n v="48"/>
    <x v="576"/>
    <x v="25"/>
    <d v="2024-01-26T00:00:00"/>
    <d v="1899-12-30T04:00:00"/>
    <n v="15"/>
    <n v="0"/>
  </r>
  <r>
    <d v="2024-01-26T04:00:00"/>
    <x v="2"/>
    <x v="8"/>
    <n v="2007"/>
    <x v="1"/>
    <n v="21"/>
    <n v="4200"/>
    <n v="88200"/>
    <x v="589"/>
    <n v="132"/>
    <x v="632"/>
    <x v="25"/>
    <d v="2024-01-26T00:00:00"/>
    <d v="1899-12-30T04:00:00"/>
    <n v="7"/>
    <n v="0"/>
  </r>
  <r>
    <d v="2024-01-26T04:00:00"/>
    <x v="1"/>
    <x v="6"/>
    <n v="1003"/>
    <x v="2"/>
    <n v="8"/>
    <n v="6450"/>
    <n v="51600"/>
    <x v="606"/>
    <n v="64"/>
    <x v="586"/>
    <x v="25"/>
    <d v="2024-01-26T00:00:00"/>
    <d v="1899-12-30T04:00:00"/>
    <n v="15"/>
    <n v="0"/>
  </r>
  <r>
    <d v="2024-01-26T04:00:00"/>
    <x v="1"/>
    <x v="6"/>
    <n v="1003"/>
    <x v="1"/>
    <n v="50"/>
    <n v="3500"/>
    <n v="175000"/>
    <x v="606"/>
    <n v="88"/>
    <x v="597"/>
    <x v="25"/>
    <d v="2024-01-26T00:00:00"/>
    <d v="1899-12-30T04:00:00"/>
    <n v="15"/>
    <n v="0"/>
  </r>
  <r>
    <d v="2024-01-26T04:00:00"/>
    <x v="1"/>
    <x v="10"/>
    <n v="1003"/>
    <x v="2"/>
    <n v="5"/>
    <n v="6050"/>
    <n v="30250"/>
    <x v="585"/>
    <n v="96"/>
    <x v="627"/>
    <x v="25"/>
    <d v="2024-01-26T00:00:00"/>
    <d v="1899-12-30T04:00:00"/>
    <n v="16"/>
    <n v="0"/>
  </r>
  <r>
    <d v="2024-01-26T04:00:00"/>
    <x v="1"/>
    <x v="9"/>
    <n v="1003"/>
    <x v="1"/>
    <n v="40"/>
    <n v="3650"/>
    <n v="146000"/>
    <x v="607"/>
    <n v="84"/>
    <x v="625"/>
    <x v="25"/>
    <d v="2024-01-26T00:00:00"/>
    <d v="1899-12-30T04:00:00"/>
    <n v="14"/>
    <n v="0"/>
  </r>
  <r>
    <d v="2024-01-26T04:00:00"/>
    <x v="2"/>
    <x v="2"/>
    <n v="2007"/>
    <x v="1"/>
    <n v="30"/>
    <n v="3599"/>
    <n v="107970"/>
    <x v="601"/>
    <n v="112"/>
    <x v="607"/>
    <x v="25"/>
    <d v="2024-01-26T00:00:00"/>
    <d v="1899-12-30T04:00:00"/>
    <n v="9"/>
    <n v="0"/>
  </r>
  <r>
    <d v="2024-01-26T04:00:00"/>
    <x v="1"/>
    <x v="3"/>
    <n v="1003"/>
    <x v="1"/>
    <n v="30"/>
    <n v="4000"/>
    <n v="120000"/>
    <x v="608"/>
    <n v="96"/>
    <x v="594"/>
    <x v="25"/>
    <d v="2024-01-26T00:00:00"/>
    <d v="1899-12-30T04:00:00"/>
    <n v="11"/>
    <n v="0"/>
  </r>
  <r>
    <d v="2024-01-26T04:00:00"/>
    <x v="2"/>
    <x v="8"/>
    <n v="2007"/>
    <x v="2"/>
    <n v="13"/>
    <n v="6900"/>
    <n v="89700"/>
    <x v="593"/>
    <n v="132"/>
    <x v="605"/>
    <x v="25"/>
    <d v="2024-01-26T00:00:00"/>
    <d v="1899-12-30T04:00:00"/>
    <n v="7"/>
    <n v="0"/>
  </r>
  <r>
    <d v="2024-01-26T04:00:00"/>
    <x v="2"/>
    <x v="9"/>
    <n v="2007"/>
    <x v="2"/>
    <n v="17"/>
    <n v="6650"/>
    <n v="113050"/>
    <x v="607"/>
    <n v="120"/>
    <x v="633"/>
    <x v="25"/>
    <d v="2024-01-26T00:00:00"/>
    <d v="1899-12-30T04:00:00"/>
    <n v="14"/>
    <n v="0"/>
  </r>
  <r>
    <d v="2024-01-26T04:00:00"/>
    <x v="1"/>
    <x v="3"/>
    <n v="1003"/>
    <x v="2"/>
    <n v="4"/>
    <n v="6400"/>
    <n v="25600"/>
    <x v="607"/>
    <n v="72"/>
    <x v="566"/>
    <x v="25"/>
    <d v="2024-01-26T00:00:00"/>
    <d v="1899-12-30T04:00:00"/>
    <n v="11"/>
    <n v="0"/>
  </r>
  <r>
    <d v="2024-01-26T04:00:00"/>
    <x v="1"/>
    <x v="7"/>
    <n v="1003"/>
    <x v="1"/>
    <n v="30"/>
    <n v="3850"/>
    <n v="115500"/>
    <x v="609"/>
    <n v="96"/>
    <x v="602"/>
    <x v="25"/>
    <d v="2024-01-26T00:00:00"/>
    <d v="1899-12-30T04:00:00"/>
    <n v="12"/>
    <n v="0"/>
  </r>
  <r>
    <d v="2024-01-26T04:00:00"/>
    <x v="2"/>
    <x v="3"/>
    <n v="2007"/>
    <x v="2"/>
    <n v="10"/>
    <n v="6800"/>
    <n v="68000"/>
    <x v="606"/>
    <n v="84"/>
    <x v="597"/>
    <x v="25"/>
    <d v="2024-01-26T00:00:00"/>
    <d v="1899-12-30T04:00:00"/>
    <n v="11"/>
    <n v="0"/>
  </r>
  <r>
    <d v="2024-01-26T05:00:00"/>
    <x v="0"/>
    <x v="12"/>
    <n v="9"/>
    <x v="3"/>
    <n v="200"/>
    <n v="1450"/>
    <n v="290000"/>
    <x v="589"/>
    <n v="72"/>
    <x v="620"/>
    <x v="25"/>
    <d v="2024-01-26T00:00:00"/>
    <d v="1899-12-30T05:00:00"/>
    <n v="5"/>
    <n v="0"/>
  </r>
  <r>
    <d v="2024-01-26T05:00:00"/>
    <x v="0"/>
    <x v="14"/>
    <n v="12"/>
    <x v="3"/>
    <n v="740"/>
    <n v="1300"/>
    <n v="962000"/>
    <x v="589"/>
    <n v="72"/>
    <x v="620"/>
    <x v="25"/>
    <d v="2024-01-26T00:00:00"/>
    <d v="1899-12-30T05:00:00"/>
    <n v="3"/>
    <n v="0"/>
  </r>
  <r>
    <d v="2024-01-26T05:00:00"/>
    <x v="0"/>
    <x v="15"/>
    <n v="13"/>
    <x v="3"/>
    <n v="300"/>
    <n v="1400"/>
    <n v="420000"/>
    <x v="593"/>
    <n v="72"/>
    <x v="623"/>
    <x v="25"/>
    <d v="2024-01-26T00:00:00"/>
    <d v="1899-12-30T05:00:00"/>
    <n v="1"/>
    <n v="0"/>
  </r>
  <r>
    <d v="2024-01-26T06:00:00"/>
    <x v="0"/>
    <x v="14"/>
    <n v="13"/>
    <x v="0"/>
    <n v="2000"/>
    <n v="125"/>
    <n v="250000"/>
    <x v="607"/>
    <n v="72"/>
    <x v="625"/>
    <x v="25"/>
    <d v="2024-01-26T00:00:00"/>
    <d v="1899-12-30T06:00:00"/>
    <n v="3"/>
    <n v="0"/>
  </r>
  <r>
    <d v="2024-01-26T06:00:00"/>
    <x v="1"/>
    <x v="6"/>
    <n v="1001"/>
    <x v="1"/>
    <n v="50"/>
    <n v="3500"/>
    <n v="175000"/>
    <x v="606"/>
    <n v="88"/>
    <x v="597"/>
    <x v="25"/>
    <d v="2024-01-26T00:00:00"/>
    <d v="1899-12-30T06:00:00"/>
    <n v="15"/>
    <n v="0"/>
  </r>
  <r>
    <d v="2024-01-26T06:00:00"/>
    <x v="1"/>
    <x v="4"/>
    <n v="1001"/>
    <x v="1"/>
    <n v="27"/>
    <n v="4200"/>
    <n v="113400"/>
    <x v="585"/>
    <n v="60"/>
    <x v="583"/>
    <x v="25"/>
    <d v="2024-01-26T00:00:00"/>
    <d v="1899-12-30T06:00:00"/>
    <n v="10"/>
    <n v="0"/>
  </r>
  <r>
    <d v="2024-01-26T06:00:00"/>
    <x v="1"/>
    <x v="9"/>
    <n v="1001"/>
    <x v="1"/>
    <n v="40"/>
    <n v="3650"/>
    <n v="146000"/>
    <x v="585"/>
    <n v="84"/>
    <x v="627"/>
    <x v="25"/>
    <d v="2024-01-26T00:00:00"/>
    <d v="1899-12-30T06:00:00"/>
    <n v="14"/>
    <n v="0"/>
  </r>
  <r>
    <d v="2024-01-26T06:00:00"/>
    <x v="1"/>
    <x v="7"/>
    <n v="1001"/>
    <x v="1"/>
    <n v="30"/>
    <n v="3850"/>
    <n v="115500"/>
    <x v="610"/>
    <n v="96"/>
    <x v="621"/>
    <x v="25"/>
    <d v="2024-01-26T00:00:00"/>
    <d v="1899-12-30T06:00:00"/>
    <n v="12"/>
    <n v="0"/>
  </r>
  <r>
    <d v="2024-01-26T06:00:00"/>
    <x v="1"/>
    <x v="2"/>
    <n v="1001"/>
    <x v="1"/>
    <n v="52"/>
    <n v="3250"/>
    <n v="169000"/>
    <x v="536"/>
    <n v="96"/>
    <x v="596"/>
    <x v="25"/>
    <d v="2024-01-26T00:00:00"/>
    <d v="1899-12-30T06:00:00"/>
    <n v="9"/>
    <n v="0"/>
  </r>
  <r>
    <d v="2024-01-26T06:00:00"/>
    <x v="1"/>
    <x v="3"/>
    <n v="1001"/>
    <x v="1"/>
    <n v="30"/>
    <n v="3900"/>
    <n v="117000"/>
    <x v="569"/>
    <n v="108"/>
    <x v="476"/>
    <x v="25"/>
    <d v="2024-01-26T00:00:00"/>
    <d v="1899-12-30T06:00:00"/>
    <n v="11"/>
    <n v="0"/>
  </r>
  <r>
    <d v="2024-01-26T06:00:00"/>
    <x v="1"/>
    <x v="1"/>
    <n v="1001"/>
    <x v="1"/>
    <n v="30"/>
    <n v="3100"/>
    <n v="93000"/>
    <x v="611"/>
    <n v="96"/>
    <x v="613"/>
    <x v="25"/>
    <d v="2024-01-26T00:00:00"/>
    <d v="1899-12-30T06:00:00"/>
    <n v="13"/>
    <n v="0"/>
  </r>
  <r>
    <d v="2024-01-26T06:00:00"/>
    <x v="1"/>
    <x v="10"/>
    <n v="1001"/>
    <x v="1"/>
    <n v="30"/>
    <n v="3750"/>
    <n v="112500"/>
    <x v="536"/>
    <n v="96"/>
    <x v="596"/>
    <x v="25"/>
    <d v="2024-01-26T00:00:00"/>
    <d v="1899-12-30T06:00:00"/>
    <n v="16"/>
    <n v="0"/>
  </r>
  <r>
    <d v="2024-01-26T07:00:00"/>
    <x v="0"/>
    <x v="13"/>
    <n v="15"/>
    <x v="0"/>
    <n v="2800"/>
    <n v="125"/>
    <n v="350000"/>
    <x v="607"/>
    <n v="72"/>
    <x v="625"/>
    <x v="25"/>
    <d v="2024-01-26T00:00:00"/>
    <d v="1899-12-30T07:00:00"/>
    <n v="2"/>
    <n v="0"/>
  </r>
  <r>
    <d v="2024-01-26T07:00:00"/>
    <x v="0"/>
    <x v="1"/>
    <n v="4"/>
    <x v="5"/>
    <n v="263"/>
    <n v="5"/>
    <n v="1315"/>
    <x v="564"/>
    <n v="72"/>
    <x v="611"/>
    <x v="25"/>
    <d v="2024-01-26T00:00:00"/>
    <d v="1899-12-30T07:00:00"/>
    <n v="13"/>
    <n v="0"/>
  </r>
  <r>
    <d v="2024-01-26T07:00:00"/>
    <x v="0"/>
    <x v="14"/>
    <n v="13"/>
    <x v="3"/>
    <n v="150"/>
    <n v="1300"/>
    <n v="195000"/>
    <x v="606"/>
    <n v="72"/>
    <x v="597"/>
    <x v="25"/>
    <d v="2024-01-26T00:00:00"/>
    <d v="1899-12-30T07:00:00"/>
    <n v="3"/>
    <n v="0"/>
  </r>
  <r>
    <d v="2024-01-26T10:00:00"/>
    <x v="1"/>
    <x v="7"/>
    <n v="1007"/>
    <x v="2"/>
    <n v="25"/>
    <n v="6750"/>
    <n v="168750"/>
    <x v="604"/>
    <n v="96"/>
    <x v="630"/>
    <x v="25"/>
    <d v="2024-01-26T00:00:00"/>
    <d v="1899-12-30T10:00:00"/>
    <n v="12"/>
    <n v="0"/>
  </r>
  <r>
    <d v="2024-01-26T10:00:00"/>
    <x v="1"/>
    <x v="4"/>
    <n v="1009"/>
    <x v="2"/>
    <n v="5"/>
    <n v="6000"/>
    <n v="30000"/>
    <x v="538"/>
    <n v="84"/>
    <x v="602"/>
    <x v="25"/>
    <d v="2024-01-26T00:00:00"/>
    <d v="1899-12-30T10:00:00"/>
    <n v="10"/>
    <n v="0"/>
  </r>
  <r>
    <d v="2024-01-26T10:00:00"/>
    <x v="1"/>
    <x v="9"/>
    <n v="1009"/>
    <x v="2"/>
    <n v="5"/>
    <n v="6650"/>
    <n v="33250"/>
    <x v="455"/>
    <n v="84"/>
    <x v="469"/>
    <x v="25"/>
    <d v="2024-01-26T00:00:00"/>
    <d v="1899-12-30T10:00:00"/>
    <n v="14"/>
    <n v="0"/>
  </r>
  <r>
    <d v="2024-01-26T10:00:00"/>
    <x v="1"/>
    <x v="9"/>
    <n v="1007"/>
    <x v="2"/>
    <n v="13"/>
    <n v="6650"/>
    <n v="86450"/>
    <x v="455"/>
    <n v="84"/>
    <x v="469"/>
    <x v="25"/>
    <d v="2024-01-26T00:00:00"/>
    <d v="1899-12-30T10:00:00"/>
    <n v="14"/>
    <n v="0"/>
  </r>
  <r>
    <d v="2024-01-26T10:00:00"/>
    <x v="1"/>
    <x v="6"/>
    <n v="1007"/>
    <x v="2"/>
    <n v="14"/>
    <n v="6500"/>
    <n v="91000"/>
    <x v="455"/>
    <n v="64"/>
    <x v="562"/>
    <x v="25"/>
    <d v="2024-01-26T00:00:00"/>
    <d v="1899-12-30T10:00:00"/>
    <n v="15"/>
    <n v="0"/>
  </r>
  <r>
    <d v="2024-01-26T10:00:00"/>
    <x v="1"/>
    <x v="3"/>
    <n v="1009"/>
    <x v="2"/>
    <n v="9"/>
    <n v="6400"/>
    <n v="57600"/>
    <x v="571"/>
    <n v="72"/>
    <x v="599"/>
    <x v="25"/>
    <d v="2024-01-26T00:00:00"/>
    <d v="1899-12-30T10:00:00"/>
    <n v="11"/>
    <n v="0"/>
  </r>
  <r>
    <d v="2024-01-26T10:00:00"/>
    <x v="1"/>
    <x v="8"/>
    <n v="1007"/>
    <x v="2"/>
    <n v="11"/>
    <n v="7050"/>
    <n v="77550"/>
    <x v="585"/>
    <n v="96"/>
    <x v="627"/>
    <x v="25"/>
    <d v="2024-01-26T00:00:00"/>
    <d v="1899-12-30T10:00:00"/>
    <n v="7"/>
    <n v="0"/>
  </r>
  <r>
    <d v="2024-01-26T10:00:00"/>
    <x v="1"/>
    <x v="10"/>
    <n v="1009"/>
    <x v="2"/>
    <n v="11"/>
    <n v="6050"/>
    <n v="66550"/>
    <x v="603"/>
    <n v="96"/>
    <x v="621"/>
    <x v="25"/>
    <d v="2024-01-26T00:00:00"/>
    <d v="1899-12-30T10:00:00"/>
    <n v="16"/>
    <n v="0"/>
  </r>
  <r>
    <d v="2024-01-26T10:00:00"/>
    <x v="1"/>
    <x v="3"/>
    <n v="1007"/>
    <x v="2"/>
    <n v="20"/>
    <n v="6400"/>
    <n v="128000"/>
    <x v="612"/>
    <n v="72"/>
    <x v="626"/>
    <x v="25"/>
    <d v="2024-01-26T00:00:00"/>
    <d v="1899-12-30T10:00:00"/>
    <n v="11"/>
    <n v="0"/>
  </r>
  <r>
    <d v="2024-01-26T10:00:00"/>
    <x v="1"/>
    <x v="1"/>
    <n v="1007"/>
    <x v="2"/>
    <n v="22"/>
    <n v="6000"/>
    <n v="132000"/>
    <x v="586"/>
    <n v="96"/>
    <x v="477"/>
    <x v="25"/>
    <d v="2024-01-26T00:00:00"/>
    <d v="1899-12-30T10:00:00"/>
    <n v="13"/>
    <n v="0"/>
  </r>
  <r>
    <d v="2024-01-26T10:00:00"/>
    <x v="1"/>
    <x v="1"/>
    <n v="1009"/>
    <x v="2"/>
    <n v="12"/>
    <n v="6000"/>
    <n v="72000"/>
    <x v="586"/>
    <n v="96"/>
    <x v="477"/>
    <x v="25"/>
    <d v="2024-01-26T00:00:00"/>
    <d v="1899-12-30T10:00:00"/>
    <n v="13"/>
    <n v="0"/>
  </r>
  <r>
    <d v="2024-01-26T10:00:00"/>
    <x v="1"/>
    <x v="4"/>
    <n v="1007"/>
    <x v="2"/>
    <n v="19"/>
    <n v="6000"/>
    <n v="114000"/>
    <x v="538"/>
    <n v="84"/>
    <x v="602"/>
    <x v="25"/>
    <d v="2024-01-26T00:00:00"/>
    <d v="1899-12-30T10:00:00"/>
    <n v="10"/>
    <n v="0"/>
  </r>
  <r>
    <d v="2024-01-26T10:00:00"/>
    <x v="1"/>
    <x v="10"/>
    <n v="1007"/>
    <x v="2"/>
    <n v="30"/>
    <n v="6050"/>
    <n v="181500"/>
    <x v="602"/>
    <n v="96"/>
    <x v="478"/>
    <x v="25"/>
    <d v="2024-01-26T00:00:00"/>
    <d v="1899-12-30T10:00:00"/>
    <n v="16"/>
    <n v="0"/>
  </r>
  <r>
    <d v="2024-01-26T10:00:00"/>
    <x v="1"/>
    <x v="7"/>
    <n v="1009"/>
    <x v="2"/>
    <n v="6"/>
    <n v="6750"/>
    <n v="40500"/>
    <x v="604"/>
    <n v="96"/>
    <x v="630"/>
    <x v="25"/>
    <d v="2024-01-26T00:00:00"/>
    <d v="1899-12-30T10:00:00"/>
    <n v="12"/>
    <n v="0"/>
  </r>
  <r>
    <d v="2024-01-26T10:00:00"/>
    <x v="1"/>
    <x v="6"/>
    <n v="1009"/>
    <x v="2"/>
    <n v="14"/>
    <n v="6500"/>
    <n v="91000"/>
    <x v="455"/>
    <n v="64"/>
    <x v="562"/>
    <x v="25"/>
    <d v="2024-01-26T00:00:00"/>
    <d v="1899-12-30T10:00:00"/>
    <n v="15"/>
    <n v="0"/>
  </r>
  <r>
    <d v="2024-01-26T10:00:00"/>
    <x v="1"/>
    <x v="2"/>
    <n v="1007"/>
    <x v="2"/>
    <n v="33"/>
    <n v="6170"/>
    <n v="203610"/>
    <x v="585"/>
    <n v="84"/>
    <x v="627"/>
    <x v="25"/>
    <d v="2024-01-26T00:00:00"/>
    <d v="1899-12-30T10:00:00"/>
    <n v="9"/>
    <n v="0"/>
  </r>
  <r>
    <d v="2024-01-26T12:00:00"/>
    <x v="0"/>
    <x v="13"/>
    <n v="7"/>
    <x v="3"/>
    <n v="500"/>
    <n v="1600"/>
    <n v="800000"/>
    <x v="602"/>
    <n v="72"/>
    <x v="478"/>
    <x v="25"/>
    <d v="2024-01-26T00:00:00"/>
    <d v="1899-12-30T12:00:00"/>
    <n v="2"/>
    <n v="0"/>
  </r>
  <r>
    <d v="2024-01-26T12:00:00"/>
    <x v="0"/>
    <x v="0"/>
    <n v="8"/>
    <x v="0"/>
    <n v="3200"/>
    <n v="125"/>
    <n v="400000"/>
    <x v="602"/>
    <n v="48"/>
    <x v="472"/>
    <x v="25"/>
    <d v="2024-01-26T00:00:00"/>
    <d v="1899-12-30T12:00:00"/>
    <n v="4"/>
    <n v="0"/>
  </r>
  <r>
    <d v="2024-01-26T14:00:00"/>
    <x v="2"/>
    <x v="4"/>
    <n v="2008"/>
    <x v="2"/>
    <n v="30"/>
    <n v="6100"/>
    <n v="183000"/>
    <x v="455"/>
    <n v="84"/>
    <x v="469"/>
    <x v="25"/>
    <d v="2024-01-26T00:00:00"/>
    <d v="1899-12-30T14:00:00"/>
    <n v="10"/>
    <n v="0"/>
  </r>
  <r>
    <d v="2024-01-26T14:00:00"/>
    <x v="2"/>
    <x v="6"/>
    <n v="2008"/>
    <x v="2"/>
    <n v="50"/>
    <n v="6500"/>
    <n v="325000"/>
    <x v="536"/>
    <n v="48"/>
    <x v="575"/>
    <x v="25"/>
    <d v="2024-01-26T00:00:00"/>
    <d v="1899-12-30T14:00:00"/>
    <n v="15"/>
    <n v="0"/>
  </r>
  <r>
    <d v="2024-01-26T14:00:00"/>
    <x v="2"/>
    <x v="3"/>
    <n v="2008"/>
    <x v="2"/>
    <n v="10"/>
    <n v="6800"/>
    <n v="68000"/>
    <x v="594"/>
    <n v="84"/>
    <x v="612"/>
    <x v="25"/>
    <d v="2024-01-26T00:00:00"/>
    <d v="1899-12-30T14:00:00"/>
    <n v="11"/>
    <n v="0"/>
  </r>
  <r>
    <d v="2024-01-26T14:00:00"/>
    <x v="2"/>
    <x v="9"/>
    <n v="2008"/>
    <x v="1"/>
    <n v="40"/>
    <n v="4100"/>
    <n v="164000"/>
    <x v="558"/>
    <n v="82"/>
    <x v="594"/>
    <x v="25"/>
    <d v="2024-01-26T00:00:00"/>
    <d v="1899-12-30T14:00:00"/>
    <n v="14"/>
    <n v="0"/>
  </r>
  <r>
    <d v="2024-01-26T14:00:00"/>
    <x v="2"/>
    <x v="10"/>
    <n v="2008"/>
    <x v="2"/>
    <n v="30"/>
    <n v="5950"/>
    <n v="178500"/>
    <x v="570"/>
    <n v="96"/>
    <x v="600"/>
    <x v="25"/>
    <d v="2024-01-26T00:00:00"/>
    <d v="1899-12-30T14:00:00"/>
    <n v="16"/>
    <n v="0"/>
  </r>
  <r>
    <d v="2024-01-26T14:00:00"/>
    <x v="2"/>
    <x v="6"/>
    <n v="2008"/>
    <x v="1"/>
    <n v="45"/>
    <n v="4200"/>
    <n v="189000"/>
    <x v="536"/>
    <n v="48"/>
    <x v="575"/>
    <x v="25"/>
    <d v="2024-01-26T00:00:00"/>
    <d v="1899-12-30T14:00:00"/>
    <n v="15"/>
    <n v="0"/>
  </r>
  <r>
    <d v="2024-01-26T14:00:00"/>
    <x v="2"/>
    <x v="3"/>
    <n v="2008"/>
    <x v="1"/>
    <n v="20"/>
    <n v="4300"/>
    <n v="86000"/>
    <x v="613"/>
    <n v="96"/>
    <x v="634"/>
    <x v="25"/>
    <d v="2024-01-26T00:00:00"/>
    <d v="1899-12-30T14:00:00"/>
    <n v="11"/>
    <n v="0"/>
  </r>
  <r>
    <d v="2024-01-26T14:00:00"/>
    <x v="2"/>
    <x v="4"/>
    <n v="2008"/>
    <x v="1"/>
    <n v="30"/>
    <n v="4100"/>
    <n v="123000"/>
    <x v="455"/>
    <n v="84"/>
    <x v="600"/>
    <x v="25"/>
    <d v="2024-01-26T00:00:00"/>
    <d v="1899-12-30T14:00:00"/>
    <n v="10"/>
    <n v="0"/>
  </r>
  <r>
    <d v="2024-01-26T15:00:00"/>
    <x v="0"/>
    <x v="0"/>
    <n v="8"/>
    <x v="3"/>
    <n v="800"/>
    <n v="1350"/>
    <n v="1080000"/>
    <x v="558"/>
    <n v="48"/>
    <x v="616"/>
    <x v="25"/>
    <d v="2024-01-26T00:00:00"/>
    <d v="1899-12-30T15:00:00"/>
    <n v="4"/>
    <n v="0"/>
  </r>
  <r>
    <d v="2024-01-26T17:00:00"/>
    <x v="1"/>
    <x v="10"/>
    <n v="1001"/>
    <x v="2"/>
    <n v="10"/>
    <n v="6050"/>
    <n v="60500"/>
    <x v="577"/>
    <n v="96"/>
    <x v="622"/>
    <x v="25"/>
    <d v="2024-01-26T00:00:00"/>
    <d v="1899-12-30T17:00:00"/>
    <n v="16"/>
    <n v="0"/>
  </r>
  <r>
    <d v="2024-01-26T17:00:00"/>
    <x v="1"/>
    <x v="4"/>
    <n v="1001"/>
    <x v="2"/>
    <n v="6"/>
    <n v="6000"/>
    <n v="36000"/>
    <x v="558"/>
    <n v="84"/>
    <x v="594"/>
    <x v="25"/>
    <d v="2024-01-26T00:00:00"/>
    <d v="1899-12-30T17:00:00"/>
    <n v="10"/>
    <n v="0"/>
  </r>
  <r>
    <d v="2024-01-26T17:00:00"/>
    <x v="1"/>
    <x v="6"/>
    <n v="1005"/>
    <x v="2"/>
    <n v="30"/>
    <n v="6500"/>
    <n v="195000"/>
    <x v="605"/>
    <n v="64"/>
    <x v="603"/>
    <x v="25"/>
    <d v="2024-01-26T00:00:00"/>
    <d v="1899-12-30T17:00:00"/>
    <n v="15"/>
    <n v="0"/>
  </r>
  <r>
    <d v="2024-01-26T17:00:00"/>
    <x v="1"/>
    <x v="4"/>
    <n v="1005"/>
    <x v="2"/>
    <n v="13"/>
    <n v="6000"/>
    <n v="78000"/>
    <x v="558"/>
    <n v="84"/>
    <x v="594"/>
    <x v="25"/>
    <d v="2024-01-26T00:00:00"/>
    <d v="1899-12-30T17:00:00"/>
    <n v="10"/>
    <n v="0"/>
  </r>
  <r>
    <d v="2024-01-26T17:00:00"/>
    <x v="1"/>
    <x v="6"/>
    <n v="1001"/>
    <x v="2"/>
    <n v="13"/>
    <n v="6500"/>
    <n v="84500"/>
    <x v="605"/>
    <n v="64"/>
    <x v="603"/>
    <x v="25"/>
    <d v="2024-01-26T00:00:00"/>
    <d v="1899-12-30T17:00:00"/>
    <n v="15"/>
    <n v="0"/>
  </r>
  <r>
    <d v="2024-01-26T17:00:00"/>
    <x v="1"/>
    <x v="3"/>
    <n v="1001"/>
    <x v="2"/>
    <n v="9"/>
    <n v="6500"/>
    <n v="58500"/>
    <x v="594"/>
    <n v="60"/>
    <x v="417"/>
    <x v="25"/>
    <d v="2024-01-26T00:00:00"/>
    <d v="1899-12-30T17:00:00"/>
    <n v="11"/>
    <n v="0"/>
  </r>
  <r>
    <d v="2024-01-26T17:00:00"/>
    <x v="1"/>
    <x v="9"/>
    <n v="1005"/>
    <x v="2"/>
    <n v="10"/>
    <n v="6650"/>
    <n v="66500"/>
    <x v="594"/>
    <n v="84"/>
    <x v="613"/>
    <x v="25"/>
    <d v="2024-01-26T00:00:00"/>
    <d v="1899-12-30T17:00:00"/>
    <n v="14"/>
    <n v="0"/>
  </r>
  <r>
    <d v="2024-01-26T17:00:00"/>
    <x v="1"/>
    <x v="1"/>
    <n v="1005"/>
    <x v="2"/>
    <n v="26"/>
    <n v="6000"/>
    <n v="156000"/>
    <x v="597"/>
    <n v="96"/>
    <x v="475"/>
    <x v="25"/>
    <d v="2024-01-26T00:00:00"/>
    <d v="1899-12-30T17:00:00"/>
    <n v="13"/>
    <n v="0"/>
  </r>
  <r>
    <d v="2024-01-26T17:00:00"/>
    <x v="1"/>
    <x v="1"/>
    <n v="1001"/>
    <x v="2"/>
    <n v="11"/>
    <n v="6000"/>
    <n v="66000"/>
    <x v="597"/>
    <n v="96"/>
    <x v="475"/>
    <x v="25"/>
    <d v="2024-01-26T00:00:00"/>
    <d v="1899-12-30T17:00:00"/>
    <n v="13"/>
    <n v="0"/>
  </r>
  <r>
    <d v="2024-01-26T17:00:00"/>
    <x v="1"/>
    <x v="10"/>
    <n v="1005"/>
    <x v="2"/>
    <n v="20"/>
    <n v="6050"/>
    <n v="121000"/>
    <x v="577"/>
    <n v="96"/>
    <x v="622"/>
    <x v="25"/>
    <d v="2024-01-26T00:00:00"/>
    <d v="1899-12-30T17:00:00"/>
    <n v="16"/>
    <n v="0"/>
  </r>
  <r>
    <d v="2024-01-26T17:00:00"/>
    <x v="1"/>
    <x v="3"/>
    <n v="1005"/>
    <x v="2"/>
    <n v="10"/>
    <n v="6500"/>
    <n v="65000"/>
    <x v="564"/>
    <n v="60"/>
    <x v="588"/>
    <x v="25"/>
    <d v="2024-01-26T00:00:00"/>
    <d v="1899-12-30T17:00:00"/>
    <n v="11"/>
    <n v="0"/>
  </r>
  <r>
    <d v="2024-01-26T19:00:00"/>
    <x v="0"/>
    <x v="12"/>
    <n v="10"/>
    <x v="3"/>
    <n v="600"/>
    <n v="1500"/>
    <n v="900000"/>
    <x v="605"/>
    <n v="24"/>
    <x v="568"/>
    <x v="25"/>
    <d v="2024-01-26T00:00:00"/>
    <d v="1899-12-30T19:00:00"/>
    <n v="5"/>
    <n v="0"/>
  </r>
  <r>
    <d v="2024-01-26T20:00:00"/>
    <x v="0"/>
    <x v="11"/>
    <n v="7"/>
    <x v="0"/>
    <n v="4088"/>
    <n v="130"/>
    <n v="531440"/>
    <x v="569"/>
    <n v="72"/>
    <x v="476"/>
    <x v="25"/>
    <d v="2024-01-26T00:00:00"/>
    <d v="1899-12-30T20:00:00"/>
    <n v="6"/>
    <n v="0"/>
  </r>
  <r>
    <d v="2024-01-26T22:00:00"/>
    <x v="0"/>
    <x v="12"/>
    <n v="16"/>
    <x v="3"/>
    <n v="350"/>
    <n v="1450"/>
    <n v="507500"/>
    <x v="604"/>
    <n v="48"/>
    <x v="585"/>
    <x v="25"/>
    <d v="2024-01-26T00:00:00"/>
    <d v="1899-12-30T22:00:00"/>
    <n v="5"/>
    <n v="0"/>
  </r>
  <r>
    <d v="2024-01-27T00:00:00"/>
    <x v="0"/>
    <x v="0"/>
    <n v="11"/>
    <x v="0"/>
    <n v="3000"/>
    <n v="125"/>
    <n v="375000"/>
    <x v="581"/>
    <n v="72"/>
    <x v="608"/>
    <x v="26"/>
    <d v="2024-01-27T00:00:00"/>
    <d v="1899-12-30T00:00:00"/>
    <n v="4"/>
    <n v="0"/>
  </r>
  <r>
    <d v="2024-01-27T01:00:00"/>
    <x v="0"/>
    <x v="0"/>
    <n v="11"/>
    <x v="3"/>
    <n v="600"/>
    <n v="1350"/>
    <n v="810000"/>
    <x v="604"/>
    <n v="72"/>
    <x v="630"/>
    <x v="26"/>
    <d v="2024-01-27T00:00:00"/>
    <d v="1899-12-30T01:00:00"/>
    <n v="4"/>
    <n v="0"/>
  </r>
  <r>
    <d v="2024-01-27T02:00:00"/>
    <x v="0"/>
    <x v="15"/>
    <n v="14"/>
    <x v="0"/>
    <n v="3500"/>
    <n v="125"/>
    <n v="437500"/>
    <x v="604"/>
    <n v="72"/>
    <x v="630"/>
    <x v="26"/>
    <d v="2024-01-27T00:00:00"/>
    <d v="1899-12-30T02:00:00"/>
    <n v="1"/>
    <n v="0"/>
  </r>
  <r>
    <d v="2024-01-27T03:00:00"/>
    <x v="0"/>
    <x v="12"/>
    <n v="7"/>
    <x v="3"/>
    <n v="300"/>
    <n v="1600"/>
    <n v="480000"/>
    <x v="597"/>
    <n v="24"/>
    <x v="566"/>
    <x v="26"/>
    <d v="2024-01-27T00:00:00"/>
    <d v="1899-12-30T03:00:00"/>
    <n v="5"/>
    <n v="0"/>
  </r>
  <r>
    <d v="2024-01-27T03:00:00"/>
    <x v="0"/>
    <x v="15"/>
    <n v="10"/>
    <x v="3"/>
    <n v="600"/>
    <n v="1500"/>
    <n v="900000"/>
    <x v="586"/>
    <n v="24"/>
    <x v="584"/>
    <x v="26"/>
    <d v="2024-01-27T00:00:00"/>
    <d v="1899-12-30T03:00:00"/>
    <n v="1"/>
    <n v="0"/>
  </r>
  <r>
    <d v="2024-01-27T04:00:00"/>
    <x v="1"/>
    <x v="6"/>
    <n v="1011"/>
    <x v="2"/>
    <n v="17"/>
    <n v="6500"/>
    <n v="110500"/>
    <x v="595"/>
    <n v="64"/>
    <x v="623"/>
    <x v="26"/>
    <d v="2024-01-27T00:00:00"/>
    <d v="1899-12-30T04:00:00"/>
    <n v="15"/>
    <n v="0"/>
  </r>
  <r>
    <d v="2024-01-27T04:00:00"/>
    <x v="1"/>
    <x v="9"/>
    <n v="1011"/>
    <x v="2"/>
    <n v="6"/>
    <n v="6650"/>
    <n v="39900"/>
    <x v="569"/>
    <n v="84"/>
    <x v="476"/>
    <x v="26"/>
    <d v="2024-01-27T00:00:00"/>
    <d v="1899-12-30T04:00:00"/>
    <n v="14"/>
    <n v="0"/>
  </r>
  <r>
    <d v="2024-01-27T04:00:00"/>
    <x v="0"/>
    <x v="12"/>
    <n v="16"/>
    <x v="0"/>
    <n v="1700"/>
    <n v="120"/>
    <n v="204000"/>
    <x v="595"/>
    <n v="48"/>
    <x v="623"/>
    <x v="26"/>
    <d v="2024-01-27T00:00:00"/>
    <d v="1899-12-30T04:00:00"/>
    <n v="5"/>
    <n v="0"/>
  </r>
  <r>
    <d v="2024-01-27T04:00:00"/>
    <x v="1"/>
    <x v="1"/>
    <n v="1011"/>
    <x v="2"/>
    <n v="15"/>
    <n v="6000"/>
    <n v="90000"/>
    <x v="614"/>
    <n v="96"/>
    <x v="633"/>
    <x v="26"/>
    <d v="2024-01-27T00:00:00"/>
    <d v="1899-12-30T04:00:00"/>
    <n v="13"/>
    <n v="0"/>
  </r>
  <r>
    <d v="2024-01-27T04:00:00"/>
    <x v="1"/>
    <x v="3"/>
    <n v="1011"/>
    <x v="2"/>
    <n v="10"/>
    <n v="6500"/>
    <n v="65000"/>
    <x v="586"/>
    <n v="60"/>
    <x v="615"/>
    <x v="26"/>
    <d v="2024-01-27T00:00:00"/>
    <d v="1899-12-30T04:00:00"/>
    <n v="11"/>
    <n v="0"/>
  </r>
  <r>
    <d v="2024-01-27T04:00:00"/>
    <x v="1"/>
    <x v="10"/>
    <n v="1011"/>
    <x v="2"/>
    <n v="13"/>
    <n v="6050"/>
    <n v="78650"/>
    <x v="615"/>
    <n v="96"/>
    <x v="473"/>
    <x v="26"/>
    <d v="2024-01-27T00:00:00"/>
    <d v="1899-12-30T04:00:00"/>
    <n v="16"/>
    <n v="0"/>
  </r>
  <r>
    <d v="2024-01-27T04:00:00"/>
    <x v="1"/>
    <x v="4"/>
    <n v="1011"/>
    <x v="2"/>
    <n v="6"/>
    <n v="6000"/>
    <n v="36000"/>
    <x v="595"/>
    <n v="84"/>
    <x v="635"/>
    <x v="26"/>
    <d v="2024-01-27T00:00:00"/>
    <d v="1899-12-30T04:00:00"/>
    <n v="10"/>
    <n v="0"/>
  </r>
  <r>
    <d v="2024-01-27T05:00:00"/>
    <x v="0"/>
    <x v="13"/>
    <n v="15"/>
    <x v="0"/>
    <n v="2800"/>
    <n v="125"/>
    <n v="350000"/>
    <x v="595"/>
    <n v="72"/>
    <x v="635"/>
    <x v="26"/>
    <d v="2024-01-27T00:00:00"/>
    <d v="1899-12-30T05:00:00"/>
    <n v="2"/>
    <n v="0"/>
  </r>
  <r>
    <d v="2024-01-27T05:00:00"/>
    <x v="0"/>
    <x v="11"/>
    <n v="15"/>
    <x v="3"/>
    <n v="272"/>
    <n v="1450"/>
    <n v="394400"/>
    <x v="616"/>
    <n v="72"/>
    <x v="471"/>
    <x v="26"/>
    <d v="2024-01-27T00:00:00"/>
    <d v="1899-12-30T05:00:00"/>
    <n v="6"/>
    <n v="0"/>
  </r>
  <r>
    <d v="2024-01-27T05:00:00"/>
    <x v="0"/>
    <x v="11"/>
    <n v="15"/>
    <x v="3"/>
    <n v="272"/>
    <n v="1450"/>
    <n v="394400"/>
    <x v="616"/>
    <n v="72"/>
    <x v="471"/>
    <x v="26"/>
    <d v="2024-01-27T00:00:00"/>
    <d v="1899-12-30T05:00:00"/>
    <n v="6"/>
    <n v="0"/>
  </r>
  <r>
    <d v="2024-01-27T05:00:00"/>
    <x v="0"/>
    <x v="0"/>
    <n v="13"/>
    <x v="3"/>
    <n v="300"/>
    <n v="1450"/>
    <n v="435000"/>
    <x v="595"/>
    <n v="48"/>
    <x v="623"/>
    <x v="26"/>
    <d v="2024-01-27T00:00:00"/>
    <d v="1899-12-30T05:00:00"/>
    <n v="4"/>
    <n v="0"/>
  </r>
  <r>
    <d v="2024-01-27T05:00:00"/>
    <x v="0"/>
    <x v="11"/>
    <n v="15"/>
    <x v="3"/>
    <n v="272"/>
    <n v="1450"/>
    <n v="394400"/>
    <x v="616"/>
    <n v="72"/>
    <x v="471"/>
    <x v="26"/>
    <d v="2024-01-27T00:00:00"/>
    <d v="1899-12-30T05:00:00"/>
    <n v="6"/>
    <n v="0"/>
  </r>
  <r>
    <d v="2024-01-27T05:00:00"/>
    <x v="0"/>
    <x v="13"/>
    <n v="7"/>
    <x v="3"/>
    <n v="500"/>
    <n v="1600"/>
    <n v="800000"/>
    <x v="597"/>
    <n v="72"/>
    <x v="475"/>
    <x v="26"/>
    <d v="2024-01-27T00:00:00"/>
    <d v="1899-12-30T05:00:00"/>
    <n v="2"/>
    <n v="0"/>
  </r>
  <r>
    <d v="2024-01-27T05:00:00"/>
    <x v="0"/>
    <x v="11"/>
    <n v="15"/>
    <x v="3"/>
    <n v="272"/>
    <n v="1450"/>
    <n v="394400"/>
    <x v="616"/>
    <n v="72"/>
    <x v="471"/>
    <x v="26"/>
    <d v="2024-01-27T00:00:00"/>
    <d v="1899-12-30T05:00:00"/>
    <n v="6"/>
    <n v="0"/>
  </r>
  <r>
    <d v="2024-01-27T06:00:00"/>
    <x v="1"/>
    <x v="1"/>
    <n v="1009"/>
    <x v="1"/>
    <n v="30"/>
    <n v="3100"/>
    <n v="93000"/>
    <x v="617"/>
    <n v="96"/>
    <x v="629"/>
    <x v="26"/>
    <d v="2024-01-27T00:00:00"/>
    <d v="1899-12-30T06:00:00"/>
    <n v="13"/>
    <n v="0"/>
  </r>
  <r>
    <d v="2024-01-27T06:00:00"/>
    <x v="1"/>
    <x v="4"/>
    <n v="1009"/>
    <x v="1"/>
    <n v="17"/>
    <n v="4000"/>
    <n v="68000"/>
    <x v="615"/>
    <n v="36"/>
    <x v="586"/>
    <x v="26"/>
    <d v="2024-01-27T00:00:00"/>
    <d v="1899-12-30T06:00:00"/>
    <n v="10"/>
    <n v="0"/>
  </r>
  <r>
    <d v="2024-01-27T06:00:00"/>
    <x v="0"/>
    <x v="0"/>
    <n v="13"/>
    <x v="3"/>
    <n v="300"/>
    <n v="1450"/>
    <n v="435000"/>
    <x v="596"/>
    <n v="72"/>
    <x v="624"/>
    <x v="26"/>
    <d v="2024-01-27T00:00:00"/>
    <d v="1899-12-30T06:00:00"/>
    <n v="4"/>
    <n v="0"/>
  </r>
  <r>
    <d v="2024-01-27T06:00:00"/>
    <x v="0"/>
    <x v="12"/>
    <n v="14"/>
    <x v="0"/>
    <n v="1500"/>
    <n v="125"/>
    <n v="187500"/>
    <x v="615"/>
    <n v="72"/>
    <x v="473"/>
    <x v="26"/>
    <d v="2024-01-27T00:00:00"/>
    <d v="1899-12-30T06:00:00"/>
    <n v="5"/>
    <n v="0"/>
  </r>
  <r>
    <d v="2024-01-27T06:00:00"/>
    <x v="1"/>
    <x v="6"/>
    <n v="1009"/>
    <x v="1"/>
    <n v="34"/>
    <n v="3850"/>
    <n v="130900"/>
    <x v="618"/>
    <n v="88"/>
    <x v="477"/>
    <x v="26"/>
    <d v="2024-01-27T00:00:00"/>
    <d v="1899-12-30T06:00:00"/>
    <n v="15"/>
    <n v="0"/>
  </r>
  <r>
    <d v="2024-01-27T06:00:00"/>
    <x v="1"/>
    <x v="10"/>
    <n v="1009"/>
    <x v="1"/>
    <n v="20"/>
    <n v="3750"/>
    <n v="75000"/>
    <x v="615"/>
    <n v="96"/>
    <x v="473"/>
    <x v="26"/>
    <d v="2024-01-27T00:00:00"/>
    <d v="1899-12-30T06:00:00"/>
    <n v="16"/>
    <n v="0"/>
  </r>
  <r>
    <d v="2024-01-27T06:00:00"/>
    <x v="1"/>
    <x v="7"/>
    <n v="1009"/>
    <x v="1"/>
    <n v="13"/>
    <n v="3850"/>
    <n v="50050"/>
    <x v="610"/>
    <n v="96"/>
    <x v="470"/>
    <x v="26"/>
    <d v="2024-01-27T00:00:00"/>
    <d v="1899-12-30T06:00:00"/>
    <n v="12"/>
    <n v="0"/>
  </r>
  <r>
    <d v="2024-01-27T06:00:00"/>
    <x v="1"/>
    <x v="9"/>
    <n v="1009"/>
    <x v="1"/>
    <n v="23"/>
    <n v="3650"/>
    <n v="83950"/>
    <x v="619"/>
    <n v="87"/>
    <x v="636"/>
    <x v="26"/>
    <d v="2024-01-27T00:00:00"/>
    <d v="1899-12-30T06:00:00"/>
    <n v="14"/>
    <n v="0"/>
  </r>
  <r>
    <d v="2024-01-27T07:00:00"/>
    <x v="1"/>
    <x v="10"/>
    <n v="1002"/>
    <x v="1"/>
    <n v="19"/>
    <n v="3750"/>
    <n v="71250"/>
    <x v="597"/>
    <n v="96"/>
    <x v="475"/>
    <x v="26"/>
    <d v="2024-01-27T00:00:00"/>
    <d v="1899-12-30T07:00:00"/>
    <n v="16"/>
    <n v="0"/>
  </r>
  <r>
    <d v="2024-01-27T07:00:00"/>
    <x v="1"/>
    <x v="9"/>
    <n v="1002"/>
    <x v="1"/>
    <n v="30"/>
    <n v="3800"/>
    <n v="114000"/>
    <x v="569"/>
    <n v="82"/>
    <x v="476"/>
    <x v="26"/>
    <d v="2024-01-27T00:00:00"/>
    <d v="1899-12-30T07:00:00"/>
    <n v="14"/>
    <n v="0"/>
  </r>
  <r>
    <d v="2024-01-27T07:00:00"/>
    <x v="1"/>
    <x v="1"/>
    <n v="1002"/>
    <x v="1"/>
    <n v="30"/>
    <n v="3100"/>
    <n v="93000"/>
    <x v="620"/>
    <n v="96"/>
    <x v="629"/>
    <x v="26"/>
    <d v="2024-01-27T00:00:00"/>
    <d v="1899-12-30T07:00:00"/>
    <n v="13"/>
    <n v="0"/>
  </r>
  <r>
    <d v="2024-01-27T07:00:00"/>
    <x v="1"/>
    <x v="3"/>
    <n v="1002"/>
    <x v="1"/>
    <n v="25"/>
    <n v="4000"/>
    <n v="100000"/>
    <x v="621"/>
    <n v="96"/>
    <x v="632"/>
    <x v="26"/>
    <d v="2024-01-27T00:00:00"/>
    <d v="1899-12-30T07:00:00"/>
    <n v="11"/>
    <n v="0"/>
  </r>
  <r>
    <d v="2024-01-27T07:00:00"/>
    <x v="1"/>
    <x v="6"/>
    <n v="1004"/>
    <x v="1"/>
    <n v="30"/>
    <n v="3950"/>
    <n v="118500"/>
    <x v="622"/>
    <n v="87"/>
    <x v="473"/>
    <x v="26"/>
    <d v="2024-01-27T00:00:00"/>
    <d v="1899-12-30T07:00:00"/>
    <n v="15"/>
    <n v="0"/>
  </r>
  <r>
    <d v="2024-01-27T07:00:00"/>
    <x v="1"/>
    <x v="3"/>
    <n v="1004"/>
    <x v="1"/>
    <n v="30"/>
    <n v="4000"/>
    <n v="120000"/>
    <x v="608"/>
    <n v="96"/>
    <x v="605"/>
    <x v="26"/>
    <d v="2024-01-27T00:00:00"/>
    <d v="1899-12-30T07:00:00"/>
    <n v="11"/>
    <n v="0"/>
  </r>
  <r>
    <d v="2024-01-27T07:00:00"/>
    <x v="1"/>
    <x v="9"/>
    <n v="1004"/>
    <x v="1"/>
    <n v="39"/>
    <n v="3750"/>
    <n v="146250"/>
    <x v="575"/>
    <n v="84"/>
    <x v="532"/>
    <x v="26"/>
    <d v="2024-01-27T00:00:00"/>
    <d v="1899-12-30T07:00:00"/>
    <n v="14"/>
    <n v="0"/>
  </r>
  <r>
    <d v="2024-01-27T07:00:00"/>
    <x v="1"/>
    <x v="1"/>
    <n v="1004"/>
    <x v="1"/>
    <n v="30"/>
    <n v="3100"/>
    <n v="93000"/>
    <x v="620"/>
    <n v="96"/>
    <x v="629"/>
    <x v="26"/>
    <d v="2024-01-27T00:00:00"/>
    <d v="1899-12-30T07:00:00"/>
    <n v="13"/>
    <n v="0"/>
  </r>
  <r>
    <d v="2024-01-27T07:00:00"/>
    <x v="1"/>
    <x v="4"/>
    <n v="1004"/>
    <x v="1"/>
    <n v="23"/>
    <n v="3800"/>
    <n v="87400"/>
    <x v="615"/>
    <n v="84"/>
    <x v="473"/>
    <x v="26"/>
    <d v="2024-01-27T00:00:00"/>
    <d v="1899-12-30T07:00:00"/>
    <n v="10"/>
    <n v="0"/>
  </r>
  <r>
    <d v="2024-01-27T07:00:00"/>
    <x v="1"/>
    <x v="6"/>
    <n v="1002"/>
    <x v="1"/>
    <n v="30"/>
    <n v="3950"/>
    <n v="118500"/>
    <x v="623"/>
    <n v="87"/>
    <x v="473"/>
    <x v="26"/>
    <d v="2024-01-27T00:00:00"/>
    <d v="1899-12-30T07:00:00"/>
    <n v="15"/>
    <n v="0"/>
  </r>
  <r>
    <d v="2024-01-27T07:00:00"/>
    <x v="1"/>
    <x v="2"/>
    <n v="1002"/>
    <x v="1"/>
    <n v="15"/>
    <n v="3499"/>
    <n v="52485"/>
    <x v="615"/>
    <n v="76"/>
    <x v="473"/>
    <x v="26"/>
    <d v="2024-01-27T00:00:00"/>
    <d v="1899-12-30T07:00:00"/>
    <n v="9"/>
    <n v="0"/>
  </r>
  <r>
    <d v="2024-01-27T07:00:00"/>
    <x v="1"/>
    <x v="7"/>
    <n v="1002"/>
    <x v="1"/>
    <n v="22"/>
    <n v="3850"/>
    <n v="84700"/>
    <x v="610"/>
    <n v="96"/>
    <x v="470"/>
    <x v="26"/>
    <d v="2024-01-27T00:00:00"/>
    <d v="1899-12-30T07:00:00"/>
    <n v="12"/>
    <n v="0"/>
  </r>
  <r>
    <d v="2024-01-27T07:00:00"/>
    <x v="1"/>
    <x v="4"/>
    <n v="1002"/>
    <x v="1"/>
    <n v="38"/>
    <n v="3900"/>
    <n v="148200"/>
    <x v="615"/>
    <n v="36"/>
    <x v="586"/>
    <x v="26"/>
    <d v="2024-01-27T00:00:00"/>
    <d v="1899-12-30T07:00:00"/>
    <n v="10"/>
    <n v="0"/>
  </r>
  <r>
    <d v="2024-01-27T07:00:00"/>
    <x v="1"/>
    <x v="10"/>
    <n v="1004"/>
    <x v="1"/>
    <n v="30"/>
    <n v="3750"/>
    <n v="112500"/>
    <x v="597"/>
    <n v="96"/>
    <x v="475"/>
    <x v="26"/>
    <d v="2024-01-27T00:00:00"/>
    <d v="1899-12-30T07:00:00"/>
    <n v="16"/>
    <n v="0"/>
  </r>
  <r>
    <d v="2024-01-27T08:00:00"/>
    <x v="0"/>
    <x v="0"/>
    <n v="13"/>
    <x v="0"/>
    <n v="3000"/>
    <n v="125"/>
    <n v="375000"/>
    <x v="596"/>
    <n v="48"/>
    <x v="627"/>
    <x v="26"/>
    <d v="2024-01-27T00:00:00"/>
    <d v="1899-12-30T08:00:00"/>
    <n v="4"/>
    <n v="0"/>
  </r>
  <r>
    <d v="2024-01-27T09:00:00"/>
    <x v="1"/>
    <x v="3"/>
    <n v="1006"/>
    <x v="1"/>
    <n v="30"/>
    <n v="4000"/>
    <n v="120000"/>
    <x v="621"/>
    <n v="96"/>
    <x v="632"/>
    <x v="26"/>
    <d v="2024-01-27T00:00:00"/>
    <d v="1899-12-30T09:00:00"/>
    <n v="11"/>
    <n v="0"/>
  </r>
  <r>
    <d v="2024-01-27T09:00:00"/>
    <x v="1"/>
    <x v="4"/>
    <n v="1006"/>
    <x v="1"/>
    <n v="67"/>
    <n v="3900"/>
    <n v="261300"/>
    <x v="569"/>
    <n v="36"/>
    <x v="573"/>
    <x v="26"/>
    <d v="2024-01-27T00:00:00"/>
    <d v="1899-12-30T09:00:00"/>
    <n v="10"/>
    <n v="0"/>
  </r>
  <r>
    <d v="2024-01-27T09:00:00"/>
    <x v="1"/>
    <x v="6"/>
    <n v="1006"/>
    <x v="1"/>
    <n v="50"/>
    <n v="3850"/>
    <n v="192500"/>
    <x v="624"/>
    <n v="88"/>
    <x v="533"/>
    <x v="26"/>
    <d v="2024-01-27T00:00:00"/>
    <d v="1899-12-30T09:00:00"/>
    <n v="15"/>
    <n v="0"/>
  </r>
  <r>
    <d v="2024-01-27T09:00:00"/>
    <x v="1"/>
    <x v="9"/>
    <n v="1006"/>
    <x v="1"/>
    <n v="40"/>
    <n v="3650"/>
    <n v="146000"/>
    <x v="600"/>
    <n v="87"/>
    <x v="607"/>
    <x v="26"/>
    <d v="2024-01-27T00:00:00"/>
    <d v="1899-12-30T09:00:00"/>
    <n v="14"/>
    <n v="0"/>
  </r>
  <r>
    <d v="2024-01-27T09:00:00"/>
    <x v="1"/>
    <x v="7"/>
    <n v="1006"/>
    <x v="1"/>
    <n v="30"/>
    <n v="3850"/>
    <n v="115500"/>
    <x v="625"/>
    <n v="96"/>
    <x v="607"/>
    <x v="26"/>
    <d v="2024-01-27T00:00:00"/>
    <d v="1899-12-30T09:00:00"/>
    <n v="12"/>
    <n v="0"/>
  </r>
  <r>
    <d v="2024-01-27T09:00:00"/>
    <x v="1"/>
    <x v="2"/>
    <n v="1006"/>
    <x v="1"/>
    <n v="51"/>
    <n v="3250"/>
    <n v="165750"/>
    <x v="608"/>
    <n v="96"/>
    <x v="605"/>
    <x v="26"/>
    <d v="2024-01-27T00:00:00"/>
    <d v="1899-12-30T09:00:00"/>
    <n v="9"/>
    <n v="0"/>
  </r>
  <r>
    <d v="2024-01-27T09:00:00"/>
    <x v="1"/>
    <x v="10"/>
    <n v="1006"/>
    <x v="1"/>
    <n v="30"/>
    <n v="3750"/>
    <n v="112500"/>
    <x v="575"/>
    <n v="96"/>
    <x v="470"/>
    <x v="26"/>
    <d v="2024-01-27T00:00:00"/>
    <d v="1899-12-30T09:00:00"/>
    <n v="16"/>
    <n v="0"/>
  </r>
  <r>
    <d v="2024-01-27T10:00:00"/>
    <x v="2"/>
    <x v="3"/>
    <n v="2009"/>
    <x v="2"/>
    <n v="10"/>
    <n v="6800"/>
    <n v="68000"/>
    <x v="626"/>
    <n v="84"/>
    <x v="477"/>
    <x v="26"/>
    <d v="2024-01-27T00:00:00"/>
    <d v="1899-12-30T10:00:00"/>
    <n v="11"/>
    <n v="0"/>
  </r>
  <r>
    <d v="2024-01-27T10:00:00"/>
    <x v="2"/>
    <x v="4"/>
    <n v="2009"/>
    <x v="1"/>
    <n v="10"/>
    <n v="4100"/>
    <n v="41000"/>
    <x v="596"/>
    <n v="84"/>
    <x v="624"/>
    <x v="26"/>
    <d v="2024-01-27T00:00:00"/>
    <d v="1899-12-30T10:00:00"/>
    <n v="10"/>
    <n v="0"/>
  </r>
  <r>
    <d v="2024-01-27T10:00:00"/>
    <x v="2"/>
    <x v="4"/>
    <n v="2009"/>
    <x v="2"/>
    <n v="10"/>
    <n v="6100"/>
    <n v="61000"/>
    <x v="596"/>
    <n v="84"/>
    <x v="624"/>
    <x v="26"/>
    <d v="2024-01-27T00:00:00"/>
    <d v="1899-12-30T10:00:00"/>
    <n v="10"/>
    <n v="0"/>
  </r>
  <r>
    <d v="2024-01-27T10:00:00"/>
    <x v="2"/>
    <x v="6"/>
    <n v="2009"/>
    <x v="1"/>
    <n v="45"/>
    <n v="4400"/>
    <n v="198000"/>
    <x v="600"/>
    <n v="48"/>
    <x v="615"/>
    <x v="26"/>
    <d v="2024-01-27T00:00:00"/>
    <d v="1899-12-30T10:00:00"/>
    <n v="15"/>
    <n v="0"/>
  </r>
  <r>
    <d v="2024-01-27T10:00:00"/>
    <x v="2"/>
    <x v="6"/>
    <n v="2009"/>
    <x v="2"/>
    <n v="50"/>
    <n v="6500"/>
    <n v="325000"/>
    <x v="596"/>
    <n v="48"/>
    <x v="637"/>
    <x v="26"/>
    <d v="2024-01-27T00:00:00"/>
    <d v="1899-12-30T10:00:00"/>
    <n v="15"/>
    <n v="0"/>
  </r>
  <r>
    <d v="2024-01-27T10:00:00"/>
    <x v="2"/>
    <x v="9"/>
    <n v="2009"/>
    <x v="1"/>
    <n v="40"/>
    <n v="4100"/>
    <n v="164000"/>
    <x v="591"/>
    <n v="82"/>
    <x v="531"/>
    <x v="26"/>
    <d v="2024-01-27T00:00:00"/>
    <d v="1899-12-30T10:00:00"/>
    <n v="14"/>
    <n v="0"/>
  </r>
  <r>
    <d v="2024-01-27T10:00:00"/>
    <x v="2"/>
    <x v="10"/>
    <n v="2009"/>
    <x v="2"/>
    <n v="30"/>
    <n v="6250"/>
    <n v="187500"/>
    <x v="591"/>
    <n v="96"/>
    <x v="531"/>
    <x v="26"/>
    <d v="2024-01-27T00:00:00"/>
    <d v="1899-12-30T10:00:00"/>
    <n v="16"/>
    <n v="0"/>
  </r>
  <r>
    <d v="2024-01-27T10:00:00"/>
    <x v="0"/>
    <x v="0"/>
    <n v="8"/>
    <x v="0"/>
    <n v="3200"/>
    <n v="125"/>
    <n v="400000"/>
    <x v="596"/>
    <n v="72"/>
    <x v="624"/>
    <x v="26"/>
    <d v="2024-01-27T00:00:00"/>
    <d v="1899-12-30T10:00:00"/>
    <n v="4"/>
    <n v="0"/>
  </r>
  <r>
    <d v="2024-01-27T10:00:00"/>
    <x v="0"/>
    <x v="13"/>
    <n v="7"/>
    <x v="0"/>
    <n v="5000"/>
    <n v="125"/>
    <n v="625000"/>
    <x v="575"/>
    <n v="72"/>
    <x v="532"/>
    <x v="26"/>
    <d v="2024-01-27T00:00:00"/>
    <d v="1899-12-30T10:00:00"/>
    <n v="2"/>
    <n v="0"/>
  </r>
  <r>
    <d v="2024-01-27T10:00:00"/>
    <x v="2"/>
    <x v="3"/>
    <n v="2009"/>
    <x v="1"/>
    <n v="20"/>
    <n v="4300"/>
    <n v="86000"/>
    <x v="627"/>
    <n v="96"/>
    <x v="638"/>
    <x v="26"/>
    <d v="2024-01-27T00:00:00"/>
    <d v="1899-12-30T10:00:00"/>
    <n v="11"/>
    <n v="0"/>
  </r>
  <r>
    <d v="2024-01-27T11:00:00"/>
    <x v="0"/>
    <x v="0"/>
    <n v="8"/>
    <x v="3"/>
    <n v="800"/>
    <n v="1350"/>
    <n v="1080000"/>
    <x v="575"/>
    <n v="72"/>
    <x v="532"/>
    <x v="26"/>
    <d v="2024-01-27T00:00:00"/>
    <d v="1899-12-30T11:00:00"/>
    <n v="4"/>
    <n v="0"/>
  </r>
  <r>
    <d v="2024-01-27T11:00:00"/>
    <x v="0"/>
    <x v="14"/>
    <n v="10"/>
    <x v="3"/>
    <n v="500"/>
    <n v="1354"/>
    <n v="677000"/>
    <x v="563"/>
    <n v="48"/>
    <x v="596"/>
    <x v="26"/>
    <d v="2024-01-27T00:00:00"/>
    <d v="1899-12-30T11:00:00"/>
    <n v="3"/>
    <n v="0"/>
  </r>
  <r>
    <d v="2024-01-27T12:00:00"/>
    <x v="0"/>
    <x v="15"/>
    <n v="14"/>
    <x v="3"/>
    <n v="400"/>
    <n v="1350"/>
    <n v="540000"/>
    <x v="591"/>
    <n v="24"/>
    <x v="472"/>
    <x v="26"/>
    <d v="2024-01-27T00:00:00"/>
    <d v="1899-12-30T12:00:00"/>
    <n v="1"/>
    <n v="0"/>
  </r>
  <r>
    <d v="2024-01-27T12:00:00"/>
    <x v="0"/>
    <x v="14"/>
    <n v="10"/>
    <x v="0"/>
    <n v="5000"/>
    <n v="125"/>
    <n v="625000"/>
    <x v="619"/>
    <n v="72"/>
    <x v="636"/>
    <x v="26"/>
    <d v="2024-01-27T00:00:00"/>
    <d v="1899-12-30T12:00:00"/>
    <n v="3"/>
    <n v="0"/>
  </r>
  <r>
    <d v="2024-01-27T17:00:00"/>
    <x v="0"/>
    <x v="0"/>
    <n v="9"/>
    <x v="3"/>
    <n v="300"/>
    <n v="1455"/>
    <n v="436500"/>
    <x v="621"/>
    <n v="48"/>
    <x v="622"/>
    <x v="26"/>
    <d v="2024-01-27T00:00:00"/>
    <d v="1899-12-30T17:00:00"/>
    <n v="4"/>
    <n v="0"/>
  </r>
  <r>
    <d v="2024-01-27T19:00:00"/>
    <x v="0"/>
    <x v="0"/>
    <n v="11"/>
    <x v="0"/>
    <n v="3000"/>
    <n v="125"/>
    <n v="375000"/>
    <x v="628"/>
    <n v="72"/>
    <x v="633"/>
    <x v="26"/>
    <d v="2024-01-27T00:00:00"/>
    <d v="1899-12-30T19:00:00"/>
    <n v="4"/>
    <n v="0"/>
  </r>
  <r>
    <d v="2024-01-27T22:00:00"/>
    <x v="0"/>
    <x v="11"/>
    <n v="11"/>
    <x v="3"/>
    <n v="100"/>
    <n v="1550"/>
    <n v="155000"/>
    <x v="590"/>
    <n v="24"/>
    <x v="637"/>
    <x v="26"/>
    <d v="2024-01-27T00:00:00"/>
    <d v="1899-12-30T22:00:00"/>
    <n v="6"/>
    <n v="0"/>
  </r>
  <r>
    <d v="2024-01-28T01:00:00"/>
    <x v="1"/>
    <x v="3"/>
    <n v="1006"/>
    <x v="2"/>
    <n v="10"/>
    <n v="6500"/>
    <n v="65000"/>
    <x v="614"/>
    <n v="60"/>
    <x v="611"/>
    <x v="27"/>
    <d v="2024-01-28T00:00:00"/>
    <d v="1899-12-30T01:00:00"/>
    <n v="11"/>
    <n v="0"/>
  </r>
  <r>
    <d v="2024-01-28T01:00:00"/>
    <x v="1"/>
    <x v="6"/>
    <n v="1006"/>
    <x v="2"/>
    <n v="30"/>
    <n v="6500"/>
    <n v="195000"/>
    <x v="629"/>
    <n v="64"/>
    <x v="608"/>
    <x v="27"/>
    <d v="2024-01-28T00:00:00"/>
    <d v="1899-12-30T01:00:00"/>
    <n v="15"/>
    <n v="0"/>
  </r>
  <r>
    <d v="2024-01-28T01:00:00"/>
    <x v="1"/>
    <x v="10"/>
    <n v="1006"/>
    <x v="2"/>
    <n v="29"/>
    <n v="6250"/>
    <n v="181250"/>
    <x v="630"/>
    <n v="72"/>
    <x v="630"/>
    <x v="27"/>
    <d v="2024-01-28T00:00:00"/>
    <d v="1899-12-30T01:00:00"/>
    <n v="16"/>
    <n v="0"/>
  </r>
  <r>
    <d v="2024-01-28T01:00:00"/>
    <x v="0"/>
    <x v="15"/>
    <n v="14"/>
    <x v="3"/>
    <n v="400"/>
    <n v="1350"/>
    <n v="540000"/>
    <x v="629"/>
    <n v="24"/>
    <x v="619"/>
    <x v="27"/>
    <d v="2024-01-28T00:00:00"/>
    <d v="1899-12-30T01:00:00"/>
    <n v="1"/>
    <n v="0"/>
  </r>
  <r>
    <d v="2024-01-28T02:00:00"/>
    <x v="1"/>
    <x v="4"/>
    <n v="1011"/>
    <x v="1"/>
    <n v="28"/>
    <n v="3600"/>
    <n v="100800"/>
    <x v="630"/>
    <n v="36"/>
    <x v="585"/>
    <x v="27"/>
    <d v="2024-01-28T00:00:00"/>
    <d v="1899-12-30T02:00:00"/>
    <n v="10"/>
    <n v="0"/>
  </r>
  <r>
    <d v="2024-01-28T03:00:00"/>
    <x v="1"/>
    <x v="10"/>
    <n v="1002"/>
    <x v="2"/>
    <n v="13"/>
    <n v="6250"/>
    <n v="81250"/>
    <x v="622"/>
    <n v="72"/>
    <x v="635"/>
    <x v="27"/>
    <d v="2024-01-28T00:00:00"/>
    <d v="1899-12-30T03:00:00"/>
    <n v="16"/>
    <n v="0"/>
  </r>
  <r>
    <d v="2024-01-28T03:00:00"/>
    <x v="1"/>
    <x v="6"/>
    <n v="1002"/>
    <x v="2"/>
    <n v="19"/>
    <n v="6500"/>
    <n v="123500"/>
    <x v="618"/>
    <n v="64"/>
    <x v="477"/>
    <x v="27"/>
    <d v="2024-01-28T00:00:00"/>
    <d v="1899-12-30T03:00:00"/>
    <n v="15"/>
    <n v="0"/>
  </r>
  <r>
    <d v="2024-01-28T03:00:00"/>
    <x v="0"/>
    <x v="12"/>
    <n v="16"/>
    <x v="0"/>
    <n v="1700"/>
    <n v="120"/>
    <n v="204000"/>
    <x v="618"/>
    <n v="48"/>
    <x v="477"/>
    <x v="27"/>
    <d v="2024-01-28T00:00:00"/>
    <d v="1899-12-30T03:00:00"/>
    <n v="5"/>
    <n v="0"/>
  </r>
  <r>
    <d v="2024-01-28T03:00:00"/>
    <x v="1"/>
    <x v="3"/>
    <n v="1002"/>
    <x v="2"/>
    <n v="10"/>
    <n v="6500"/>
    <n v="65000"/>
    <x v="631"/>
    <n v="60"/>
    <x v="636"/>
    <x v="27"/>
    <d v="2024-01-28T00:00:00"/>
    <d v="1899-12-30T03:00:00"/>
    <n v="11"/>
    <n v="0"/>
  </r>
  <r>
    <d v="2024-01-28T04:00:00"/>
    <x v="0"/>
    <x v="12"/>
    <n v="16"/>
    <x v="3"/>
    <n v="350"/>
    <n v="1450"/>
    <n v="507500"/>
    <x v="618"/>
    <n v="48"/>
    <x v="477"/>
    <x v="27"/>
    <d v="2024-01-28T00:00:00"/>
    <d v="1899-12-30T04:00:00"/>
    <n v="5"/>
    <n v="0"/>
  </r>
  <r>
    <d v="2024-01-28T06:00:00"/>
    <x v="2"/>
    <x v="6"/>
    <n v="2010"/>
    <x v="2"/>
    <n v="50"/>
    <n v="6500"/>
    <n v="325000"/>
    <x v="623"/>
    <n v="48"/>
    <x v="639"/>
    <x v="27"/>
    <d v="2024-01-28T00:00:00"/>
    <d v="1899-12-30T06:00:00"/>
    <n v="15"/>
    <n v="0"/>
  </r>
  <r>
    <d v="2024-01-28T10:00:00"/>
    <x v="1"/>
    <x v="4"/>
    <n v="1004"/>
    <x v="2"/>
    <n v="8"/>
    <n v="5600"/>
    <n v="44800"/>
    <x v="632"/>
    <n v="30"/>
    <x v="627"/>
    <x v="27"/>
    <d v="2024-01-28T00:00:00"/>
    <d v="1899-12-30T10:00:00"/>
    <n v="10"/>
    <n v="0"/>
  </r>
  <r>
    <d v="2024-01-28T10:00:00"/>
    <x v="1"/>
    <x v="6"/>
    <n v="1004"/>
    <x v="2"/>
    <n v="24"/>
    <n v="6500"/>
    <n v="156000"/>
    <x v="609"/>
    <n v="64"/>
    <x v="606"/>
    <x v="27"/>
    <d v="2024-01-28T00:00:00"/>
    <d v="1899-12-30T10:00:00"/>
    <n v="15"/>
    <n v="0"/>
  </r>
  <r>
    <d v="2024-01-28T12:00:00"/>
    <x v="0"/>
    <x v="15"/>
    <n v="14"/>
    <x v="0"/>
    <n v="500"/>
    <n v="125"/>
    <n v="62500"/>
    <x v="633"/>
    <n v="24"/>
    <x v="478"/>
    <x v="27"/>
    <d v="2024-01-28T00:00:00"/>
    <d v="1899-12-30T12:00:00"/>
    <n v="1"/>
    <n v="0"/>
  </r>
  <r>
    <d v="2024-01-28T12:00:00"/>
    <x v="1"/>
    <x v="4"/>
    <n v="1008"/>
    <x v="1"/>
    <n v="26"/>
    <n v="3600"/>
    <n v="93600"/>
    <x v="633"/>
    <n v="36"/>
    <x v="478"/>
    <x v="27"/>
    <d v="2024-01-28T00:00:00"/>
    <d v="1899-12-30T12:00:00"/>
    <n v="10"/>
    <n v="0"/>
  </r>
  <r>
    <d v="2024-01-28T13:00:00"/>
    <x v="1"/>
    <x v="4"/>
    <n v="1001"/>
    <x v="1"/>
    <n v="58"/>
    <n v="3400"/>
    <n v="197200"/>
    <x v="633"/>
    <n v="36"/>
    <x v="478"/>
    <x v="27"/>
    <d v="2024-01-28T00:00:00"/>
    <d v="1899-12-30T13:00:00"/>
    <n v="10"/>
    <n v="0"/>
  </r>
  <r>
    <d v="2024-01-28T15:00:00"/>
    <x v="1"/>
    <x v="3"/>
    <n v="1010"/>
    <x v="2"/>
    <n v="10"/>
    <n v="6500"/>
    <n v="65000"/>
    <x v="634"/>
    <n v="60"/>
    <x v="638"/>
    <x v="27"/>
    <d v="2024-01-28T00:00:00"/>
    <d v="1899-12-30T15:00:00"/>
    <n v="11"/>
    <n v="0"/>
  </r>
  <r>
    <d v="2024-01-28T15:00:00"/>
    <x v="1"/>
    <x v="4"/>
    <n v="1010"/>
    <x v="2"/>
    <n v="16"/>
    <n v="5600"/>
    <n v="89600"/>
    <x v="634"/>
    <n v="30"/>
    <x v="596"/>
    <x v="27"/>
    <d v="2024-01-28T00:00:00"/>
    <d v="1899-12-30T15:00:00"/>
    <n v="10"/>
    <n v="0"/>
  </r>
  <r>
    <d v="2024-01-28T15:00:00"/>
    <x v="1"/>
    <x v="6"/>
    <n v="1010"/>
    <x v="2"/>
    <n v="21"/>
    <n v="6450"/>
    <n v="135450"/>
    <x v="635"/>
    <n v="64"/>
    <x v="632"/>
    <x v="27"/>
    <d v="2024-01-28T00:00:00"/>
    <d v="1899-12-30T15:00:00"/>
    <n v="15"/>
    <n v="0"/>
  </r>
  <r>
    <d v="2024-01-28T15:00:00"/>
    <x v="1"/>
    <x v="10"/>
    <n v="1010"/>
    <x v="2"/>
    <n v="14"/>
    <n v="6250"/>
    <n v="87500"/>
    <x v="636"/>
    <n v="72"/>
    <x v="631"/>
    <x v="27"/>
    <d v="2024-01-28T00:00:00"/>
    <d v="1899-12-30T15:00:00"/>
    <n v="16"/>
    <n v="0"/>
  </r>
  <r>
    <d v="2024-01-28T16:00:00"/>
    <x v="2"/>
    <x v="6"/>
    <n v="2011"/>
    <x v="2"/>
    <n v="50"/>
    <n v="6450"/>
    <n v="322500"/>
    <x v="635"/>
    <n v="48"/>
    <x v="471"/>
    <x v="27"/>
    <d v="2024-01-28T00:00:00"/>
    <d v="1899-12-30T16:00:00"/>
    <n v="15"/>
    <n v="0"/>
  </r>
  <r>
    <d v="2024-01-28T23:00:00"/>
    <x v="1"/>
    <x v="4"/>
    <n v="1003"/>
    <x v="1"/>
    <n v="56"/>
    <n v="3500"/>
    <n v="196000"/>
    <x v="637"/>
    <n v="36"/>
    <x v="609"/>
    <x v="27"/>
    <d v="2024-01-28T00:00:00"/>
    <d v="1899-12-30T23:00:00"/>
    <n v="10"/>
    <n v="0"/>
  </r>
  <r>
    <d v="2024-01-29T00:00:00"/>
    <x v="1"/>
    <x v="4"/>
    <n v="1010"/>
    <x v="1"/>
    <n v="44"/>
    <n v="3600"/>
    <n v="158400"/>
    <x v="620"/>
    <n v="30"/>
    <x v="610"/>
    <x v="28"/>
    <d v="2024-01-29T00:00:00"/>
    <d v="1899-12-30T00:00:00"/>
    <n v="10"/>
    <n v="0"/>
  </r>
  <r>
    <d v="2024-01-29T01:00:00"/>
    <x v="1"/>
    <x v="4"/>
    <n v="1003"/>
    <x v="2"/>
    <n v="7"/>
    <n v="5400"/>
    <n v="37800"/>
    <x v="638"/>
    <n v="30"/>
    <x v="630"/>
    <x v="28"/>
    <d v="2024-01-29T00:00:00"/>
    <d v="1899-12-30T01:00:00"/>
    <n v="10"/>
    <n v="0"/>
  </r>
  <r>
    <d v="2024-01-29T01:00:00"/>
    <x v="1"/>
    <x v="4"/>
    <n v="1001"/>
    <x v="2"/>
    <n v="12"/>
    <n v="5400"/>
    <n v="64800"/>
    <x v="638"/>
    <n v="30"/>
    <x v="630"/>
    <x v="28"/>
    <d v="2024-01-29T00:00:00"/>
    <d v="1899-12-30T01:00:00"/>
    <n v="10"/>
    <n v="0"/>
  </r>
  <r>
    <d v="2024-01-29T04:00:00"/>
    <x v="1"/>
    <x v="4"/>
    <n v="1005"/>
    <x v="1"/>
    <n v="94"/>
    <n v="3500"/>
    <n v="329000"/>
    <x v="639"/>
    <n v="36"/>
    <x v="477"/>
    <x v="28"/>
    <d v="2024-01-29T00:00:00"/>
    <d v="1899-12-30T04:00:00"/>
    <n v="10"/>
    <n v="0"/>
  </r>
  <r>
    <d v="2024-01-29T04:00:00"/>
    <x v="1"/>
    <x v="4"/>
    <n v="1009"/>
    <x v="2"/>
    <n v="12"/>
    <n v="5400"/>
    <n v="64800"/>
    <x v="639"/>
    <n v="30"/>
    <x v="477"/>
    <x v="28"/>
    <d v="2024-01-29T00:00:00"/>
    <d v="1899-12-30T04:00:00"/>
    <n v="10"/>
    <n v="0"/>
  </r>
  <r>
    <d v="2024-01-29T05:00:00"/>
    <x v="1"/>
    <x v="4"/>
    <n v="1007"/>
    <x v="1"/>
    <n v="124"/>
    <n v="3500"/>
    <n v="434000"/>
    <x v="640"/>
    <n v="36"/>
    <x v="532"/>
    <x v="28"/>
    <d v="2024-01-29T00:00:00"/>
    <d v="1899-12-30T05:00:00"/>
    <n v="10"/>
    <n v="0"/>
  </r>
  <r>
    <d v="2024-01-29T08:00:00"/>
    <x v="2"/>
    <x v="6"/>
    <n v="2001"/>
    <x v="2"/>
    <n v="50"/>
    <n v="6450"/>
    <n v="322500"/>
    <x v="641"/>
    <n v="48"/>
    <x v="633"/>
    <x v="28"/>
    <d v="2024-01-29T00:00:00"/>
    <d v="1899-12-30T08:00:00"/>
    <n v="15"/>
    <n v="0"/>
  </r>
  <r>
    <d v="2024-01-29T11:00:00"/>
    <x v="0"/>
    <x v="15"/>
    <n v="14"/>
    <x v="3"/>
    <n v="400"/>
    <n v="1350"/>
    <n v="540000"/>
    <x v="640"/>
    <n v="24"/>
    <x v="532"/>
    <x v="28"/>
    <d v="2024-01-29T00:00:00"/>
    <d v="1899-12-30T11:00:00"/>
    <n v="1"/>
    <n v="0"/>
  </r>
  <r>
    <d v="2024-01-29T14:00:00"/>
    <x v="1"/>
    <x v="4"/>
    <n v="1011"/>
    <x v="2"/>
    <n v="15"/>
    <n v="5400"/>
    <n v="81000"/>
    <x v="642"/>
    <n v="36"/>
    <x v="636"/>
    <x v="28"/>
    <d v="2024-01-29T00:00:00"/>
    <d v="1899-12-30T14:00:00"/>
    <n v="10"/>
    <n v="0"/>
  </r>
  <r>
    <d v="2024-01-29T15:00:00"/>
    <x v="1"/>
    <x v="4"/>
    <n v="1008"/>
    <x v="2"/>
    <n v="22"/>
    <n v="5400"/>
    <n v="118800"/>
    <x v="625"/>
    <n v="36"/>
    <x v="607"/>
    <x v="28"/>
    <d v="2024-01-29T00:00:00"/>
    <d v="1899-12-30T15:00:00"/>
    <n v="10"/>
    <n v="0"/>
  </r>
  <r>
    <d v="2024-01-29T22:00:00"/>
    <x v="1"/>
    <x v="4"/>
    <n v="1002"/>
    <x v="1"/>
    <n v="48"/>
    <n v="3650"/>
    <n v="175200"/>
    <x v="643"/>
    <n v="30"/>
    <x v="614"/>
    <x v="28"/>
    <d v="2024-01-29T00:00:00"/>
    <d v="1899-12-30T22:00:00"/>
    <n v="1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F8C8F2-B73E-438A-BFEA-2F5B1BBF6B74}" name="PivotTable4" cacheId="1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N37:Y41" firstHeaderRow="1" firstDataRow="2" firstDataCol="1"/>
  <pivotFields count="22">
    <pivotField numFmtId="22" showAll="0"/>
    <pivotField axis="axisRow" showAll="0">
      <items count="5">
        <item h="1" x="2"/>
        <item h="1" x="0"/>
        <item x="1"/>
        <item h="1" x="3"/>
        <item t="default"/>
      </items>
    </pivotField>
    <pivotField axis="axisCol" showAll="0">
      <items count="17">
        <item h="1" x="15"/>
        <item h="1" x="13"/>
        <item h="1" x="14"/>
        <item h="1" x="0"/>
        <item h="1" x="12"/>
        <item h="1" x="11"/>
        <item x="8"/>
        <item x="5"/>
        <item x="2"/>
        <item x="4"/>
        <item x="3"/>
        <item x="7"/>
        <item x="1"/>
        <item x="9"/>
        <item x="6"/>
        <item x="10"/>
        <item t="default"/>
      </items>
    </pivotField>
    <pivotField showAll="0"/>
    <pivotField axis="axisRow" showAll="0">
      <items count="7">
        <item h="1" x="1"/>
        <item x="2"/>
        <item h="1" x="0"/>
        <item h="1" x="3"/>
        <item h="1" x="5"/>
        <item h="1" x="4"/>
        <item t="default"/>
      </items>
    </pivotField>
    <pivotField showAll="0"/>
    <pivotField showAll="0"/>
    <pivotField dataField="1" showAll="0"/>
    <pivotField numFmtId="22" showAll="0">
      <items count="645">
        <item x="0"/>
        <item x="4"/>
        <item x="12"/>
        <item x="11"/>
        <item x="23"/>
        <item x="22"/>
        <item x="10"/>
        <item x="21"/>
        <item x="19"/>
        <item x="18"/>
        <item x="17"/>
        <item x="20"/>
        <item x="16"/>
        <item x="6"/>
        <item x="28"/>
        <item x="15"/>
        <item x="3"/>
        <item x="8"/>
        <item x="9"/>
        <item x="13"/>
        <item x="25"/>
        <item x="14"/>
        <item x="1"/>
        <item x="5"/>
        <item x="2"/>
        <item x="33"/>
        <item x="24"/>
        <item x="40"/>
        <item x="37"/>
        <item x="43"/>
        <item x="7"/>
        <item x="29"/>
        <item x="42"/>
        <item x="31"/>
        <item x="30"/>
        <item x="26"/>
        <item x="32"/>
        <item x="35"/>
        <item x="36"/>
        <item x="38"/>
        <item x="41"/>
        <item x="54"/>
        <item x="34"/>
        <item x="39"/>
        <item x="60"/>
        <item x="55"/>
        <item x="51"/>
        <item x="59"/>
        <item x="53"/>
        <item x="47"/>
        <item x="49"/>
        <item x="61"/>
        <item x="50"/>
        <item x="58"/>
        <item x="56"/>
        <item x="52"/>
        <item x="46"/>
        <item x="57"/>
        <item x="27"/>
        <item x="48"/>
        <item x="45"/>
        <item x="62"/>
        <item x="67"/>
        <item x="63"/>
        <item x="66"/>
        <item x="77"/>
        <item x="44"/>
        <item x="78"/>
        <item x="71"/>
        <item x="70"/>
        <item x="89"/>
        <item x="68"/>
        <item x="73"/>
        <item x="64"/>
        <item x="74"/>
        <item x="88"/>
        <item x="69"/>
        <item x="76"/>
        <item x="75"/>
        <item x="65"/>
        <item x="80"/>
        <item x="79"/>
        <item x="94"/>
        <item x="81"/>
        <item x="95"/>
        <item x="100"/>
        <item x="102"/>
        <item x="83"/>
        <item x="85"/>
        <item x="87"/>
        <item x="82"/>
        <item x="86"/>
        <item x="91"/>
        <item x="90"/>
        <item x="93"/>
        <item x="98"/>
        <item x="97"/>
        <item x="111"/>
        <item x="101"/>
        <item x="92"/>
        <item x="99"/>
        <item x="106"/>
        <item x="116"/>
        <item x="105"/>
        <item x="104"/>
        <item x="119"/>
        <item x="72"/>
        <item x="108"/>
        <item x="107"/>
        <item x="84"/>
        <item x="131"/>
        <item x="114"/>
        <item x="121"/>
        <item x="112"/>
        <item x="132"/>
        <item x="113"/>
        <item x="130"/>
        <item x="118"/>
        <item x="138"/>
        <item x="124"/>
        <item x="117"/>
        <item x="120"/>
        <item x="125"/>
        <item x="128"/>
        <item x="126"/>
        <item x="122"/>
        <item x="123"/>
        <item x="150"/>
        <item x="127"/>
        <item x="96"/>
        <item x="109"/>
        <item x="142"/>
        <item x="129"/>
        <item x="154"/>
        <item x="146"/>
        <item x="141"/>
        <item x="133"/>
        <item x="103"/>
        <item x="143"/>
        <item x="140"/>
        <item x="145"/>
        <item x="134"/>
        <item x="147"/>
        <item x="149"/>
        <item x="152"/>
        <item x="115"/>
        <item x="148"/>
        <item x="151"/>
        <item x="136"/>
        <item x="167"/>
        <item x="156"/>
        <item x="135"/>
        <item x="153"/>
        <item x="137"/>
        <item x="139"/>
        <item x="155"/>
        <item x="160"/>
        <item x="165"/>
        <item x="159"/>
        <item x="157"/>
        <item x="173"/>
        <item x="163"/>
        <item x="161"/>
        <item x="164"/>
        <item x="166"/>
        <item x="170"/>
        <item x="169"/>
        <item x="179"/>
        <item x="185"/>
        <item x="171"/>
        <item x="174"/>
        <item x="181"/>
        <item x="176"/>
        <item x="172"/>
        <item x="182"/>
        <item x="183"/>
        <item x="177"/>
        <item x="184"/>
        <item x="158"/>
        <item x="110"/>
        <item x="191"/>
        <item x="194"/>
        <item x="144"/>
        <item x="188"/>
        <item x="180"/>
        <item x="201"/>
        <item x="197"/>
        <item x="195"/>
        <item x="190"/>
        <item x="207"/>
        <item x="193"/>
        <item x="162"/>
        <item x="200"/>
        <item x="192"/>
        <item x="211"/>
        <item x="198"/>
        <item x="175"/>
        <item x="196"/>
        <item x="187"/>
        <item x="199"/>
        <item x="203"/>
        <item x="186"/>
        <item x="178"/>
        <item x="168"/>
        <item x="189"/>
        <item x="205"/>
        <item x="227"/>
        <item x="206"/>
        <item x="213"/>
        <item x="212"/>
        <item x="202"/>
        <item x="237"/>
        <item x="208"/>
        <item x="215"/>
        <item x="233"/>
        <item x="230"/>
        <item x="204"/>
        <item x="216"/>
        <item x="217"/>
        <item x="218"/>
        <item x="209"/>
        <item x="234"/>
        <item x="214"/>
        <item x="231"/>
        <item x="238"/>
        <item x="236"/>
        <item x="219"/>
        <item x="229"/>
        <item x="232"/>
        <item x="226"/>
        <item x="222"/>
        <item x="241"/>
        <item x="235"/>
        <item x="244"/>
        <item x="242"/>
        <item x="245"/>
        <item x="220"/>
        <item x="240"/>
        <item x="225"/>
        <item x="210"/>
        <item x="243"/>
        <item x="259"/>
        <item x="223"/>
        <item x="257"/>
        <item x="261"/>
        <item x="250"/>
        <item x="247"/>
        <item x="268"/>
        <item x="249"/>
        <item x="256"/>
        <item x="255"/>
        <item x="258"/>
        <item x="254"/>
        <item x="271"/>
        <item x="253"/>
        <item x="269"/>
        <item x="239"/>
        <item x="224"/>
        <item x="221"/>
        <item x="246"/>
        <item x="265"/>
        <item x="228"/>
        <item x="248"/>
        <item x="264"/>
        <item x="262"/>
        <item x="252"/>
        <item x="270"/>
        <item x="263"/>
        <item x="272"/>
        <item x="276"/>
        <item x="273"/>
        <item x="278"/>
        <item x="280"/>
        <item x="274"/>
        <item x="275"/>
        <item x="277"/>
        <item x="260"/>
        <item x="300"/>
        <item x="281"/>
        <item x="283"/>
        <item x="267"/>
        <item x="284"/>
        <item x="279"/>
        <item x="251"/>
        <item x="288"/>
        <item x="293"/>
        <item x="291"/>
        <item x="309"/>
        <item x="299"/>
        <item x="295"/>
        <item x="296"/>
        <item x="310"/>
        <item x="304"/>
        <item x="297"/>
        <item x="306"/>
        <item x="328"/>
        <item x="324"/>
        <item x="311"/>
        <item x="322"/>
        <item x="323"/>
        <item x="330"/>
        <item x="287"/>
        <item x="333"/>
        <item x="312"/>
        <item x="345"/>
        <item x="320"/>
        <item x="331"/>
        <item x="285"/>
        <item x="326"/>
        <item x="316"/>
        <item x="303"/>
        <item x="319"/>
        <item x="353"/>
        <item x="335"/>
        <item x="336"/>
        <item x="321"/>
        <item x="368"/>
        <item x="340"/>
        <item x="349"/>
        <item x="369"/>
        <item x="347"/>
        <item x="318"/>
        <item x="290"/>
        <item x="343"/>
        <item x="344"/>
        <item x="338"/>
        <item x="346"/>
        <item x="354"/>
        <item x="302"/>
        <item x="298"/>
        <item x="308"/>
        <item x="366"/>
        <item x="325"/>
        <item x="301"/>
        <item x="378"/>
        <item x="356"/>
        <item x="398"/>
        <item x="317"/>
        <item x="389"/>
        <item x="391"/>
        <item x="282"/>
        <item x="372"/>
        <item x="381"/>
        <item x="401"/>
        <item x="390"/>
        <item x="329"/>
        <item x="383"/>
        <item x="396"/>
        <item x="334"/>
        <item x="327"/>
        <item x="388"/>
        <item x="404"/>
        <item x="341"/>
        <item x="286"/>
        <item x="289"/>
        <item x="305"/>
        <item x="307"/>
        <item x="332"/>
        <item x="342"/>
        <item x="350"/>
        <item x="348"/>
        <item x="355"/>
        <item x="417"/>
        <item x="406"/>
        <item x="371"/>
        <item x="423"/>
        <item x="337"/>
        <item x="415"/>
        <item x="313"/>
        <item x="428"/>
        <item x="339"/>
        <item x="405"/>
        <item x="365"/>
        <item x="367"/>
        <item x="399"/>
        <item x="380"/>
        <item x="370"/>
        <item x="419"/>
        <item x="432"/>
        <item x="374"/>
        <item x="418"/>
        <item x="436"/>
        <item x="425"/>
        <item x="373"/>
        <item x="438"/>
        <item x="375"/>
        <item x="386"/>
        <item x="413"/>
        <item x="444"/>
        <item x="439"/>
        <item x="440"/>
        <item x="426"/>
        <item x="397"/>
        <item x="433"/>
        <item x="351"/>
        <item x="377"/>
        <item x="443"/>
        <item x="352"/>
        <item x="392"/>
        <item x="457"/>
        <item x="429"/>
        <item x="445"/>
        <item x="382"/>
        <item x="385"/>
        <item x="400"/>
        <item x="407"/>
        <item x="464"/>
        <item x="410"/>
        <item x="465"/>
        <item x="468"/>
        <item x="395"/>
        <item x="466"/>
        <item x="294"/>
        <item x="292"/>
        <item x="435"/>
        <item x="379"/>
        <item x="376"/>
        <item x="393"/>
        <item x="427"/>
        <item x="411"/>
        <item x="384"/>
        <item x="394"/>
        <item x="483"/>
        <item x="408"/>
        <item x="409"/>
        <item x="416"/>
        <item x="487"/>
        <item x="430"/>
        <item x="420"/>
        <item x="441"/>
        <item x="424"/>
        <item x="488"/>
        <item x="446"/>
        <item x="421"/>
        <item x="447"/>
        <item x="467"/>
        <item x="448"/>
        <item x="471"/>
        <item x="387"/>
        <item x="462"/>
        <item x="477"/>
        <item x="461"/>
        <item x="434"/>
        <item x="460"/>
        <item x="491"/>
        <item x="475"/>
        <item x="437"/>
        <item x="442"/>
        <item x="458"/>
        <item x="485"/>
        <item x="500"/>
        <item x="459"/>
        <item x="470"/>
        <item x="501"/>
        <item x="474"/>
        <item x="504"/>
        <item x="503"/>
        <item x="480"/>
        <item x="431"/>
        <item x="507"/>
        <item x="511"/>
        <item x="314"/>
        <item x="469"/>
        <item x="463"/>
        <item x="498"/>
        <item x="472"/>
        <item x="479"/>
        <item x="486"/>
        <item x="362"/>
        <item x="476"/>
        <item x="454"/>
        <item x="505"/>
        <item x="361"/>
        <item x="358"/>
        <item x="515"/>
        <item x="360"/>
        <item x="522"/>
        <item x="422"/>
        <item x="517"/>
        <item x="497"/>
        <item x="520"/>
        <item x="510"/>
        <item x="492"/>
        <item x="499"/>
        <item x="525"/>
        <item x="530"/>
        <item x="528"/>
        <item x="523"/>
        <item x="506"/>
        <item x="315"/>
        <item x="493"/>
        <item x="266"/>
        <item x="502"/>
        <item x="514"/>
        <item x="534"/>
        <item x="484"/>
        <item x="535"/>
        <item x="531"/>
        <item x="513"/>
        <item x="478"/>
        <item x="414"/>
        <item x="412"/>
        <item x="403"/>
        <item x="542"/>
        <item x="526"/>
        <item x="482"/>
        <item x="544"/>
        <item x="490"/>
        <item x="489"/>
        <item x="519"/>
        <item x="516"/>
        <item x="543"/>
        <item x="494"/>
        <item x="518"/>
        <item x="495"/>
        <item x="496"/>
        <item x="508"/>
        <item x="541"/>
        <item x="524"/>
        <item x="527"/>
        <item x="540"/>
        <item x="521"/>
        <item x="402"/>
        <item x="363"/>
        <item x="364"/>
        <item x="359"/>
        <item x="473"/>
        <item x="549"/>
        <item x="481"/>
        <item x="557"/>
        <item x="556"/>
        <item x="560"/>
        <item x="357"/>
        <item x="552"/>
        <item x="509"/>
        <item x="456"/>
        <item x="562"/>
        <item x="512"/>
        <item x="532"/>
        <item x="548"/>
        <item x="566"/>
        <item x="537"/>
        <item x="547"/>
        <item x="554"/>
        <item x="533"/>
        <item x="555"/>
        <item x="559"/>
        <item x="545"/>
        <item x="539"/>
        <item x="546"/>
        <item x="553"/>
        <item x="574"/>
        <item x="453"/>
        <item x="568"/>
        <item x="450"/>
        <item x="449"/>
        <item x="451"/>
        <item x="452"/>
        <item x="550"/>
        <item x="561"/>
        <item x="572"/>
        <item x="529"/>
        <item x="579"/>
        <item x="580"/>
        <item x="587"/>
        <item x="588"/>
        <item x="576"/>
        <item x="551"/>
        <item x="583"/>
        <item x="598"/>
        <item x="592"/>
        <item x="599"/>
        <item x="565"/>
        <item x="601"/>
        <item x="593"/>
        <item x="589"/>
        <item x="606"/>
        <item x="607"/>
        <item x="567"/>
        <item x="585"/>
        <item x="538"/>
        <item x="603"/>
        <item x="602"/>
        <item x="455"/>
        <item x="536"/>
        <item x="570"/>
        <item x="558"/>
        <item x="577"/>
        <item x="605"/>
        <item x="564"/>
        <item x="594"/>
        <item x="573"/>
        <item x="612"/>
        <item x="571"/>
        <item x="581"/>
        <item x="604"/>
        <item x="613"/>
        <item x="586"/>
        <item x="595"/>
        <item x="616"/>
        <item x="615"/>
        <item x="597"/>
        <item x="569"/>
        <item x="596"/>
        <item x="575"/>
        <item x="582"/>
        <item x="591"/>
        <item x="619"/>
        <item x="563"/>
        <item x="600"/>
        <item x="608"/>
        <item x="621"/>
        <item x="627"/>
        <item x="628"/>
        <item x="611"/>
        <item x="590"/>
        <item x="624"/>
        <item x="617"/>
        <item x="629"/>
        <item x="630"/>
        <item x="618"/>
        <item x="622"/>
        <item x="623"/>
        <item x="632"/>
        <item x="609"/>
        <item x="610"/>
        <item x="633"/>
        <item x="631"/>
        <item x="634"/>
        <item x="626"/>
        <item x="578"/>
        <item x="635"/>
        <item x="614"/>
        <item x="636"/>
        <item x="637"/>
        <item x="620"/>
        <item x="584"/>
        <item x="638"/>
        <item x="639"/>
        <item x="641"/>
        <item x="640"/>
        <item x="642"/>
        <item x="625"/>
        <item x="643"/>
        <item t="default"/>
      </items>
    </pivotField>
    <pivotField showAll="0"/>
    <pivotField numFmtId="22" showAll="0">
      <items count="641">
        <item x="41"/>
        <item x="46"/>
        <item x="23"/>
        <item x="24"/>
        <item x="70"/>
        <item x="0"/>
        <item x="4"/>
        <item x="12"/>
        <item x="11"/>
        <item x="13"/>
        <item x="26"/>
        <item x="27"/>
        <item x="8"/>
        <item x="22"/>
        <item x="21"/>
        <item x="20"/>
        <item x="18"/>
        <item x="19"/>
        <item x="17"/>
        <item x="7"/>
        <item x="25"/>
        <item x="16"/>
        <item x="3"/>
        <item x="9"/>
        <item x="10"/>
        <item x="14"/>
        <item x="44"/>
        <item x="15"/>
        <item x="1"/>
        <item x="5"/>
        <item x="2"/>
        <item x="47"/>
        <item x="42"/>
        <item x="6"/>
        <item x="50"/>
        <item x="62"/>
        <item x="68"/>
        <item x="37"/>
        <item x="89"/>
        <item x="43"/>
        <item x="40"/>
        <item x="45"/>
        <item x="93"/>
        <item x="48"/>
        <item x="49"/>
        <item x="81"/>
        <item x="33"/>
        <item x="106"/>
        <item x="29"/>
        <item x="35"/>
        <item x="137"/>
        <item x="139"/>
        <item x="38"/>
        <item x="34"/>
        <item x="39"/>
        <item x="36"/>
        <item x="83"/>
        <item x="66"/>
        <item x="69"/>
        <item x="30"/>
        <item x="55"/>
        <item x="88"/>
        <item x="54"/>
        <item x="59"/>
        <item x="65"/>
        <item x="28"/>
        <item x="32"/>
        <item x="67"/>
        <item x="64"/>
        <item x="57"/>
        <item x="58"/>
        <item x="56"/>
        <item x="51"/>
        <item x="86"/>
        <item x="63"/>
        <item x="31"/>
        <item x="92"/>
        <item x="91"/>
        <item x="73"/>
        <item x="60"/>
        <item x="52"/>
        <item x="108"/>
        <item x="94"/>
        <item x="61"/>
        <item x="90"/>
        <item x="105"/>
        <item x="74"/>
        <item x="53"/>
        <item x="107"/>
        <item x="75"/>
        <item x="71"/>
        <item x="80"/>
        <item x="72"/>
        <item x="77"/>
        <item x="127"/>
        <item x="110"/>
        <item x="111"/>
        <item x="79"/>
        <item x="76"/>
        <item x="100"/>
        <item x="101"/>
        <item x="78"/>
        <item x="98"/>
        <item x="112"/>
        <item x="122"/>
        <item x="169"/>
        <item x="125"/>
        <item x="126"/>
        <item x="99"/>
        <item x="103"/>
        <item x="148"/>
        <item x="104"/>
        <item x="102"/>
        <item x="150"/>
        <item x="160"/>
        <item x="140"/>
        <item x="138"/>
        <item x="158"/>
        <item x="95"/>
        <item x="145"/>
        <item x="121"/>
        <item x="97"/>
        <item x="96"/>
        <item x="114"/>
        <item x="161"/>
        <item x="118"/>
        <item x="113"/>
        <item x="119"/>
        <item x="130"/>
        <item x="149"/>
        <item x="153"/>
        <item x="133"/>
        <item x="135"/>
        <item x="115"/>
        <item x="167"/>
        <item x="124"/>
        <item x="123"/>
        <item x="117"/>
        <item x="120"/>
        <item x="134"/>
        <item x="142"/>
        <item x="168"/>
        <item x="116"/>
        <item x="136"/>
        <item x="132"/>
        <item x="162"/>
        <item x="128"/>
        <item x="131"/>
        <item x="151"/>
        <item x="129"/>
        <item x="152"/>
        <item x="163"/>
        <item x="144"/>
        <item x="141"/>
        <item x="157"/>
        <item x="146"/>
        <item x="188"/>
        <item x="147"/>
        <item x="165"/>
        <item x="143"/>
        <item x="184"/>
        <item x="164"/>
        <item x="182"/>
        <item x="166"/>
        <item x="185"/>
        <item x="183"/>
        <item x="187"/>
        <item x="156"/>
        <item x="177"/>
        <item x="159"/>
        <item x="154"/>
        <item x="155"/>
        <item x="186"/>
        <item x="171"/>
        <item x="200"/>
        <item x="202"/>
        <item x="201"/>
        <item x="173"/>
        <item x="216"/>
        <item x="172"/>
        <item x="205"/>
        <item x="219"/>
        <item x="244"/>
        <item x="204"/>
        <item x="215"/>
        <item x="170"/>
        <item x="232"/>
        <item x="175"/>
        <item x="176"/>
        <item x="218"/>
        <item x="174"/>
        <item x="199"/>
        <item x="230"/>
        <item x="198"/>
        <item x="197"/>
        <item x="189"/>
        <item x="196"/>
        <item x="192"/>
        <item x="209"/>
        <item x="212"/>
        <item x="190"/>
        <item x="194"/>
        <item x="231"/>
        <item x="210"/>
        <item x="211"/>
        <item x="191"/>
        <item x="233"/>
        <item x="243"/>
        <item x="195"/>
        <item x="193"/>
        <item x="217"/>
        <item x="222"/>
        <item x="208"/>
        <item x="225"/>
        <item x="214"/>
        <item x="223"/>
        <item x="206"/>
        <item x="213"/>
        <item x="224"/>
        <item x="227"/>
        <item x="207"/>
        <item x="226"/>
        <item x="264"/>
        <item x="235"/>
        <item x="229"/>
        <item x="263"/>
        <item x="241"/>
        <item x="234"/>
        <item x="228"/>
        <item x="221"/>
        <item x="242"/>
        <item x="85"/>
        <item x="82"/>
        <item x="84"/>
        <item x="87"/>
        <item x="220"/>
        <item x="260"/>
        <item x="240"/>
        <item x="304"/>
        <item x="262"/>
        <item x="238"/>
        <item x="256"/>
        <item x="237"/>
        <item x="246"/>
        <item x="239"/>
        <item x="275"/>
        <item x="236"/>
        <item x="276"/>
        <item x="255"/>
        <item x="247"/>
        <item x="258"/>
        <item x="245"/>
        <item x="259"/>
        <item x="277"/>
        <item x="291"/>
        <item x="248"/>
        <item x="249"/>
        <item x="329"/>
        <item x="257"/>
        <item x="250"/>
        <item x="279"/>
        <item x="278"/>
        <item x="109"/>
        <item x="251"/>
        <item x="252"/>
        <item x="253"/>
        <item x="290"/>
        <item x="266"/>
        <item x="269"/>
        <item x="305"/>
        <item x="265"/>
        <item x="302"/>
        <item x="254"/>
        <item x="292"/>
        <item x="272"/>
        <item x="273"/>
        <item x="303"/>
        <item x="313"/>
        <item x="271"/>
        <item x="306"/>
        <item x="270"/>
        <item x="315"/>
        <item x="312"/>
        <item x="268"/>
        <item x="267"/>
        <item x="287"/>
        <item x="288"/>
        <item x="274"/>
        <item x="289"/>
        <item x="316"/>
        <item x="285"/>
        <item x="325"/>
        <item x="286"/>
        <item x="284"/>
        <item x="318"/>
        <item x="295"/>
        <item x="324"/>
        <item x="326"/>
        <item x="179"/>
        <item x="328"/>
        <item x="283"/>
        <item x="298"/>
        <item x="280"/>
        <item x="181"/>
        <item x="332"/>
        <item x="333"/>
        <item x="334"/>
        <item x="282"/>
        <item x="300"/>
        <item x="415"/>
        <item x="297"/>
        <item x="301"/>
        <item x="293"/>
        <item x="296"/>
        <item x="385"/>
        <item x="281"/>
        <item x="310"/>
        <item x="294"/>
        <item x="308"/>
        <item x="321"/>
        <item x="309"/>
        <item x="178"/>
        <item x="319"/>
        <item x="311"/>
        <item x="320"/>
        <item x="180"/>
        <item x="307"/>
        <item x="323"/>
        <item x="327"/>
        <item x="348"/>
        <item x="335"/>
        <item x="322"/>
        <item x="340"/>
        <item x="317"/>
        <item x="347"/>
        <item x="372"/>
        <item x="438"/>
        <item x="339"/>
        <item x="426"/>
        <item x="384"/>
        <item x="336"/>
        <item x="337"/>
        <item x="382"/>
        <item x="359"/>
        <item x="360"/>
        <item x="355"/>
        <item x="361"/>
        <item x="203"/>
        <item x="373"/>
        <item x="398"/>
        <item x="338"/>
        <item x="344"/>
        <item x="341"/>
        <item x="399"/>
        <item x="343"/>
        <item x="413"/>
        <item x="356"/>
        <item x="342"/>
        <item x="383"/>
        <item x="351"/>
        <item x="354"/>
        <item x="437"/>
        <item x="396"/>
        <item x="364"/>
        <item x="353"/>
        <item x="349"/>
        <item x="350"/>
        <item x="352"/>
        <item x="363"/>
        <item x="366"/>
        <item x="357"/>
        <item x="392"/>
        <item x="425"/>
        <item x="358"/>
        <item x="416"/>
        <item x="365"/>
        <item x="369"/>
        <item x="401"/>
        <item x="368"/>
        <item x="370"/>
        <item x="367"/>
        <item x="362"/>
        <item x="388"/>
        <item x="371"/>
        <item x="409"/>
        <item x="386"/>
        <item x="460"/>
        <item x="391"/>
        <item x="405"/>
        <item x="397"/>
        <item x="404"/>
        <item x="423"/>
        <item x="424"/>
        <item x="420"/>
        <item x="400"/>
        <item x="406"/>
        <item x="412"/>
        <item x="394"/>
        <item x="445"/>
        <item x="389"/>
        <item x="407"/>
        <item x="408"/>
        <item x="393"/>
        <item x="410"/>
        <item x="442"/>
        <item x="444"/>
        <item x="261"/>
        <item x="390"/>
        <item x="403"/>
        <item x="453"/>
        <item x="431"/>
        <item x="446"/>
        <item x="422"/>
        <item x="443"/>
        <item x="414"/>
        <item x="450"/>
        <item x="429"/>
        <item x="395"/>
        <item x="458"/>
        <item x="482"/>
        <item x="427"/>
        <item x="430"/>
        <item x="447"/>
        <item x="483"/>
        <item x="488"/>
        <item x="402"/>
        <item x="439"/>
        <item x="428"/>
        <item x="421"/>
        <item x="411"/>
        <item x="497"/>
        <item x="452"/>
        <item x="502"/>
        <item x="454"/>
        <item x="432"/>
        <item x="455"/>
        <item x="479"/>
        <item x="509"/>
        <item x="493"/>
        <item x="499"/>
        <item x="448"/>
        <item x="500"/>
        <item x="456"/>
        <item x="503"/>
        <item x="436"/>
        <item x="537"/>
        <item x="457"/>
        <item x="462"/>
        <item x="511"/>
        <item x="419"/>
        <item x="510"/>
        <item x="451"/>
        <item x="464"/>
        <item x="463"/>
        <item x="440"/>
        <item x="523"/>
        <item x="521"/>
        <item x="466"/>
        <item x="461"/>
        <item x="345"/>
        <item x="490"/>
        <item x="489"/>
        <item x="487"/>
        <item x="468"/>
        <item x="494"/>
        <item x="508"/>
        <item x="548"/>
        <item x="467"/>
        <item x="459"/>
        <item x="491"/>
        <item x="449"/>
        <item x="534"/>
        <item x="492"/>
        <item x="505"/>
        <item x="555"/>
        <item x="486"/>
        <item x="485"/>
        <item x="514"/>
        <item x="512"/>
        <item x="516"/>
        <item x="517"/>
        <item x="331"/>
        <item x="330"/>
        <item x="506"/>
        <item x="518"/>
        <item x="498"/>
        <item x="504"/>
        <item x="346"/>
        <item x="528"/>
        <item x="544"/>
        <item x="387"/>
        <item x="465"/>
        <item x="480"/>
        <item x="524"/>
        <item x="535"/>
        <item x="501"/>
        <item x="513"/>
        <item x="496"/>
        <item x="441"/>
        <item x="495"/>
        <item x="527"/>
        <item x="522"/>
        <item x="559"/>
        <item x="560"/>
        <item x="536"/>
        <item x="526"/>
        <item x="571"/>
        <item x="546"/>
        <item x="556"/>
        <item x="507"/>
        <item x="547"/>
        <item x="525"/>
        <item x="314"/>
        <item x="519"/>
        <item x="558"/>
        <item x="557"/>
        <item x="520"/>
        <item x="530"/>
        <item x="539"/>
        <item x="380"/>
        <item x="381"/>
        <item x="376"/>
        <item x="515"/>
        <item x="542"/>
        <item x="554"/>
        <item x="549"/>
        <item x="541"/>
        <item x="580"/>
        <item x="374"/>
        <item x="553"/>
        <item x="552"/>
        <item x="538"/>
        <item x="543"/>
        <item x="551"/>
        <item x="550"/>
        <item x="529"/>
        <item x="379"/>
        <item x="540"/>
        <item x="582"/>
        <item x="579"/>
        <item x="378"/>
        <item x="572"/>
        <item x="578"/>
        <item x="377"/>
        <item x="565"/>
        <item x="590"/>
        <item x="375"/>
        <item x="299"/>
        <item x="601"/>
        <item x="592"/>
        <item x="570"/>
        <item x="561"/>
        <item x="567"/>
        <item x="564"/>
        <item x="484"/>
        <item x="569"/>
        <item x="545"/>
        <item x="574"/>
        <item x="481"/>
        <item x="563"/>
        <item x="576"/>
        <item x="593"/>
        <item x="591"/>
        <item x="568"/>
        <item x="577"/>
        <item x="595"/>
        <item x="581"/>
        <item x="435"/>
        <item x="433"/>
        <item x="418"/>
        <item x="589"/>
        <item x="575"/>
        <item x="584"/>
        <item x="434"/>
        <item x="586"/>
        <item x="566"/>
        <item x="573"/>
        <item x="583"/>
        <item x="587"/>
        <item x="474"/>
        <item x="472"/>
        <item x="562"/>
        <item x="617"/>
        <item x="618"/>
        <item x="616"/>
        <item x="604"/>
        <item x="603"/>
        <item x="588"/>
        <item x="417"/>
        <item x="637"/>
        <item x="626"/>
        <item x="599"/>
        <item x="619"/>
        <item x="585"/>
        <item x="628"/>
        <item x="615"/>
        <item x="623"/>
        <item x="620"/>
        <item x="597"/>
        <item x="625"/>
        <item x="598"/>
        <item x="627"/>
        <item x="602"/>
        <item x="621"/>
        <item x="478"/>
        <item x="469"/>
        <item x="596"/>
        <item x="600"/>
        <item x="594"/>
        <item x="622"/>
        <item x="639"/>
        <item x="611"/>
        <item x="613"/>
        <item x="612"/>
        <item x="609"/>
        <item x="610"/>
        <item x="608"/>
        <item x="630"/>
        <item x="634"/>
        <item x="477"/>
        <item x="635"/>
        <item x="471"/>
        <item x="473"/>
        <item x="475"/>
        <item x="476"/>
        <item x="624"/>
        <item x="532"/>
        <item x="470"/>
        <item x="531"/>
        <item x="636"/>
        <item x="606"/>
        <item x="607"/>
        <item x="605"/>
        <item x="632"/>
        <item x="638"/>
        <item x="633"/>
        <item x="631"/>
        <item x="614"/>
        <item x="533"/>
        <item x="629"/>
        <item t="default"/>
      </items>
    </pivotField>
    <pivotField numFmtId="14" showAll="0"/>
    <pivotField numFmtId="14" showAll="0"/>
    <pivotField numFmtId="164" showAll="0"/>
    <pivotField showAll="0"/>
    <pivotField showAll="0"/>
    <pivotField dragToRow="0" dragToCol="0" dragToPage="0" showAll="0" defaultSubtotal="0"/>
    <pivotField showAll="0" defaultSubtotal="0"/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 defaultSubtotal="0"/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dragToRow="0" dragToCol="0" dragToPage="0" showAll="0" defaultSubtotal="0"/>
  </pivotFields>
  <rowFields count="2">
    <field x="1"/>
    <field x="4"/>
  </rowFields>
  <rowItems count="3">
    <i>
      <x v="2"/>
    </i>
    <i r="1">
      <x v="1"/>
    </i>
    <i t="grand">
      <x/>
    </i>
  </rowItems>
  <colFields count="1">
    <field x="2"/>
  </colFields>
  <colItems count="11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">
    <dataField name="Total Revenue" fld="7" baseField="0" baseItem="0"/>
  </dataFields>
  <chartFormats count="15"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3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4" count="1" selected="0">
            <x v="0"/>
          </reference>
        </references>
      </pivotArea>
    </chartFormat>
    <chartFormat chart="3" format="3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  <reference field="4" count="1" selected="0">
            <x v="0"/>
          </reference>
        </references>
      </pivotArea>
    </chartFormat>
    <chartFormat chart="3" format="33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4" count="1" selected="0">
            <x v="1"/>
          </reference>
        </references>
      </pivotArea>
    </chartFormat>
    <chartFormat chart="3" format="34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223548-D272-4F92-AE46-12B55C1A6538}" name="PivotTable3" cacheId="1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13:O32" firstHeaderRow="1" firstDataRow="1" firstDataCol="1"/>
  <pivotFields count="22">
    <pivotField numFmtId="22" showAll="0"/>
    <pivotField axis="axisRow" showAll="0">
      <items count="5">
        <item x="2"/>
        <item x="0"/>
        <item x="1"/>
        <item x="3"/>
        <item t="default"/>
      </items>
    </pivotField>
    <pivotField dataField="1" showAll="0"/>
    <pivotField showAll="0"/>
    <pivotField axis="axisRow" showAll="0">
      <items count="7">
        <item x="1"/>
        <item x="2"/>
        <item x="0"/>
        <item x="3"/>
        <item x="5"/>
        <item x="4"/>
        <item t="default"/>
      </items>
    </pivotField>
    <pivotField showAll="0"/>
    <pivotField showAll="0"/>
    <pivotField showAll="0"/>
    <pivotField numFmtId="22" showAll="0">
      <items count="645">
        <item x="0"/>
        <item x="4"/>
        <item x="12"/>
        <item x="11"/>
        <item x="23"/>
        <item x="22"/>
        <item x="10"/>
        <item x="21"/>
        <item x="19"/>
        <item x="18"/>
        <item x="17"/>
        <item x="20"/>
        <item x="16"/>
        <item x="6"/>
        <item x="28"/>
        <item x="15"/>
        <item x="3"/>
        <item x="8"/>
        <item x="9"/>
        <item x="13"/>
        <item x="25"/>
        <item x="14"/>
        <item x="1"/>
        <item x="5"/>
        <item x="2"/>
        <item x="33"/>
        <item x="24"/>
        <item x="40"/>
        <item x="37"/>
        <item x="43"/>
        <item x="7"/>
        <item x="29"/>
        <item x="42"/>
        <item x="31"/>
        <item x="30"/>
        <item x="26"/>
        <item x="32"/>
        <item x="35"/>
        <item x="36"/>
        <item x="38"/>
        <item x="41"/>
        <item x="54"/>
        <item x="34"/>
        <item x="39"/>
        <item x="60"/>
        <item x="55"/>
        <item x="51"/>
        <item x="59"/>
        <item x="53"/>
        <item x="47"/>
        <item x="49"/>
        <item x="61"/>
        <item x="50"/>
        <item x="58"/>
        <item x="56"/>
        <item x="52"/>
        <item x="46"/>
        <item x="57"/>
        <item x="27"/>
        <item x="48"/>
        <item x="45"/>
        <item x="62"/>
        <item x="67"/>
        <item x="63"/>
        <item x="66"/>
        <item x="77"/>
        <item x="44"/>
        <item x="78"/>
        <item x="71"/>
        <item x="70"/>
        <item x="89"/>
        <item x="68"/>
        <item x="73"/>
        <item x="64"/>
        <item x="74"/>
        <item x="88"/>
        <item x="69"/>
        <item x="76"/>
        <item x="75"/>
        <item x="65"/>
        <item x="80"/>
        <item x="79"/>
        <item x="94"/>
        <item x="81"/>
        <item x="95"/>
        <item x="100"/>
        <item x="102"/>
        <item x="83"/>
        <item x="85"/>
        <item x="87"/>
        <item x="82"/>
        <item x="86"/>
        <item x="91"/>
        <item x="90"/>
        <item x="93"/>
        <item x="98"/>
        <item x="97"/>
        <item x="111"/>
        <item x="101"/>
        <item x="92"/>
        <item x="99"/>
        <item x="106"/>
        <item x="116"/>
        <item x="105"/>
        <item x="104"/>
        <item x="119"/>
        <item x="72"/>
        <item x="108"/>
        <item x="107"/>
        <item x="84"/>
        <item x="131"/>
        <item x="114"/>
        <item x="121"/>
        <item x="112"/>
        <item x="132"/>
        <item x="113"/>
        <item x="130"/>
        <item x="118"/>
        <item x="138"/>
        <item x="124"/>
        <item x="117"/>
        <item x="120"/>
        <item x="125"/>
        <item x="128"/>
        <item x="126"/>
        <item x="122"/>
        <item x="123"/>
        <item x="150"/>
        <item x="127"/>
        <item x="96"/>
        <item x="109"/>
        <item x="142"/>
        <item x="129"/>
        <item x="154"/>
        <item x="146"/>
        <item x="141"/>
        <item x="133"/>
        <item x="103"/>
        <item x="143"/>
        <item x="140"/>
        <item x="145"/>
        <item x="134"/>
        <item x="147"/>
        <item x="149"/>
        <item x="152"/>
        <item x="115"/>
        <item x="148"/>
        <item x="151"/>
        <item x="136"/>
        <item x="167"/>
        <item x="156"/>
        <item x="135"/>
        <item x="153"/>
        <item x="137"/>
        <item x="139"/>
        <item x="155"/>
        <item x="160"/>
        <item x="165"/>
        <item x="159"/>
        <item x="157"/>
        <item x="173"/>
        <item x="163"/>
        <item x="161"/>
        <item x="164"/>
        <item x="166"/>
        <item x="170"/>
        <item x="169"/>
        <item x="179"/>
        <item x="185"/>
        <item x="171"/>
        <item x="174"/>
        <item x="181"/>
        <item x="176"/>
        <item x="172"/>
        <item x="182"/>
        <item x="183"/>
        <item x="177"/>
        <item x="184"/>
        <item x="158"/>
        <item x="110"/>
        <item x="191"/>
        <item x="194"/>
        <item x="144"/>
        <item x="188"/>
        <item x="180"/>
        <item x="201"/>
        <item x="197"/>
        <item x="195"/>
        <item x="190"/>
        <item x="207"/>
        <item x="193"/>
        <item x="162"/>
        <item x="200"/>
        <item x="192"/>
        <item x="211"/>
        <item x="198"/>
        <item x="175"/>
        <item x="196"/>
        <item x="187"/>
        <item x="199"/>
        <item x="203"/>
        <item x="186"/>
        <item x="178"/>
        <item x="168"/>
        <item x="189"/>
        <item x="205"/>
        <item x="227"/>
        <item x="206"/>
        <item x="213"/>
        <item x="212"/>
        <item x="202"/>
        <item x="237"/>
        <item x="208"/>
        <item x="215"/>
        <item x="233"/>
        <item x="230"/>
        <item x="204"/>
        <item x="216"/>
        <item x="217"/>
        <item x="218"/>
        <item x="209"/>
        <item x="234"/>
        <item x="214"/>
        <item x="231"/>
        <item x="238"/>
        <item x="236"/>
        <item x="219"/>
        <item x="229"/>
        <item x="232"/>
        <item x="226"/>
        <item x="222"/>
        <item x="241"/>
        <item x="235"/>
        <item x="244"/>
        <item x="242"/>
        <item x="245"/>
        <item x="220"/>
        <item x="240"/>
        <item x="225"/>
        <item x="210"/>
        <item x="243"/>
        <item x="259"/>
        <item x="223"/>
        <item x="257"/>
        <item x="261"/>
        <item x="250"/>
        <item x="247"/>
        <item x="268"/>
        <item x="249"/>
        <item x="256"/>
        <item x="255"/>
        <item x="258"/>
        <item x="254"/>
        <item x="271"/>
        <item x="253"/>
        <item x="269"/>
        <item x="239"/>
        <item x="224"/>
        <item x="221"/>
        <item x="246"/>
        <item x="265"/>
        <item x="228"/>
        <item x="248"/>
        <item x="264"/>
        <item x="262"/>
        <item x="252"/>
        <item x="270"/>
        <item x="263"/>
        <item x="272"/>
        <item x="276"/>
        <item x="273"/>
        <item x="278"/>
        <item x="280"/>
        <item x="274"/>
        <item x="275"/>
        <item x="277"/>
        <item x="260"/>
        <item x="300"/>
        <item x="281"/>
        <item x="283"/>
        <item x="267"/>
        <item x="284"/>
        <item x="279"/>
        <item x="251"/>
        <item x="288"/>
        <item x="293"/>
        <item x="291"/>
        <item x="309"/>
        <item x="299"/>
        <item x="295"/>
        <item x="296"/>
        <item x="310"/>
        <item x="304"/>
        <item x="297"/>
        <item x="306"/>
        <item x="328"/>
        <item x="324"/>
        <item x="311"/>
        <item x="322"/>
        <item x="323"/>
        <item x="330"/>
        <item x="287"/>
        <item x="333"/>
        <item x="312"/>
        <item x="345"/>
        <item x="320"/>
        <item x="331"/>
        <item x="285"/>
        <item x="326"/>
        <item x="316"/>
        <item x="303"/>
        <item x="319"/>
        <item x="353"/>
        <item x="335"/>
        <item x="336"/>
        <item x="321"/>
        <item x="368"/>
        <item x="340"/>
        <item x="349"/>
        <item x="369"/>
        <item x="347"/>
        <item x="318"/>
        <item x="290"/>
        <item x="343"/>
        <item x="344"/>
        <item x="338"/>
        <item x="346"/>
        <item x="354"/>
        <item x="302"/>
        <item x="298"/>
        <item x="308"/>
        <item x="366"/>
        <item x="325"/>
        <item x="301"/>
        <item x="378"/>
        <item x="356"/>
        <item x="398"/>
        <item x="317"/>
        <item x="389"/>
        <item x="391"/>
        <item x="282"/>
        <item x="372"/>
        <item x="381"/>
        <item x="401"/>
        <item x="390"/>
        <item x="329"/>
        <item x="383"/>
        <item x="396"/>
        <item x="334"/>
        <item x="327"/>
        <item x="388"/>
        <item x="404"/>
        <item x="341"/>
        <item x="286"/>
        <item x="289"/>
        <item x="305"/>
        <item x="307"/>
        <item x="332"/>
        <item x="342"/>
        <item x="350"/>
        <item x="348"/>
        <item x="355"/>
        <item x="417"/>
        <item x="406"/>
        <item x="371"/>
        <item x="423"/>
        <item x="337"/>
        <item x="415"/>
        <item x="313"/>
        <item x="428"/>
        <item x="339"/>
        <item x="405"/>
        <item x="365"/>
        <item x="367"/>
        <item x="399"/>
        <item x="380"/>
        <item x="370"/>
        <item x="419"/>
        <item x="432"/>
        <item x="374"/>
        <item x="418"/>
        <item x="436"/>
        <item x="425"/>
        <item x="373"/>
        <item x="438"/>
        <item x="375"/>
        <item x="386"/>
        <item x="413"/>
        <item x="444"/>
        <item x="439"/>
        <item x="440"/>
        <item x="426"/>
        <item x="397"/>
        <item x="433"/>
        <item x="351"/>
        <item x="377"/>
        <item x="443"/>
        <item x="352"/>
        <item x="392"/>
        <item x="457"/>
        <item x="429"/>
        <item x="445"/>
        <item x="382"/>
        <item x="385"/>
        <item x="400"/>
        <item x="407"/>
        <item x="464"/>
        <item x="410"/>
        <item x="465"/>
        <item x="468"/>
        <item x="395"/>
        <item x="466"/>
        <item x="294"/>
        <item x="292"/>
        <item x="435"/>
        <item x="379"/>
        <item x="376"/>
        <item x="393"/>
        <item x="427"/>
        <item x="411"/>
        <item x="384"/>
        <item x="394"/>
        <item x="483"/>
        <item x="408"/>
        <item x="409"/>
        <item x="416"/>
        <item x="487"/>
        <item x="430"/>
        <item x="420"/>
        <item x="441"/>
        <item x="424"/>
        <item x="488"/>
        <item x="446"/>
        <item x="421"/>
        <item x="447"/>
        <item x="467"/>
        <item x="448"/>
        <item x="471"/>
        <item x="387"/>
        <item x="462"/>
        <item x="477"/>
        <item x="461"/>
        <item x="434"/>
        <item x="460"/>
        <item x="491"/>
        <item x="475"/>
        <item x="437"/>
        <item x="442"/>
        <item x="458"/>
        <item x="485"/>
        <item x="500"/>
        <item x="459"/>
        <item x="470"/>
        <item x="501"/>
        <item x="474"/>
        <item x="504"/>
        <item x="503"/>
        <item x="480"/>
        <item x="431"/>
        <item x="507"/>
        <item x="511"/>
        <item x="314"/>
        <item x="469"/>
        <item x="463"/>
        <item x="498"/>
        <item x="472"/>
        <item x="479"/>
        <item x="486"/>
        <item x="362"/>
        <item x="476"/>
        <item x="454"/>
        <item x="505"/>
        <item x="361"/>
        <item x="358"/>
        <item x="515"/>
        <item x="360"/>
        <item x="522"/>
        <item x="422"/>
        <item x="517"/>
        <item x="497"/>
        <item x="520"/>
        <item x="510"/>
        <item x="492"/>
        <item x="499"/>
        <item x="525"/>
        <item x="530"/>
        <item x="528"/>
        <item x="523"/>
        <item x="506"/>
        <item x="315"/>
        <item x="493"/>
        <item x="266"/>
        <item x="502"/>
        <item x="514"/>
        <item x="534"/>
        <item x="484"/>
        <item x="535"/>
        <item x="531"/>
        <item x="513"/>
        <item x="478"/>
        <item x="414"/>
        <item x="412"/>
        <item x="403"/>
        <item x="542"/>
        <item x="526"/>
        <item x="482"/>
        <item x="544"/>
        <item x="490"/>
        <item x="489"/>
        <item x="519"/>
        <item x="516"/>
        <item x="543"/>
        <item x="494"/>
        <item x="518"/>
        <item x="495"/>
        <item x="496"/>
        <item x="508"/>
        <item x="541"/>
        <item x="524"/>
        <item x="527"/>
        <item x="540"/>
        <item x="521"/>
        <item x="402"/>
        <item x="363"/>
        <item x="364"/>
        <item x="359"/>
        <item x="473"/>
        <item x="549"/>
        <item x="481"/>
        <item x="557"/>
        <item x="556"/>
        <item x="560"/>
        <item x="357"/>
        <item x="552"/>
        <item x="509"/>
        <item x="456"/>
        <item x="562"/>
        <item x="512"/>
        <item x="532"/>
        <item x="548"/>
        <item x="566"/>
        <item x="537"/>
        <item x="547"/>
        <item x="554"/>
        <item x="533"/>
        <item x="555"/>
        <item x="559"/>
        <item x="545"/>
        <item x="539"/>
        <item x="546"/>
        <item x="553"/>
        <item x="574"/>
        <item x="453"/>
        <item x="568"/>
        <item x="450"/>
        <item x="449"/>
        <item x="451"/>
        <item x="452"/>
        <item x="550"/>
        <item x="561"/>
        <item x="572"/>
        <item x="529"/>
        <item x="579"/>
        <item x="580"/>
        <item x="587"/>
        <item x="588"/>
        <item x="576"/>
        <item x="551"/>
        <item x="583"/>
        <item x="598"/>
        <item x="592"/>
        <item x="599"/>
        <item x="565"/>
        <item x="601"/>
        <item x="593"/>
        <item x="589"/>
        <item x="606"/>
        <item x="607"/>
        <item x="567"/>
        <item x="585"/>
        <item x="538"/>
        <item x="603"/>
        <item x="602"/>
        <item x="455"/>
        <item x="536"/>
        <item x="570"/>
        <item x="558"/>
        <item x="577"/>
        <item x="605"/>
        <item x="564"/>
        <item x="594"/>
        <item x="573"/>
        <item x="612"/>
        <item x="571"/>
        <item x="581"/>
        <item x="604"/>
        <item x="613"/>
        <item x="586"/>
        <item x="595"/>
        <item x="616"/>
        <item x="615"/>
        <item x="597"/>
        <item x="569"/>
        <item x="596"/>
        <item x="575"/>
        <item x="582"/>
        <item x="591"/>
        <item x="619"/>
        <item x="563"/>
        <item x="600"/>
        <item x="608"/>
        <item x="621"/>
        <item x="627"/>
        <item x="628"/>
        <item x="611"/>
        <item x="590"/>
        <item x="624"/>
        <item x="617"/>
        <item x="629"/>
        <item x="630"/>
        <item x="618"/>
        <item x="622"/>
        <item x="623"/>
        <item x="632"/>
        <item x="609"/>
        <item x="610"/>
        <item x="633"/>
        <item x="631"/>
        <item x="634"/>
        <item x="626"/>
        <item x="578"/>
        <item x="635"/>
        <item x="614"/>
        <item x="636"/>
        <item x="637"/>
        <item x="620"/>
        <item x="584"/>
        <item x="638"/>
        <item x="639"/>
        <item x="641"/>
        <item x="640"/>
        <item x="642"/>
        <item x="625"/>
        <item x="643"/>
        <item t="default"/>
      </items>
    </pivotField>
    <pivotField showAll="0"/>
    <pivotField numFmtId="22" showAll="0">
      <items count="641">
        <item x="41"/>
        <item x="46"/>
        <item x="23"/>
        <item x="24"/>
        <item x="70"/>
        <item x="0"/>
        <item x="4"/>
        <item x="12"/>
        <item x="11"/>
        <item x="13"/>
        <item x="26"/>
        <item x="27"/>
        <item x="8"/>
        <item x="22"/>
        <item x="21"/>
        <item x="20"/>
        <item x="18"/>
        <item x="19"/>
        <item x="17"/>
        <item x="7"/>
        <item x="25"/>
        <item x="16"/>
        <item x="3"/>
        <item x="9"/>
        <item x="10"/>
        <item x="14"/>
        <item x="44"/>
        <item x="15"/>
        <item x="1"/>
        <item x="5"/>
        <item x="2"/>
        <item x="47"/>
        <item x="42"/>
        <item x="6"/>
        <item x="50"/>
        <item x="62"/>
        <item x="68"/>
        <item x="37"/>
        <item x="89"/>
        <item x="43"/>
        <item x="40"/>
        <item x="45"/>
        <item x="93"/>
        <item x="48"/>
        <item x="49"/>
        <item x="81"/>
        <item x="33"/>
        <item x="106"/>
        <item x="29"/>
        <item x="35"/>
        <item x="137"/>
        <item x="139"/>
        <item x="38"/>
        <item x="34"/>
        <item x="39"/>
        <item x="36"/>
        <item x="83"/>
        <item x="66"/>
        <item x="69"/>
        <item x="30"/>
        <item x="55"/>
        <item x="88"/>
        <item x="54"/>
        <item x="59"/>
        <item x="65"/>
        <item x="28"/>
        <item x="32"/>
        <item x="67"/>
        <item x="64"/>
        <item x="57"/>
        <item x="58"/>
        <item x="56"/>
        <item x="51"/>
        <item x="86"/>
        <item x="63"/>
        <item x="31"/>
        <item x="92"/>
        <item x="91"/>
        <item x="73"/>
        <item x="60"/>
        <item x="52"/>
        <item x="108"/>
        <item x="94"/>
        <item x="61"/>
        <item x="90"/>
        <item x="105"/>
        <item x="74"/>
        <item x="53"/>
        <item x="107"/>
        <item x="75"/>
        <item x="71"/>
        <item x="80"/>
        <item x="72"/>
        <item x="77"/>
        <item x="127"/>
        <item x="110"/>
        <item x="111"/>
        <item x="79"/>
        <item x="76"/>
        <item x="100"/>
        <item x="101"/>
        <item x="78"/>
        <item x="98"/>
        <item x="112"/>
        <item x="122"/>
        <item x="169"/>
        <item x="125"/>
        <item x="126"/>
        <item x="99"/>
        <item x="103"/>
        <item x="148"/>
        <item x="104"/>
        <item x="102"/>
        <item x="150"/>
        <item x="160"/>
        <item x="140"/>
        <item x="138"/>
        <item x="158"/>
        <item x="95"/>
        <item x="145"/>
        <item x="121"/>
        <item x="97"/>
        <item x="96"/>
        <item x="114"/>
        <item x="161"/>
        <item x="118"/>
        <item x="113"/>
        <item x="119"/>
        <item x="130"/>
        <item x="149"/>
        <item x="153"/>
        <item x="133"/>
        <item x="135"/>
        <item x="115"/>
        <item x="167"/>
        <item x="124"/>
        <item x="123"/>
        <item x="117"/>
        <item x="120"/>
        <item x="134"/>
        <item x="142"/>
        <item x="168"/>
        <item x="116"/>
        <item x="136"/>
        <item x="132"/>
        <item x="162"/>
        <item x="128"/>
        <item x="131"/>
        <item x="151"/>
        <item x="129"/>
        <item x="152"/>
        <item x="163"/>
        <item x="144"/>
        <item x="141"/>
        <item x="157"/>
        <item x="146"/>
        <item x="188"/>
        <item x="147"/>
        <item x="165"/>
        <item x="143"/>
        <item x="184"/>
        <item x="164"/>
        <item x="182"/>
        <item x="166"/>
        <item x="185"/>
        <item x="183"/>
        <item x="187"/>
        <item x="156"/>
        <item x="177"/>
        <item x="159"/>
        <item x="154"/>
        <item x="155"/>
        <item x="186"/>
        <item x="171"/>
        <item x="200"/>
        <item x="202"/>
        <item x="201"/>
        <item x="173"/>
        <item x="216"/>
        <item x="172"/>
        <item x="205"/>
        <item x="219"/>
        <item x="244"/>
        <item x="204"/>
        <item x="215"/>
        <item x="170"/>
        <item x="232"/>
        <item x="175"/>
        <item x="176"/>
        <item x="218"/>
        <item x="174"/>
        <item x="199"/>
        <item x="230"/>
        <item x="198"/>
        <item x="197"/>
        <item x="189"/>
        <item x="196"/>
        <item x="192"/>
        <item x="209"/>
        <item x="212"/>
        <item x="190"/>
        <item x="194"/>
        <item x="231"/>
        <item x="210"/>
        <item x="211"/>
        <item x="191"/>
        <item x="233"/>
        <item x="243"/>
        <item x="195"/>
        <item x="193"/>
        <item x="217"/>
        <item x="222"/>
        <item x="208"/>
        <item x="225"/>
        <item x="214"/>
        <item x="223"/>
        <item x="206"/>
        <item x="213"/>
        <item x="224"/>
        <item x="227"/>
        <item x="207"/>
        <item x="226"/>
        <item x="264"/>
        <item x="235"/>
        <item x="229"/>
        <item x="263"/>
        <item x="241"/>
        <item x="234"/>
        <item x="228"/>
        <item x="221"/>
        <item x="242"/>
        <item x="85"/>
        <item x="82"/>
        <item x="84"/>
        <item x="87"/>
        <item x="220"/>
        <item x="260"/>
        <item x="240"/>
        <item x="304"/>
        <item x="262"/>
        <item x="238"/>
        <item x="256"/>
        <item x="237"/>
        <item x="246"/>
        <item x="239"/>
        <item x="275"/>
        <item x="236"/>
        <item x="276"/>
        <item x="255"/>
        <item x="247"/>
        <item x="258"/>
        <item x="245"/>
        <item x="259"/>
        <item x="277"/>
        <item x="291"/>
        <item x="248"/>
        <item x="249"/>
        <item x="329"/>
        <item x="257"/>
        <item x="250"/>
        <item x="279"/>
        <item x="278"/>
        <item x="109"/>
        <item x="251"/>
        <item x="252"/>
        <item x="253"/>
        <item x="290"/>
        <item x="266"/>
        <item x="269"/>
        <item x="305"/>
        <item x="265"/>
        <item x="302"/>
        <item x="254"/>
        <item x="292"/>
        <item x="272"/>
        <item x="273"/>
        <item x="303"/>
        <item x="313"/>
        <item x="271"/>
        <item x="306"/>
        <item x="270"/>
        <item x="315"/>
        <item x="312"/>
        <item x="268"/>
        <item x="267"/>
        <item x="287"/>
        <item x="288"/>
        <item x="274"/>
        <item x="289"/>
        <item x="316"/>
        <item x="285"/>
        <item x="325"/>
        <item x="286"/>
        <item x="284"/>
        <item x="318"/>
        <item x="295"/>
        <item x="324"/>
        <item x="326"/>
        <item x="179"/>
        <item x="328"/>
        <item x="283"/>
        <item x="298"/>
        <item x="280"/>
        <item x="181"/>
        <item x="332"/>
        <item x="333"/>
        <item x="334"/>
        <item x="282"/>
        <item x="300"/>
        <item x="415"/>
        <item x="297"/>
        <item x="301"/>
        <item x="293"/>
        <item x="296"/>
        <item x="385"/>
        <item x="281"/>
        <item x="310"/>
        <item x="294"/>
        <item x="308"/>
        <item x="321"/>
        <item x="309"/>
        <item x="178"/>
        <item x="319"/>
        <item x="311"/>
        <item x="320"/>
        <item x="180"/>
        <item x="307"/>
        <item x="323"/>
        <item x="327"/>
        <item x="348"/>
        <item x="335"/>
        <item x="322"/>
        <item x="340"/>
        <item x="317"/>
        <item x="347"/>
        <item x="372"/>
        <item x="438"/>
        <item x="339"/>
        <item x="426"/>
        <item x="384"/>
        <item x="336"/>
        <item x="337"/>
        <item x="382"/>
        <item x="359"/>
        <item x="360"/>
        <item x="355"/>
        <item x="361"/>
        <item x="203"/>
        <item x="373"/>
        <item x="398"/>
        <item x="338"/>
        <item x="344"/>
        <item x="341"/>
        <item x="399"/>
        <item x="343"/>
        <item x="413"/>
        <item x="356"/>
        <item x="342"/>
        <item x="383"/>
        <item x="351"/>
        <item x="354"/>
        <item x="437"/>
        <item x="396"/>
        <item x="364"/>
        <item x="353"/>
        <item x="349"/>
        <item x="350"/>
        <item x="352"/>
        <item x="363"/>
        <item x="366"/>
        <item x="357"/>
        <item x="392"/>
        <item x="425"/>
        <item x="358"/>
        <item x="416"/>
        <item x="365"/>
        <item x="369"/>
        <item x="401"/>
        <item x="368"/>
        <item x="370"/>
        <item x="367"/>
        <item x="362"/>
        <item x="388"/>
        <item x="371"/>
        <item x="409"/>
        <item x="386"/>
        <item x="460"/>
        <item x="391"/>
        <item x="405"/>
        <item x="397"/>
        <item x="404"/>
        <item x="423"/>
        <item x="424"/>
        <item x="420"/>
        <item x="400"/>
        <item x="406"/>
        <item x="412"/>
        <item x="394"/>
        <item x="445"/>
        <item x="389"/>
        <item x="407"/>
        <item x="408"/>
        <item x="393"/>
        <item x="410"/>
        <item x="442"/>
        <item x="444"/>
        <item x="261"/>
        <item x="390"/>
        <item x="403"/>
        <item x="453"/>
        <item x="431"/>
        <item x="446"/>
        <item x="422"/>
        <item x="443"/>
        <item x="414"/>
        <item x="450"/>
        <item x="429"/>
        <item x="395"/>
        <item x="458"/>
        <item x="482"/>
        <item x="427"/>
        <item x="430"/>
        <item x="447"/>
        <item x="483"/>
        <item x="488"/>
        <item x="402"/>
        <item x="439"/>
        <item x="428"/>
        <item x="421"/>
        <item x="411"/>
        <item x="497"/>
        <item x="452"/>
        <item x="502"/>
        <item x="454"/>
        <item x="432"/>
        <item x="455"/>
        <item x="479"/>
        <item x="509"/>
        <item x="493"/>
        <item x="499"/>
        <item x="448"/>
        <item x="500"/>
        <item x="456"/>
        <item x="503"/>
        <item x="436"/>
        <item x="537"/>
        <item x="457"/>
        <item x="462"/>
        <item x="511"/>
        <item x="419"/>
        <item x="510"/>
        <item x="451"/>
        <item x="464"/>
        <item x="463"/>
        <item x="440"/>
        <item x="523"/>
        <item x="521"/>
        <item x="466"/>
        <item x="461"/>
        <item x="345"/>
        <item x="490"/>
        <item x="489"/>
        <item x="487"/>
        <item x="468"/>
        <item x="494"/>
        <item x="508"/>
        <item x="548"/>
        <item x="467"/>
        <item x="459"/>
        <item x="491"/>
        <item x="449"/>
        <item x="534"/>
        <item x="492"/>
        <item x="505"/>
        <item x="555"/>
        <item x="486"/>
        <item x="485"/>
        <item x="514"/>
        <item x="512"/>
        <item x="516"/>
        <item x="517"/>
        <item x="331"/>
        <item x="330"/>
        <item x="506"/>
        <item x="518"/>
        <item x="498"/>
        <item x="504"/>
        <item x="346"/>
        <item x="528"/>
        <item x="544"/>
        <item x="387"/>
        <item x="465"/>
        <item x="480"/>
        <item x="524"/>
        <item x="535"/>
        <item x="501"/>
        <item x="513"/>
        <item x="496"/>
        <item x="441"/>
        <item x="495"/>
        <item x="527"/>
        <item x="522"/>
        <item x="559"/>
        <item x="560"/>
        <item x="536"/>
        <item x="526"/>
        <item x="571"/>
        <item x="546"/>
        <item x="556"/>
        <item x="507"/>
        <item x="547"/>
        <item x="525"/>
        <item x="314"/>
        <item x="519"/>
        <item x="558"/>
        <item x="557"/>
        <item x="520"/>
        <item x="530"/>
        <item x="539"/>
        <item x="380"/>
        <item x="381"/>
        <item x="376"/>
        <item x="515"/>
        <item x="542"/>
        <item x="554"/>
        <item x="549"/>
        <item x="541"/>
        <item x="580"/>
        <item x="374"/>
        <item x="553"/>
        <item x="552"/>
        <item x="538"/>
        <item x="543"/>
        <item x="551"/>
        <item x="550"/>
        <item x="529"/>
        <item x="379"/>
        <item x="540"/>
        <item x="582"/>
        <item x="579"/>
        <item x="378"/>
        <item x="572"/>
        <item x="578"/>
        <item x="377"/>
        <item x="565"/>
        <item x="590"/>
        <item x="375"/>
        <item x="299"/>
        <item x="601"/>
        <item x="592"/>
        <item x="570"/>
        <item x="561"/>
        <item x="567"/>
        <item x="564"/>
        <item x="484"/>
        <item x="569"/>
        <item x="545"/>
        <item x="574"/>
        <item x="481"/>
        <item x="563"/>
        <item x="576"/>
        <item x="593"/>
        <item x="591"/>
        <item x="568"/>
        <item x="577"/>
        <item x="595"/>
        <item x="581"/>
        <item x="435"/>
        <item x="433"/>
        <item x="418"/>
        <item x="589"/>
        <item x="575"/>
        <item x="584"/>
        <item x="434"/>
        <item x="586"/>
        <item x="566"/>
        <item x="573"/>
        <item x="583"/>
        <item x="587"/>
        <item x="474"/>
        <item x="472"/>
        <item x="562"/>
        <item x="617"/>
        <item x="618"/>
        <item x="616"/>
        <item x="604"/>
        <item x="603"/>
        <item x="588"/>
        <item x="417"/>
        <item x="637"/>
        <item x="626"/>
        <item x="599"/>
        <item x="619"/>
        <item x="585"/>
        <item x="628"/>
        <item x="615"/>
        <item x="623"/>
        <item x="620"/>
        <item x="597"/>
        <item x="625"/>
        <item x="598"/>
        <item x="627"/>
        <item x="602"/>
        <item x="621"/>
        <item x="478"/>
        <item x="469"/>
        <item x="596"/>
        <item x="600"/>
        <item x="594"/>
        <item x="622"/>
        <item x="639"/>
        <item x="611"/>
        <item x="613"/>
        <item x="612"/>
        <item x="609"/>
        <item x="610"/>
        <item x="608"/>
        <item x="630"/>
        <item x="634"/>
        <item x="477"/>
        <item x="635"/>
        <item x="471"/>
        <item x="473"/>
        <item x="475"/>
        <item x="476"/>
        <item x="624"/>
        <item x="532"/>
        <item x="470"/>
        <item x="531"/>
        <item x="636"/>
        <item x="606"/>
        <item x="607"/>
        <item x="605"/>
        <item x="632"/>
        <item x="638"/>
        <item x="633"/>
        <item x="631"/>
        <item x="614"/>
        <item x="533"/>
        <item x="629"/>
        <item t="default"/>
      </items>
    </pivotField>
    <pivotField numFmtId="14" showAll="0"/>
    <pivotField numFmtId="14" showAll="0"/>
    <pivotField numFmtId="164" showAll="0"/>
    <pivotField showAll="0"/>
    <pivotField showAll="0"/>
    <pivotField dragToRow="0" dragToCol="0" dragToPage="0" showAll="0" defaultSubtotal="0"/>
    <pivotField showAll="0" defaultSubtotal="0"/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 defaultSubtotal="0"/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dragToRow="0" dragToCol="0" dragToPage="0" showAll="0" defaultSubtotal="0"/>
  </pivotFields>
  <rowFields count="2">
    <field x="4"/>
    <field x="1"/>
  </rowFields>
  <rowItems count="19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 v="1"/>
    </i>
    <i t="grand">
      <x/>
    </i>
  </rowItems>
  <colItems count="1">
    <i/>
  </colItems>
  <dataFields count="1">
    <dataField name="Sum of Compan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42AA7-901C-4D13-A7CA-9251E934073D}" name="AllPcsAndValues" cacheId="1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Market">
  <location ref="N4:CH10" firstHeaderRow="1" firstDataRow="4" firstDataCol="1"/>
  <pivotFields count="22">
    <pivotField numFmtId="22" showAll="0"/>
    <pivotField axis="axisCol" multipleItemSelectionAllowed="1" showAll="0">
      <items count="5">
        <item x="2"/>
        <item h="1" x="0"/>
        <item x="1"/>
        <item x="3"/>
        <item t="default"/>
      </items>
    </pivotField>
    <pivotField axis="axisCol" multipleItemSelectionAllowed="1" showAll="0">
      <items count="17">
        <item h="1" x="15"/>
        <item h="1" x="13"/>
        <item h="1" x="14"/>
        <item h="1" x="0"/>
        <item h="1" x="12"/>
        <item h="1" x="11"/>
        <item x="8"/>
        <item x="5"/>
        <item x="2"/>
        <item x="4"/>
        <item x="3"/>
        <item x="7"/>
        <item x="1"/>
        <item x="9"/>
        <item x="6"/>
        <item x="10"/>
        <item t="default"/>
      </items>
    </pivotField>
    <pivotField showAll="0"/>
    <pivotField axis="axisRow" showAll="0">
      <items count="7">
        <item x="1"/>
        <item x="2"/>
        <item x="0"/>
        <item x="3"/>
        <item x="5"/>
        <item x="4"/>
        <item t="default"/>
      </items>
    </pivotField>
    <pivotField dataField="1" showAll="0"/>
    <pivotField showAll="0"/>
    <pivotField dataField="1" showAll="0"/>
    <pivotField numFmtId="22" showAll="0">
      <items count="645">
        <item x="0"/>
        <item x="4"/>
        <item x="12"/>
        <item x="11"/>
        <item x="23"/>
        <item x="22"/>
        <item x="10"/>
        <item x="21"/>
        <item x="19"/>
        <item x="18"/>
        <item x="17"/>
        <item x="20"/>
        <item x="16"/>
        <item x="6"/>
        <item x="28"/>
        <item x="15"/>
        <item x="3"/>
        <item x="8"/>
        <item x="9"/>
        <item x="13"/>
        <item x="25"/>
        <item x="14"/>
        <item x="1"/>
        <item x="5"/>
        <item x="2"/>
        <item x="33"/>
        <item x="24"/>
        <item x="40"/>
        <item x="37"/>
        <item x="43"/>
        <item x="7"/>
        <item x="29"/>
        <item x="42"/>
        <item x="31"/>
        <item x="30"/>
        <item x="26"/>
        <item x="32"/>
        <item x="35"/>
        <item x="36"/>
        <item x="38"/>
        <item x="41"/>
        <item x="54"/>
        <item x="34"/>
        <item x="39"/>
        <item x="60"/>
        <item x="55"/>
        <item x="51"/>
        <item x="59"/>
        <item x="53"/>
        <item x="47"/>
        <item x="49"/>
        <item x="61"/>
        <item x="50"/>
        <item x="58"/>
        <item x="56"/>
        <item x="52"/>
        <item x="46"/>
        <item x="57"/>
        <item x="27"/>
        <item x="48"/>
        <item x="45"/>
        <item x="62"/>
        <item x="67"/>
        <item x="63"/>
        <item x="66"/>
        <item x="77"/>
        <item x="44"/>
        <item x="78"/>
        <item x="71"/>
        <item x="70"/>
        <item x="89"/>
        <item x="68"/>
        <item x="73"/>
        <item x="64"/>
        <item x="74"/>
        <item x="88"/>
        <item x="69"/>
        <item x="76"/>
        <item x="75"/>
        <item x="65"/>
        <item x="80"/>
        <item x="79"/>
        <item x="94"/>
        <item x="81"/>
        <item x="95"/>
        <item x="100"/>
        <item x="102"/>
        <item x="83"/>
        <item x="85"/>
        <item x="87"/>
        <item x="82"/>
        <item x="86"/>
        <item x="91"/>
        <item x="90"/>
        <item x="93"/>
        <item x="98"/>
        <item x="97"/>
        <item x="111"/>
        <item x="101"/>
        <item x="92"/>
        <item x="99"/>
        <item x="106"/>
        <item x="116"/>
        <item x="105"/>
        <item x="104"/>
        <item x="119"/>
        <item x="72"/>
        <item x="108"/>
        <item x="107"/>
        <item x="84"/>
        <item x="131"/>
        <item x="114"/>
        <item x="121"/>
        <item x="112"/>
        <item x="132"/>
        <item x="113"/>
        <item x="130"/>
        <item x="118"/>
        <item x="138"/>
        <item x="124"/>
        <item x="117"/>
        <item x="120"/>
        <item x="125"/>
        <item x="128"/>
        <item x="126"/>
        <item x="122"/>
        <item x="123"/>
        <item x="150"/>
        <item x="127"/>
        <item x="96"/>
        <item x="109"/>
        <item x="142"/>
        <item x="129"/>
        <item x="154"/>
        <item x="146"/>
        <item x="141"/>
        <item x="133"/>
        <item x="103"/>
        <item x="143"/>
        <item x="140"/>
        <item x="145"/>
        <item x="134"/>
        <item x="147"/>
        <item x="149"/>
        <item x="152"/>
        <item x="115"/>
        <item x="148"/>
        <item x="151"/>
        <item x="136"/>
        <item x="167"/>
        <item x="156"/>
        <item x="135"/>
        <item x="153"/>
        <item x="137"/>
        <item x="139"/>
        <item x="155"/>
        <item x="160"/>
        <item x="165"/>
        <item x="159"/>
        <item x="157"/>
        <item x="173"/>
        <item x="163"/>
        <item x="161"/>
        <item x="164"/>
        <item x="166"/>
        <item x="170"/>
        <item x="169"/>
        <item x="179"/>
        <item x="185"/>
        <item x="171"/>
        <item x="174"/>
        <item x="181"/>
        <item x="176"/>
        <item x="172"/>
        <item x="182"/>
        <item x="183"/>
        <item x="177"/>
        <item x="184"/>
        <item x="158"/>
        <item x="110"/>
        <item x="191"/>
        <item x="194"/>
        <item x="144"/>
        <item x="188"/>
        <item x="180"/>
        <item x="201"/>
        <item x="197"/>
        <item x="195"/>
        <item x="190"/>
        <item x="207"/>
        <item x="193"/>
        <item x="162"/>
        <item x="200"/>
        <item x="192"/>
        <item x="211"/>
        <item x="198"/>
        <item x="175"/>
        <item x="196"/>
        <item x="187"/>
        <item x="199"/>
        <item x="203"/>
        <item x="186"/>
        <item x="178"/>
        <item x="168"/>
        <item x="189"/>
        <item x="205"/>
        <item x="227"/>
        <item x="206"/>
        <item x="213"/>
        <item x="212"/>
        <item x="202"/>
        <item x="237"/>
        <item x="208"/>
        <item x="215"/>
        <item x="233"/>
        <item x="230"/>
        <item x="204"/>
        <item x="216"/>
        <item x="217"/>
        <item x="218"/>
        <item x="209"/>
        <item x="234"/>
        <item x="214"/>
        <item x="231"/>
        <item x="238"/>
        <item x="236"/>
        <item x="219"/>
        <item x="229"/>
        <item x="232"/>
        <item x="226"/>
        <item x="222"/>
        <item x="241"/>
        <item x="235"/>
        <item x="244"/>
        <item x="242"/>
        <item x="245"/>
        <item x="220"/>
        <item x="240"/>
        <item x="225"/>
        <item x="210"/>
        <item x="243"/>
        <item x="259"/>
        <item x="223"/>
        <item x="257"/>
        <item x="261"/>
        <item x="250"/>
        <item x="247"/>
        <item x="268"/>
        <item x="249"/>
        <item x="256"/>
        <item x="255"/>
        <item x="258"/>
        <item x="254"/>
        <item x="271"/>
        <item x="253"/>
        <item x="269"/>
        <item x="239"/>
        <item x="224"/>
        <item x="221"/>
        <item x="246"/>
        <item x="265"/>
        <item x="228"/>
        <item x="248"/>
        <item x="264"/>
        <item x="262"/>
        <item x="252"/>
        <item x="270"/>
        <item x="263"/>
        <item x="272"/>
        <item x="276"/>
        <item x="273"/>
        <item x="278"/>
        <item x="280"/>
        <item x="274"/>
        <item x="275"/>
        <item x="277"/>
        <item x="260"/>
        <item x="300"/>
        <item x="281"/>
        <item x="283"/>
        <item x="267"/>
        <item x="284"/>
        <item x="279"/>
        <item x="251"/>
        <item x="288"/>
        <item x="293"/>
        <item x="291"/>
        <item x="309"/>
        <item x="299"/>
        <item x="295"/>
        <item x="296"/>
        <item x="310"/>
        <item x="304"/>
        <item x="297"/>
        <item x="306"/>
        <item x="328"/>
        <item x="324"/>
        <item x="311"/>
        <item x="322"/>
        <item x="323"/>
        <item x="330"/>
        <item x="287"/>
        <item x="333"/>
        <item x="312"/>
        <item x="345"/>
        <item x="320"/>
        <item x="331"/>
        <item x="285"/>
        <item x="326"/>
        <item x="316"/>
        <item x="303"/>
        <item x="319"/>
        <item x="353"/>
        <item x="335"/>
        <item x="336"/>
        <item x="321"/>
        <item x="368"/>
        <item x="340"/>
        <item x="349"/>
        <item x="369"/>
        <item x="347"/>
        <item x="318"/>
        <item x="290"/>
        <item x="343"/>
        <item x="344"/>
        <item x="338"/>
        <item x="346"/>
        <item x="354"/>
        <item x="302"/>
        <item x="298"/>
        <item x="308"/>
        <item x="366"/>
        <item x="325"/>
        <item x="301"/>
        <item x="378"/>
        <item x="356"/>
        <item x="398"/>
        <item x="317"/>
        <item x="389"/>
        <item x="391"/>
        <item x="282"/>
        <item x="372"/>
        <item x="381"/>
        <item x="401"/>
        <item x="390"/>
        <item x="329"/>
        <item x="383"/>
        <item x="396"/>
        <item x="334"/>
        <item x="327"/>
        <item x="388"/>
        <item x="404"/>
        <item x="341"/>
        <item x="286"/>
        <item x="289"/>
        <item x="305"/>
        <item x="307"/>
        <item x="332"/>
        <item x="342"/>
        <item x="350"/>
        <item x="348"/>
        <item x="355"/>
        <item x="417"/>
        <item x="406"/>
        <item x="371"/>
        <item x="423"/>
        <item x="337"/>
        <item x="415"/>
        <item x="313"/>
        <item x="428"/>
        <item x="339"/>
        <item x="405"/>
        <item x="365"/>
        <item x="367"/>
        <item x="399"/>
        <item x="380"/>
        <item x="370"/>
        <item x="419"/>
        <item x="432"/>
        <item x="374"/>
        <item x="418"/>
        <item x="436"/>
        <item x="425"/>
        <item x="373"/>
        <item x="438"/>
        <item x="375"/>
        <item x="386"/>
        <item x="413"/>
        <item x="444"/>
        <item x="439"/>
        <item x="440"/>
        <item x="426"/>
        <item x="397"/>
        <item x="433"/>
        <item x="351"/>
        <item x="377"/>
        <item x="443"/>
        <item x="352"/>
        <item x="392"/>
        <item x="457"/>
        <item x="429"/>
        <item x="445"/>
        <item x="382"/>
        <item x="385"/>
        <item x="400"/>
        <item x="407"/>
        <item x="464"/>
        <item x="410"/>
        <item x="465"/>
        <item x="468"/>
        <item x="395"/>
        <item x="466"/>
        <item x="294"/>
        <item x="292"/>
        <item x="435"/>
        <item x="379"/>
        <item x="376"/>
        <item x="393"/>
        <item x="427"/>
        <item x="411"/>
        <item x="384"/>
        <item x="394"/>
        <item x="483"/>
        <item x="408"/>
        <item x="409"/>
        <item x="416"/>
        <item x="487"/>
        <item x="430"/>
        <item x="420"/>
        <item x="441"/>
        <item x="424"/>
        <item x="488"/>
        <item x="446"/>
        <item x="421"/>
        <item x="447"/>
        <item x="467"/>
        <item x="448"/>
        <item x="471"/>
        <item x="387"/>
        <item x="462"/>
        <item x="477"/>
        <item x="461"/>
        <item x="434"/>
        <item x="460"/>
        <item x="491"/>
        <item x="475"/>
        <item x="437"/>
        <item x="442"/>
        <item x="458"/>
        <item x="485"/>
        <item x="500"/>
        <item x="459"/>
        <item x="470"/>
        <item x="501"/>
        <item x="474"/>
        <item x="504"/>
        <item x="503"/>
        <item x="480"/>
        <item x="431"/>
        <item x="507"/>
        <item x="511"/>
        <item x="314"/>
        <item x="469"/>
        <item x="463"/>
        <item x="498"/>
        <item x="472"/>
        <item x="479"/>
        <item x="486"/>
        <item x="362"/>
        <item x="476"/>
        <item x="454"/>
        <item x="505"/>
        <item x="361"/>
        <item x="358"/>
        <item x="515"/>
        <item x="360"/>
        <item x="522"/>
        <item x="422"/>
        <item x="517"/>
        <item x="497"/>
        <item x="520"/>
        <item x="510"/>
        <item x="492"/>
        <item x="499"/>
        <item x="525"/>
        <item x="530"/>
        <item x="528"/>
        <item x="523"/>
        <item x="506"/>
        <item x="315"/>
        <item x="493"/>
        <item x="266"/>
        <item x="502"/>
        <item x="514"/>
        <item x="534"/>
        <item x="484"/>
        <item x="535"/>
        <item x="531"/>
        <item x="513"/>
        <item x="478"/>
        <item x="414"/>
        <item x="412"/>
        <item x="403"/>
        <item x="542"/>
        <item x="526"/>
        <item x="482"/>
        <item x="544"/>
        <item x="490"/>
        <item x="489"/>
        <item x="519"/>
        <item x="516"/>
        <item x="543"/>
        <item x="494"/>
        <item x="518"/>
        <item x="495"/>
        <item x="496"/>
        <item x="508"/>
        <item x="541"/>
        <item x="524"/>
        <item x="527"/>
        <item x="540"/>
        <item x="521"/>
        <item x="402"/>
        <item x="363"/>
        <item x="364"/>
        <item x="359"/>
        <item x="473"/>
        <item x="549"/>
        <item x="481"/>
        <item x="557"/>
        <item x="556"/>
        <item x="560"/>
        <item x="357"/>
        <item x="552"/>
        <item x="509"/>
        <item x="456"/>
        <item x="562"/>
        <item x="512"/>
        <item x="532"/>
        <item x="548"/>
        <item x="566"/>
        <item x="537"/>
        <item x="547"/>
        <item x="554"/>
        <item x="533"/>
        <item x="555"/>
        <item x="559"/>
        <item x="545"/>
        <item x="539"/>
        <item x="546"/>
        <item x="553"/>
        <item x="574"/>
        <item x="453"/>
        <item x="568"/>
        <item x="450"/>
        <item x="449"/>
        <item x="451"/>
        <item x="452"/>
        <item x="550"/>
        <item x="561"/>
        <item x="572"/>
        <item x="529"/>
        <item x="579"/>
        <item x="580"/>
        <item x="587"/>
        <item x="588"/>
        <item x="576"/>
        <item x="551"/>
        <item x="583"/>
        <item x="598"/>
        <item x="592"/>
        <item x="599"/>
        <item x="565"/>
        <item x="601"/>
        <item x="593"/>
        <item x="589"/>
        <item x="606"/>
        <item x="607"/>
        <item x="567"/>
        <item x="585"/>
        <item x="538"/>
        <item x="603"/>
        <item x="602"/>
        <item x="455"/>
        <item x="536"/>
        <item x="570"/>
        <item x="558"/>
        <item x="577"/>
        <item x="605"/>
        <item x="564"/>
        <item x="594"/>
        <item x="573"/>
        <item x="612"/>
        <item x="571"/>
        <item x="581"/>
        <item x="604"/>
        <item x="613"/>
        <item x="586"/>
        <item x="595"/>
        <item x="616"/>
        <item x="615"/>
        <item x="597"/>
        <item x="569"/>
        <item x="596"/>
        <item x="575"/>
        <item x="582"/>
        <item x="591"/>
        <item x="619"/>
        <item x="563"/>
        <item x="600"/>
        <item x="608"/>
        <item x="621"/>
        <item x="627"/>
        <item x="628"/>
        <item x="611"/>
        <item x="590"/>
        <item x="624"/>
        <item x="617"/>
        <item x="629"/>
        <item x="630"/>
        <item x="618"/>
        <item x="622"/>
        <item x="623"/>
        <item x="632"/>
        <item x="609"/>
        <item x="610"/>
        <item x="633"/>
        <item x="631"/>
        <item x="634"/>
        <item x="626"/>
        <item x="578"/>
        <item x="635"/>
        <item x="614"/>
        <item x="636"/>
        <item x="637"/>
        <item x="620"/>
        <item x="584"/>
        <item x="638"/>
        <item x="639"/>
        <item x="641"/>
        <item x="640"/>
        <item x="642"/>
        <item x="625"/>
        <item x="643"/>
        <item t="default"/>
      </items>
    </pivotField>
    <pivotField showAll="0"/>
    <pivotField numFmtId="22" showAll="0">
      <items count="641">
        <item x="41"/>
        <item x="46"/>
        <item x="23"/>
        <item x="24"/>
        <item x="70"/>
        <item x="0"/>
        <item x="4"/>
        <item x="12"/>
        <item x="11"/>
        <item x="13"/>
        <item x="26"/>
        <item x="27"/>
        <item x="8"/>
        <item x="22"/>
        <item x="21"/>
        <item x="20"/>
        <item x="18"/>
        <item x="19"/>
        <item x="17"/>
        <item x="7"/>
        <item x="25"/>
        <item x="16"/>
        <item x="3"/>
        <item x="9"/>
        <item x="10"/>
        <item x="14"/>
        <item x="44"/>
        <item x="15"/>
        <item x="1"/>
        <item x="5"/>
        <item x="2"/>
        <item x="47"/>
        <item x="42"/>
        <item x="6"/>
        <item x="50"/>
        <item x="62"/>
        <item x="68"/>
        <item x="37"/>
        <item x="89"/>
        <item x="43"/>
        <item x="40"/>
        <item x="45"/>
        <item x="93"/>
        <item x="48"/>
        <item x="49"/>
        <item x="81"/>
        <item x="33"/>
        <item x="106"/>
        <item x="29"/>
        <item x="35"/>
        <item x="137"/>
        <item x="139"/>
        <item x="38"/>
        <item x="34"/>
        <item x="39"/>
        <item x="36"/>
        <item x="83"/>
        <item x="66"/>
        <item x="69"/>
        <item x="30"/>
        <item x="55"/>
        <item x="88"/>
        <item x="54"/>
        <item x="59"/>
        <item x="65"/>
        <item x="28"/>
        <item x="32"/>
        <item x="67"/>
        <item x="64"/>
        <item x="57"/>
        <item x="58"/>
        <item x="56"/>
        <item x="51"/>
        <item x="86"/>
        <item x="63"/>
        <item x="31"/>
        <item x="92"/>
        <item x="91"/>
        <item x="73"/>
        <item x="60"/>
        <item x="52"/>
        <item x="108"/>
        <item x="94"/>
        <item x="61"/>
        <item x="90"/>
        <item x="105"/>
        <item x="74"/>
        <item x="53"/>
        <item x="107"/>
        <item x="75"/>
        <item x="71"/>
        <item x="80"/>
        <item x="72"/>
        <item x="77"/>
        <item x="127"/>
        <item x="110"/>
        <item x="111"/>
        <item x="79"/>
        <item x="76"/>
        <item x="100"/>
        <item x="101"/>
        <item x="78"/>
        <item x="98"/>
        <item x="112"/>
        <item x="122"/>
        <item x="169"/>
        <item x="125"/>
        <item x="126"/>
        <item x="99"/>
        <item x="103"/>
        <item x="148"/>
        <item x="104"/>
        <item x="102"/>
        <item x="150"/>
        <item x="160"/>
        <item x="140"/>
        <item x="138"/>
        <item x="158"/>
        <item x="95"/>
        <item x="145"/>
        <item x="121"/>
        <item x="97"/>
        <item x="96"/>
        <item x="114"/>
        <item x="161"/>
        <item x="118"/>
        <item x="113"/>
        <item x="119"/>
        <item x="130"/>
        <item x="149"/>
        <item x="153"/>
        <item x="133"/>
        <item x="135"/>
        <item x="115"/>
        <item x="167"/>
        <item x="124"/>
        <item x="123"/>
        <item x="117"/>
        <item x="120"/>
        <item x="134"/>
        <item x="142"/>
        <item x="168"/>
        <item x="116"/>
        <item x="136"/>
        <item x="132"/>
        <item x="162"/>
        <item x="128"/>
        <item x="131"/>
        <item x="151"/>
        <item x="129"/>
        <item x="152"/>
        <item x="163"/>
        <item x="144"/>
        <item x="141"/>
        <item x="157"/>
        <item x="146"/>
        <item x="188"/>
        <item x="147"/>
        <item x="165"/>
        <item x="143"/>
        <item x="184"/>
        <item x="164"/>
        <item x="182"/>
        <item x="166"/>
        <item x="185"/>
        <item x="183"/>
        <item x="187"/>
        <item x="156"/>
        <item x="177"/>
        <item x="159"/>
        <item x="154"/>
        <item x="155"/>
        <item x="186"/>
        <item x="171"/>
        <item x="200"/>
        <item x="202"/>
        <item x="201"/>
        <item x="173"/>
        <item x="216"/>
        <item x="172"/>
        <item x="205"/>
        <item x="219"/>
        <item x="244"/>
        <item x="204"/>
        <item x="215"/>
        <item x="170"/>
        <item x="232"/>
        <item x="175"/>
        <item x="176"/>
        <item x="218"/>
        <item x="174"/>
        <item x="199"/>
        <item x="230"/>
        <item x="198"/>
        <item x="197"/>
        <item x="189"/>
        <item x="196"/>
        <item x="192"/>
        <item x="209"/>
        <item x="212"/>
        <item x="190"/>
        <item x="194"/>
        <item x="231"/>
        <item x="210"/>
        <item x="211"/>
        <item x="191"/>
        <item x="233"/>
        <item x="243"/>
        <item x="195"/>
        <item x="193"/>
        <item x="217"/>
        <item x="222"/>
        <item x="208"/>
        <item x="225"/>
        <item x="214"/>
        <item x="223"/>
        <item x="206"/>
        <item x="213"/>
        <item x="224"/>
        <item x="227"/>
        <item x="207"/>
        <item x="226"/>
        <item x="264"/>
        <item x="235"/>
        <item x="229"/>
        <item x="263"/>
        <item x="241"/>
        <item x="234"/>
        <item x="228"/>
        <item x="221"/>
        <item x="242"/>
        <item x="85"/>
        <item x="82"/>
        <item x="84"/>
        <item x="87"/>
        <item x="220"/>
        <item x="260"/>
        <item x="240"/>
        <item x="304"/>
        <item x="262"/>
        <item x="238"/>
        <item x="256"/>
        <item x="237"/>
        <item x="246"/>
        <item x="239"/>
        <item x="275"/>
        <item x="236"/>
        <item x="276"/>
        <item x="255"/>
        <item x="247"/>
        <item x="258"/>
        <item x="245"/>
        <item x="259"/>
        <item x="277"/>
        <item x="291"/>
        <item x="248"/>
        <item x="249"/>
        <item x="329"/>
        <item x="257"/>
        <item x="250"/>
        <item x="279"/>
        <item x="278"/>
        <item x="109"/>
        <item x="251"/>
        <item x="252"/>
        <item x="253"/>
        <item x="290"/>
        <item x="266"/>
        <item x="269"/>
        <item x="305"/>
        <item x="265"/>
        <item x="302"/>
        <item x="254"/>
        <item x="292"/>
        <item x="272"/>
        <item x="273"/>
        <item x="303"/>
        <item x="313"/>
        <item x="271"/>
        <item x="306"/>
        <item x="270"/>
        <item x="315"/>
        <item x="312"/>
        <item x="268"/>
        <item x="267"/>
        <item x="287"/>
        <item x="288"/>
        <item x="274"/>
        <item x="289"/>
        <item x="316"/>
        <item x="285"/>
        <item x="325"/>
        <item x="286"/>
        <item x="284"/>
        <item x="318"/>
        <item x="295"/>
        <item x="324"/>
        <item x="326"/>
        <item x="179"/>
        <item x="328"/>
        <item x="283"/>
        <item x="298"/>
        <item x="280"/>
        <item x="181"/>
        <item x="332"/>
        <item x="333"/>
        <item x="334"/>
        <item x="282"/>
        <item x="300"/>
        <item x="415"/>
        <item x="297"/>
        <item x="301"/>
        <item x="293"/>
        <item x="296"/>
        <item x="385"/>
        <item x="281"/>
        <item x="310"/>
        <item x="294"/>
        <item x="308"/>
        <item x="321"/>
        <item x="309"/>
        <item x="178"/>
        <item x="319"/>
        <item x="311"/>
        <item x="320"/>
        <item x="180"/>
        <item x="307"/>
        <item x="323"/>
        <item x="327"/>
        <item x="348"/>
        <item x="335"/>
        <item x="322"/>
        <item x="340"/>
        <item x="317"/>
        <item x="347"/>
        <item x="372"/>
        <item x="438"/>
        <item x="339"/>
        <item x="426"/>
        <item x="384"/>
        <item x="336"/>
        <item x="337"/>
        <item x="382"/>
        <item x="359"/>
        <item x="360"/>
        <item x="355"/>
        <item x="361"/>
        <item x="203"/>
        <item x="373"/>
        <item x="398"/>
        <item x="338"/>
        <item x="344"/>
        <item x="341"/>
        <item x="399"/>
        <item x="343"/>
        <item x="413"/>
        <item x="356"/>
        <item x="342"/>
        <item x="383"/>
        <item x="351"/>
        <item x="354"/>
        <item x="437"/>
        <item x="396"/>
        <item x="364"/>
        <item x="353"/>
        <item x="349"/>
        <item x="350"/>
        <item x="352"/>
        <item x="363"/>
        <item x="366"/>
        <item x="357"/>
        <item x="392"/>
        <item x="425"/>
        <item x="358"/>
        <item x="416"/>
        <item x="365"/>
        <item x="369"/>
        <item x="401"/>
        <item x="368"/>
        <item x="370"/>
        <item x="367"/>
        <item x="362"/>
        <item x="388"/>
        <item x="371"/>
        <item x="409"/>
        <item x="386"/>
        <item x="460"/>
        <item x="391"/>
        <item x="405"/>
        <item x="397"/>
        <item x="404"/>
        <item x="423"/>
        <item x="424"/>
        <item x="420"/>
        <item x="400"/>
        <item x="406"/>
        <item x="412"/>
        <item x="394"/>
        <item x="445"/>
        <item x="389"/>
        <item x="407"/>
        <item x="408"/>
        <item x="393"/>
        <item x="410"/>
        <item x="442"/>
        <item x="444"/>
        <item x="261"/>
        <item x="390"/>
        <item x="403"/>
        <item x="453"/>
        <item x="431"/>
        <item x="446"/>
        <item x="422"/>
        <item x="443"/>
        <item x="414"/>
        <item x="450"/>
        <item x="429"/>
        <item x="395"/>
        <item x="458"/>
        <item x="482"/>
        <item x="427"/>
        <item x="430"/>
        <item x="447"/>
        <item x="483"/>
        <item x="488"/>
        <item x="402"/>
        <item x="439"/>
        <item x="428"/>
        <item x="421"/>
        <item x="411"/>
        <item x="497"/>
        <item x="452"/>
        <item x="502"/>
        <item x="454"/>
        <item x="432"/>
        <item x="455"/>
        <item x="479"/>
        <item x="509"/>
        <item x="493"/>
        <item x="499"/>
        <item x="448"/>
        <item x="500"/>
        <item x="456"/>
        <item x="503"/>
        <item x="436"/>
        <item x="537"/>
        <item x="457"/>
        <item x="462"/>
        <item x="511"/>
        <item x="419"/>
        <item x="510"/>
        <item x="451"/>
        <item x="464"/>
        <item x="463"/>
        <item x="440"/>
        <item x="523"/>
        <item x="521"/>
        <item x="466"/>
        <item x="461"/>
        <item x="345"/>
        <item x="490"/>
        <item x="489"/>
        <item x="487"/>
        <item x="468"/>
        <item x="494"/>
        <item x="508"/>
        <item x="548"/>
        <item x="467"/>
        <item x="459"/>
        <item x="491"/>
        <item x="449"/>
        <item x="534"/>
        <item x="492"/>
        <item x="505"/>
        <item x="555"/>
        <item x="486"/>
        <item x="485"/>
        <item x="514"/>
        <item x="512"/>
        <item x="516"/>
        <item x="517"/>
        <item x="331"/>
        <item x="330"/>
        <item x="506"/>
        <item x="518"/>
        <item x="498"/>
        <item x="504"/>
        <item x="346"/>
        <item x="528"/>
        <item x="544"/>
        <item x="387"/>
        <item x="465"/>
        <item x="480"/>
        <item x="524"/>
        <item x="535"/>
        <item x="501"/>
        <item x="513"/>
        <item x="496"/>
        <item x="441"/>
        <item x="495"/>
        <item x="527"/>
        <item x="522"/>
        <item x="559"/>
        <item x="560"/>
        <item x="536"/>
        <item x="526"/>
        <item x="571"/>
        <item x="546"/>
        <item x="556"/>
        <item x="507"/>
        <item x="547"/>
        <item x="525"/>
        <item x="314"/>
        <item x="519"/>
        <item x="558"/>
        <item x="557"/>
        <item x="520"/>
        <item x="530"/>
        <item x="539"/>
        <item x="380"/>
        <item x="381"/>
        <item x="376"/>
        <item x="515"/>
        <item x="542"/>
        <item x="554"/>
        <item x="549"/>
        <item x="541"/>
        <item x="580"/>
        <item x="374"/>
        <item x="553"/>
        <item x="552"/>
        <item x="538"/>
        <item x="543"/>
        <item x="551"/>
        <item x="550"/>
        <item x="529"/>
        <item x="379"/>
        <item x="540"/>
        <item x="582"/>
        <item x="579"/>
        <item x="378"/>
        <item x="572"/>
        <item x="578"/>
        <item x="377"/>
        <item x="565"/>
        <item x="590"/>
        <item x="375"/>
        <item x="299"/>
        <item x="601"/>
        <item x="592"/>
        <item x="570"/>
        <item x="561"/>
        <item x="567"/>
        <item x="564"/>
        <item x="484"/>
        <item x="569"/>
        <item x="545"/>
        <item x="574"/>
        <item x="481"/>
        <item x="563"/>
        <item x="576"/>
        <item x="593"/>
        <item x="591"/>
        <item x="568"/>
        <item x="577"/>
        <item x="595"/>
        <item x="581"/>
        <item x="435"/>
        <item x="433"/>
        <item x="418"/>
        <item x="589"/>
        <item x="575"/>
        <item x="584"/>
        <item x="434"/>
        <item x="586"/>
        <item x="566"/>
        <item x="573"/>
        <item x="583"/>
        <item x="587"/>
        <item x="474"/>
        <item x="472"/>
        <item x="562"/>
        <item x="617"/>
        <item x="618"/>
        <item x="616"/>
        <item x="604"/>
        <item x="603"/>
        <item x="588"/>
        <item x="417"/>
        <item x="637"/>
        <item x="626"/>
        <item x="599"/>
        <item x="619"/>
        <item x="585"/>
        <item x="628"/>
        <item x="615"/>
        <item x="623"/>
        <item x="620"/>
        <item x="597"/>
        <item x="625"/>
        <item x="598"/>
        <item x="627"/>
        <item x="602"/>
        <item x="621"/>
        <item x="478"/>
        <item x="469"/>
        <item x="596"/>
        <item x="600"/>
        <item x="594"/>
        <item x="622"/>
        <item x="639"/>
        <item x="611"/>
        <item x="613"/>
        <item x="612"/>
        <item x="609"/>
        <item x="610"/>
        <item x="608"/>
        <item x="630"/>
        <item x="634"/>
        <item x="477"/>
        <item x="635"/>
        <item x="471"/>
        <item x="473"/>
        <item x="475"/>
        <item x="476"/>
        <item x="624"/>
        <item x="532"/>
        <item x="470"/>
        <item x="531"/>
        <item x="636"/>
        <item x="606"/>
        <item x="607"/>
        <item x="605"/>
        <item x="632"/>
        <item x="638"/>
        <item x="633"/>
        <item x="631"/>
        <item x="614"/>
        <item x="533"/>
        <item x="629"/>
        <item t="default"/>
      </items>
    </pivotField>
    <pivotField numFmtId="14" showAll="0"/>
    <pivotField numFmtId="14" showAll="0"/>
    <pivotField numFmtId="164" showAll="0"/>
    <pivotField showAll="0"/>
    <pivotField showAll="0"/>
    <pivotField dragToRow="0" dragToCol="0" dragToPage="0" showAll="0" defaultSubtotal="0"/>
    <pivotField showAll="0" defaultSubtotal="0"/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 defaultSubtotal="0"/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dragToRow="0" dragToCol="0" dragToPage="0" showAll="0" defaultSubtotal="0"/>
  </pivotFields>
  <rowFields count="1">
    <field x="4"/>
  </rowFields>
  <rowItems count="3">
    <i>
      <x/>
    </i>
    <i>
      <x v="1"/>
    </i>
    <i t="grand">
      <x/>
    </i>
  </rowItems>
  <colFields count="3">
    <field x="2"/>
    <field x="-2"/>
    <field x="1"/>
  </colFields>
  <colItems count="72">
    <i>
      <x v="6"/>
      <x/>
      <x/>
    </i>
    <i r="2">
      <x v="2"/>
    </i>
    <i r="2">
      <x v="3"/>
    </i>
    <i r="1" i="1">
      <x v="1"/>
      <x/>
    </i>
    <i r="2" i="1">
      <x v="2"/>
    </i>
    <i r="2" i="1">
      <x v="3"/>
    </i>
    <i t="default">
      <x v="6"/>
    </i>
    <i t="default" i="1">
      <x v="6"/>
    </i>
    <i>
      <x v="7"/>
      <x/>
      <x/>
    </i>
    <i r="2">
      <x v="2"/>
    </i>
    <i r="1" i="1">
      <x v="1"/>
      <x/>
    </i>
    <i r="2" i="1">
      <x v="2"/>
    </i>
    <i t="default">
      <x v="7"/>
    </i>
    <i t="default" i="1">
      <x v="7"/>
    </i>
    <i>
      <x v="8"/>
      <x/>
      <x/>
    </i>
    <i r="2">
      <x v="2"/>
    </i>
    <i r="1" i="1">
      <x v="1"/>
      <x/>
    </i>
    <i r="2" i="1">
      <x v="2"/>
    </i>
    <i t="default">
      <x v="8"/>
    </i>
    <i t="default" i="1">
      <x v="8"/>
    </i>
    <i>
      <x v="9"/>
      <x/>
      <x/>
    </i>
    <i r="2">
      <x v="2"/>
    </i>
    <i r="2">
      <x v="3"/>
    </i>
    <i r="1" i="1">
      <x v="1"/>
      <x/>
    </i>
    <i r="2" i="1">
      <x v="2"/>
    </i>
    <i r="2" i="1">
      <x v="3"/>
    </i>
    <i t="default">
      <x v="9"/>
    </i>
    <i t="default" i="1">
      <x v="9"/>
    </i>
    <i>
      <x v="10"/>
      <x/>
      <x/>
    </i>
    <i r="2">
      <x v="2"/>
    </i>
    <i r="1" i="1">
      <x v="1"/>
      <x/>
    </i>
    <i r="2" i="1">
      <x v="2"/>
    </i>
    <i t="default">
      <x v="10"/>
    </i>
    <i t="default" i="1">
      <x v="10"/>
    </i>
    <i>
      <x v="11"/>
      <x/>
      <x/>
    </i>
    <i r="2">
      <x v="2"/>
    </i>
    <i r="1" i="1">
      <x v="1"/>
      <x/>
    </i>
    <i r="2" i="1">
      <x v="2"/>
    </i>
    <i t="default">
      <x v="11"/>
    </i>
    <i t="default" i="1">
      <x v="11"/>
    </i>
    <i>
      <x v="12"/>
      <x/>
      <x/>
    </i>
    <i r="2">
      <x v="2"/>
    </i>
    <i r="1" i="1">
      <x v="1"/>
      <x/>
    </i>
    <i r="2" i="1">
      <x v="2"/>
    </i>
    <i t="default">
      <x v="12"/>
    </i>
    <i t="default" i="1">
      <x v="12"/>
    </i>
    <i>
      <x v="13"/>
      <x/>
      <x/>
    </i>
    <i r="2">
      <x v="2"/>
    </i>
    <i r="2">
      <x v="3"/>
    </i>
    <i r="1" i="1">
      <x v="1"/>
      <x/>
    </i>
    <i r="2" i="1">
      <x v="2"/>
    </i>
    <i r="2" i="1">
      <x v="3"/>
    </i>
    <i t="default">
      <x v="13"/>
    </i>
    <i t="default" i="1">
      <x v="13"/>
    </i>
    <i>
      <x v="14"/>
      <x/>
      <x/>
    </i>
    <i r="2">
      <x v="2"/>
    </i>
    <i r="2">
      <x v="3"/>
    </i>
    <i r="1" i="1">
      <x v="1"/>
      <x/>
    </i>
    <i r="2" i="1">
      <x v="2"/>
    </i>
    <i r="2" i="1">
      <x v="3"/>
    </i>
    <i t="default">
      <x v="14"/>
    </i>
    <i t="default" i="1">
      <x v="14"/>
    </i>
    <i>
      <x v="15"/>
      <x/>
      <x/>
    </i>
    <i r="2">
      <x v="2"/>
    </i>
    <i r="2">
      <x v="3"/>
    </i>
    <i r="1" i="1">
      <x v="1"/>
      <x/>
    </i>
    <i r="2" i="1">
      <x v="2"/>
    </i>
    <i r="2" i="1">
      <x v="3"/>
    </i>
    <i t="default">
      <x v="15"/>
    </i>
    <i t="default" i="1">
      <x v="15"/>
    </i>
    <i t="grand">
      <x/>
    </i>
    <i t="grand" i="1">
      <x/>
    </i>
  </colItems>
  <dataFields count="2">
    <dataField name="Sum of Pcs" fld="5" baseField="0" baseItem="0"/>
    <dataField name="Sum of Valu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47E859-18E9-41E1-9ACC-7BC9371E2C85}" name="PivotTable1" cacheId="1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 rowHeaderCaption="Date(s)" colHeaderCaption="Market(s)">
  <location ref="A4:K310" firstHeaderRow="1" firstDataRow="3" firstDataCol="1"/>
  <pivotFields count="22">
    <pivotField numFmtId="22" showAll="0"/>
    <pivotField axis="axisCol" multipleItemSelectionAllowed="1" showAll="0">
      <items count="5">
        <item x="2"/>
        <item h="1" x="0"/>
        <item x="1"/>
        <item x="3"/>
        <item t="default"/>
      </items>
    </pivotField>
    <pivotField axis="axisRow" showAll="0">
      <items count="17">
        <item x="15"/>
        <item x="13"/>
        <item x="14"/>
        <item x="0"/>
        <item x="12"/>
        <item x="11"/>
        <item x="8"/>
        <item x="5"/>
        <item x="2"/>
        <item x="4"/>
        <item x="3"/>
        <item x="7"/>
        <item x="1"/>
        <item x="9"/>
        <item x="6"/>
        <item x="10"/>
        <item t="default"/>
      </items>
    </pivotField>
    <pivotField showAll="0"/>
    <pivotField axis="axisCol" multipleItemSelectionAllowed="1" showAll="0">
      <items count="7">
        <item x="1"/>
        <item x="2"/>
        <item h="1" x="0"/>
        <item h="1" x="3"/>
        <item h="1" x="5"/>
        <item h="1" x="4"/>
        <item t="default"/>
      </items>
    </pivotField>
    <pivotField showAll="0"/>
    <pivotField dataField="1" showAll="0"/>
    <pivotField showAll="0"/>
    <pivotField numFmtId="22" showAll="0">
      <items count="645">
        <item x="0"/>
        <item x="4"/>
        <item x="12"/>
        <item x="11"/>
        <item x="23"/>
        <item x="22"/>
        <item x="10"/>
        <item x="21"/>
        <item x="19"/>
        <item x="18"/>
        <item x="17"/>
        <item x="20"/>
        <item x="16"/>
        <item x="6"/>
        <item x="28"/>
        <item x="15"/>
        <item x="3"/>
        <item x="8"/>
        <item x="9"/>
        <item x="13"/>
        <item x="25"/>
        <item x="14"/>
        <item x="1"/>
        <item x="5"/>
        <item x="2"/>
        <item x="33"/>
        <item x="24"/>
        <item x="40"/>
        <item x="37"/>
        <item x="43"/>
        <item x="7"/>
        <item x="29"/>
        <item x="42"/>
        <item x="31"/>
        <item x="30"/>
        <item x="26"/>
        <item x="32"/>
        <item x="35"/>
        <item x="36"/>
        <item x="38"/>
        <item x="41"/>
        <item x="54"/>
        <item x="34"/>
        <item x="39"/>
        <item x="60"/>
        <item x="55"/>
        <item x="51"/>
        <item x="59"/>
        <item x="53"/>
        <item x="47"/>
        <item x="49"/>
        <item x="61"/>
        <item x="50"/>
        <item x="58"/>
        <item x="56"/>
        <item x="52"/>
        <item x="46"/>
        <item x="57"/>
        <item x="27"/>
        <item x="48"/>
        <item x="45"/>
        <item x="62"/>
        <item x="67"/>
        <item x="63"/>
        <item x="66"/>
        <item x="77"/>
        <item x="44"/>
        <item x="78"/>
        <item x="71"/>
        <item x="70"/>
        <item x="89"/>
        <item x="68"/>
        <item x="73"/>
        <item x="64"/>
        <item x="74"/>
        <item x="88"/>
        <item x="69"/>
        <item x="76"/>
        <item x="75"/>
        <item x="65"/>
        <item x="80"/>
        <item x="79"/>
        <item x="94"/>
        <item x="81"/>
        <item x="95"/>
        <item x="100"/>
        <item x="102"/>
        <item x="83"/>
        <item x="85"/>
        <item x="87"/>
        <item x="82"/>
        <item x="86"/>
        <item x="91"/>
        <item x="90"/>
        <item x="93"/>
        <item x="98"/>
        <item x="97"/>
        <item x="111"/>
        <item x="101"/>
        <item x="92"/>
        <item x="99"/>
        <item x="106"/>
        <item x="116"/>
        <item x="105"/>
        <item x="104"/>
        <item x="119"/>
        <item x="72"/>
        <item x="108"/>
        <item x="107"/>
        <item x="84"/>
        <item x="131"/>
        <item x="114"/>
        <item x="121"/>
        <item x="112"/>
        <item x="132"/>
        <item x="113"/>
        <item x="130"/>
        <item x="118"/>
        <item x="138"/>
        <item x="124"/>
        <item x="117"/>
        <item x="120"/>
        <item x="125"/>
        <item x="128"/>
        <item x="126"/>
        <item x="122"/>
        <item x="123"/>
        <item x="150"/>
        <item x="127"/>
        <item x="96"/>
        <item x="109"/>
        <item x="142"/>
        <item x="129"/>
        <item x="154"/>
        <item x="146"/>
        <item x="141"/>
        <item x="133"/>
        <item x="103"/>
        <item x="143"/>
        <item x="140"/>
        <item x="145"/>
        <item x="134"/>
        <item x="147"/>
        <item x="149"/>
        <item x="152"/>
        <item x="115"/>
        <item x="148"/>
        <item x="151"/>
        <item x="136"/>
        <item x="167"/>
        <item x="156"/>
        <item x="135"/>
        <item x="153"/>
        <item x="137"/>
        <item x="139"/>
        <item x="155"/>
        <item x="160"/>
        <item x="165"/>
        <item x="159"/>
        <item x="157"/>
        <item x="173"/>
        <item x="163"/>
        <item x="161"/>
        <item x="164"/>
        <item x="166"/>
        <item x="170"/>
        <item x="169"/>
        <item x="179"/>
        <item x="185"/>
        <item x="171"/>
        <item x="174"/>
        <item x="181"/>
        <item x="176"/>
        <item x="172"/>
        <item x="182"/>
        <item x="183"/>
        <item x="177"/>
        <item x="184"/>
        <item x="158"/>
        <item x="110"/>
        <item x="191"/>
        <item x="194"/>
        <item x="144"/>
        <item x="188"/>
        <item x="180"/>
        <item x="201"/>
        <item x="197"/>
        <item x="195"/>
        <item x="190"/>
        <item x="207"/>
        <item x="193"/>
        <item x="162"/>
        <item x="200"/>
        <item x="192"/>
        <item x="211"/>
        <item x="198"/>
        <item x="175"/>
        <item x="196"/>
        <item x="187"/>
        <item x="199"/>
        <item x="203"/>
        <item x="186"/>
        <item x="178"/>
        <item x="168"/>
        <item x="189"/>
        <item x="205"/>
        <item x="227"/>
        <item x="206"/>
        <item x="213"/>
        <item x="212"/>
        <item x="202"/>
        <item x="237"/>
        <item x="208"/>
        <item x="215"/>
        <item x="233"/>
        <item x="230"/>
        <item x="204"/>
        <item x="216"/>
        <item x="217"/>
        <item x="218"/>
        <item x="209"/>
        <item x="234"/>
        <item x="214"/>
        <item x="231"/>
        <item x="238"/>
        <item x="236"/>
        <item x="219"/>
        <item x="229"/>
        <item x="232"/>
        <item x="226"/>
        <item x="222"/>
        <item x="241"/>
        <item x="235"/>
        <item x="244"/>
        <item x="242"/>
        <item x="245"/>
        <item x="220"/>
        <item x="240"/>
        <item x="225"/>
        <item x="210"/>
        <item x="243"/>
        <item x="259"/>
        <item x="223"/>
        <item x="257"/>
        <item x="261"/>
        <item x="250"/>
        <item x="247"/>
        <item x="268"/>
        <item x="249"/>
        <item x="256"/>
        <item x="255"/>
        <item x="258"/>
        <item x="254"/>
        <item x="271"/>
        <item x="253"/>
        <item x="269"/>
        <item x="239"/>
        <item x="224"/>
        <item x="221"/>
        <item x="246"/>
        <item x="265"/>
        <item x="228"/>
        <item x="248"/>
        <item x="264"/>
        <item x="262"/>
        <item x="252"/>
        <item x="270"/>
        <item x="263"/>
        <item x="272"/>
        <item x="276"/>
        <item x="273"/>
        <item x="278"/>
        <item x="280"/>
        <item x="274"/>
        <item x="275"/>
        <item x="277"/>
        <item x="260"/>
        <item x="300"/>
        <item x="281"/>
        <item x="283"/>
        <item x="267"/>
        <item x="284"/>
        <item x="279"/>
        <item x="251"/>
        <item x="288"/>
        <item x="293"/>
        <item x="291"/>
        <item x="309"/>
        <item x="299"/>
        <item x="295"/>
        <item x="296"/>
        <item x="310"/>
        <item x="304"/>
        <item x="297"/>
        <item x="306"/>
        <item x="328"/>
        <item x="324"/>
        <item x="311"/>
        <item x="322"/>
        <item x="323"/>
        <item x="330"/>
        <item x="287"/>
        <item x="333"/>
        <item x="312"/>
        <item x="345"/>
        <item x="320"/>
        <item x="331"/>
        <item x="285"/>
        <item x="326"/>
        <item x="316"/>
        <item x="303"/>
        <item x="319"/>
        <item x="353"/>
        <item x="335"/>
        <item x="336"/>
        <item x="321"/>
        <item x="368"/>
        <item x="340"/>
        <item x="349"/>
        <item x="369"/>
        <item x="347"/>
        <item x="318"/>
        <item x="290"/>
        <item x="343"/>
        <item x="344"/>
        <item x="338"/>
        <item x="346"/>
        <item x="354"/>
        <item x="302"/>
        <item x="298"/>
        <item x="308"/>
        <item x="366"/>
        <item x="325"/>
        <item x="301"/>
        <item x="378"/>
        <item x="356"/>
        <item x="398"/>
        <item x="317"/>
        <item x="389"/>
        <item x="391"/>
        <item x="282"/>
        <item x="372"/>
        <item x="381"/>
        <item x="401"/>
        <item x="390"/>
        <item x="329"/>
        <item x="383"/>
        <item x="396"/>
        <item x="334"/>
        <item x="327"/>
        <item x="388"/>
        <item x="404"/>
        <item x="341"/>
        <item x="286"/>
        <item x="289"/>
        <item x="305"/>
        <item x="307"/>
        <item x="332"/>
        <item x="342"/>
        <item x="350"/>
        <item x="348"/>
        <item x="355"/>
        <item x="417"/>
        <item x="406"/>
        <item x="371"/>
        <item x="423"/>
        <item x="337"/>
        <item x="415"/>
        <item x="313"/>
        <item x="428"/>
        <item x="339"/>
        <item x="405"/>
        <item x="365"/>
        <item x="367"/>
        <item x="399"/>
        <item x="380"/>
        <item x="370"/>
        <item x="419"/>
        <item x="432"/>
        <item x="374"/>
        <item x="418"/>
        <item x="436"/>
        <item x="425"/>
        <item x="373"/>
        <item x="438"/>
        <item x="375"/>
        <item x="386"/>
        <item x="413"/>
        <item x="444"/>
        <item x="439"/>
        <item x="440"/>
        <item x="426"/>
        <item x="397"/>
        <item x="433"/>
        <item x="351"/>
        <item x="377"/>
        <item x="443"/>
        <item x="352"/>
        <item x="392"/>
        <item x="457"/>
        <item x="429"/>
        <item x="445"/>
        <item x="382"/>
        <item x="385"/>
        <item x="400"/>
        <item x="407"/>
        <item x="464"/>
        <item x="410"/>
        <item x="465"/>
        <item x="468"/>
        <item x="395"/>
        <item x="466"/>
        <item x="294"/>
        <item x="292"/>
        <item x="435"/>
        <item x="379"/>
        <item x="376"/>
        <item x="393"/>
        <item x="427"/>
        <item x="411"/>
        <item x="384"/>
        <item x="394"/>
        <item x="483"/>
        <item x="408"/>
        <item x="409"/>
        <item x="416"/>
        <item x="487"/>
        <item x="430"/>
        <item x="420"/>
        <item x="441"/>
        <item x="424"/>
        <item x="488"/>
        <item x="446"/>
        <item x="421"/>
        <item x="447"/>
        <item x="467"/>
        <item x="448"/>
        <item x="471"/>
        <item x="387"/>
        <item x="462"/>
        <item x="477"/>
        <item x="461"/>
        <item x="434"/>
        <item x="460"/>
        <item x="491"/>
        <item x="475"/>
        <item x="437"/>
        <item x="442"/>
        <item x="458"/>
        <item x="485"/>
        <item x="500"/>
        <item x="459"/>
        <item x="470"/>
        <item x="501"/>
        <item x="474"/>
        <item x="504"/>
        <item x="503"/>
        <item x="480"/>
        <item x="431"/>
        <item x="507"/>
        <item x="511"/>
        <item x="314"/>
        <item x="469"/>
        <item x="463"/>
        <item x="498"/>
        <item x="472"/>
        <item x="479"/>
        <item x="486"/>
        <item x="362"/>
        <item x="476"/>
        <item x="454"/>
        <item x="505"/>
        <item x="361"/>
        <item x="358"/>
        <item x="515"/>
        <item x="360"/>
        <item x="522"/>
        <item x="422"/>
        <item x="517"/>
        <item x="497"/>
        <item x="520"/>
        <item x="510"/>
        <item x="492"/>
        <item x="499"/>
        <item x="525"/>
        <item x="530"/>
        <item x="528"/>
        <item x="523"/>
        <item x="506"/>
        <item x="315"/>
        <item x="493"/>
        <item x="266"/>
        <item x="502"/>
        <item x="514"/>
        <item x="534"/>
        <item x="484"/>
        <item x="535"/>
        <item x="531"/>
        <item x="513"/>
        <item x="478"/>
        <item x="414"/>
        <item x="412"/>
        <item x="403"/>
        <item x="542"/>
        <item x="526"/>
        <item x="482"/>
        <item x="544"/>
        <item x="490"/>
        <item x="489"/>
        <item x="519"/>
        <item x="516"/>
        <item x="543"/>
        <item x="494"/>
        <item x="518"/>
        <item x="495"/>
        <item x="496"/>
        <item x="508"/>
        <item x="541"/>
        <item x="524"/>
        <item x="527"/>
        <item x="540"/>
        <item x="521"/>
        <item x="402"/>
        <item x="363"/>
        <item x="364"/>
        <item x="359"/>
        <item x="473"/>
        <item x="549"/>
        <item x="481"/>
        <item x="557"/>
        <item x="556"/>
        <item x="560"/>
        <item x="357"/>
        <item x="552"/>
        <item x="509"/>
        <item x="456"/>
        <item x="562"/>
        <item x="512"/>
        <item x="532"/>
        <item x="548"/>
        <item x="566"/>
        <item x="537"/>
        <item x="547"/>
        <item x="554"/>
        <item x="533"/>
        <item x="555"/>
        <item x="559"/>
        <item x="545"/>
        <item x="539"/>
        <item x="546"/>
        <item x="553"/>
        <item x="574"/>
        <item x="453"/>
        <item x="568"/>
        <item x="450"/>
        <item x="449"/>
        <item x="451"/>
        <item x="452"/>
        <item x="550"/>
        <item x="561"/>
        <item x="572"/>
        <item x="529"/>
        <item x="579"/>
        <item x="580"/>
        <item x="587"/>
        <item x="588"/>
        <item x="576"/>
        <item x="551"/>
        <item x="583"/>
        <item x="598"/>
        <item x="592"/>
        <item x="599"/>
        <item x="565"/>
        <item x="601"/>
        <item x="593"/>
        <item x="589"/>
        <item x="606"/>
        <item x="607"/>
        <item x="567"/>
        <item x="585"/>
        <item x="538"/>
        <item x="603"/>
        <item x="602"/>
        <item x="455"/>
        <item x="536"/>
        <item x="570"/>
        <item x="558"/>
        <item x="577"/>
        <item x="605"/>
        <item x="564"/>
        <item x="594"/>
        <item x="573"/>
        <item x="612"/>
        <item x="571"/>
        <item x="581"/>
        <item x="604"/>
        <item x="613"/>
        <item x="586"/>
        <item x="595"/>
        <item x="616"/>
        <item x="615"/>
        <item x="597"/>
        <item x="569"/>
        <item x="596"/>
        <item x="575"/>
        <item x="582"/>
        <item x="591"/>
        <item x="619"/>
        <item x="563"/>
        <item x="600"/>
        <item x="608"/>
        <item x="621"/>
        <item x="627"/>
        <item x="628"/>
        <item x="611"/>
        <item x="590"/>
        <item x="624"/>
        <item x="617"/>
        <item x="629"/>
        <item x="630"/>
        <item x="618"/>
        <item x="622"/>
        <item x="623"/>
        <item x="632"/>
        <item x="609"/>
        <item x="610"/>
        <item x="633"/>
        <item x="631"/>
        <item x="634"/>
        <item x="626"/>
        <item x="578"/>
        <item x="635"/>
        <item x="614"/>
        <item x="636"/>
        <item x="637"/>
        <item x="620"/>
        <item x="584"/>
        <item x="638"/>
        <item x="639"/>
        <item x="641"/>
        <item x="640"/>
        <item x="642"/>
        <item x="625"/>
        <item x="643"/>
        <item t="default"/>
      </items>
    </pivotField>
    <pivotField showAll="0"/>
    <pivotField numFmtId="22" showAll="0">
      <items count="641">
        <item x="41"/>
        <item x="46"/>
        <item x="23"/>
        <item x="24"/>
        <item x="70"/>
        <item x="0"/>
        <item x="4"/>
        <item x="12"/>
        <item x="11"/>
        <item x="13"/>
        <item x="26"/>
        <item x="27"/>
        <item x="8"/>
        <item x="22"/>
        <item x="21"/>
        <item x="20"/>
        <item x="18"/>
        <item x="19"/>
        <item x="17"/>
        <item x="7"/>
        <item x="25"/>
        <item x="16"/>
        <item x="3"/>
        <item x="9"/>
        <item x="10"/>
        <item x="14"/>
        <item x="44"/>
        <item x="15"/>
        <item x="1"/>
        <item x="5"/>
        <item x="2"/>
        <item x="47"/>
        <item x="42"/>
        <item x="6"/>
        <item x="50"/>
        <item x="62"/>
        <item x="68"/>
        <item x="37"/>
        <item x="89"/>
        <item x="43"/>
        <item x="40"/>
        <item x="45"/>
        <item x="93"/>
        <item x="48"/>
        <item x="49"/>
        <item x="81"/>
        <item x="33"/>
        <item x="106"/>
        <item x="29"/>
        <item x="35"/>
        <item x="137"/>
        <item x="139"/>
        <item x="38"/>
        <item x="34"/>
        <item x="39"/>
        <item x="36"/>
        <item x="83"/>
        <item x="66"/>
        <item x="69"/>
        <item x="30"/>
        <item x="55"/>
        <item x="88"/>
        <item x="54"/>
        <item x="59"/>
        <item x="65"/>
        <item x="28"/>
        <item x="32"/>
        <item x="67"/>
        <item x="64"/>
        <item x="57"/>
        <item x="58"/>
        <item x="56"/>
        <item x="51"/>
        <item x="86"/>
        <item x="63"/>
        <item x="31"/>
        <item x="92"/>
        <item x="91"/>
        <item x="73"/>
        <item x="60"/>
        <item x="52"/>
        <item x="108"/>
        <item x="94"/>
        <item x="61"/>
        <item x="90"/>
        <item x="105"/>
        <item x="74"/>
        <item x="53"/>
        <item x="107"/>
        <item x="75"/>
        <item x="71"/>
        <item x="80"/>
        <item x="72"/>
        <item x="77"/>
        <item x="127"/>
        <item x="110"/>
        <item x="111"/>
        <item x="79"/>
        <item x="76"/>
        <item x="100"/>
        <item x="101"/>
        <item x="78"/>
        <item x="98"/>
        <item x="112"/>
        <item x="122"/>
        <item x="169"/>
        <item x="125"/>
        <item x="126"/>
        <item x="99"/>
        <item x="103"/>
        <item x="148"/>
        <item x="104"/>
        <item x="102"/>
        <item x="150"/>
        <item x="160"/>
        <item x="140"/>
        <item x="138"/>
        <item x="158"/>
        <item x="95"/>
        <item x="145"/>
        <item x="121"/>
        <item x="97"/>
        <item x="96"/>
        <item x="114"/>
        <item x="161"/>
        <item x="118"/>
        <item x="113"/>
        <item x="119"/>
        <item x="130"/>
        <item x="149"/>
        <item x="153"/>
        <item x="133"/>
        <item x="135"/>
        <item x="115"/>
        <item x="167"/>
        <item x="124"/>
        <item x="123"/>
        <item x="117"/>
        <item x="120"/>
        <item x="134"/>
        <item x="142"/>
        <item x="168"/>
        <item x="116"/>
        <item x="136"/>
        <item x="132"/>
        <item x="162"/>
        <item x="128"/>
        <item x="131"/>
        <item x="151"/>
        <item x="129"/>
        <item x="152"/>
        <item x="163"/>
        <item x="144"/>
        <item x="141"/>
        <item x="157"/>
        <item x="146"/>
        <item x="188"/>
        <item x="147"/>
        <item x="165"/>
        <item x="143"/>
        <item x="184"/>
        <item x="164"/>
        <item x="182"/>
        <item x="166"/>
        <item x="185"/>
        <item x="183"/>
        <item x="187"/>
        <item x="156"/>
        <item x="177"/>
        <item x="159"/>
        <item x="154"/>
        <item x="155"/>
        <item x="186"/>
        <item x="171"/>
        <item x="200"/>
        <item x="202"/>
        <item x="201"/>
        <item x="173"/>
        <item x="216"/>
        <item x="172"/>
        <item x="205"/>
        <item x="219"/>
        <item x="244"/>
        <item x="204"/>
        <item x="215"/>
        <item x="170"/>
        <item x="232"/>
        <item x="175"/>
        <item x="176"/>
        <item x="218"/>
        <item x="174"/>
        <item x="199"/>
        <item x="230"/>
        <item x="198"/>
        <item x="197"/>
        <item x="189"/>
        <item x="196"/>
        <item x="192"/>
        <item x="209"/>
        <item x="212"/>
        <item x="190"/>
        <item x="194"/>
        <item x="231"/>
        <item x="210"/>
        <item x="211"/>
        <item x="191"/>
        <item x="233"/>
        <item x="243"/>
        <item x="195"/>
        <item x="193"/>
        <item x="217"/>
        <item x="222"/>
        <item x="208"/>
        <item x="225"/>
        <item x="214"/>
        <item x="223"/>
        <item x="206"/>
        <item x="213"/>
        <item x="224"/>
        <item x="227"/>
        <item x="207"/>
        <item x="226"/>
        <item x="264"/>
        <item x="235"/>
        <item x="229"/>
        <item x="263"/>
        <item x="241"/>
        <item x="234"/>
        <item x="228"/>
        <item x="221"/>
        <item x="242"/>
        <item x="85"/>
        <item x="82"/>
        <item x="84"/>
        <item x="87"/>
        <item x="220"/>
        <item x="260"/>
        <item x="240"/>
        <item x="304"/>
        <item x="262"/>
        <item x="238"/>
        <item x="256"/>
        <item x="237"/>
        <item x="246"/>
        <item x="239"/>
        <item x="275"/>
        <item x="236"/>
        <item x="276"/>
        <item x="255"/>
        <item x="247"/>
        <item x="258"/>
        <item x="245"/>
        <item x="259"/>
        <item x="277"/>
        <item x="291"/>
        <item x="248"/>
        <item x="249"/>
        <item x="329"/>
        <item x="257"/>
        <item x="250"/>
        <item x="279"/>
        <item x="278"/>
        <item x="109"/>
        <item x="251"/>
        <item x="252"/>
        <item x="253"/>
        <item x="290"/>
        <item x="266"/>
        <item x="269"/>
        <item x="305"/>
        <item x="265"/>
        <item x="302"/>
        <item x="254"/>
        <item x="292"/>
        <item x="272"/>
        <item x="273"/>
        <item x="303"/>
        <item x="313"/>
        <item x="271"/>
        <item x="306"/>
        <item x="270"/>
        <item x="315"/>
        <item x="312"/>
        <item x="268"/>
        <item x="267"/>
        <item x="287"/>
        <item x="288"/>
        <item x="274"/>
        <item x="289"/>
        <item x="316"/>
        <item x="285"/>
        <item x="325"/>
        <item x="286"/>
        <item x="284"/>
        <item x="318"/>
        <item x="295"/>
        <item x="324"/>
        <item x="326"/>
        <item x="179"/>
        <item x="328"/>
        <item x="283"/>
        <item x="298"/>
        <item x="280"/>
        <item x="181"/>
        <item x="332"/>
        <item x="333"/>
        <item x="334"/>
        <item x="282"/>
        <item x="300"/>
        <item x="415"/>
        <item x="297"/>
        <item x="301"/>
        <item x="293"/>
        <item x="296"/>
        <item x="385"/>
        <item x="281"/>
        <item x="310"/>
        <item x="294"/>
        <item x="308"/>
        <item x="321"/>
        <item x="309"/>
        <item x="178"/>
        <item x="319"/>
        <item x="311"/>
        <item x="320"/>
        <item x="180"/>
        <item x="307"/>
        <item x="323"/>
        <item x="327"/>
        <item x="348"/>
        <item x="335"/>
        <item x="322"/>
        <item x="340"/>
        <item x="317"/>
        <item x="347"/>
        <item x="372"/>
        <item x="438"/>
        <item x="339"/>
        <item x="426"/>
        <item x="384"/>
        <item x="336"/>
        <item x="337"/>
        <item x="382"/>
        <item x="359"/>
        <item x="360"/>
        <item x="355"/>
        <item x="361"/>
        <item x="203"/>
        <item x="373"/>
        <item x="398"/>
        <item x="338"/>
        <item x="344"/>
        <item x="341"/>
        <item x="399"/>
        <item x="343"/>
        <item x="413"/>
        <item x="356"/>
        <item x="342"/>
        <item x="383"/>
        <item x="351"/>
        <item x="354"/>
        <item x="437"/>
        <item x="396"/>
        <item x="364"/>
        <item x="353"/>
        <item x="349"/>
        <item x="350"/>
        <item x="352"/>
        <item x="363"/>
        <item x="366"/>
        <item x="357"/>
        <item x="392"/>
        <item x="425"/>
        <item x="358"/>
        <item x="416"/>
        <item x="365"/>
        <item x="369"/>
        <item x="401"/>
        <item x="368"/>
        <item x="370"/>
        <item x="367"/>
        <item x="362"/>
        <item x="388"/>
        <item x="371"/>
        <item x="409"/>
        <item x="386"/>
        <item x="460"/>
        <item x="391"/>
        <item x="405"/>
        <item x="397"/>
        <item x="404"/>
        <item x="423"/>
        <item x="424"/>
        <item x="420"/>
        <item x="400"/>
        <item x="406"/>
        <item x="412"/>
        <item x="394"/>
        <item x="445"/>
        <item x="389"/>
        <item x="407"/>
        <item x="408"/>
        <item x="393"/>
        <item x="410"/>
        <item x="442"/>
        <item x="444"/>
        <item x="261"/>
        <item x="390"/>
        <item x="403"/>
        <item x="453"/>
        <item x="431"/>
        <item x="446"/>
        <item x="422"/>
        <item x="443"/>
        <item x="414"/>
        <item x="450"/>
        <item x="429"/>
        <item x="395"/>
        <item x="458"/>
        <item x="482"/>
        <item x="427"/>
        <item x="430"/>
        <item x="447"/>
        <item x="483"/>
        <item x="488"/>
        <item x="402"/>
        <item x="439"/>
        <item x="428"/>
        <item x="421"/>
        <item x="411"/>
        <item x="497"/>
        <item x="452"/>
        <item x="502"/>
        <item x="454"/>
        <item x="432"/>
        <item x="455"/>
        <item x="479"/>
        <item x="509"/>
        <item x="493"/>
        <item x="499"/>
        <item x="448"/>
        <item x="500"/>
        <item x="456"/>
        <item x="503"/>
        <item x="436"/>
        <item x="537"/>
        <item x="457"/>
        <item x="462"/>
        <item x="511"/>
        <item x="419"/>
        <item x="510"/>
        <item x="451"/>
        <item x="464"/>
        <item x="463"/>
        <item x="440"/>
        <item x="523"/>
        <item x="521"/>
        <item x="466"/>
        <item x="461"/>
        <item x="345"/>
        <item x="490"/>
        <item x="489"/>
        <item x="487"/>
        <item x="468"/>
        <item x="494"/>
        <item x="508"/>
        <item x="548"/>
        <item x="467"/>
        <item x="459"/>
        <item x="491"/>
        <item x="449"/>
        <item x="534"/>
        <item x="492"/>
        <item x="505"/>
        <item x="555"/>
        <item x="486"/>
        <item x="485"/>
        <item x="514"/>
        <item x="512"/>
        <item x="516"/>
        <item x="517"/>
        <item x="331"/>
        <item x="330"/>
        <item x="506"/>
        <item x="518"/>
        <item x="498"/>
        <item x="504"/>
        <item x="346"/>
        <item x="528"/>
        <item x="544"/>
        <item x="387"/>
        <item x="465"/>
        <item x="480"/>
        <item x="524"/>
        <item x="535"/>
        <item x="501"/>
        <item x="513"/>
        <item x="496"/>
        <item x="441"/>
        <item x="495"/>
        <item x="527"/>
        <item x="522"/>
        <item x="559"/>
        <item x="560"/>
        <item x="536"/>
        <item x="526"/>
        <item x="571"/>
        <item x="546"/>
        <item x="556"/>
        <item x="507"/>
        <item x="547"/>
        <item x="525"/>
        <item x="314"/>
        <item x="519"/>
        <item x="558"/>
        <item x="557"/>
        <item x="520"/>
        <item x="530"/>
        <item x="539"/>
        <item x="380"/>
        <item x="381"/>
        <item x="376"/>
        <item x="515"/>
        <item x="542"/>
        <item x="554"/>
        <item x="549"/>
        <item x="541"/>
        <item x="580"/>
        <item x="374"/>
        <item x="553"/>
        <item x="552"/>
        <item x="538"/>
        <item x="543"/>
        <item x="551"/>
        <item x="550"/>
        <item x="529"/>
        <item x="379"/>
        <item x="540"/>
        <item x="582"/>
        <item x="579"/>
        <item x="378"/>
        <item x="572"/>
        <item x="578"/>
        <item x="377"/>
        <item x="565"/>
        <item x="590"/>
        <item x="375"/>
        <item x="299"/>
        <item x="601"/>
        <item x="592"/>
        <item x="570"/>
        <item x="561"/>
        <item x="567"/>
        <item x="564"/>
        <item x="484"/>
        <item x="569"/>
        <item x="545"/>
        <item x="574"/>
        <item x="481"/>
        <item x="563"/>
        <item x="576"/>
        <item x="593"/>
        <item x="591"/>
        <item x="568"/>
        <item x="577"/>
        <item x="595"/>
        <item x="581"/>
        <item x="435"/>
        <item x="433"/>
        <item x="418"/>
        <item x="589"/>
        <item x="575"/>
        <item x="584"/>
        <item x="434"/>
        <item x="586"/>
        <item x="566"/>
        <item x="573"/>
        <item x="583"/>
        <item x="587"/>
        <item x="474"/>
        <item x="472"/>
        <item x="562"/>
        <item x="617"/>
        <item x="618"/>
        <item x="616"/>
        <item x="604"/>
        <item x="603"/>
        <item x="588"/>
        <item x="417"/>
        <item x="637"/>
        <item x="626"/>
        <item x="599"/>
        <item x="619"/>
        <item x="585"/>
        <item x="628"/>
        <item x="615"/>
        <item x="623"/>
        <item x="620"/>
        <item x="597"/>
        <item x="625"/>
        <item x="598"/>
        <item x="627"/>
        <item x="602"/>
        <item x="621"/>
        <item x="478"/>
        <item x="469"/>
        <item x="596"/>
        <item x="600"/>
        <item x="594"/>
        <item x="622"/>
        <item x="639"/>
        <item x="611"/>
        <item x="613"/>
        <item x="612"/>
        <item x="609"/>
        <item x="610"/>
        <item x="608"/>
        <item x="630"/>
        <item x="634"/>
        <item x="477"/>
        <item x="635"/>
        <item x="471"/>
        <item x="473"/>
        <item x="475"/>
        <item x="476"/>
        <item x="624"/>
        <item x="532"/>
        <item x="470"/>
        <item x="531"/>
        <item x="636"/>
        <item x="606"/>
        <item x="607"/>
        <item x="605"/>
        <item x="632"/>
        <item x="638"/>
        <item x="633"/>
        <item x="631"/>
        <item x="614"/>
        <item x="533"/>
        <item x="629"/>
        <item t="default"/>
      </items>
    </pivotField>
    <pivotField axis="axisRow" numFmtId="14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numFmtId="14" showAll="0"/>
    <pivotField numFmtId="164" showAll="0"/>
    <pivotField showAll="0"/>
    <pivotField showAll="0"/>
    <pivotField dragToRow="0" dragToCol="0" dragToPage="0" showAll="0" defaultSubtotal="0"/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ragToRow="0" dragToCol="0" dragToPage="0" showAll="0" defaultSubtotal="0"/>
  </pivotFields>
  <rowFields count="2">
    <field x="11"/>
    <field x="2"/>
  </rowFields>
  <rowItems count="304">
    <i>
      <x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6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7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8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9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0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6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7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8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9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0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6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7"/>
    </i>
    <i r="1">
      <x v="9"/>
    </i>
    <i r="1">
      <x v="10"/>
    </i>
    <i r="1">
      <x v="14"/>
    </i>
    <i r="1">
      <x v="15"/>
    </i>
    <i>
      <x v="28"/>
    </i>
    <i r="1">
      <x v="9"/>
    </i>
    <i r="1">
      <x v="14"/>
    </i>
    <i t="grand">
      <x/>
    </i>
  </rowItems>
  <colFields count="2">
    <field x="1"/>
    <field x="4"/>
  </colFields>
  <colItems count="10">
    <i>
      <x/>
      <x/>
    </i>
    <i r="1">
      <x v="1"/>
    </i>
    <i t="default">
      <x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 t="grand">
      <x/>
    </i>
  </colItems>
  <dataFields count="1">
    <dataField name="Avg. Price" fld="6" subtotal="average" baseField="11" baseItem="0"/>
  </dataFields>
  <formats count="60">
    <format dxfId="68">
      <pivotArea grandCol="1" outline="0" collapsedLevelsAreSubtotals="1" fieldPosition="0"/>
    </format>
    <format dxfId="67">
      <pivotArea collapsedLevelsAreSubtotals="1" fieldPosition="0">
        <references count="1">
          <reference field="11" count="1">
            <x v="0"/>
          </reference>
        </references>
      </pivotArea>
    </format>
    <format dxfId="66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0"/>
          </reference>
        </references>
      </pivotArea>
    </format>
    <format dxfId="65">
      <pivotArea collapsedLevelsAreSubtotals="1" fieldPosition="0">
        <references count="1">
          <reference field="11" count="1">
            <x v="1"/>
          </reference>
        </references>
      </pivotArea>
    </format>
    <format dxfId="64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1"/>
          </reference>
        </references>
      </pivotArea>
    </format>
    <format dxfId="63">
      <pivotArea collapsedLevelsAreSubtotals="1" fieldPosition="0">
        <references count="1">
          <reference field="11" count="1">
            <x v="2"/>
          </reference>
        </references>
      </pivotArea>
    </format>
    <format dxfId="62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2"/>
          </reference>
        </references>
      </pivotArea>
    </format>
    <format dxfId="61">
      <pivotArea collapsedLevelsAreSubtotals="1" fieldPosition="0">
        <references count="1">
          <reference field="11" count="1">
            <x v="3"/>
          </reference>
        </references>
      </pivotArea>
    </format>
    <format dxfId="60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3"/>
          </reference>
        </references>
      </pivotArea>
    </format>
    <format dxfId="59">
      <pivotArea collapsedLevelsAreSubtotals="1" fieldPosition="0">
        <references count="1">
          <reference field="11" count="1">
            <x v="4"/>
          </reference>
        </references>
      </pivotArea>
    </format>
    <format dxfId="58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4"/>
          </reference>
        </references>
      </pivotArea>
    </format>
    <format dxfId="57">
      <pivotArea collapsedLevelsAreSubtotals="1" fieldPosition="0">
        <references count="1">
          <reference field="11" count="1">
            <x v="5"/>
          </reference>
        </references>
      </pivotArea>
    </format>
    <format dxfId="56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5"/>
          </reference>
        </references>
      </pivotArea>
    </format>
    <format dxfId="55">
      <pivotArea collapsedLevelsAreSubtotals="1" fieldPosition="0">
        <references count="1">
          <reference field="11" count="1">
            <x v="6"/>
          </reference>
        </references>
      </pivotArea>
    </format>
    <format dxfId="54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6"/>
          </reference>
        </references>
      </pivotArea>
    </format>
    <format dxfId="53">
      <pivotArea collapsedLevelsAreSubtotals="1" fieldPosition="0">
        <references count="1">
          <reference field="11" count="1">
            <x v="7"/>
          </reference>
        </references>
      </pivotArea>
    </format>
    <format dxfId="52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7"/>
          </reference>
        </references>
      </pivotArea>
    </format>
    <format dxfId="51">
      <pivotArea collapsedLevelsAreSubtotals="1" fieldPosition="0">
        <references count="1">
          <reference field="11" count="1">
            <x v="8"/>
          </reference>
        </references>
      </pivotArea>
    </format>
    <format dxfId="50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8"/>
          </reference>
        </references>
      </pivotArea>
    </format>
    <format dxfId="49">
      <pivotArea collapsedLevelsAreSubtotals="1" fieldPosition="0">
        <references count="1">
          <reference field="11" count="1">
            <x v="9"/>
          </reference>
        </references>
      </pivotArea>
    </format>
    <format dxfId="48">
      <pivotArea collapsedLevelsAreSubtotals="1" fieldPosition="0">
        <references count="2">
          <reference field="2" count="4">
            <x v="6"/>
            <x v="7"/>
            <x v="8"/>
            <x v="9"/>
          </reference>
          <reference field="11" count="1" selected="0">
            <x v="9"/>
          </reference>
        </references>
      </pivotArea>
    </format>
    <format dxfId="47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0"/>
          </reference>
        </references>
      </pivotArea>
    </format>
    <format dxfId="46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0"/>
          </reference>
        </references>
      </pivotArea>
    </format>
    <format dxfId="45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1"/>
          </reference>
        </references>
      </pivotArea>
    </format>
    <format dxfId="44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1"/>
          </reference>
        </references>
      </pivotArea>
    </format>
    <format dxfId="43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2"/>
          </reference>
        </references>
      </pivotArea>
    </format>
    <format dxfId="42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2"/>
          </reference>
        </references>
      </pivotArea>
    </format>
    <format dxfId="41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3"/>
          </reference>
        </references>
      </pivotArea>
    </format>
    <format dxfId="40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3"/>
          </reference>
        </references>
      </pivotArea>
    </format>
    <format dxfId="39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4"/>
          </reference>
        </references>
      </pivotArea>
    </format>
    <format dxfId="38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4"/>
          </reference>
        </references>
      </pivotArea>
    </format>
    <format dxfId="37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5"/>
          </reference>
        </references>
      </pivotArea>
    </format>
    <format dxfId="36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5"/>
          </reference>
        </references>
      </pivotArea>
    </format>
    <format dxfId="35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6"/>
          </reference>
        </references>
      </pivotArea>
    </format>
    <format dxfId="34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6"/>
          </reference>
        </references>
      </pivotArea>
    </format>
    <format dxfId="33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7"/>
          </reference>
        </references>
      </pivotArea>
    </format>
    <format dxfId="32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7"/>
          </reference>
        </references>
      </pivotArea>
    </format>
    <format dxfId="31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8"/>
          </reference>
        </references>
      </pivotArea>
    </format>
    <format dxfId="30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8"/>
          </reference>
        </references>
      </pivotArea>
    </format>
    <format dxfId="29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9"/>
          </reference>
        </references>
      </pivotArea>
    </format>
    <format dxfId="28">
      <pivotArea collapsedLevelsAreSubtotals="1" fieldPosition="0">
        <references count="4">
          <reference field="1" count="1" selected="0">
            <x v="0"/>
          </reference>
          <reference field="2" count="4">
            <x v="6"/>
            <x v="7"/>
            <x v="8"/>
            <x v="9"/>
          </reference>
          <reference field="4" count="0" selected="0"/>
          <reference field="11" count="1" selected="0">
            <x v="9"/>
          </reference>
        </references>
      </pivotArea>
    </format>
    <format dxfId="27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0"/>
          </reference>
        </references>
      </pivotArea>
    </format>
    <format dxfId="26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0"/>
          </reference>
        </references>
      </pivotArea>
    </format>
    <format dxfId="25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1"/>
          </reference>
        </references>
      </pivotArea>
    </format>
    <format dxfId="24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1"/>
          </reference>
        </references>
      </pivotArea>
    </format>
    <format dxfId="23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2"/>
          </reference>
        </references>
      </pivotArea>
    </format>
    <format dxfId="22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2"/>
          </reference>
        </references>
      </pivotArea>
    </format>
    <format dxfId="21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3"/>
          </reference>
        </references>
      </pivotArea>
    </format>
    <format dxfId="20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3"/>
          </reference>
        </references>
      </pivotArea>
    </format>
    <format dxfId="19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4"/>
          </reference>
        </references>
      </pivotArea>
    </format>
    <format dxfId="18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4"/>
          </reference>
        </references>
      </pivotArea>
    </format>
    <format dxfId="17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5"/>
          </reference>
        </references>
      </pivotArea>
    </format>
    <format dxfId="16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5"/>
          </reference>
        </references>
      </pivotArea>
    </format>
    <format dxfId="15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6"/>
          </reference>
        </references>
      </pivotArea>
    </format>
    <format dxfId="14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6"/>
          </reference>
        </references>
      </pivotArea>
    </format>
    <format dxfId="13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7"/>
          </reference>
        </references>
      </pivotArea>
    </format>
    <format dxfId="12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7"/>
          </reference>
        </references>
      </pivotArea>
    </format>
    <format dxfId="11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8"/>
          </reference>
        </references>
      </pivotArea>
    </format>
    <format dxfId="10">
      <pivotArea collapsedLevelsAreSubtotals="1" fieldPosition="0">
        <references count="4">
          <reference field="1" count="1" selected="0">
            <x v="2"/>
          </reference>
          <reference field="2" count="3">
            <x v="6"/>
            <x v="7"/>
            <x v="8"/>
          </reference>
          <reference field="4" count="0" selected="0"/>
          <reference field="11" count="1" selected="0">
            <x v="8"/>
          </reference>
        </references>
      </pivotArea>
    </format>
    <format dxfId="9">
      <pivotArea outline="0" collapsedLevelsAreSubtotals="1" fieldPosition="0">
        <references count="2">
          <reference field="1" count="1" selected="0">
            <x v="3"/>
          </reference>
          <reference field="4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DBAF348-966E-4528-8D6D-39AD6E86E880}" name="Table7" displayName="Table7" ref="E34:O110" totalsRowShown="0" headerRowBorderDxfId="84">
  <autoFilter ref="E34:O110" xr:uid="{8DBAF348-966E-4528-8D6D-39AD6E86E8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1B4644DB-DE75-41F0-80A9-672F3E941E44}" name="Bio Counter Ltd:" dataDxfId="83"/>
    <tableColumn id="2" xr3:uid="{31F3AD1B-3205-4F44-8353-FD6DF38F6EC3}" name="7" dataDxfId="82">
      <calculatedColumnFormula>IFERROR(IF(GETPIVOTDATA("Avg. Price",Pivots!$A$4,"Date ",E35,"Company",$F$34,"Market",$D$4,"Product",$D$3)=0,NA(),GETPIVOTDATA("Avg. Price",Pivots!$A$4,"Date ",E35,"Company",$F$34,"Market",$D$4,"Product",$D$3)),NA())</calculatedColumnFormula>
    </tableColumn>
    <tableColumn id="3" xr3:uid="{5673D4E4-3988-444F-B6AA-375CE3CB2354}" name="8" dataDxfId="81">
      <calculatedColumnFormula>IFERROR(IF(GETPIVOTDATA("Avg. Price",Pivots!$A$4,"Date ",E35,"Company",$G$34,"Market",$D$4,"Product",$D$3)=0,NA(),GETPIVOTDATA("Avg. Price",Pivots!$A$4,"Date ",E35,"Company",$G$34,"Market",$D$4,"Product",$D$3)),NA())</calculatedColumnFormula>
    </tableColumn>
    <tableColumn id="4" xr3:uid="{1A15B48E-D1D7-434D-BE83-FB816F233B57}" name="9" dataDxfId="80">
      <calculatedColumnFormula>IFERROR(IF(GETPIVOTDATA("Avg. Price",Pivots!$A$4,"Date ",E35,"Company",$H$34,"Market",$D$4,"Product",$D$3)=0,NA(),GETPIVOTDATA("Avg. Price",Pivots!$A$4,"Date ",E35,"Company",$H$34,"Market",$D$4,"Product",$D$3)),NA())</calculatedColumnFormula>
    </tableColumn>
    <tableColumn id="5" xr3:uid="{ECA439DB-59F4-4BAF-A1EE-05AD80AD5C3D}" name="10" dataDxfId="79">
      <calculatedColumnFormula>IFERROR(IF(GETPIVOTDATA("Avg. Price",Pivots!$A$4,"Date ",E35,"Company",$I$34,"Market",$D$4,"Product",$D$3)=0,NA(),GETPIVOTDATA("Avg. Price",Pivots!$A$4,"Date ",E35,"Company",$I$34,"Market",$D$4,"Product",$D$3)),NA())</calculatedColumnFormula>
    </tableColumn>
    <tableColumn id="6" xr3:uid="{4D076E1B-2150-4B1C-A701-BA176260DD13}" name="11" dataDxfId="78">
      <calculatedColumnFormula>IFERROR(IF(GETPIVOTDATA("Avg. Price",Pivots!$A$4,"Date ",E35,"Company",$J$34,"Market",$D$4,"Product",$D$3)=0,NA(),GETPIVOTDATA("Avg. Price",Pivots!$A$4,"Date ",E35,"Company",$J$34,"Market",$D$4,"Product",$D$3)),NA())</calculatedColumnFormula>
    </tableColumn>
    <tableColumn id="7" xr3:uid="{701B384C-4A10-4A4E-AAE6-6A98ACA4C6DB}" name="12" dataDxfId="77">
      <calculatedColumnFormula>IFERROR(IF(GETPIVOTDATA("Avg. Price",Pivots!$A$4,"Date ",E35,"Company",$K$34,"Market",$D$4,"Product",$D$3)=0,NA(),GETPIVOTDATA("Avg. Price",Pivots!$A$4,"Date ",E35,"Company",$K$34,"Market",$D$4,"Product",$D$3)),NA())</calculatedColumnFormula>
    </tableColumn>
    <tableColumn id="8" xr3:uid="{C707F9A2-36D0-456A-A5E9-D93D058B46AF}" name="13" dataDxfId="76">
      <calculatedColumnFormula>IFERROR(IF(GETPIVOTDATA("Avg. Price",Pivots!$A$4,"Date ",E35,"Company",$L$34,"Market",$D$4,"Product",$D$3)=0,NA(),GETPIVOTDATA("Avg. Price",Pivots!$A$4,"Date ",E35,"Company",$L$34,"Market",$D$4,"Product",$D$3)),NA())</calculatedColumnFormula>
    </tableColumn>
    <tableColumn id="9" xr3:uid="{39F2525A-3217-4065-96F3-BD62AC64B220}" name="14" dataDxfId="75">
      <calculatedColumnFormula>IFERROR(IF(GETPIVOTDATA("Avg. Price",Pivots!$A$4,"Date ",E35,"Company",$M$34,"Market",$D$4,"Product",$D$3)=0,NA(),GETPIVOTDATA("Avg. Price",Pivots!$A$4,"Date ",E35,"Company",$M$34,"Market",$D$4,"Product",$D$3)),NA())</calculatedColumnFormula>
    </tableColumn>
    <tableColumn id="10" xr3:uid="{0D524549-B8EB-4EEE-A5BC-56B1E3829583}" name="15" dataDxfId="74">
      <calculatedColumnFormula>IFERROR(IF(GETPIVOTDATA("Avg. Price",Pivots!$A$4,"Date ",E35,"Company",$N$34,"Market",$D$4,"Product",$D$3)=0,NA(),GETPIVOTDATA("Avg. Price",Pivots!$A$4,"Date ",E35,"Company",$N$34,"Market",$D$4,"Product",$D$3)),NA())</calculatedColumnFormula>
    </tableColumn>
    <tableColumn id="11" xr3:uid="{1465CED4-B5FA-4DA9-BB2D-43134D5D6C85}" name="16" dataDxfId="73">
      <calculatedColumnFormula>IFERROR(IF(GETPIVOTDATA("Avg. Price",Pivots!$A$4,"Date ",E35,"Company",$O$34,"Market",$D$4,"Product",$D$3)=0,NA(),GETPIVOTDATA("Avg. Price",Pivots!$A$4,"Date ",E35,"Company",$O$34,"Market",$D$4,"Product",$D$3)),NA())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795E43-434F-4171-B688-78E6D0E1C9E2}" name="Table2" displayName="Table2" ref="R116:S126" totalsRowShown="0" headerRowDxfId="72" dataDxfId="71">
  <autoFilter ref="R116:S126" xr:uid="{B9795E43-434F-4171-B688-78E6D0E1C9E2}">
    <filterColumn colId="0" hiddenButton="1"/>
    <filterColumn colId="1" hiddenButton="1"/>
  </autoFilter>
  <tableColumns count="2">
    <tableColumn id="1" xr3:uid="{4F83B101-A630-4415-B64B-5D9DBF8221ED}" name="Competitor" dataDxfId="70"/>
    <tableColumn id="2" xr3:uid="{A30F160B-2E9B-48FD-BA6D-7B88F9FB63D4}" name="Color" dataDxfId="6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46DA28-E00D-4132-A35D-0D428ED41C2C}" name="Table1" displayName="Table1" ref="A1:P2937" totalsRowShown="0">
  <autoFilter ref="A1:P2937" xr:uid="{1846DA28-E00D-4132-A35D-0D428ED41C2C}">
    <filterColumn colId="4">
      <filters>
        <filter val="Bio counter"/>
        <filter val="Bio counter DLX"/>
      </filters>
    </filterColumn>
  </autoFilter>
  <tableColumns count="16">
    <tableColumn id="1" xr3:uid="{69786DA3-ED13-4552-B57B-29FE727C7D92}" name="Ordered" dataDxfId="8"/>
    <tableColumn id="2" xr3:uid="{30BFDB7D-3261-4F1C-8C2F-8CE2DFE0B029}" name="Market"/>
    <tableColumn id="3" xr3:uid="{F637E9A3-8AB0-483B-9C47-AFD435174A1E}" name="Company"/>
    <tableColumn id="4" xr3:uid="{835232FC-B065-452C-BDA5-DAAC84CBB87A}" name="Customer"/>
    <tableColumn id="5" xr3:uid="{811A4B23-4F35-4C0D-8A9A-1E87C36BC65E}" name="Product"/>
    <tableColumn id="6" xr3:uid="{5041B12A-8886-4136-8ED9-EEB996C8B5AA}" name="Pcs"/>
    <tableColumn id="7" xr3:uid="{BDD7D67A-6F8A-433B-844E-5F48C8AC4CE5}" name="Price"/>
    <tableColumn id="8" xr3:uid="{46192B27-8F90-4E58-B541-81F052D089FD}" name="Value"/>
    <tableColumn id="9" xr3:uid="{9408AA41-955C-470C-A178-666DD90AD66B}" name="Delivery" dataDxfId="7"/>
    <tableColumn id="10" xr3:uid="{D272F1B8-8298-47FE-BA3D-D4C26270C87B}" name="Promised"/>
    <tableColumn id="11" xr3:uid="{10386890-5F56-42DE-A9D3-0647BF2057E4}" name="Arrived" dataDxfId="6"/>
    <tableColumn id="12" xr3:uid="{9ED9C30A-6740-4850-8D2E-13A4B60B4EFC}" name="Date " dataDxfId="5">
      <calculatedColumnFormula>ROUNDDOWN(Table1[[#This Row],[Ordered]],0)</calculatedColumnFormula>
    </tableColumn>
    <tableColumn id="14" xr3:uid="{0AA60C38-5FD8-4F73-A235-9FA9C527F6F0}" name="Date2" dataDxfId="4">
      <calculatedColumnFormula>Table1[[#This Row],[Date ]]</calculatedColumnFormula>
    </tableColumn>
    <tableColumn id="13" xr3:uid="{A67FD83A-6669-423D-97FF-9F46B28C8DC0}" name="Time" dataDxfId="3">
      <calculatedColumnFormula>Table1[[#This Row],[Ordered]]-Table1[[#This Row],[Date ]]</calculatedColumnFormula>
    </tableColumn>
    <tableColumn id="16" xr3:uid="{5703A81A-D7A5-46E6-AB36-BD911294C933}" name="Company2" dataDxfId="2">
      <calculatedColumnFormula>Table1[[#This Row],[Company]]</calculatedColumnFormula>
    </tableColumn>
    <tableColumn id="15" xr3:uid="{E4EB1819-1576-4C8A-92F6-22B061359135}" name="Delay" dataDxfId="1">
      <calculatedColumnFormula>IF(((Table1[[#This Row],[Arrived]]-Table1[[#This Row],[Delivery]])*24-Table1[[#This Row],[Promised]])&lt;0, 0, (Table1[[#This Row],[Arrived]]-Table1[[#This Row],[Delivery]])*24-Table1[[#This Row],[Promised]])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EA081-C6E7-4C2A-BBD5-95DC41379F68}">
  <sheetPr codeName="Sheet1">
    <tabColor theme="7"/>
  </sheetPr>
  <dimension ref="B1:W129"/>
  <sheetViews>
    <sheetView showGridLines="0" tabSelected="1" zoomScale="55" zoomScaleNormal="55" workbookViewId="0">
      <selection activeCell="AE37" sqref="AE37"/>
    </sheetView>
  </sheetViews>
  <sheetFormatPr defaultRowHeight="14.25" x14ac:dyDescent="0.45"/>
  <cols>
    <col min="1" max="1" width="4.86328125" customWidth="1"/>
    <col min="2" max="2" width="15.265625" customWidth="1"/>
    <col min="3" max="3" width="11.06640625" customWidth="1"/>
    <col min="4" max="4" width="8.33203125" customWidth="1"/>
    <col min="5" max="5" width="14.1328125" customWidth="1"/>
    <col min="6" max="6" width="10.265625" customWidth="1"/>
    <col min="7" max="8" width="11.59765625" customWidth="1"/>
    <col min="9" max="9" width="10.86328125" customWidth="1"/>
    <col min="10" max="11" width="11.59765625" customWidth="1"/>
    <col min="12" max="12" width="11" customWidth="1"/>
    <col min="13" max="14" width="11.59765625" customWidth="1"/>
    <col min="15" max="15" width="10.19921875" customWidth="1"/>
    <col min="16" max="16" width="8.1328125" style="25" customWidth="1"/>
    <col min="17" max="17" width="10.3984375" customWidth="1"/>
    <col min="18" max="18" width="12.1328125" customWidth="1"/>
  </cols>
  <sheetData>
    <row r="1" spans="2:23" ht="24.4" customHeight="1" x14ac:dyDescent="0.65">
      <c r="G1" s="17" t="s">
        <v>59</v>
      </c>
      <c r="P1"/>
    </row>
    <row r="2" spans="2:23" ht="46.05" customHeight="1" x14ac:dyDescent="0.45">
      <c r="G2" s="48" t="s">
        <v>44</v>
      </c>
      <c r="H2" s="48"/>
      <c r="I2" s="20"/>
      <c r="J2" s="36" t="s">
        <v>45</v>
      </c>
      <c r="K2" s="36"/>
      <c r="L2" s="21"/>
      <c r="M2" s="36" t="s">
        <v>60</v>
      </c>
      <c r="N2" s="36"/>
      <c r="O2" s="21"/>
      <c r="P2" s="36" t="s">
        <v>46</v>
      </c>
      <c r="Q2" s="36"/>
      <c r="R2" s="22"/>
      <c r="S2" s="36" t="s">
        <v>56</v>
      </c>
      <c r="T2" s="36"/>
      <c r="U2" s="21"/>
      <c r="V2" s="36" t="s">
        <v>47</v>
      </c>
      <c r="W2" s="36"/>
    </row>
    <row r="3" spans="2:23" ht="29.25" customHeight="1" x14ac:dyDescent="0.45">
      <c r="B3" s="43" t="s">
        <v>57</v>
      </c>
      <c r="C3" s="43"/>
      <c r="D3" s="35" t="s">
        <v>15</v>
      </c>
      <c r="E3" s="35"/>
      <c r="G3" s="47">
        <f>IFERROR(GETPIVOTDATA("Sum of Value",Pivots!$N$4,"Company",9,"Market",MarkSelector,"Product",ProdSelector),0)</f>
        <v>2543793</v>
      </c>
      <c r="H3" s="47"/>
      <c r="I3" s="23"/>
      <c r="J3" s="49">
        <f>IFERROR(GETPIVOTDATA("Sum of Pcs",Pivots!$N$4,"Company",9,"Market",MarkSelector,"Product",ProdSelector),0)</f>
        <v>387</v>
      </c>
      <c r="K3" s="49"/>
      <c r="L3" s="24"/>
      <c r="M3" s="47">
        <f>IF(J3=0, NA(), G3/J3)</f>
        <v>6573.1085271317834</v>
      </c>
      <c r="N3" s="47"/>
      <c r="O3" s="24"/>
      <c r="P3" s="45">
        <f>COUNTIFS(Table1[Product],ProdSelector,Table1[Market],MarkSelector,Table1[Company],9)</f>
        <v>53</v>
      </c>
      <c r="Q3" s="45"/>
      <c r="R3" s="23"/>
      <c r="S3" s="46">
        <f>IFERROR(COUNTIFS(Table1[Product],ProdSelector,Table1[Market],MarkSelector,Table1[Company],9,Table1[Delay],0)/P3,NA())</f>
        <v>0.98113207547169812</v>
      </c>
      <c r="T3" s="46"/>
      <c r="U3" s="24"/>
      <c r="V3" s="45">
        <f>IFERROR(AVERAGEIFS(Table1[Delay],Table1[Product],ProdSelector,Table1[Market],MarkSelector,Table1[Company],9,Table1[Delay],"&gt;0"),NA())</f>
        <v>1.0000000001164153</v>
      </c>
      <c r="W3" s="45"/>
    </row>
    <row r="4" spans="2:23" ht="25.5" customHeight="1" x14ac:dyDescent="0.65">
      <c r="B4" s="43" t="s">
        <v>58</v>
      </c>
      <c r="C4" s="43"/>
      <c r="D4" s="35" t="s">
        <v>14</v>
      </c>
      <c r="E4" s="35"/>
      <c r="G4" s="50" t="s">
        <v>82</v>
      </c>
      <c r="P4"/>
    </row>
    <row r="5" spans="2:23" ht="46.05" customHeight="1" x14ac:dyDescent="0.45">
      <c r="B5" s="44" t="s">
        <v>77</v>
      </c>
      <c r="C5" s="44"/>
      <c r="D5" s="35">
        <v>16</v>
      </c>
      <c r="E5" s="35"/>
      <c r="G5" s="42" t="s">
        <v>44</v>
      </c>
      <c r="H5" s="42"/>
      <c r="I5" s="26"/>
      <c r="J5" s="37" t="s">
        <v>45</v>
      </c>
      <c r="K5" s="37"/>
      <c r="L5" s="27"/>
      <c r="M5" s="37" t="s">
        <v>60</v>
      </c>
      <c r="N5" s="37"/>
      <c r="O5" s="27"/>
      <c r="P5" s="37" t="s">
        <v>46</v>
      </c>
      <c r="Q5" s="37"/>
      <c r="R5" s="28"/>
      <c r="S5" s="37" t="s">
        <v>56</v>
      </c>
      <c r="T5" s="37"/>
      <c r="U5" s="27"/>
      <c r="V5" s="37" t="s">
        <v>47</v>
      </c>
      <c r="W5" s="37"/>
    </row>
    <row r="6" spans="2:23" ht="29.25" customHeight="1" x14ac:dyDescent="0.45">
      <c r="G6" s="38">
        <f>IFERROR(GETPIVOTDATA("Sum of Value",Pivots!$N$4,"Company",CompSelector,"Market",MarkSelector,"Product",ProdSelector),0)</f>
        <v>5700000</v>
      </c>
      <c r="H6" s="38"/>
      <c r="I6" s="29"/>
      <c r="J6" s="39">
        <f>IFERROR(GETPIVOTDATA("Sum of Pcs",Pivots!$N$4,"Company",CompSelector,"Market",MarkSelector,"Product",ProdSelector),0)</f>
        <v>898</v>
      </c>
      <c r="K6" s="39"/>
      <c r="L6" s="30"/>
      <c r="M6" s="38">
        <f>IF(J6=0, NA(), G6/J6)</f>
        <v>6347.4387527839644</v>
      </c>
      <c r="N6" s="38"/>
      <c r="O6" s="30"/>
      <c r="P6" s="40">
        <f>COUNTIFS(Table1[Product],ProdSelector,Table1[Market],MarkSelector,Table1[Company],CompSelector)</f>
        <v>95</v>
      </c>
      <c r="Q6" s="40"/>
      <c r="R6" s="29"/>
      <c r="S6" s="41">
        <f>IFERROR(COUNTIFS(Table1[Product],ProdSelector,Table1[Market],MarkSelector,Table1[Company],CompSelector,Table1[Delay],0)/P6,NA())</f>
        <v>1</v>
      </c>
      <c r="T6" s="41"/>
      <c r="U6" s="30"/>
      <c r="V6" s="40" t="e">
        <f>IFERROR(AVERAGEIFS(Table1[Delay],Table1[Product],ProdSelector,Table1[Market],MarkSelector,Table1[Company],CompSelector,Table1[Delay],"&gt;0"),NA())</f>
        <v>#N/A</v>
      </c>
      <c r="W6" s="40"/>
    </row>
    <row r="7" spans="2:23" ht="19.149999999999999" customHeight="1" x14ac:dyDescent="0.45">
      <c r="P7"/>
    </row>
    <row r="8" spans="2:23" ht="32.25" customHeight="1" x14ac:dyDescent="0.45"/>
    <row r="12" spans="2:23" x14ac:dyDescent="0.45">
      <c r="U12" s="1"/>
    </row>
    <row r="13" spans="2:23" ht="15.75" customHeight="1" x14ac:dyDescent="0.45"/>
    <row r="14" spans="2:23" x14ac:dyDescent="0.45">
      <c r="U14" s="1"/>
    </row>
    <row r="16" spans="2:23" x14ac:dyDescent="0.45">
      <c r="U16" s="1"/>
    </row>
    <row r="18" spans="4:21" x14ac:dyDescent="0.45">
      <c r="U18" s="1"/>
    </row>
    <row r="20" spans="4:21" x14ac:dyDescent="0.45">
      <c r="U20" s="1"/>
    </row>
    <row r="22" spans="4:21" x14ac:dyDescent="0.45">
      <c r="U22" s="1"/>
    </row>
    <row r="32" spans="4:21" x14ac:dyDescent="0.45">
      <c r="D32" s="15"/>
    </row>
    <row r="33" spans="5:15" x14ac:dyDescent="0.45">
      <c r="E33" s="15"/>
      <c r="F33" s="15"/>
      <c r="G33" s="15"/>
      <c r="H33" s="15"/>
      <c r="I33" s="15"/>
      <c r="J33" s="15"/>
      <c r="K33" s="15"/>
      <c r="L33" s="15"/>
      <c r="M33" s="15"/>
    </row>
    <row r="34" spans="5:15" x14ac:dyDescent="0.45">
      <c r="E34" s="9" t="s">
        <v>40</v>
      </c>
      <c r="F34" s="19" t="s">
        <v>30</v>
      </c>
      <c r="G34" s="19" t="s">
        <v>31</v>
      </c>
      <c r="H34" s="19" t="s">
        <v>32</v>
      </c>
      <c r="I34" s="19" t="s">
        <v>33</v>
      </c>
      <c r="J34" s="19" t="s">
        <v>34</v>
      </c>
      <c r="K34" s="19" t="s">
        <v>35</v>
      </c>
      <c r="L34" s="19" t="s">
        <v>36</v>
      </c>
      <c r="M34" s="19" t="s">
        <v>37</v>
      </c>
      <c r="N34" s="19" t="s">
        <v>38</v>
      </c>
      <c r="O34" s="19" t="s">
        <v>39</v>
      </c>
    </row>
    <row r="35" spans="5:15" x14ac:dyDescent="0.45">
      <c r="E35" s="10">
        <v>45292</v>
      </c>
      <c r="F35" s="18">
        <f>IFERROR(IF(GETPIVOTDATA("Avg. Price",Pivots!$A$4,"Date ",E35,"Company",$F$34,"Market",$D$4,"Product",$D$3)=0,NA(),GETPIVOTDATA("Avg. Price",Pivots!$A$4,"Date ",E35,"Company",$F$34,"Market",$D$4,"Product",$D$3)),NA())</f>
        <v>6650</v>
      </c>
      <c r="G35" s="18">
        <f>IFERROR(IF(GETPIVOTDATA("Avg. Price",Pivots!$A$4,"Date ",E35,"Company",$G$34,"Market",$D$4,"Product",$D$3)=0,NA(),GETPIVOTDATA("Avg. Price",Pivots!$A$4,"Date ",E35,"Company",$G$34,"Market",$D$4,"Product",$D$3)),NA())</f>
        <v>6650</v>
      </c>
      <c r="H35" s="18">
        <f>IFERROR(IF(GETPIVOTDATA("Avg. Price",Pivots!$A$4,"Date ",E35,"Company",$H$34,"Market",$D$4,"Product",$D$3)=0,NA(),GETPIVOTDATA("Avg. Price",Pivots!$A$4,"Date ",E35,"Company",$H$34,"Market",$D$4,"Product",$D$3)),NA())</f>
        <v>6650</v>
      </c>
      <c r="I35" s="18">
        <f>IFERROR(IF(GETPIVOTDATA("Avg. Price",Pivots!$A$4,"Date ",E35,"Company",$I$34,"Market",$D$4,"Product",$D$3)=0,NA(),GETPIVOTDATA("Avg. Price",Pivots!$A$4,"Date ",E35,"Company",$I$34,"Market",$D$4,"Product",$D$3)),NA())</f>
        <v>6650</v>
      </c>
      <c r="J35" s="18">
        <f>IFERROR(IF(GETPIVOTDATA("Avg. Price",Pivots!$A$4,"Date ",E35,"Company",$J$34,"Market",$D$4,"Product",$D$3)=0,NA(),GETPIVOTDATA("Avg. Price",Pivots!$A$4,"Date ",E35,"Company",$J$34,"Market",$D$4,"Product",$D$3)),NA())</f>
        <v>6650</v>
      </c>
      <c r="K35" s="18">
        <f>IFERROR(IF(GETPIVOTDATA("Avg. Price",Pivots!$A$4,"Date ",E35,"Company",$K$34,"Market",$D$4,"Product",$D$3)=0,NA(),GETPIVOTDATA("Avg. Price",Pivots!$A$4,"Date ",E35,"Company",$K$34,"Market",$D$4,"Product",$D$3)),NA())</f>
        <v>6650</v>
      </c>
      <c r="L35" s="18">
        <f>IFERROR(IF(GETPIVOTDATA("Avg. Price",Pivots!$A$4,"Date ",E35,"Company",$L$34,"Market",$D$4,"Product",$D$3)=0,NA(),GETPIVOTDATA("Avg. Price",Pivots!$A$4,"Date ",E35,"Company",$L$34,"Market",$D$4,"Product",$D$3)),NA())</f>
        <v>6650</v>
      </c>
      <c r="M35" s="18">
        <f>IFERROR(IF(GETPIVOTDATA("Avg. Price",Pivots!$A$4,"Date ",E35,"Company",$M$34,"Market",$D$4,"Product",$D$3)=0,NA(),GETPIVOTDATA("Avg. Price",Pivots!$A$4,"Date ",E35,"Company",$M$34,"Market",$D$4,"Product",$D$3)),NA())</f>
        <v>6650</v>
      </c>
      <c r="N35" s="18">
        <f>IFERROR(IF(GETPIVOTDATA("Avg. Price",Pivots!$A$4,"Date ",E35,"Company",$N$34,"Market",$D$4,"Product",$D$3)=0,NA(),GETPIVOTDATA("Avg. Price",Pivots!$A$4,"Date ",E35,"Company",$N$34,"Market",$D$4,"Product",$D$3)),NA())</f>
        <v>6650</v>
      </c>
      <c r="O35" s="18">
        <f>IFERROR(IF(GETPIVOTDATA("Avg. Price",Pivots!$A$4,"Date ",E35,"Company",$O$34,"Market",$D$4,"Product",$D$3)=0,NA(),GETPIVOTDATA("Avg. Price",Pivots!$A$4,"Date ",E35,"Company",$O$34,"Market",$D$4,"Product",$D$3)),NA())</f>
        <v>6650</v>
      </c>
    </row>
    <row r="36" spans="5:15" x14ac:dyDescent="0.45">
      <c r="E36" s="10">
        <v>45293</v>
      </c>
      <c r="F36" s="18">
        <f>IFERROR(IF(GETPIVOTDATA("Avg. Price",Pivots!$A$4,"Date ",E36,"Company",$F$34,"Market",$D$4,"Product",$D$3)=0,NA(),GETPIVOTDATA("Avg. Price",Pivots!$A$4,"Date ",E36,"Company",$F$34,"Market",$D$4,"Product",$D$3)),NA())</f>
        <v>6650</v>
      </c>
      <c r="G36" s="18">
        <f>IFERROR(IF(GETPIVOTDATA("Avg. Price",Pivots!$A$4,"Date ",E36,"Company",$G$34,"Market",$D$4,"Product",$D$3)=0,NA(),GETPIVOTDATA("Avg. Price",Pivots!$A$4,"Date ",E36,"Company",$G$34,"Market",$D$4,"Product",$D$3)),NA())</f>
        <v>7150</v>
      </c>
      <c r="H36" s="18">
        <f>IFERROR(IF(GETPIVOTDATA("Avg. Price",Pivots!$A$4,"Date ",E36,"Company",$H$34,"Market",$D$4,"Product",$D$3)=0,NA(),GETPIVOTDATA("Avg. Price",Pivots!$A$4,"Date ",E36,"Company",$H$34,"Market",$D$4,"Product",$D$3)),NA())</f>
        <v>6650</v>
      </c>
      <c r="I36" s="18">
        <f>IFERROR(IF(GETPIVOTDATA("Avg. Price",Pivots!$A$4,"Date ",E36,"Company",$I$34,"Market",$D$4,"Product",$D$3)=0,NA(),GETPIVOTDATA("Avg. Price",Pivots!$A$4,"Date ",E36,"Company",$I$34,"Market",$D$4,"Product",$D$3)),NA())</f>
        <v>6800</v>
      </c>
      <c r="J36" s="18">
        <f>IFERROR(IF(GETPIVOTDATA("Avg. Price",Pivots!$A$4,"Date ",E36,"Company",$J$34,"Market",$D$4,"Product",$D$3)=0,NA(),GETPIVOTDATA("Avg. Price",Pivots!$A$4,"Date ",E36,"Company",$J$34,"Market",$D$4,"Product",$D$3)),NA())</f>
        <v>6650</v>
      </c>
      <c r="K36" s="18">
        <f>IFERROR(IF(GETPIVOTDATA("Avg. Price",Pivots!$A$4,"Date ",E36,"Company",$K$34,"Market",$D$4,"Product",$D$3)=0,NA(),GETPIVOTDATA("Avg. Price",Pivots!$A$4,"Date ",E36,"Company",$K$34,"Market",$D$4,"Product",$D$3)),NA())</f>
        <v>6650</v>
      </c>
      <c r="L36" s="18">
        <f>IFERROR(IF(GETPIVOTDATA("Avg. Price",Pivots!$A$4,"Date ",E36,"Company",$L$34,"Market",$D$4,"Product",$D$3)=0,NA(),GETPIVOTDATA("Avg. Price",Pivots!$A$4,"Date ",E36,"Company",$L$34,"Market",$D$4,"Product",$D$3)),NA())</f>
        <v>6650</v>
      </c>
      <c r="M36" s="18">
        <f>IFERROR(IF(GETPIVOTDATA("Avg. Price",Pivots!$A$4,"Date ",E36,"Company",$M$34,"Market",$D$4,"Product",$D$3)=0,NA(),GETPIVOTDATA("Avg. Price",Pivots!$A$4,"Date ",E36,"Company",$M$34,"Market",$D$4,"Product",$D$3)),NA())</f>
        <v>6650</v>
      </c>
      <c r="N36" s="18">
        <f>IFERROR(IF(GETPIVOTDATA("Avg. Price",Pivots!$A$4,"Date ",E36,"Company",$N$34,"Market",$D$4,"Product",$D$3)=0,NA(),GETPIVOTDATA("Avg. Price",Pivots!$A$4,"Date ",E36,"Company",$N$34,"Market",$D$4,"Product",$D$3)),NA())</f>
        <v>6650</v>
      </c>
      <c r="O36" s="18">
        <f>IFERROR(IF(GETPIVOTDATA("Avg. Price",Pivots!$A$4,"Date ",E36,"Company",$O$34,"Market",$D$4,"Product",$D$3)=0,NA(),GETPIVOTDATA("Avg. Price",Pivots!$A$4,"Date ",E36,"Company",$O$34,"Market",$D$4,"Product",$D$3)),NA())</f>
        <v>6650</v>
      </c>
    </row>
    <row r="37" spans="5:15" x14ac:dyDescent="0.45">
      <c r="E37" s="10">
        <v>45294</v>
      </c>
      <c r="F37" s="18">
        <f>IFERROR(IF(GETPIVOTDATA("Avg. Price",Pivots!$A$4,"Date ",E37,"Company",$F$34,"Market",$D$4,"Product",$D$3)=0,NA(),GETPIVOTDATA("Avg. Price",Pivots!$A$4,"Date ",E37,"Company",$F$34,"Market",$D$4,"Product",$D$3)),NA())</f>
        <v>6650</v>
      </c>
      <c r="G37" s="18">
        <f>IFERROR(IF(GETPIVOTDATA("Avg. Price",Pivots!$A$4,"Date ",E37,"Company",$G$34,"Market",$D$4,"Product",$D$3)=0,NA(),GETPIVOTDATA("Avg. Price",Pivots!$A$4,"Date ",E37,"Company",$G$34,"Market",$D$4,"Product",$D$3)),NA())</f>
        <v>7300</v>
      </c>
      <c r="H37" s="18">
        <f>IFERROR(IF(GETPIVOTDATA("Avg. Price",Pivots!$A$4,"Date ",E37,"Company",$H$34,"Market",$D$4,"Product",$D$3)=0,NA(),GETPIVOTDATA("Avg. Price",Pivots!$A$4,"Date ",E37,"Company",$H$34,"Market",$D$4,"Product",$D$3)),NA())</f>
        <v>6650</v>
      </c>
      <c r="I37" s="18">
        <f>IFERROR(IF(GETPIVOTDATA("Avg. Price",Pivots!$A$4,"Date ",E37,"Company",$I$34,"Market",$D$4,"Product",$D$3)=0,NA(),GETPIVOTDATA("Avg. Price",Pivots!$A$4,"Date ",E37,"Company",$I$34,"Market",$D$4,"Product",$D$3)),NA())</f>
        <v>6800</v>
      </c>
      <c r="J37" s="18">
        <f>IFERROR(IF(GETPIVOTDATA("Avg. Price",Pivots!$A$4,"Date ",E37,"Company",$J$34,"Market",$D$4,"Product",$D$3)=0,NA(),GETPIVOTDATA("Avg. Price",Pivots!$A$4,"Date ",E37,"Company",$J$34,"Market",$D$4,"Product",$D$3)),NA())</f>
        <v>6650</v>
      </c>
      <c r="K37" s="18">
        <f>IFERROR(IF(GETPIVOTDATA("Avg. Price",Pivots!$A$4,"Date ",E37,"Company",$K$34,"Market",$D$4,"Product",$D$3)=0,NA(),GETPIVOTDATA("Avg. Price",Pivots!$A$4,"Date ",E37,"Company",$K$34,"Market",$D$4,"Product",$D$3)),NA())</f>
        <v>6737.5</v>
      </c>
      <c r="L37" s="18">
        <f>IFERROR(IF(GETPIVOTDATA("Avg. Price",Pivots!$A$4,"Date ",E37,"Company",$L$34,"Market",$D$4,"Product",$D$3)=0,NA(),GETPIVOTDATA("Avg. Price",Pivots!$A$4,"Date ",E37,"Company",$L$34,"Market",$D$4,"Product",$D$3)),NA())</f>
        <v>6650</v>
      </c>
      <c r="M37" s="18">
        <f>IFERROR(IF(GETPIVOTDATA("Avg. Price",Pivots!$A$4,"Date ",E37,"Company",$M$34,"Market",$D$4,"Product",$D$3)=0,NA(),GETPIVOTDATA("Avg. Price",Pivots!$A$4,"Date ",E37,"Company",$M$34,"Market",$D$4,"Product",$D$3)),NA())</f>
        <v>6650</v>
      </c>
      <c r="N37" s="18">
        <f>IFERROR(IF(GETPIVOTDATA("Avg. Price",Pivots!$A$4,"Date ",E37,"Company",$N$34,"Market",$D$4,"Product",$D$3)=0,NA(),GETPIVOTDATA("Avg. Price",Pivots!$A$4,"Date ",E37,"Company",$N$34,"Market",$D$4,"Product",$D$3)),NA())</f>
        <v>6650</v>
      </c>
      <c r="O37" s="18">
        <f>IFERROR(IF(GETPIVOTDATA("Avg. Price",Pivots!$A$4,"Date ",E37,"Company",$O$34,"Market",$D$4,"Product",$D$3)=0,NA(),GETPIVOTDATA("Avg. Price",Pivots!$A$4,"Date ",E37,"Company",$O$34,"Market",$D$4,"Product",$D$3)),NA())</f>
        <v>6650</v>
      </c>
    </row>
    <row r="38" spans="5:15" x14ac:dyDescent="0.45">
      <c r="E38" s="10">
        <v>45295</v>
      </c>
      <c r="F38" s="18">
        <f>IFERROR(IF(GETPIVOTDATA("Avg. Price",Pivots!$A$4,"Date ",E38,"Company",$F$34,"Market",$D$4,"Product",$D$3)=0,NA(),GETPIVOTDATA("Avg. Price",Pivots!$A$4,"Date ",E38,"Company",$F$34,"Market",$D$4,"Product",$D$3)),NA())</f>
        <v>6650</v>
      </c>
      <c r="G38" s="18" t="e">
        <f>IFERROR(IF(GETPIVOTDATA("Avg. Price",Pivots!$A$4,"Date ",E38,"Company",$G$34,"Market",$D$4,"Product",$D$3)=0,NA(),GETPIVOTDATA("Avg. Price",Pivots!$A$4,"Date ",E38,"Company",$G$34,"Market",$D$4,"Product",$D$3)),NA())</f>
        <v>#N/A</v>
      </c>
      <c r="H38" s="18">
        <f>IFERROR(IF(GETPIVOTDATA("Avg. Price",Pivots!$A$4,"Date ",E38,"Company",$H$34,"Market",$D$4,"Product",$D$3)=0,NA(),GETPIVOTDATA("Avg. Price",Pivots!$A$4,"Date ",E38,"Company",$H$34,"Market",$D$4,"Product",$D$3)),NA())</f>
        <v>6650</v>
      </c>
      <c r="I38" s="18">
        <f>IFERROR(IF(GETPIVOTDATA("Avg. Price",Pivots!$A$4,"Date ",E38,"Company",$I$34,"Market",$D$4,"Product",$D$3)=0,NA(),GETPIVOTDATA("Avg. Price",Pivots!$A$4,"Date ",E38,"Company",$I$34,"Market",$D$4,"Product",$D$3)),NA())</f>
        <v>6800</v>
      </c>
      <c r="J38" s="18">
        <f>IFERROR(IF(GETPIVOTDATA("Avg. Price",Pivots!$A$4,"Date ",E38,"Company",$J$34,"Market",$D$4,"Product",$D$3)=0,NA(),GETPIVOTDATA("Avg. Price",Pivots!$A$4,"Date ",E38,"Company",$J$34,"Market",$D$4,"Product",$D$3)),NA())</f>
        <v>6650</v>
      </c>
      <c r="K38" s="18">
        <f>IFERROR(IF(GETPIVOTDATA("Avg. Price",Pivots!$A$4,"Date ",E38,"Company",$K$34,"Market",$D$4,"Product",$D$3)=0,NA(),GETPIVOTDATA("Avg. Price",Pivots!$A$4,"Date ",E38,"Company",$K$34,"Market",$D$4,"Product",$D$3)),NA())</f>
        <v>6762.5</v>
      </c>
      <c r="L38" s="18">
        <f>IFERROR(IF(GETPIVOTDATA("Avg. Price",Pivots!$A$4,"Date ",E38,"Company",$L$34,"Market",$D$4,"Product",$D$3)=0,NA(),GETPIVOTDATA("Avg. Price",Pivots!$A$4,"Date ",E38,"Company",$L$34,"Market",$D$4,"Product",$D$3)),NA())</f>
        <v>6650</v>
      </c>
      <c r="M38" s="18">
        <f>IFERROR(IF(GETPIVOTDATA("Avg. Price",Pivots!$A$4,"Date ",E38,"Company",$M$34,"Market",$D$4,"Product",$D$3)=0,NA(),GETPIVOTDATA("Avg. Price",Pivots!$A$4,"Date ",E38,"Company",$M$34,"Market",$D$4,"Product",$D$3)),NA())</f>
        <v>6650</v>
      </c>
      <c r="N38" s="18">
        <f>IFERROR(IF(GETPIVOTDATA("Avg. Price",Pivots!$A$4,"Date ",E38,"Company",$N$34,"Market",$D$4,"Product",$D$3)=0,NA(),GETPIVOTDATA("Avg. Price",Pivots!$A$4,"Date ",E38,"Company",$N$34,"Market",$D$4,"Product",$D$3)),NA())</f>
        <v>6650</v>
      </c>
      <c r="O38" s="18">
        <f>IFERROR(IF(GETPIVOTDATA("Avg. Price",Pivots!$A$4,"Date ",E38,"Company",$O$34,"Market",$D$4,"Product",$D$3)=0,NA(),GETPIVOTDATA("Avg. Price",Pivots!$A$4,"Date ",E38,"Company",$O$34,"Market",$D$4,"Product",$D$3)),NA())</f>
        <v>6650</v>
      </c>
    </row>
    <row r="39" spans="5:15" x14ac:dyDescent="0.45">
      <c r="E39" s="10">
        <v>45296</v>
      </c>
      <c r="F39" s="18">
        <f>IFERROR(IF(GETPIVOTDATA("Avg. Price",Pivots!$A$4,"Date ",E39,"Company",$F$34,"Market",$D$4,"Product",$D$3)=0,NA(),GETPIVOTDATA("Avg. Price",Pivots!$A$4,"Date ",E39,"Company",$F$34,"Market",$D$4,"Product",$D$3)),NA())</f>
        <v>6650</v>
      </c>
      <c r="G39" s="18" t="e">
        <f>IFERROR(IF(GETPIVOTDATA("Avg. Price",Pivots!$A$4,"Date ",E39,"Company",$G$34,"Market",$D$4,"Product",$D$3)=0,NA(),GETPIVOTDATA("Avg. Price",Pivots!$A$4,"Date ",E39,"Company",$G$34,"Market",$D$4,"Product",$D$3)),NA())</f>
        <v>#N/A</v>
      </c>
      <c r="H39" s="18">
        <f>IFERROR(IF(GETPIVOTDATA("Avg. Price",Pivots!$A$4,"Date ",E39,"Company",$H$34,"Market",$D$4,"Product",$D$3)=0,NA(),GETPIVOTDATA("Avg. Price",Pivots!$A$4,"Date ",E39,"Company",$H$34,"Market",$D$4,"Product",$D$3)),NA())</f>
        <v>6650</v>
      </c>
      <c r="I39" s="18">
        <f>IFERROR(IF(GETPIVOTDATA("Avg. Price",Pivots!$A$4,"Date ",E39,"Company",$I$34,"Market",$D$4,"Product",$D$3)=0,NA(),GETPIVOTDATA("Avg. Price",Pivots!$A$4,"Date ",E39,"Company",$I$34,"Market",$D$4,"Product",$D$3)),NA())</f>
        <v>6800</v>
      </c>
      <c r="J39" s="18" t="e">
        <f>IFERROR(IF(GETPIVOTDATA("Avg. Price",Pivots!$A$4,"Date ",E39,"Company",$J$34,"Market",$D$4,"Product",$D$3)=0,NA(),GETPIVOTDATA("Avg. Price",Pivots!$A$4,"Date ",E39,"Company",$J$34,"Market",$D$4,"Product",$D$3)),NA())</f>
        <v>#N/A</v>
      </c>
      <c r="K39" s="18">
        <f>IFERROR(IF(GETPIVOTDATA("Avg. Price",Pivots!$A$4,"Date ",E39,"Company",$K$34,"Market",$D$4,"Product",$D$3)=0,NA(),GETPIVOTDATA("Avg. Price",Pivots!$A$4,"Date ",E39,"Company",$K$34,"Market",$D$4,"Product",$D$3)),NA())</f>
        <v>6766.666666666667</v>
      </c>
      <c r="L39" s="18">
        <f>IFERROR(IF(GETPIVOTDATA("Avg. Price",Pivots!$A$4,"Date ",E39,"Company",$L$34,"Market",$D$4,"Product",$D$3)=0,NA(),GETPIVOTDATA("Avg. Price",Pivots!$A$4,"Date ",E39,"Company",$L$34,"Market",$D$4,"Product",$D$3)),NA())</f>
        <v>6650</v>
      </c>
      <c r="M39" s="18">
        <f>IFERROR(IF(GETPIVOTDATA("Avg. Price",Pivots!$A$4,"Date ",E39,"Company",$M$34,"Market",$D$4,"Product",$D$3)=0,NA(),GETPIVOTDATA("Avg. Price",Pivots!$A$4,"Date ",E39,"Company",$M$34,"Market",$D$4,"Product",$D$3)),NA())</f>
        <v>6650</v>
      </c>
      <c r="N39" s="18">
        <f>IFERROR(IF(GETPIVOTDATA("Avg. Price",Pivots!$A$4,"Date ",E39,"Company",$N$34,"Market",$D$4,"Product",$D$3)=0,NA(),GETPIVOTDATA("Avg. Price",Pivots!$A$4,"Date ",E39,"Company",$N$34,"Market",$D$4,"Product",$D$3)),NA())</f>
        <v>6650</v>
      </c>
      <c r="O39" s="18">
        <f>IFERROR(IF(GETPIVOTDATA("Avg. Price",Pivots!$A$4,"Date ",E39,"Company",$O$34,"Market",$D$4,"Product",$D$3)=0,NA(),GETPIVOTDATA("Avg. Price",Pivots!$A$4,"Date ",E39,"Company",$O$34,"Market",$D$4,"Product",$D$3)),NA())</f>
        <v>6650</v>
      </c>
    </row>
    <row r="40" spans="5:15" x14ac:dyDescent="0.45">
      <c r="E40" s="10">
        <v>45297</v>
      </c>
      <c r="F40" s="18">
        <f>IFERROR(IF(GETPIVOTDATA("Avg. Price",Pivots!$A$4,"Date ",E40,"Company",$F$34,"Market",$D$4,"Product",$D$3)=0,NA(),GETPIVOTDATA("Avg. Price",Pivots!$A$4,"Date ",E40,"Company",$F$34,"Market",$D$4,"Product",$D$3)),NA())</f>
        <v>6650</v>
      </c>
      <c r="G40" s="18" t="e">
        <f>IFERROR(IF(GETPIVOTDATA("Avg. Price",Pivots!$A$4,"Date ",E40,"Company",$G$34,"Market",$D$4,"Product",$D$3)=0,NA(),GETPIVOTDATA("Avg. Price",Pivots!$A$4,"Date ",E40,"Company",$G$34,"Market",$D$4,"Product",$D$3)),NA())</f>
        <v>#N/A</v>
      </c>
      <c r="H40" s="18">
        <f>IFERROR(IF(GETPIVOTDATA("Avg. Price",Pivots!$A$4,"Date ",E40,"Company",$H$34,"Market",$D$4,"Product",$D$3)=0,NA(),GETPIVOTDATA("Avg. Price",Pivots!$A$4,"Date ",E40,"Company",$H$34,"Market",$D$4,"Product",$D$3)),NA())</f>
        <v>6650</v>
      </c>
      <c r="I40" s="18">
        <f>IFERROR(IF(GETPIVOTDATA("Avg. Price",Pivots!$A$4,"Date ",E40,"Company",$I$34,"Market",$D$4,"Product",$D$3)=0,NA(),GETPIVOTDATA("Avg. Price",Pivots!$A$4,"Date ",E40,"Company",$I$34,"Market",$D$4,"Product",$D$3)),NA())</f>
        <v>6800</v>
      </c>
      <c r="J40" s="18" t="e">
        <f>IFERROR(IF(GETPIVOTDATA("Avg. Price",Pivots!$A$4,"Date ",E40,"Company",$J$34,"Market",$D$4,"Product",$D$3)=0,NA(),GETPIVOTDATA("Avg. Price",Pivots!$A$4,"Date ",E40,"Company",$J$34,"Market",$D$4,"Product",$D$3)),NA())</f>
        <v>#N/A</v>
      </c>
      <c r="K40" s="18">
        <f>IFERROR(IF(GETPIVOTDATA("Avg. Price",Pivots!$A$4,"Date ",E40,"Company",$K$34,"Market",$D$4,"Product",$D$3)=0,NA(),GETPIVOTDATA("Avg. Price",Pivots!$A$4,"Date ",E40,"Company",$K$34,"Market",$D$4,"Product",$D$3)),NA())</f>
        <v>6850</v>
      </c>
      <c r="L40" s="18">
        <f>IFERROR(IF(GETPIVOTDATA("Avg. Price",Pivots!$A$4,"Date ",E40,"Company",$L$34,"Market",$D$4,"Product",$D$3)=0,NA(),GETPIVOTDATA("Avg. Price",Pivots!$A$4,"Date ",E40,"Company",$L$34,"Market",$D$4,"Product",$D$3)),NA())</f>
        <v>6450</v>
      </c>
      <c r="M40" s="18">
        <f>IFERROR(IF(GETPIVOTDATA("Avg. Price",Pivots!$A$4,"Date ",E40,"Company",$M$34,"Market",$D$4,"Product",$D$3)=0,NA(),GETPIVOTDATA("Avg. Price",Pivots!$A$4,"Date ",E40,"Company",$M$34,"Market",$D$4,"Product",$D$3)),NA())</f>
        <v>6650</v>
      </c>
      <c r="N40" s="18">
        <f>IFERROR(IF(GETPIVOTDATA("Avg. Price",Pivots!$A$4,"Date ",E40,"Company",$N$34,"Market",$D$4,"Product",$D$3)=0,NA(),GETPIVOTDATA("Avg. Price",Pivots!$A$4,"Date ",E40,"Company",$N$34,"Market",$D$4,"Product",$D$3)),NA())</f>
        <v>6650</v>
      </c>
      <c r="O40" s="18">
        <f>IFERROR(IF(GETPIVOTDATA("Avg. Price",Pivots!$A$4,"Date ",E40,"Company",$O$34,"Market",$D$4,"Product",$D$3)=0,NA(),GETPIVOTDATA("Avg. Price",Pivots!$A$4,"Date ",E40,"Company",$O$34,"Market",$D$4,"Product",$D$3)),NA())</f>
        <v>6650</v>
      </c>
    </row>
    <row r="41" spans="5:15" x14ac:dyDescent="0.45">
      <c r="E41" s="10">
        <v>45298</v>
      </c>
      <c r="F41" s="18">
        <f>IFERROR(IF(GETPIVOTDATA("Avg. Price",Pivots!$A$4,"Date ",E41,"Company",$F$34,"Market",$D$4,"Product",$D$3)=0,NA(),GETPIVOTDATA("Avg. Price",Pivots!$A$4,"Date ",E41,"Company",$F$34,"Market",$D$4,"Product",$D$3)),NA())</f>
        <v>6650</v>
      </c>
      <c r="G41" s="18">
        <f>IFERROR(IF(GETPIVOTDATA("Avg. Price",Pivots!$A$4,"Date ",E41,"Company",$G$34,"Market",$D$4,"Product",$D$3)=0,NA(),GETPIVOTDATA("Avg. Price",Pivots!$A$4,"Date ",E41,"Company",$G$34,"Market",$D$4,"Product",$D$3)),NA())</f>
        <v>5350</v>
      </c>
      <c r="H41" s="18">
        <f>IFERROR(IF(GETPIVOTDATA("Avg. Price",Pivots!$A$4,"Date ",E41,"Company",$H$34,"Market",$D$4,"Product",$D$3)=0,NA(),GETPIVOTDATA("Avg. Price",Pivots!$A$4,"Date ",E41,"Company",$H$34,"Market",$D$4,"Product",$D$3)),NA())</f>
        <v>6650</v>
      </c>
      <c r="I41" s="18">
        <f>IFERROR(IF(GETPIVOTDATA("Avg. Price",Pivots!$A$4,"Date ",E41,"Company",$I$34,"Market",$D$4,"Product",$D$3)=0,NA(),GETPIVOTDATA("Avg. Price",Pivots!$A$4,"Date ",E41,"Company",$I$34,"Market",$D$4,"Product",$D$3)),NA())</f>
        <v>6800</v>
      </c>
      <c r="J41" s="18">
        <f>IFERROR(IF(GETPIVOTDATA("Avg. Price",Pivots!$A$4,"Date ",E41,"Company",$J$34,"Market",$D$4,"Product",$D$3)=0,NA(),GETPIVOTDATA("Avg. Price",Pivots!$A$4,"Date ",E41,"Company",$J$34,"Market",$D$4,"Product",$D$3)),NA())</f>
        <v>6600</v>
      </c>
      <c r="K41" s="18">
        <f>IFERROR(IF(GETPIVOTDATA("Avg. Price",Pivots!$A$4,"Date ",E41,"Company",$K$34,"Market",$D$4,"Product",$D$3)=0,NA(),GETPIVOTDATA("Avg. Price",Pivots!$A$4,"Date ",E41,"Company",$K$34,"Market",$D$4,"Product",$D$3)),NA())</f>
        <v>6775</v>
      </c>
      <c r="L41" s="18">
        <f>IFERROR(IF(GETPIVOTDATA("Avg. Price",Pivots!$A$4,"Date ",E41,"Company",$L$34,"Market",$D$4,"Product",$D$3)=0,NA(),GETPIVOTDATA("Avg. Price",Pivots!$A$4,"Date ",E41,"Company",$L$34,"Market",$D$4,"Product",$D$3)),NA())</f>
        <v>6400</v>
      </c>
      <c r="M41" s="18">
        <f>IFERROR(IF(GETPIVOTDATA("Avg. Price",Pivots!$A$4,"Date ",E41,"Company",$M$34,"Market",$D$4,"Product",$D$3)=0,NA(),GETPIVOTDATA("Avg. Price",Pivots!$A$4,"Date ",E41,"Company",$M$34,"Market",$D$4,"Product",$D$3)),NA())</f>
        <v>6650</v>
      </c>
      <c r="N41" s="18">
        <f>IFERROR(IF(GETPIVOTDATA("Avg. Price",Pivots!$A$4,"Date ",E41,"Company",$N$34,"Market",$D$4,"Product",$D$3)=0,NA(),GETPIVOTDATA("Avg. Price",Pivots!$A$4,"Date ",E41,"Company",$N$34,"Market",$D$4,"Product",$D$3)),NA())</f>
        <v>6650</v>
      </c>
      <c r="O41" s="18">
        <f>IFERROR(IF(GETPIVOTDATA("Avg. Price",Pivots!$A$4,"Date ",E41,"Company",$O$34,"Market",$D$4,"Product",$D$3)=0,NA(),GETPIVOTDATA("Avg. Price",Pivots!$A$4,"Date ",E41,"Company",$O$34,"Market",$D$4,"Product",$D$3)),NA())</f>
        <v>6650</v>
      </c>
    </row>
    <row r="42" spans="5:15" x14ac:dyDescent="0.45">
      <c r="E42" s="10">
        <v>45299</v>
      </c>
      <c r="F42" s="18">
        <f>IFERROR(IF(GETPIVOTDATA("Avg. Price",Pivots!$A$4,"Date ",E42,"Company",$F$34,"Market",$D$4,"Product",$D$3)=0,NA(),GETPIVOTDATA("Avg. Price",Pivots!$A$4,"Date ",E42,"Company",$F$34,"Market",$D$4,"Product",$D$3)),NA())</f>
        <v>6650</v>
      </c>
      <c r="G42" s="18">
        <f>IFERROR(IF(GETPIVOTDATA("Avg. Price",Pivots!$A$4,"Date ",E42,"Company",$G$34,"Market",$D$4,"Product",$D$3)=0,NA(),GETPIVOTDATA("Avg. Price",Pivots!$A$4,"Date ",E42,"Company",$G$34,"Market",$D$4,"Product",$D$3)),NA())</f>
        <v>5350</v>
      </c>
      <c r="H42" s="18">
        <f>IFERROR(IF(GETPIVOTDATA("Avg. Price",Pivots!$A$4,"Date ",E42,"Company",$H$34,"Market",$D$4,"Product",$D$3)=0,NA(),GETPIVOTDATA("Avg. Price",Pivots!$A$4,"Date ",E42,"Company",$H$34,"Market",$D$4,"Product",$D$3)),NA())</f>
        <v>6650</v>
      </c>
      <c r="I42" s="18" t="e">
        <f>IFERROR(IF(GETPIVOTDATA("Avg. Price",Pivots!$A$4,"Date ",E42,"Company",$I$34,"Market",$D$4,"Product",$D$3)=0,NA(),GETPIVOTDATA("Avg. Price",Pivots!$A$4,"Date ",E42,"Company",$I$34,"Market",$D$4,"Product",$D$3)),NA())</f>
        <v>#N/A</v>
      </c>
      <c r="J42" s="18" t="e">
        <f>IFERROR(IF(GETPIVOTDATA("Avg. Price",Pivots!$A$4,"Date ",E42,"Company",$J$34,"Market",$D$4,"Product",$D$3)=0,NA(),GETPIVOTDATA("Avg. Price",Pivots!$A$4,"Date ",E42,"Company",$J$34,"Market",$D$4,"Product",$D$3)),NA())</f>
        <v>#N/A</v>
      </c>
      <c r="K42" s="18">
        <f>IFERROR(IF(GETPIVOTDATA("Avg. Price",Pivots!$A$4,"Date ",E42,"Company",$K$34,"Market",$D$4,"Product",$D$3)=0,NA(),GETPIVOTDATA("Avg. Price",Pivots!$A$4,"Date ",E42,"Company",$K$34,"Market",$D$4,"Product",$D$3)),NA())</f>
        <v>6766.666666666667</v>
      </c>
      <c r="L42" s="18">
        <f>IFERROR(IF(GETPIVOTDATA("Avg. Price",Pivots!$A$4,"Date ",E42,"Company",$L$34,"Market",$D$4,"Product",$D$3)=0,NA(),GETPIVOTDATA("Avg. Price",Pivots!$A$4,"Date ",E42,"Company",$L$34,"Market",$D$4,"Product",$D$3)),NA())</f>
        <v>6400</v>
      </c>
      <c r="M42" s="18">
        <f>IFERROR(IF(GETPIVOTDATA("Avg. Price",Pivots!$A$4,"Date ",E42,"Company",$M$34,"Market",$D$4,"Product",$D$3)=0,NA(),GETPIVOTDATA("Avg. Price",Pivots!$A$4,"Date ",E42,"Company",$M$34,"Market",$D$4,"Product",$D$3)),NA())</f>
        <v>6650</v>
      </c>
      <c r="N42" s="18">
        <f>IFERROR(IF(GETPIVOTDATA("Avg. Price",Pivots!$A$4,"Date ",E42,"Company",$N$34,"Market",$D$4,"Product",$D$3)=0,NA(),GETPIVOTDATA("Avg. Price",Pivots!$A$4,"Date ",E42,"Company",$N$34,"Market",$D$4,"Product",$D$3)),NA())</f>
        <v>6650</v>
      </c>
      <c r="O42" s="18">
        <f>IFERROR(IF(GETPIVOTDATA("Avg. Price",Pivots!$A$4,"Date ",E42,"Company",$O$34,"Market",$D$4,"Product",$D$3)=0,NA(),GETPIVOTDATA("Avg. Price",Pivots!$A$4,"Date ",E42,"Company",$O$34,"Market",$D$4,"Product",$D$3)),NA())</f>
        <v>6650</v>
      </c>
    </row>
    <row r="43" spans="5:15" x14ac:dyDescent="0.45">
      <c r="E43" s="10">
        <v>45300</v>
      </c>
      <c r="F43" s="18">
        <f>IFERROR(IF(GETPIVOTDATA("Avg. Price",Pivots!$A$4,"Date ",E43,"Company",$F$34,"Market",$D$4,"Product",$D$3)=0,NA(),GETPIVOTDATA("Avg. Price",Pivots!$A$4,"Date ",E43,"Company",$F$34,"Market",$D$4,"Product",$D$3)),NA())</f>
        <v>6650</v>
      </c>
      <c r="G43" s="18">
        <f>IFERROR(IF(GETPIVOTDATA("Avg. Price",Pivots!$A$4,"Date ",E43,"Company",$G$34,"Market",$D$4,"Product",$D$3)=0,NA(),GETPIVOTDATA("Avg. Price",Pivots!$A$4,"Date ",E43,"Company",$G$34,"Market",$D$4,"Product",$D$3)),NA())</f>
        <v>5450</v>
      </c>
      <c r="H43" s="18">
        <f>IFERROR(IF(GETPIVOTDATA("Avg. Price",Pivots!$A$4,"Date ",E43,"Company",$H$34,"Market",$D$4,"Product",$D$3)=0,NA(),GETPIVOTDATA("Avg. Price",Pivots!$A$4,"Date ",E43,"Company",$H$34,"Market",$D$4,"Product",$D$3)),NA())</f>
        <v>6650</v>
      </c>
      <c r="I43" s="18" t="e">
        <f>IFERROR(IF(GETPIVOTDATA("Avg. Price",Pivots!$A$4,"Date ",E43,"Company",$I$34,"Market",$D$4,"Product",$D$3)=0,NA(),GETPIVOTDATA("Avg. Price",Pivots!$A$4,"Date ",E43,"Company",$I$34,"Market",$D$4,"Product",$D$3)),NA())</f>
        <v>#N/A</v>
      </c>
      <c r="J43" s="18" t="e">
        <f>IFERROR(IF(GETPIVOTDATA("Avg. Price",Pivots!$A$4,"Date ",E43,"Company",$J$34,"Market",$D$4,"Product",$D$3)=0,NA(),GETPIVOTDATA("Avg. Price",Pivots!$A$4,"Date ",E43,"Company",$J$34,"Market",$D$4,"Product",$D$3)),NA())</f>
        <v>#N/A</v>
      </c>
      <c r="K43" s="18">
        <f>IFERROR(IF(GETPIVOTDATA("Avg. Price",Pivots!$A$4,"Date ",E43,"Company",$K$34,"Market",$D$4,"Product",$D$3)=0,NA(),GETPIVOTDATA("Avg. Price",Pivots!$A$4,"Date ",E43,"Company",$K$34,"Market",$D$4,"Product",$D$3)),NA())</f>
        <v>6833.333333333333</v>
      </c>
      <c r="L43" s="18">
        <f>IFERROR(IF(GETPIVOTDATA("Avg. Price",Pivots!$A$4,"Date ",E43,"Company",$L$34,"Market",$D$4,"Product",$D$3)=0,NA(),GETPIVOTDATA("Avg. Price",Pivots!$A$4,"Date ",E43,"Company",$L$34,"Market",$D$4,"Product",$D$3)),NA())</f>
        <v>6400</v>
      </c>
      <c r="M43" s="18">
        <f>IFERROR(IF(GETPIVOTDATA("Avg. Price",Pivots!$A$4,"Date ",E43,"Company",$M$34,"Market",$D$4,"Product",$D$3)=0,NA(),GETPIVOTDATA("Avg. Price",Pivots!$A$4,"Date ",E43,"Company",$M$34,"Market",$D$4,"Product",$D$3)),NA())</f>
        <v>6650</v>
      </c>
      <c r="N43" s="18">
        <f>IFERROR(IF(GETPIVOTDATA("Avg. Price",Pivots!$A$4,"Date ",E43,"Company",$N$34,"Market",$D$4,"Product",$D$3)=0,NA(),GETPIVOTDATA("Avg. Price",Pivots!$A$4,"Date ",E43,"Company",$N$34,"Market",$D$4,"Product",$D$3)),NA())</f>
        <v>6650</v>
      </c>
      <c r="O43" s="18">
        <f>IFERROR(IF(GETPIVOTDATA("Avg. Price",Pivots!$A$4,"Date ",E43,"Company",$O$34,"Market",$D$4,"Product",$D$3)=0,NA(),GETPIVOTDATA("Avg. Price",Pivots!$A$4,"Date ",E43,"Company",$O$34,"Market",$D$4,"Product",$D$3)),NA())</f>
        <v>6650</v>
      </c>
    </row>
    <row r="44" spans="5:15" x14ac:dyDescent="0.45">
      <c r="E44" s="10">
        <v>45301</v>
      </c>
      <c r="F44" s="18">
        <f>IFERROR(IF(GETPIVOTDATA("Avg. Price",Pivots!$A$4,"Date ",E44,"Company",$F$34,"Market",$D$4,"Product",$D$3)=0,NA(),GETPIVOTDATA("Avg. Price",Pivots!$A$4,"Date ",E44,"Company",$F$34,"Market",$D$4,"Product",$D$3)),NA())</f>
        <v>6650</v>
      </c>
      <c r="G44" s="18">
        <f>IFERROR(IF(GETPIVOTDATA("Avg. Price",Pivots!$A$4,"Date ",E44,"Company",$G$34,"Market",$D$4,"Product",$D$3)=0,NA(),GETPIVOTDATA("Avg. Price",Pivots!$A$4,"Date ",E44,"Company",$G$34,"Market",$D$4,"Product",$D$3)),NA())</f>
        <v>5450</v>
      </c>
      <c r="H44" s="18">
        <f>IFERROR(IF(GETPIVOTDATA("Avg. Price",Pivots!$A$4,"Date ",E44,"Company",$H$34,"Market",$D$4,"Product",$D$3)=0,NA(),GETPIVOTDATA("Avg. Price",Pivots!$A$4,"Date ",E44,"Company",$H$34,"Market",$D$4,"Product",$D$3)),NA())</f>
        <v>6675</v>
      </c>
      <c r="I44" s="18">
        <f>IFERROR(IF(GETPIVOTDATA("Avg. Price",Pivots!$A$4,"Date ",E44,"Company",$I$34,"Market",$D$4,"Product",$D$3)=0,NA(),GETPIVOTDATA("Avg. Price",Pivots!$A$4,"Date ",E44,"Company",$I$34,"Market",$D$4,"Product",$D$3)),NA())</f>
        <v>6600</v>
      </c>
      <c r="J44" s="18" t="e">
        <f>IFERROR(IF(GETPIVOTDATA("Avg. Price",Pivots!$A$4,"Date ",E44,"Company",$J$34,"Market",$D$4,"Product",$D$3)=0,NA(),GETPIVOTDATA("Avg. Price",Pivots!$A$4,"Date ",E44,"Company",$J$34,"Market",$D$4,"Product",$D$3)),NA())</f>
        <v>#N/A</v>
      </c>
      <c r="K44" s="18">
        <f>IFERROR(IF(GETPIVOTDATA("Avg. Price",Pivots!$A$4,"Date ",E44,"Company",$K$34,"Market",$D$4,"Product",$D$3)=0,NA(),GETPIVOTDATA("Avg. Price",Pivots!$A$4,"Date ",E44,"Company",$K$34,"Market",$D$4,"Product",$D$3)),NA())</f>
        <v>6766.666666666667</v>
      </c>
      <c r="L44" s="18">
        <f>IFERROR(IF(GETPIVOTDATA("Avg. Price",Pivots!$A$4,"Date ",E44,"Company",$L$34,"Market",$D$4,"Product",$D$3)=0,NA(),GETPIVOTDATA("Avg. Price",Pivots!$A$4,"Date ",E44,"Company",$L$34,"Market",$D$4,"Product",$D$3)),NA())</f>
        <v>6400</v>
      </c>
      <c r="M44" s="18">
        <f>IFERROR(IF(GETPIVOTDATA("Avg. Price",Pivots!$A$4,"Date ",E44,"Company",$M$34,"Market",$D$4,"Product",$D$3)=0,NA(),GETPIVOTDATA("Avg. Price",Pivots!$A$4,"Date ",E44,"Company",$M$34,"Market",$D$4,"Product",$D$3)),NA())</f>
        <v>6650</v>
      </c>
      <c r="N44" s="18">
        <f>IFERROR(IF(GETPIVOTDATA("Avg. Price",Pivots!$A$4,"Date ",E44,"Company",$N$34,"Market",$D$4,"Product",$D$3)=0,NA(),GETPIVOTDATA("Avg. Price",Pivots!$A$4,"Date ",E44,"Company",$N$34,"Market",$D$4,"Product",$D$3)),NA())</f>
        <v>6500</v>
      </c>
      <c r="O44" s="18">
        <f>IFERROR(IF(GETPIVOTDATA("Avg. Price",Pivots!$A$4,"Date ",E44,"Company",$O$34,"Market",$D$4,"Product",$D$3)=0,NA(),GETPIVOTDATA("Avg. Price",Pivots!$A$4,"Date ",E44,"Company",$O$34,"Market",$D$4,"Product",$D$3)),NA())</f>
        <v>6630</v>
      </c>
    </row>
    <row r="45" spans="5:15" x14ac:dyDescent="0.45">
      <c r="E45" s="10">
        <v>45302</v>
      </c>
      <c r="F45" s="18">
        <f>IFERROR(IF(GETPIVOTDATA("Avg. Price",Pivots!$A$4,"Date ",E45,"Company",$F$34,"Market",$D$4,"Product",$D$3)=0,NA(),GETPIVOTDATA("Avg. Price",Pivots!$A$4,"Date ",E45,"Company",$F$34,"Market",$D$4,"Product",$D$3)),NA())</f>
        <v>6683.333333333333</v>
      </c>
      <c r="G45" s="18">
        <f>IFERROR(IF(GETPIVOTDATA("Avg. Price",Pivots!$A$4,"Date ",E45,"Company",$G$34,"Market",$D$4,"Product",$D$3)=0,NA(),GETPIVOTDATA("Avg. Price",Pivots!$A$4,"Date ",E45,"Company",$G$34,"Market",$D$4,"Product",$D$3)),NA())</f>
        <v>5450</v>
      </c>
      <c r="H45" s="18">
        <f>IFERROR(IF(GETPIVOTDATA("Avg. Price",Pivots!$A$4,"Date ",E45,"Company",$H$34,"Market",$D$4,"Product",$D$3)=0,NA(),GETPIVOTDATA("Avg. Price",Pivots!$A$4,"Date ",E45,"Company",$H$34,"Market",$D$4,"Product",$D$3)),NA())</f>
        <v>6700</v>
      </c>
      <c r="I45" s="18">
        <f>IFERROR(IF(GETPIVOTDATA("Avg. Price",Pivots!$A$4,"Date ",E45,"Company",$I$34,"Market",$D$4,"Product",$D$3)=0,NA(),GETPIVOTDATA("Avg. Price",Pivots!$A$4,"Date ",E45,"Company",$I$34,"Market",$D$4,"Product",$D$3)),NA())</f>
        <v>6600</v>
      </c>
      <c r="J45" s="18" t="e">
        <f>IFERROR(IF(GETPIVOTDATA("Avg. Price",Pivots!$A$4,"Date ",E45,"Company",$J$34,"Market",$D$4,"Product",$D$3)=0,NA(),GETPIVOTDATA("Avg. Price",Pivots!$A$4,"Date ",E45,"Company",$J$34,"Market",$D$4,"Product",$D$3)),NA())</f>
        <v>#N/A</v>
      </c>
      <c r="K45" s="18">
        <f>IFERROR(IF(GETPIVOTDATA("Avg. Price",Pivots!$A$4,"Date ",E45,"Company",$K$34,"Market",$D$4,"Product",$D$3)=0,NA(),GETPIVOTDATA("Avg. Price",Pivots!$A$4,"Date ",E45,"Company",$K$34,"Market",$D$4,"Product",$D$3)),NA())</f>
        <v>6833.333333333333</v>
      </c>
      <c r="L45" s="18">
        <f>IFERROR(IF(GETPIVOTDATA("Avg. Price",Pivots!$A$4,"Date ",E45,"Company",$L$34,"Market",$D$4,"Product",$D$3)=0,NA(),GETPIVOTDATA("Avg. Price",Pivots!$A$4,"Date ",E45,"Company",$L$34,"Market",$D$4,"Product",$D$3)),NA())</f>
        <v>6333.333333333333</v>
      </c>
      <c r="M45" s="18">
        <f>IFERROR(IF(GETPIVOTDATA("Avg. Price",Pivots!$A$4,"Date ",E45,"Company",$M$34,"Market",$D$4,"Product",$D$3)=0,NA(),GETPIVOTDATA("Avg. Price",Pivots!$A$4,"Date ",E45,"Company",$M$34,"Market",$D$4,"Product",$D$3)),NA())</f>
        <v>6650</v>
      </c>
      <c r="N45" s="18">
        <f>IFERROR(IF(GETPIVOTDATA("Avg. Price",Pivots!$A$4,"Date ",E45,"Company",$N$34,"Market",$D$4,"Product",$D$3)=0,NA(),GETPIVOTDATA("Avg. Price",Pivots!$A$4,"Date ",E45,"Company",$N$34,"Market",$D$4,"Product",$D$3)),NA())</f>
        <v>6000</v>
      </c>
      <c r="O45" s="18">
        <f>IFERROR(IF(GETPIVOTDATA("Avg. Price",Pivots!$A$4,"Date ",E45,"Company",$O$34,"Market",$D$4,"Product",$D$3)=0,NA(),GETPIVOTDATA("Avg. Price",Pivots!$A$4,"Date ",E45,"Company",$O$34,"Market",$D$4,"Product",$D$3)),NA())</f>
        <v>6650</v>
      </c>
    </row>
    <row r="46" spans="5:15" x14ac:dyDescent="0.45">
      <c r="E46" s="10">
        <v>45303</v>
      </c>
      <c r="F46" s="18">
        <f>IFERROR(IF(GETPIVOTDATA("Avg. Price",Pivots!$A$4,"Date ",E46,"Company",$F$34,"Market",$D$4,"Product",$D$3)=0,NA(),GETPIVOTDATA("Avg. Price",Pivots!$A$4,"Date ",E46,"Company",$F$34,"Market",$D$4,"Product",$D$3)),NA())</f>
        <v>6700</v>
      </c>
      <c r="G46" s="18">
        <f>IFERROR(IF(GETPIVOTDATA("Avg. Price",Pivots!$A$4,"Date ",E46,"Company",$G$34,"Market",$D$4,"Product",$D$3)=0,NA(),GETPIVOTDATA("Avg. Price",Pivots!$A$4,"Date ",E46,"Company",$G$34,"Market",$D$4,"Product",$D$3)),NA())</f>
        <v>5450</v>
      </c>
      <c r="H46" s="18">
        <f>IFERROR(IF(GETPIVOTDATA("Avg. Price",Pivots!$A$4,"Date ",E46,"Company",$H$34,"Market",$D$4,"Product",$D$3)=0,NA(),GETPIVOTDATA("Avg. Price",Pivots!$A$4,"Date ",E46,"Company",$H$34,"Market",$D$4,"Product",$D$3)),NA())</f>
        <v>6700</v>
      </c>
      <c r="I46" s="18">
        <f>IFERROR(IF(GETPIVOTDATA("Avg. Price",Pivots!$A$4,"Date ",E46,"Company",$I$34,"Market",$D$4,"Product",$D$3)=0,NA(),GETPIVOTDATA("Avg. Price",Pivots!$A$4,"Date ",E46,"Company",$I$34,"Market",$D$4,"Product",$D$3)),NA())</f>
        <v>6600</v>
      </c>
      <c r="J46" s="18" t="e">
        <f>IFERROR(IF(GETPIVOTDATA("Avg. Price",Pivots!$A$4,"Date ",E46,"Company",$J$34,"Market",$D$4,"Product",$D$3)=0,NA(),GETPIVOTDATA("Avg. Price",Pivots!$A$4,"Date ",E46,"Company",$J$34,"Market",$D$4,"Product",$D$3)),NA())</f>
        <v>#N/A</v>
      </c>
      <c r="K46" s="18">
        <f>IFERROR(IF(GETPIVOTDATA("Avg. Price",Pivots!$A$4,"Date ",E46,"Company",$K$34,"Market",$D$4,"Product",$D$3)=0,NA(),GETPIVOTDATA("Avg. Price",Pivots!$A$4,"Date ",E46,"Company",$K$34,"Market",$D$4,"Product",$D$3)),NA())</f>
        <v>6780</v>
      </c>
      <c r="L46" s="18">
        <f>IFERROR(IF(GETPIVOTDATA("Avg. Price",Pivots!$A$4,"Date ",E46,"Company",$L$34,"Market",$D$4,"Product",$D$3)=0,NA(),GETPIVOTDATA("Avg. Price",Pivots!$A$4,"Date ",E46,"Company",$L$34,"Market",$D$4,"Product",$D$3)),NA())</f>
        <v>6300</v>
      </c>
      <c r="M46" s="18">
        <f>IFERROR(IF(GETPIVOTDATA("Avg. Price",Pivots!$A$4,"Date ",E46,"Company",$M$34,"Market",$D$4,"Product",$D$3)=0,NA(),GETPIVOTDATA("Avg. Price",Pivots!$A$4,"Date ",E46,"Company",$M$34,"Market",$D$4,"Product",$D$3)),NA())</f>
        <v>6650</v>
      </c>
      <c r="N46" s="18">
        <f>IFERROR(IF(GETPIVOTDATA("Avg. Price",Pivots!$A$4,"Date ",E46,"Company",$N$34,"Market",$D$4,"Product",$D$3)=0,NA(),GETPIVOTDATA("Avg. Price",Pivots!$A$4,"Date ",E46,"Company",$N$34,"Market",$D$4,"Product",$D$3)),NA())</f>
        <v>6000</v>
      </c>
      <c r="O46" s="18">
        <f>IFERROR(IF(GETPIVOTDATA("Avg. Price",Pivots!$A$4,"Date ",E46,"Company",$O$34,"Market",$D$4,"Product",$D$3)=0,NA(),GETPIVOTDATA("Avg. Price",Pivots!$A$4,"Date ",E46,"Company",$O$34,"Market",$D$4,"Product",$D$3)),NA())</f>
        <v>6650</v>
      </c>
    </row>
    <row r="47" spans="5:15" x14ac:dyDescent="0.45">
      <c r="E47" s="10">
        <v>45304</v>
      </c>
      <c r="F47" s="18">
        <f>IFERROR(IF(GETPIVOTDATA("Avg. Price",Pivots!$A$4,"Date ",E47,"Company",$F$34,"Market",$D$4,"Product",$D$3)=0,NA(),GETPIVOTDATA("Avg. Price",Pivots!$A$4,"Date ",E47,"Company",$F$34,"Market",$D$4,"Product",$D$3)),NA())</f>
        <v>6850</v>
      </c>
      <c r="G47" s="18">
        <f>IFERROR(IF(GETPIVOTDATA("Avg. Price",Pivots!$A$4,"Date ",E47,"Company",$G$34,"Market",$D$4,"Product",$D$3)=0,NA(),GETPIVOTDATA("Avg. Price",Pivots!$A$4,"Date ",E47,"Company",$G$34,"Market",$D$4,"Product",$D$3)),NA())</f>
        <v>5800</v>
      </c>
      <c r="H47" s="18">
        <f>IFERROR(IF(GETPIVOTDATA("Avg. Price",Pivots!$A$4,"Date ",E47,"Company",$H$34,"Market",$D$4,"Product",$D$3)=0,NA(),GETPIVOTDATA("Avg. Price",Pivots!$A$4,"Date ",E47,"Company",$H$34,"Market",$D$4,"Product",$D$3)),NA())</f>
        <v>6650</v>
      </c>
      <c r="I47" s="18" t="e">
        <f>IFERROR(IF(GETPIVOTDATA("Avg. Price",Pivots!$A$4,"Date ",E47,"Company",$I$34,"Market",$D$4,"Product",$D$3)=0,NA(),GETPIVOTDATA("Avg. Price",Pivots!$A$4,"Date ",E47,"Company",$I$34,"Market",$D$4,"Product",$D$3)),NA())</f>
        <v>#N/A</v>
      </c>
      <c r="J47" s="18" t="e">
        <f>IFERROR(IF(GETPIVOTDATA("Avg. Price",Pivots!$A$4,"Date ",E47,"Company",$J$34,"Market",$D$4,"Product",$D$3)=0,NA(),GETPIVOTDATA("Avg. Price",Pivots!$A$4,"Date ",E47,"Company",$J$34,"Market",$D$4,"Product",$D$3)),NA())</f>
        <v>#N/A</v>
      </c>
      <c r="K47" s="18">
        <f>IFERROR(IF(GETPIVOTDATA("Avg. Price",Pivots!$A$4,"Date ",E47,"Company",$K$34,"Market",$D$4,"Product",$D$3)=0,NA(),GETPIVOTDATA("Avg. Price",Pivots!$A$4,"Date ",E47,"Company",$K$34,"Market",$D$4,"Product",$D$3)),NA())</f>
        <v>6900</v>
      </c>
      <c r="L47" s="18">
        <f>IFERROR(IF(GETPIVOTDATA("Avg. Price",Pivots!$A$4,"Date ",E47,"Company",$L$34,"Market",$D$4,"Product",$D$3)=0,NA(),GETPIVOTDATA("Avg. Price",Pivots!$A$4,"Date ",E47,"Company",$L$34,"Market",$D$4,"Product",$D$3)),NA())</f>
        <v>6300</v>
      </c>
      <c r="M47" s="18">
        <f>IFERROR(IF(GETPIVOTDATA("Avg. Price",Pivots!$A$4,"Date ",E47,"Company",$M$34,"Market",$D$4,"Product",$D$3)=0,NA(),GETPIVOTDATA("Avg. Price",Pivots!$A$4,"Date ",E47,"Company",$M$34,"Market",$D$4,"Product",$D$3)),NA())</f>
        <v>6650</v>
      </c>
      <c r="N47" s="18">
        <f>IFERROR(IF(GETPIVOTDATA("Avg. Price",Pivots!$A$4,"Date ",E47,"Company",$N$34,"Market",$D$4,"Product",$D$3)=0,NA(),GETPIVOTDATA("Avg. Price",Pivots!$A$4,"Date ",E47,"Company",$N$34,"Market",$D$4,"Product",$D$3)),NA())</f>
        <v>6000</v>
      </c>
      <c r="O47" s="18">
        <f>IFERROR(IF(GETPIVOTDATA("Avg. Price",Pivots!$A$4,"Date ",E47,"Company",$O$34,"Market",$D$4,"Product",$D$3)=0,NA(),GETPIVOTDATA("Avg. Price",Pivots!$A$4,"Date ",E47,"Company",$O$34,"Market",$D$4,"Product",$D$3)),NA())</f>
        <v>6650</v>
      </c>
    </row>
    <row r="48" spans="5:15" x14ac:dyDescent="0.45">
      <c r="E48" s="10">
        <v>45305</v>
      </c>
      <c r="F48" s="18">
        <f>IFERROR(IF(GETPIVOTDATA("Avg. Price",Pivots!$A$4,"Date ",E48,"Company",$F$34,"Market",$D$4,"Product",$D$3)=0,NA(),GETPIVOTDATA("Avg. Price",Pivots!$A$4,"Date ",E48,"Company",$F$34,"Market",$D$4,"Product",$D$3)),NA())</f>
        <v>6850</v>
      </c>
      <c r="G48" s="18">
        <f>IFERROR(IF(GETPIVOTDATA("Avg. Price",Pivots!$A$4,"Date ",E48,"Company",$G$34,"Market",$D$4,"Product",$D$3)=0,NA(),GETPIVOTDATA("Avg. Price",Pivots!$A$4,"Date ",E48,"Company",$G$34,"Market",$D$4,"Product",$D$3)),NA())</f>
        <v>5800</v>
      </c>
      <c r="H48" s="18">
        <f>IFERROR(IF(GETPIVOTDATA("Avg. Price",Pivots!$A$4,"Date ",E48,"Company",$H$34,"Market",$D$4,"Product",$D$3)=0,NA(),GETPIVOTDATA("Avg. Price",Pivots!$A$4,"Date ",E48,"Company",$H$34,"Market",$D$4,"Product",$D$3)),NA())</f>
        <v>6575</v>
      </c>
      <c r="I48" s="18" t="e">
        <f>IFERROR(IF(GETPIVOTDATA("Avg. Price",Pivots!$A$4,"Date ",E48,"Company",$I$34,"Market",$D$4,"Product",$D$3)=0,NA(),GETPIVOTDATA("Avg. Price",Pivots!$A$4,"Date ",E48,"Company",$I$34,"Market",$D$4,"Product",$D$3)),NA())</f>
        <v>#N/A</v>
      </c>
      <c r="J48" s="18" t="e">
        <f>IFERROR(IF(GETPIVOTDATA("Avg. Price",Pivots!$A$4,"Date ",E48,"Company",$J$34,"Market",$D$4,"Product",$D$3)=0,NA(),GETPIVOTDATA("Avg. Price",Pivots!$A$4,"Date ",E48,"Company",$J$34,"Market",$D$4,"Product",$D$3)),NA())</f>
        <v>#N/A</v>
      </c>
      <c r="K48" s="18">
        <f>IFERROR(IF(GETPIVOTDATA("Avg. Price",Pivots!$A$4,"Date ",E48,"Company",$K$34,"Market",$D$4,"Product",$D$3)=0,NA(),GETPIVOTDATA("Avg. Price",Pivots!$A$4,"Date ",E48,"Company",$K$34,"Market",$D$4,"Product",$D$3)),NA())</f>
        <v>6900</v>
      </c>
      <c r="L48" s="18">
        <f>IFERROR(IF(GETPIVOTDATA("Avg. Price",Pivots!$A$4,"Date ",E48,"Company",$L$34,"Market",$D$4,"Product",$D$3)=0,NA(),GETPIVOTDATA("Avg. Price",Pivots!$A$4,"Date ",E48,"Company",$L$34,"Market",$D$4,"Product",$D$3)),NA())</f>
        <v>6300</v>
      </c>
      <c r="M48" s="18">
        <f>IFERROR(IF(GETPIVOTDATA("Avg. Price",Pivots!$A$4,"Date ",E48,"Company",$M$34,"Market",$D$4,"Product",$D$3)=0,NA(),GETPIVOTDATA("Avg. Price",Pivots!$A$4,"Date ",E48,"Company",$M$34,"Market",$D$4,"Product",$D$3)),NA())</f>
        <v>6650</v>
      </c>
      <c r="N48" s="18">
        <f>IFERROR(IF(GETPIVOTDATA("Avg. Price",Pivots!$A$4,"Date ",E48,"Company",$N$34,"Market",$D$4,"Product",$D$3)=0,NA(),GETPIVOTDATA("Avg. Price",Pivots!$A$4,"Date ",E48,"Company",$N$34,"Market",$D$4,"Product",$D$3)),NA())</f>
        <v>6000</v>
      </c>
      <c r="O48" s="18">
        <f>IFERROR(IF(GETPIVOTDATA("Avg. Price",Pivots!$A$4,"Date ",E48,"Company",$O$34,"Market",$D$4,"Product",$D$3)=0,NA(),GETPIVOTDATA("Avg. Price",Pivots!$A$4,"Date ",E48,"Company",$O$34,"Market",$D$4,"Product",$D$3)),NA())</f>
        <v>6650</v>
      </c>
    </row>
    <row r="49" spans="5:15" x14ac:dyDescent="0.45">
      <c r="E49" s="10">
        <v>45306</v>
      </c>
      <c r="F49" s="18">
        <f>IFERROR(IF(GETPIVOTDATA("Avg. Price",Pivots!$A$4,"Date ",E49,"Company",$F$34,"Market",$D$4,"Product",$D$3)=0,NA(),GETPIVOTDATA("Avg. Price",Pivots!$A$4,"Date ",E49,"Company",$F$34,"Market",$D$4,"Product",$D$3)),NA())</f>
        <v>6850</v>
      </c>
      <c r="G49" s="18" t="e">
        <f>IFERROR(IF(GETPIVOTDATA("Avg. Price",Pivots!$A$4,"Date ",E49,"Company",$G$34,"Market",$D$4,"Product",$D$3)=0,NA(),GETPIVOTDATA("Avg. Price",Pivots!$A$4,"Date ",E49,"Company",$G$34,"Market",$D$4,"Product",$D$3)),NA())</f>
        <v>#N/A</v>
      </c>
      <c r="H49" s="18">
        <f>IFERROR(IF(GETPIVOTDATA("Avg. Price",Pivots!$A$4,"Date ",E49,"Company",$H$34,"Market",$D$4,"Product",$D$3)=0,NA(),GETPIVOTDATA("Avg. Price",Pivots!$A$4,"Date ",E49,"Company",$H$34,"Market",$D$4,"Product",$D$3)),NA())</f>
        <v>6699</v>
      </c>
      <c r="I49" s="18" t="e">
        <f>IFERROR(IF(GETPIVOTDATA("Avg. Price",Pivots!$A$4,"Date ",E49,"Company",$I$34,"Market",$D$4,"Product",$D$3)=0,NA(),GETPIVOTDATA("Avg. Price",Pivots!$A$4,"Date ",E49,"Company",$I$34,"Market",$D$4,"Product",$D$3)),NA())</f>
        <v>#N/A</v>
      </c>
      <c r="J49" s="18" t="e">
        <f>IFERROR(IF(GETPIVOTDATA("Avg. Price",Pivots!$A$4,"Date ",E49,"Company",$J$34,"Market",$D$4,"Product",$D$3)=0,NA(),GETPIVOTDATA("Avg. Price",Pivots!$A$4,"Date ",E49,"Company",$J$34,"Market",$D$4,"Product",$D$3)),NA())</f>
        <v>#N/A</v>
      </c>
      <c r="K49" s="18">
        <f>IFERROR(IF(GETPIVOTDATA("Avg. Price",Pivots!$A$4,"Date ",E49,"Company",$K$34,"Market",$D$4,"Product",$D$3)=0,NA(),GETPIVOTDATA("Avg. Price",Pivots!$A$4,"Date ",E49,"Company",$K$34,"Market",$D$4,"Product",$D$3)),NA())</f>
        <v>6766.666666666667</v>
      </c>
      <c r="L49" s="18">
        <f>IFERROR(IF(GETPIVOTDATA("Avg. Price",Pivots!$A$4,"Date ",E49,"Company",$L$34,"Market",$D$4,"Product",$D$3)=0,NA(),GETPIVOTDATA("Avg. Price",Pivots!$A$4,"Date ",E49,"Company",$L$34,"Market",$D$4,"Product",$D$3)),NA())</f>
        <v>6300</v>
      </c>
      <c r="M49" s="18">
        <f>IFERROR(IF(GETPIVOTDATA("Avg. Price",Pivots!$A$4,"Date ",E49,"Company",$M$34,"Market",$D$4,"Product",$D$3)=0,NA(),GETPIVOTDATA("Avg. Price",Pivots!$A$4,"Date ",E49,"Company",$M$34,"Market",$D$4,"Product",$D$3)),NA())</f>
        <v>6650</v>
      </c>
      <c r="N49" s="18">
        <f>IFERROR(IF(GETPIVOTDATA("Avg. Price",Pivots!$A$4,"Date ",E49,"Company",$N$34,"Market",$D$4,"Product",$D$3)=0,NA(),GETPIVOTDATA("Avg. Price",Pivots!$A$4,"Date ",E49,"Company",$N$34,"Market",$D$4,"Product",$D$3)),NA())</f>
        <v>6350</v>
      </c>
      <c r="O49" s="18">
        <f>IFERROR(IF(GETPIVOTDATA("Avg. Price",Pivots!$A$4,"Date ",E49,"Company",$O$34,"Market",$D$4,"Product",$D$3)=0,NA(),GETPIVOTDATA("Avg. Price",Pivots!$A$4,"Date ",E49,"Company",$O$34,"Market",$D$4,"Product",$D$3)),NA())</f>
        <v>6650</v>
      </c>
    </row>
    <row r="50" spans="5:15" x14ac:dyDescent="0.45">
      <c r="E50" s="10">
        <v>45307</v>
      </c>
      <c r="F50" s="18">
        <f>IFERROR(IF(GETPIVOTDATA("Avg. Price",Pivots!$A$4,"Date ",E50,"Company",$F$34,"Market",$D$4,"Product",$D$3)=0,NA(),GETPIVOTDATA("Avg. Price",Pivots!$A$4,"Date ",E50,"Company",$F$34,"Market",$D$4,"Product",$D$3)),NA())</f>
        <v>6850</v>
      </c>
      <c r="G50" s="18" t="e">
        <f>IFERROR(IF(GETPIVOTDATA("Avg. Price",Pivots!$A$4,"Date ",E50,"Company",$G$34,"Market",$D$4,"Product",$D$3)=0,NA(),GETPIVOTDATA("Avg. Price",Pivots!$A$4,"Date ",E50,"Company",$G$34,"Market",$D$4,"Product",$D$3)),NA())</f>
        <v>#N/A</v>
      </c>
      <c r="H50" s="18" t="e">
        <f>IFERROR(IF(GETPIVOTDATA("Avg. Price",Pivots!$A$4,"Date ",E50,"Company",$H$34,"Market",$D$4,"Product",$D$3)=0,NA(),GETPIVOTDATA("Avg. Price",Pivots!$A$4,"Date ",E50,"Company",$H$34,"Market",$D$4,"Product",$D$3)),NA())</f>
        <v>#N/A</v>
      </c>
      <c r="I50" s="18" t="e">
        <f>IFERROR(IF(GETPIVOTDATA("Avg. Price",Pivots!$A$4,"Date ",E50,"Company",$I$34,"Market",$D$4,"Product",$D$3)=0,NA(),GETPIVOTDATA("Avg. Price",Pivots!$A$4,"Date ",E50,"Company",$I$34,"Market",$D$4,"Product",$D$3)),NA())</f>
        <v>#N/A</v>
      </c>
      <c r="J50" s="18" t="e">
        <f>IFERROR(IF(GETPIVOTDATA("Avg. Price",Pivots!$A$4,"Date ",E50,"Company",$J$34,"Market",$D$4,"Product",$D$3)=0,NA(),GETPIVOTDATA("Avg. Price",Pivots!$A$4,"Date ",E50,"Company",$J$34,"Market",$D$4,"Product",$D$3)),NA())</f>
        <v>#N/A</v>
      </c>
      <c r="K50" s="18" t="e">
        <f>IFERROR(IF(GETPIVOTDATA("Avg. Price",Pivots!$A$4,"Date ",E50,"Company",$K$34,"Market",$D$4,"Product",$D$3)=0,NA(),GETPIVOTDATA("Avg. Price",Pivots!$A$4,"Date ",E50,"Company",$K$34,"Market",$D$4,"Product",$D$3)),NA())</f>
        <v>#N/A</v>
      </c>
      <c r="L50" s="18">
        <f>IFERROR(IF(GETPIVOTDATA("Avg. Price",Pivots!$A$4,"Date ",E50,"Company",$L$34,"Market",$D$4,"Product",$D$3)=0,NA(),GETPIVOTDATA("Avg. Price",Pivots!$A$4,"Date ",E50,"Company",$L$34,"Market",$D$4,"Product",$D$3)),NA())</f>
        <v>6300</v>
      </c>
      <c r="M50" s="18">
        <f>IFERROR(IF(GETPIVOTDATA("Avg. Price",Pivots!$A$4,"Date ",E50,"Company",$M$34,"Market",$D$4,"Product",$D$3)=0,NA(),GETPIVOTDATA("Avg. Price",Pivots!$A$4,"Date ",E50,"Company",$M$34,"Market",$D$4,"Product",$D$3)),NA())</f>
        <v>6650</v>
      </c>
      <c r="N50" s="18">
        <f>IFERROR(IF(GETPIVOTDATA("Avg. Price",Pivots!$A$4,"Date ",E50,"Company",$N$34,"Market",$D$4,"Product",$D$3)=0,NA(),GETPIVOTDATA("Avg. Price",Pivots!$A$4,"Date ",E50,"Company",$N$34,"Market",$D$4,"Product",$D$3)),NA())</f>
        <v>6350</v>
      </c>
      <c r="O50" s="18">
        <f>IFERROR(IF(GETPIVOTDATA("Avg. Price",Pivots!$A$4,"Date ",E50,"Company",$O$34,"Market",$D$4,"Product",$D$3)=0,NA(),GETPIVOTDATA("Avg. Price",Pivots!$A$4,"Date ",E50,"Company",$O$34,"Market",$D$4,"Product",$D$3)),NA())</f>
        <v>6650</v>
      </c>
    </row>
    <row r="51" spans="5:15" x14ac:dyDescent="0.45">
      <c r="E51" s="10">
        <v>45308</v>
      </c>
      <c r="F51" s="18">
        <f>IFERROR(IF(GETPIVOTDATA("Avg. Price",Pivots!$A$4,"Date ",E51,"Company",$F$34,"Market",$D$4,"Product",$D$3)=0,NA(),GETPIVOTDATA("Avg. Price",Pivots!$A$4,"Date ",E51,"Company",$F$34,"Market",$D$4,"Product",$D$3)),NA())</f>
        <v>6890</v>
      </c>
      <c r="G51" s="18">
        <f>IFERROR(IF(GETPIVOTDATA("Avg. Price",Pivots!$A$4,"Date ",E51,"Company",$G$34,"Market",$D$4,"Product",$D$3)=0,NA(),GETPIVOTDATA("Avg. Price",Pivots!$A$4,"Date ",E51,"Company",$G$34,"Market",$D$4,"Product",$D$3)),NA())</f>
        <v>6379.5</v>
      </c>
      <c r="H51" s="18">
        <f>IFERROR(IF(GETPIVOTDATA("Avg. Price",Pivots!$A$4,"Date ",E51,"Company",$H$34,"Market",$D$4,"Product",$D$3)=0,NA(),GETPIVOTDATA("Avg. Price",Pivots!$A$4,"Date ",E51,"Company",$H$34,"Market",$D$4,"Product",$D$3)),NA())</f>
        <v>6699</v>
      </c>
      <c r="I51" s="18" t="e">
        <f>IFERROR(IF(GETPIVOTDATA("Avg. Price",Pivots!$A$4,"Date ",E51,"Company",$I$34,"Market",$D$4,"Product",$D$3)=0,NA(),GETPIVOTDATA("Avg. Price",Pivots!$A$4,"Date ",E51,"Company",$I$34,"Market",$D$4,"Product",$D$3)),NA())</f>
        <v>#N/A</v>
      </c>
      <c r="J51" s="18" t="e">
        <f>IFERROR(IF(GETPIVOTDATA("Avg. Price",Pivots!$A$4,"Date ",E51,"Company",$J$34,"Market",$D$4,"Product",$D$3)=0,NA(),GETPIVOTDATA("Avg. Price",Pivots!$A$4,"Date ",E51,"Company",$J$34,"Market",$D$4,"Product",$D$3)),NA())</f>
        <v>#N/A</v>
      </c>
      <c r="K51" s="18">
        <f>IFERROR(IF(GETPIVOTDATA("Avg. Price",Pivots!$A$4,"Date ",E51,"Company",$K$34,"Market",$D$4,"Product",$D$3)=0,NA(),GETPIVOTDATA("Avg. Price",Pivots!$A$4,"Date ",E51,"Company",$K$34,"Market",$D$4,"Product",$D$3)),NA())</f>
        <v>6700</v>
      </c>
      <c r="L51" s="18">
        <f>IFERROR(IF(GETPIVOTDATA("Avg. Price",Pivots!$A$4,"Date ",E51,"Company",$L$34,"Market",$D$4,"Product",$D$3)=0,NA(),GETPIVOTDATA("Avg. Price",Pivots!$A$4,"Date ",E51,"Company",$L$34,"Market",$D$4,"Product",$D$3)),NA())</f>
        <v>6300</v>
      </c>
      <c r="M51" s="18">
        <f>IFERROR(IF(GETPIVOTDATA("Avg. Price",Pivots!$A$4,"Date ",E51,"Company",$M$34,"Market",$D$4,"Product",$D$3)=0,NA(),GETPIVOTDATA("Avg. Price",Pivots!$A$4,"Date ",E51,"Company",$M$34,"Market",$D$4,"Product",$D$3)),NA())</f>
        <v>6650</v>
      </c>
      <c r="N51" s="18">
        <f>IFERROR(IF(GETPIVOTDATA("Avg. Price",Pivots!$A$4,"Date ",E51,"Company",$N$34,"Market",$D$4,"Product",$D$3)=0,NA(),GETPIVOTDATA("Avg. Price",Pivots!$A$4,"Date ",E51,"Company",$N$34,"Market",$D$4,"Product",$D$3)),NA())</f>
        <v>6350</v>
      </c>
      <c r="O51" s="18">
        <f>IFERROR(IF(GETPIVOTDATA("Avg. Price",Pivots!$A$4,"Date ",E51,"Company",$O$34,"Market",$D$4,"Product",$D$3)=0,NA(),GETPIVOTDATA("Avg. Price",Pivots!$A$4,"Date ",E51,"Company",$O$34,"Market",$D$4,"Product",$D$3)),NA())</f>
        <v>6650</v>
      </c>
    </row>
    <row r="52" spans="5:15" x14ac:dyDescent="0.45">
      <c r="E52" s="10">
        <v>45309</v>
      </c>
      <c r="F52" s="18">
        <f>IFERROR(IF(GETPIVOTDATA("Avg. Price",Pivots!$A$4,"Date ",E52,"Company",$F$34,"Market",$D$4,"Product",$D$3)=0,NA(),GETPIVOTDATA("Avg. Price",Pivots!$A$4,"Date ",E52,"Company",$F$34,"Market",$D$4,"Product",$D$3)),NA())</f>
        <v>7050</v>
      </c>
      <c r="G52" s="18" t="e">
        <f>IFERROR(IF(GETPIVOTDATA("Avg. Price",Pivots!$A$4,"Date ",E52,"Company",$G$34,"Market",$D$4,"Product",$D$3)=0,NA(),GETPIVOTDATA("Avg. Price",Pivots!$A$4,"Date ",E52,"Company",$G$34,"Market",$D$4,"Product",$D$3)),NA())</f>
        <v>#N/A</v>
      </c>
      <c r="H52" s="18" t="e">
        <f>IFERROR(IF(GETPIVOTDATA("Avg. Price",Pivots!$A$4,"Date ",E52,"Company",$H$34,"Market",$D$4,"Product",$D$3)=0,NA(),GETPIVOTDATA("Avg. Price",Pivots!$A$4,"Date ",E52,"Company",$H$34,"Market",$D$4,"Product",$D$3)),NA())</f>
        <v>#N/A</v>
      </c>
      <c r="I52" s="18" t="e">
        <f>IFERROR(IF(GETPIVOTDATA("Avg. Price",Pivots!$A$4,"Date ",E52,"Company",$I$34,"Market",$D$4,"Product",$D$3)=0,NA(),GETPIVOTDATA("Avg. Price",Pivots!$A$4,"Date ",E52,"Company",$I$34,"Market",$D$4,"Product",$D$3)),NA())</f>
        <v>#N/A</v>
      </c>
      <c r="J52" s="18" t="e">
        <f>IFERROR(IF(GETPIVOTDATA("Avg. Price",Pivots!$A$4,"Date ",E52,"Company",$J$34,"Market",$D$4,"Product",$D$3)=0,NA(),GETPIVOTDATA("Avg. Price",Pivots!$A$4,"Date ",E52,"Company",$J$34,"Market",$D$4,"Product",$D$3)),NA())</f>
        <v>#N/A</v>
      </c>
      <c r="K52" s="18">
        <f>IFERROR(IF(GETPIVOTDATA("Avg. Price",Pivots!$A$4,"Date ",E52,"Company",$K$34,"Market",$D$4,"Product",$D$3)=0,NA(),GETPIVOTDATA("Avg. Price",Pivots!$A$4,"Date ",E52,"Company",$K$34,"Market",$D$4,"Product",$D$3)),NA())</f>
        <v>6700</v>
      </c>
      <c r="L52" s="18">
        <f>IFERROR(IF(GETPIVOTDATA("Avg. Price",Pivots!$A$4,"Date ",E52,"Company",$L$34,"Market",$D$4,"Product",$D$3)=0,NA(),GETPIVOTDATA("Avg. Price",Pivots!$A$4,"Date ",E52,"Company",$L$34,"Market",$D$4,"Product",$D$3)),NA())</f>
        <v>6250</v>
      </c>
      <c r="M52" s="18" t="e">
        <f>IFERROR(IF(GETPIVOTDATA("Avg. Price",Pivots!$A$4,"Date ",E52,"Company",$M$34,"Market",$D$4,"Product",$D$3)=0,NA(),GETPIVOTDATA("Avg. Price",Pivots!$A$4,"Date ",E52,"Company",$M$34,"Market",$D$4,"Product",$D$3)),NA())</f>
        <v>#N/A</v>
      </c>
      <c r="N52" s="18">
        <f>IFERROR(IF(GETPIVOTDATA("Avg. Price",Pivots!$A$4,"Date ",E52,"Company",$N$34,"Market",$D$4,"Product",$D$3)=0,NA(),GETPIVOTDATA("Avg. Price",Pivots!$A$4,"Date ",E52,"Company",$N$34,"Market",$D$4,"Product",$D$3)),NA())</f>
        <v>6300</v>
      </c>
      <c r="O52" s="18">
        <f>IFERROR(IF(GETPIVOTDATA("Avg. Price",Pivots!$A$4,"Date ",E52,"Company",$O$34,"Market",$D$4,"Product",$D$3)=0,NA(),GETPIVOTDATA("Avg. Price",Pivots!$A$4,"Date ",E52,"Company",$O$34,"Market",$D$4,"Product",$D$3)),NA())</f>
        <v>6650</v>
      </c>
    </row>
    <row r="53" spans="5:15" x14ac:dyDescent="0.45">
      <c r="E53" s="10">
        <v>45310</v>
      </c>
      <c r="F53" s="18">
        <f>IFERROR(IF(GETPIVOTDATA("Avg. Price",Pivots!$A$4,"Date ",E53,"Company",$F$34,"Market",$D$4,"Product",$D$3)=0,NA(),GETPIVOTDATA("Avg. Price",Pivots!$A$4,"Date ",E53,"Company",$F$34,"Market",$D$4,"Product",$D$3)),NA())</f>
        <v>7050</v>
      </c>
      <c r="G53" s="18" t="e">
        <f>IFERROR(IF(GETPIVOTDATA("Avg. Price",Pivots!$A$4,"Date ",E53,"Company",$G$34,"Market",$D$4,"Product",$D$3)=0,NA(),GETPIVOTDATA("Avg. Price",Pivots!$A$4,"Date ",E53,"Company",$G$34,"Market",$D$4,"Product",$D$3)),NA())</f>
        <v>#N/A</v>
      </c>
      <c r="H53" s="18">
        <f>IFERROR(IF(GETPIVOTDATA("Avg. Price",Pivots!$A$4,"Date ",E53,"Company",$H$34,"Market",$D$4,"Product",$D$3)=0,NA(),GETPIVOTDATA("Avg. Price",Pivots!$A$4,"Date ",E53,"Company",$H$34,"Market",$D$4,"Product",$D$3)),NA())</f>
        <v>6599</v>
      </c>
      <c r="I53" s="18" t="e">
        <f>IFERROR(IF(GETPIVOTDATA("Avg. Price",Pivots!$A$4,"Date ",E53,"Company",$I$34,"Market",$D$4,"Product",$D$3)=0,NA(),GETPIVOTDATA("Avg. Price",Pivots!$A$4,"Date ",E53,"Company",$I$34,"Market",$D$4,"Product",$D$3)),NA())</f>
        <v>#N/A</v>
      </c>
      <c r="J53" s="18">
        <f>IFERROR(IF(GETPIVOTDATA("Avg. Price",Pivots!$A$4,"Date ",E53,"Company",$J$34,"Market",$D$4,"Product",$D$3)=0,NA(),GETPIVOTDATA("Avg. Price",Pivots!$A$4,"Date ",E53,"Company",$J$34,"Market",$D$4,"Product",$D$3)),NA())</f>
        <v>6400</v>
      </c>
      <c r="K53" s="18">
        <f>IFERROR(IF(GETPIVOTDATA("Avg. Price",Pivots!$A$4,"Date ",E53,"Company",$K$34,"Market",$D$4,"Product",$D$3)=0,NA(),GETPIVOTDATA("Avg. Price",Pivots!$A$4,"Date ",E53,"Company",$K$34,"Market",$D$4,"Product",$D$3)),NA())</f>
        <v>6700</v>
      </c>
      <c r="L53" s="18">
        <f>IFERROR(IF(GETPIVOTDATA("Avg. Price",Pivots!$A$4,"Date ",E53,"Company",$L$34,"Market",$D$4,"Product",$D$3)=0,NA(),GETPIVOTDATA("Avg. Price",Pivots!$A$4,"Date ",E53,"Company",$L$34,"Market",$D$4,"Product",$D$3)),NA())</f>
        <v>6300</v>
      </c>
      <c r="M53" s="18">
        <f>IFERROR(IF(GETPIVOTDATA("Avg. Price",Pivots!$A$4,"Date ",E53,"Company",$M$34,"Market",$D$4,"Product",$D$3)=0,NA(),GETPIVOTDATA("Avg. Price",Pivots!$A$4,"Date ",E53,"Company",$M$34,"Market",$D$4,"Product",$D$3)),NA())</f>
        <v>6650</v>
      </c>
      <c r="N53" s="18">
        <f>IFERROR(IF(GETPIVOTDATA("Avg. Price",Pivots!$A$4,"Date ",E53,"Company",$N$34,"Market",$D$4,"Product",$D$3)=0,NA(),GETPIVOTDATA("Avg. Price",Pivots!$A$4,"Date ",E53,"Company",$N$34,"Market",$D$4,"Product",$D$3)),NA())</f>
        <v>6370</v>
      </c>
      <c r="O53" s="18">
        <f>IFERROR(IF(GETPIVOTDATA("Avg. Price",Pivots!$A$4,"Date ",E53,"Company",$O$34,"Market",$D$4,"Product",$D$3)=0,NA(),GETPIVOTDATA("Avg. Price",Pivots!$A$4,"Date ",E53,"Company",$O$34,"Market",$D$4,"Product",$D$3)),NA())</f>
        <v>6050</v>
      </c>
    </row>
    <row r="54" spans="5:15" x14ac:dyDescent="0.45">
      <c r="E54" s="10">
        <v>45311</v>
      </c>
      <c r="F54" s="18" t="e">
        <f>IFERROR(IF(GETPIVOTDATA("Avg. Price",Pivots!$A$4,"Date ",E54,"Company",$F$34,"Market",$D$4,"Product",$D$3)=0,NA(),GETPIVOTDATA("Avg. Price",Pivots!$A$4,"Date ",E54,"Company",$F$34,"Market",$D$4,"Product",$D$3)),NA())</f>
        <v>#N/A</v>
      </c>
      <c r="G54" s="18">
        <f>IFERROR(IF(GETPIVOTDATA("Avg. Price",Pivots!$A$4,"Date ",E54,"Company",$G$34,"Market",$D$4,"Product",$D$3)=0,NA(),GETPIVOTDATA("Avg. Price",Pivots!$A$4,"Date ",E54,"Company",$G$34,"Market",$D$4,"Product",$D$3)),NA())</f>
        <v>6379.5</v>
      </c>
      <c r="H54" s="18">
        <f>IFERROR(IF(GETPIVOTDATA("Avg. Price",Pivots!$A$4,"Date ",E54,"Company",$H$34,"Market",$D$4,"Product",$D$3)=0,NA(),GETPIVOTDATA("Avg. Price",Pivots!$A$4,"Date ",E54,"Company",$H$34,"Market",$D$4,"Product",$D$3)),NA())</f>
        <v>6699</v>
      </c>
      <c r="I54" s="18" t="e">
        <f>IFERROR(IF(GETPIVOTDATA("Avg. Price",Pivots!$A$4,"Date ",E54,"Company",$I$34,"Market",$D$4,"Product",$D$3)=0,NA(),GETPIVOTDATA("Avg. Price",Pivots!$A$4,"Date ",E54,"Company",$I$34,"Market",$D$4,"Product",$D$3)),NA())</f>
        <v>#N/A</v>
      </c>
      <c r="J54" s="18">
        <f>IFERROR(IF(GETPIVOTDATA("Avg. Price",Pivots!$A$4,"Date ",E54,"Company",$J$34,"Market",$D$4,"Product",$D$3)=0,NA(),GETPIVOTDATA("Avg. Price",Pivots!$A$4,"Date ",E54,"Company",$J$34,"Market",$D$4,"Product",$D$3)),NA())</f>
        <v>6400</v>
      </c>
      <c r="K54" s="18">
        <f>IFERROR(IF(GETPIVOTDATA("Avg. Price",Pivots!$A$4,"Date ",E54,"Company",$K$34,"Market",$D$4,"Product",$D$3)=0,NA(),GETPIVOTDATA("Avg. Price",Pivots!$A$4,"Date ",E54,"Company",$K$34,"Market",$D$4,"Product",$D$3)),NA())</f>
        <v>6750</v>
      </c>
      <c r="L54" s="18">
        <f>IFERROR(IF(GETPIVOTDATA("Avg. Price",Pivots!$A$4,"Date ",E54,"Company",$L$34,"Market",$D$4,"Product",$D$3)=0,NA(),GETPIVOTDATA("Avg. Price",Pivots!$A$4,"Date ",E54,"Company",$L$34,"Market",$D$4,"Product",$D$3)),NA())</f>
        <v>6075</v>
      </c>
      <c r="M54" s="18">
        <f>IFERROR(IF(GETPIVOTDATA("Avg. Price",Pivots!$A$4,"Date ",E54,"Company",$M$34,"Market",$D$4,"Product",$D$3)=0,NA(),GETPIVOTDATA("Avg. Price",Pivots!$A$4,"Date ",E54,"Company",$M$34,"Market",$D$4,"Product",$D$3)),NA())</f>
        <v>6650</v>
      </c>
      <c r="N54" s="18">
        <f>IFERROR(IF(GETPIVOTDATA("Avg. Price",Pivots!$A$4,"Date ",E54,"Company",$N$34,"Market",$D$4,"Product",$D$3)=0,NA(),GETPIVOTDATA("Avg. Price",Pivots!$A$4,"Date ",E54,"Company",$N$34,"Market",$D$4,"Product",$D$3)),NA())</f>
        <v>6400</v>
      </c>
      <c r="O54" s="18">
        <f>IFERROR(IF(GETPIVOTDATA("Avg. Price",Pivots!$A$4,"Date ",E54,"Company",$O$34,"Market",$D$4,"Product",$D$3)=0,NA(),GETPIVOTDATA("Avg. Price",Pivots!$A$4,"Date ",E54,"Company",$O$34,"Market",$D$4,"Product",$D$3)),NA())</f>
        <v>6050</v>
      </c>
    </row>
    <row r="55" spans="5:15" x14ac:dyDescent="0.45">
      <c r="E55" s="10">
        <v>45312</v>
      </c>
      <c r="F55" s="18" t="e">
        <f>IFERROR(IF(GETPIVOTDATA("Avg. Price",Pivots!$A$4,"Date ",E55,"Company",$F$34,"Market",$D$4,"Product",$D$3)=0,NA(),GETPIVOTDATA("Avg. Price",Pivots!$A$4,"Date ",E55,"Company",$F$34,"Market",$D$4,"Product",$D$3)),NA())</f>
        <v>#N/A</v>
      </c>
      <c r="G55" s="18" t="e">
        <f>IFERROR(IF(GETPIVOTDATA("Avg. Price",Pivots!$A$4,"Date ",E55,"Company",$G$34,"Market",$D$4,"Product",$D$3)=0,NA(),GETPIVOTDATA("Avg. Price",Pivots!$A$4,"Date ",E55,"Company",$G$34,"Market",$D$4,"Product",$D$3)),NA())</f>
        <v>#N/A</v>
      </c>
      <c r="H55" s="18" t="e">
        <f>IFERROR(IF(GETPIVOTDATA("Avg. Price",Pivots!$A$4,"Date ",E55,"Company",$H$34,"Market",$D$4,"Product",$D$3)=0,NA(),GETPIVOTDATA("Avg. Price",Pivots!$A$4,"Date ",E55,"Company",$H$34,"Market",$D$4,"Product",$D$3)),NA())</f>
        <v>#N/A</v>
      </c>
      <c r="I55" s="18" t="e">
        <f>IFERROR(IF(GETPIVOTDATA("Avg. Price",Pivots!$A$4,"Date ",E55,"Company",$I$34,"Market",$D$4,"Product",$D$3)=0,NA(),GETPIVOTDATA("Avg. Price",Pivots!$A$4,"Date ",E55,"Company",$I$34,"Market",$D$4,"Product",$D$3)),NA())</f>
        <v>#N/A</v>
      </c>
      <c r="J55" s="18">
        <f>IFERROR(IF(GETPIVOTDATA("Avg. Price",Pivots!$A$4,"Date ",E55,"Company",$J$34,"Market",$D$4,"Product",$D$3)=0,NA(),GETPIVOTDATA("Avg. Price",Pivots!$A$4,"Date ",E55,"Company",$J$34,"Market",$D$4,"Product",$D$3)),NA())</f>
        <v>6400</v>
      </c>
      <c r="K55" s="18">
        <f>IFERROR(IF(GETPIVOTDATA("Avg. Price",Pivots!$A$4,"Date ",E55,"Company",$K$34,"Market",$D$4,"Product",$D$3)=0,NA(),GETPIVOTDATA("Avg. Price",Pivots!$A$4,"Date ",E55,"Company",$K$34,"Market",$D$4,"Product",$D$3)),NA())</f>
        <v>6750</v>
      </c>
      <c r="L55" s="18">
        <f>IFERROR(IF(GETPIVOTDATA("Avg. Price",Pivots!$A$4,"Date ",E55,"Company",$L$34,"Market",$D$4,"Product",$D$3)=0,NA(),GETPIVOTDATA("Avg. Price",Pivots!$A$4,"Date ",E55,"Company",$L$34,"Market",$D$4,"Product",$D$3)),NA())</f>
        <v>5950</v>
      </c>
      <c r="M55" s="18">
        <f>IFERROR(IF(GETPIVOTDATA("Avg. Price",Pivots!$A$4,"Date ",E55,"Company",$M$34,"Market",$D$4,"Product",$D$3)=0,NA(),GETPIVOTDATA("Avg. Price",Pivots!$A$4,"Date ",E55,"Company",$M$34,"Market",$D$4,"Product",$D$3)),NA())</f>
        <v>6650</v>
      </c>
      <c r="N55" s="18">
        <f>IFERROR(IF(GETPIVOTDATA("Avg. Price",Pivots!$A$4,"Date ",E55,"Company",$N$34,"Market",$D$4,"Product",$D$3)=0,NA(),GETPIVOTDATA("Avg. Price",Pivots!$A$4,"Date ",E55,"Company",$N$34,"Market",$D$4,"Product",$D$3)),NA())</f>
        <v>6350</v>
      </c>
      <c r="O55" s="18">
        <f>IFERROR(IF(GETPIVOTDATA("Avg. Price",Pivots!$A$4,"Date ",E55,"Company",$O$34,"Market",$D$4,"Product",$D$3)=0,NA(),GETPIVOTDATA("Avg. Price",Pivots!$A$4,"Date ",E55,"Company",$O$34,"Market",$D$4,"Product",$D$3)),NA())</f>
        <v>6000</v>
      </c>
    </row>
    <row r="56" spans="5:15" x14ac:dyDescent="0.45">
      <c r="E56" s="10">
        <v>45313</v>
      </c>
      <c r="F56" s="18" t="e">
        <f>IFERROR(IF(GETPIVOTDATA("Avg. Price",Pivots!$A$4,"Date ",E56,"Company",$F$34,"Market",$D$4,"Product",$D$3)=0,NA(),GETPIVOTDATA("Avg. Price",Pivots!$A$4,"Date ",E56,"Company",$F$34,"Market",$D$4,"Product",$D$3)),NA())</f>
        <v>#N/A</v>
      </c>
      <c r="G56" s="18">
        <f>IFERROR(IF(GETPIVOTDATA("Avg. Price",Pivots!$A$4,"Date ",E56,"Company",$G$34,"Market",$D$4,"Product",$D$3)=0,NA(),GETPIVOTDATA("Avg. Price",Pivots!$A$4,"Date ",E56,"Company",$G$34,"Market",$D$4,"Product",$D$3)),NA())</f>
        <v>6911</v>
      </c>
      <c r="H56" s="18">
        <f>IFERROR(IF(GETPIVOTDATA("Avg. Price",Pivots!$A$4,"Date ",E56,"Company",$H$34,"Market",$D$4,"Product",$D$3)=0,NA(),GETPIVOTDATA("Avg. Price",Pivots!$A$4,"Date ",E56,"Company",$H$34,"Market",$D$4,"Product",$D$3)),NA())</f>
        <v>6632.333333333333</v>
      </c>
      <c r="I56" s="18">
        <f>IFERROR(IF(GETPIVOTDATA("Avg. Price",Pivots!$A$4,"Date ",E56,"Company",$I$34,"Market",$D$4,"Product",$D$3)=0,NA(),GETPIVOTDATA("Avg. Price",Pivots!$A$4,"Date ",E56,"Company",$I$34,"Market",$D$4,"Product",$D$3)),NA())</f>
        <v>6300</v>
      </c>
      <c r="J56" s="18">
        <f>IFERROR(IF(GETPIVOTDATA("Avg. Price",Pivots!$A$4,"Date ",E56,"Company",$J$34,"Market",$D$4,"Product",$D$3)=0,NA(),GETPIVOTDATA("Avg. Price",Pivots!$A$4,"Date ",E56,"Company",$J$34,"Market",$D$4,"Product",$D$3)),NA())</f>
        <v>6400</v>
      </c>
      <c r="K56" s="18">
        <f>IFERROR(IF(GETPIVOTDATA("Avg. Price",Pivots!$A$4,"Date ",E56,"Company",$K$34,"Market",$D$4,"Product",$D$3)=0,NA(),GETPIVOTDATA("Avg. Price",Pivots!$A$4,"Date ",E56,"Company",$K$34,"Market",$D$4,"Product",$D$3)),NA())</f>
        <v>6750</v>
      </c>
      <c r="L56" s="18">
        <f>IFERROR(IF(GETPIVOTDATA("Avg. Price",Pivots!$A$4,"Date ",E56,"Company",$L$34,"Market",$D$4,"Product",$D$3)=0,NA(),GETPIVOTDATA("Avg. Price",Pivots!$A$4,"Date ",E56,"Company",$L$34,"Market",$D$4,"Product",$D$3)),NA())</f>
        <v>6000</v>
      </c>
      <c r="M56" s="18">
        <f>IFERROR(IF(GETPIVOTDATA("Avg. Price",Pivots!$A$4,"Date ",E56,"Company",$M$34,"Market",$D$4,"Product",$D$3)=0,NA(),GETPIVOTDATA("Avg. Price",Pivots!$A$4,"Date ",E56,"Company",$M$34,"Market",$D$4,"Product",$D$3)),NA())</f>
        <v>6650</v>
      </c>
      <c r="N56" s="18">
        <f>IFERROR(IF(GETPIVOTDATA("Avg. Price",Pivots!$A$4,"Date ",E56,"Company",$N$34,"Market",$D$4,"Product",$D$3)=0,NA(),GETPIVOTDATA("Avg. Price",Pivots!$A$4,"Date ",E56,"Company",$N$34,"Market",$D$4,"Product",$D$3)),NA())</f>
        <v>6400</v>
      </c>
      <c r="O56" s="18">
        <f>IFERROR(IF(GETPIVOTDATA("Avg. Price",Pivots!$A$4,"Date ",E56,"Company",$O$34,"Market",$D$4,"Product",$D$3)=0,NA(),GETPIVOTDATA("Avg. Price",Pivots!$A$4,"Date ",E56,"Company",$O$34,"Market",$D$4,"Product",$D$3)),NA())</f>
        <v>6050</v>
      </c>
    </row>
    <row r="57" spans="5:15" x14ac:dyDescent="0.45">
      <c r="E57" s="10">
        <v>45314</v>
      </c>
      <c r="F57" s="18" t="e">
        <f>IFERROR(IF(GETPIVOTDATA("Avg. Price",Pivots!$A$4,"Date ",E57,"Company",$F$34,"Market",$D$4,"Product",$D$3)=0,NA(),GETPIVOTDATA("Avg. Price",Pivots!$A$4,"Date ",E57,"Company",$F$34,"Market",$D$4,"Product",$D$3)),NA())</f>
        <v>#N/A</v>
      </c>
      <c r="G57" s="18">
        <f>IFERROR(IF(GETPIVOTDATA("Avg. Price",Pivots!$A$4,"Date ",E57,"Company",$G$34,"Market",$D$4,"Product",$D$3)=0,NA(),GETPIVOTDATA("Avg. Price",Pivots!$A$4,"Date ",E57,"Company",$G$34,"Market",$D$4,"Product",$D$3)),NA())</f>
        <v>6310</v>
      </c>
      <c r="H57" s="18" t="e">
        <f>IFERROR(IF(GETPIVOTDATA("Avg. Price",Pivots!$A$4,"Date ",E57,"Company",$H$34,"Market",$D$4,"Product",$D$3)=0,NA(),GETPIVOTDATA("Avg. Price",Pivots!$A$4,"Date ",E57,"Company",$H$34,"Market",$D$4,"Product",$D$3)),NA())</f>
        <v>#N/A</v>
      </c>
      <c r="I57" s="18">
        <f>IFERROR(IF(GETPIVOTDATA("Avg. Price",Pivots!$A$4,"Date ",E57,"Company",$I$34,"Market",$D$4,"Product",$D$3)=0,NA(),GETPIVOTDATA("Avg. Price",Pivots!$A$4,"Date ",E57,"Company",$I$34,"Market",$D$4,"Product",$D$3)),NA())</f>
        <v>6300</v>
      </c>
      <c r="J57" s="18">
        <f>IFERROR(IF(GETPIVOTDATA("Avg. Price",Pivots!$A$4,"Date ",E57,"Company",$J$34,"Market",$D$4,"Product",$D$3)=0,NA(),GETPIVOTDATA("Avg. Price",Pivots!$A$4,"Date ",E57,"Company",$J$34,"Market",$D$4,"Product",$D$3)),NA())</f>
        <v>6400</v>
      </c>
      <c r="K57" s="18">
        <f>IFERROR(IF(GETPIVOTDATA("Avg. Price",Pivots!$A$4,"Date ",E57,"Company",$K$34,"Market",$D$4,"Product",$D$3)=0,NA(),GETPIVOTDATA("Avg. Price",Pivots!$A$4,"Date ",E57,"Company",$K$34,"Market",$D$4,"Product",$D$3)),NA())</f>
        <v>6750</v>
      </c>
      <c r="L57" s="18">
        <f>IFERROR(IF(GETPIVOTDATA("Avg. Price",Pivots!$A$4,"Date ",E57,"Company",$L$34,"Market",$D$4,"Product",$D$3)=0,NA(),GETPIVOTDATA("Avg. Price",Pivots!$A$4,"Date ",E57,"Company",$L$34,"Market",$D$4,"Product",$D$3)),NA())</f>
        <v>6000</v>
      </c>
      <c r="M57" s="18">
        <f>IFERROR(IF(GETPIVOTDATA("Avg. Price",Pivots!$A$4,"Date ",E57,"Company",$M$34,"Market",$D$4,"Product",$D$3)=0,NA(),GETPIVOTDATA("Avg. Price",Pivots!$A$4,"Date ",E57,"Company",$M$34,"Market",$D$4,"Product",$D$3)),NA())</f>
        <v>6650</v>
      </c>
      <c r="N57" s="18">
        <f>IFERROR(IF(GETPIVOTDATA("Avg. Price",Pivots!$A$4,"Date ",E57,"Company",$N$34,"Market",$D$4,"Product",$D$3)=0,NA(),GETPIVOTDATA("Avg. Price",Pivots!$A$4,"Date ",E57,"Company",$N$34,"Market",$D$4,"Product",$D$3)),NA())</f>
        <v>6400</v>
      </c>
      <c r="O57" s="18">
        <f>IFERROR(IF(GETPIVOTDATA("Avg. Price",Pivots!$A$4,"Date ",E57,"Company",$O$34,"Market",$D$4,"Product",$D$3)=0,NA(),GETPIVOTDATA("Avg. Price",Pivots!$A$4,"Date ",E57,"Company",$O$34,"Market",$D$4,"Product",$D$3)),NA())</f>
        <v>6050</v>
      </c>
    </row>
    <row r="58" spans="5:15" x14ac:dyDescent="0.45">
      <c r="E58" s="10">
        <v>45315</v>
      </c>
      <c r="F58" s="18" t="e">
        <f>IFERROR(IF(GETPIVOTDATA("Avg. Price",Pivots!$A$4,"Date ",E58,"Company",$F$34,"Market",$D$4,"Product",$D$3)=0,NA(),GETPIVOTDATA("Avg. Price",Pivots!$A$4,"Date ",E58,"Company",$F$34,"Market",$D$4,"Product",$D$3)),NA())</f>
        <v>#N/A</v>
      </c>
      <c r="G58" s="18" t="e">
        <f>IFERROR(IF(GETPIVOTDATA("Avg. Price",Pivots!$A$4,"Date ",E58,"Company",$G$34,"Market",$D$4,"Product",$D$3)=0,NA(),GETPIVOTDATA("Avg. Price",Pivots!$A$4,"Date ",E58,"Company",$G$34,"Market",$D$4,"Product",$D$3)),NA())</f>
        <v>#N/A</v>
      </c>
      <c r="H58" s="18">
        <f>IFERROR(IF(GETPIVOTDATA("Avg. Price",Pivots!$A$4,"Date ",E58,"Company",$H$34,"Market",$D$4,"Product",$D$3)=0,NA(),GETPIVOTDATA("Avg. Price",Pivots!$A$4,"Date ",E58,"Company",$H$34,"Market",$D$4,"Product",$D$3)),NA())</f>
        <v>6360</v>
      </c>
      <c r="I58" s="18">
        <f>IFERROR(IF(GETPIVOTDATA("Avg. Price",Pivots!$A$4,"Date ",E58,"Company",$I$34,"Market",$D$4,"Product",$D$3)=0,NA(),GETPIVOTDATA("Avg. Price",Pivots!$A$4,"Date ",E58,"Company",$I$34,"Market",$D$4,"Product",$D$3)),NA())</f>
        <v>6100</v>
      </c>
      <c r="J58" s="18">
        <f>IFERROR(IF(GETPIVOTDATA("Avg. Price",Pivots!$A$4,"Date ",E58,"Company",$J$34,"Market",$D$4,"Product",$D$3)=0,NA(),GETPIVOTDATA("Avg. Price",Pivots!$A$4,"Date ",E58,"Company",$J$34,"Market",$D$4,"Product",$D$3)),NA())</f>
        <v>6400</v>
      </c>
      <c r="K58" s="18">
        <f>IFERROR(IF(GETPIVOTDATA("Avg. Price",Pivots!$A$4,"Date ",E58,"Company",$K$34,"Market",$D$4,"Product",$D$3)=0,NA(),GETPIVOTDATA("Avg. Price",Pivots!$A$4,"Date ",E58,"Company",$K$34,"Market",$D$4,"Product",$D$3)),NA())</f>
        <v>6750</v>
      </c>
      <c r="L58" s="18">
        <f>IFERROR(IF(GETPIVOTDATA("Avg. Price",Pivots!$A$4,"Date ",E58,"Company",$L$34,"Market",$D$4,"Product",$D$3)=0,NA(),GETPIVOTDATA("Avg. Price",Pivots!$A$4,"Date ",E58,"Company",$L$34,"Market",$D$4,"Product",$D$3)),NA())</f>
        <v>6000</v>
      </c>
      <c r="M58" s="18">
        <f>IFERROR(IF(GETPIVOTDATA("Avg. Price",Pivots!$A$4,"Date ",E58,"Company",$M$34,"Market",$D$4,"Product",$D$3)=0,NA(),GETPIVOTDATA("Avg. Price",Pivots!$A$4,"Date ",E58,"Company",$M$34,"Market",$D$4,"Product",$D$3)),NA())</f>
        <v>6650</v>
      </c>
      <c r="N58" s="18">
        <f>IFERROR(IF(GETPIVOTDATA("Avg. Price",Pivots!$A$4,"Date ",E58,"Company",$N$34,"Market",$D$4,"Product",$D$3)=0,NA(),GETPIVOTDATA("Avg. Price",Pivots!$A$4,"Date ",E58,"Company",$N$34,"Market",$D$4,"Product",$D$3)),NA())</f>
        <v>6450</v>
      </c>
      <c r="O58" s="18">
        <f>IFERROR(IF(GETPIVOTDATA("Avg. Price",Pivots!$A$4,"Date ",E58,"Company",$O$34,"Market",$D$4,"Product",$D$3)=0,NA(),GETPIVOTDATA("Avg. Price",Pivots!$A$4,"Date ",E58,"Company",$O$34,"Market",$D$4,"Product",$D$3)),NA())</f>
        <v>6050</v>
      </c>
    </row>
    <row r="59" spans="5:15" x14ac:dyDescent="0.45">
      <c r="E59" s="10">
        <v>45316</v>
      </c>
      <c r="F59" s="18" t="e">
        <f>IFERROR(IF(GETPIVOTDATA("Avg. Price",Pivots!$A$4,"Date ",E59,"Company",$F$34,"Market",$D$4,"Product",$D$3)=0,NA(),GETPIVOTDATA("Avg. Price",Pivots!$A$4,"Date ",E59,"Company",$F$34,"Market",$D$4,"Product",$D$3)),NA())</f>
        <v>#N/A</v>
      </c>
      <c r="G59" s="18">
        <f>IFERROR(IF(GETPIVOTDATA("Avg. Price",Pivots!$A$4,"Date ",E59,"Company",$G$34,"Market",$D$4,"Product",$D$3)=0,NA(),GETPIVOTDATA("Avg. Price",Pivots!$A$4,"Date ",E59,"Company",$G$34,"Market",$D$4,"Product",$D$3)),NA())</f>
        <v>6911</v>
      </c>
      <c r="H59" s="18">
        <f>IFERROR(IF(GETPIVOTDATA("Avg. Price",Pivots!$A$4,"Date ",E59,"Company",$H$34,"Market",$D$4,"Product",$D$3)=0,NA(),GETPIVOTDATA("Avg. Price",Pivots!$A$4,"Date ",E59,"Company",$H$34,"Market",$D$4,"Product",$D$3)),NA())</f>
        <v>6360</v>
      </c>
      <c r="I59" s="18">
        <f>IFERROR(IF(GETPIVOTDATA("Avg. Price",Pivots!$A$4,"Date ",E59,"Company",$I$34,"Market",$D$4,"Product",$D$3)=0,NA(),GETPIVOTDATA("Avg. Price",Pivots!$A$4,"Date ",E59,"Company",$I$34,"Market",$D$4,"Product",$D$3)),NA())</f>
        <v>6000</v>
      </c>
      <c r="J59" s="18">
        <f>IFERROR(IF(GETPIVOTDATA("Avg. Price",Pivots!$A$4,"Date ",E59,"Company",$J$34,"Market",$D$4,"Product",$D$3)=0,NA(),GETPIVOTDATA("Avg. Price",Pivots!$A$4,"Date ",E59,"Company",$J$34,"Market",$D$4,"Product",$D$3)),NA())</f>
        <v>6333.333333333333</v>
      </c>
      <c r="K59" s="18">
        <f>IFERROR(IF(GETPIVOTDATA("Avg. Price",Pivots!$A$4,"Date ",E59,"Company",$K$34,"Market",$D$4,"Product",$D$3)=0,NA(),GETPIVOTDATA("Avg. Price",Pivots!$A$4,"Date ",E59,"Company",$K$34,"Market",$D$4,"Product",$D$3)),NA())</f>
        <v>6733.333333333333</v>
      </c>
      <c r="L59" s="18">
        <f>IFERROR(IF(GETPIVOTDATA("Avg. Price",Pivots!$A$4,"Date ",E59,"Company",$L$34,"Market",$D$4,"Product",$D$3)=0,NA(),GETPIVOTDATA("Avg. Price",Pivots!$A$4,"Date ",E59,"Company",$L$34,"Market",$D$4,"Product",$D$3)),NA())</f>
        <v>5975</v>
      </c>
      <c r="M59" s="18">
        <f>IFERROR(IF(GETPIVOTDATA("Avg. Price",Pivots!$A$4,"Date ",E59,"Company",$M$34,"Market",$D$4,"Product",$D$3)=0,NA(),GETPIVOTDATA("Avg. Price",Pivots!$A$4,"Date ",E59,"Company",$M$34,"Market",$D$4,"Product",$D$3)),NA())</f>
        <v>6650</v>
      </c>
      <c r="N59" s="18">
        <f>IFERROR(IF(GETPIVOTDATA("Avg. Price",Pivots!$A$4,"Date ",E59,"Company",$N$34,"Market",$D$4,"Product",$D$3)=0,NA(),GETPIVOTDATA("Avg. Price",Pivots!$A$4,"Date ",E59,"Company",$N$34,"Market",$D$4,"Product",$D$3)),NA())</f>
        <v>6425</v>
      </c>
      <c r="O59" s="18">
        <f>IFERROR(IF(GETPIVOTDATA("Avg. Price",Pivots!$A$4,"Date ",E59,"Company",$O$34,"Market",$D$4,"Product",$D$3)=0,NA(),GETPIVOTDATA("Avg. Price",Pivots!$A$4,"Date ",E59,"Company",$O$34,"Market",$D$4,"Product",$D$3)),NA())</f>
        <v>6016.666666666667</v>
      </c>
    </row>
    <row r="60" spans="5:15" x14ac:dyDescent="0.45">
      <c r="E60" s="10">
        <v>45317</v>
      </c>
      <c r="F60" s="18">
        <f>IFERROR(IF(GETPIVOTDATA("Avg. Price",Pivots!$A$4,"Date ",E60,"Company",$F$34,"Market",$D$4,"Product",$D$3)=0,NA(),GETPIVOTDATA("Avg. Price",Pivots!$A$4,"Date ",E60,"Company",$F$34,"Market",$D$4,"Product",$D$3)),NA())</f>
        <v>7050</v>
      </c>
      <c r="G60" s="18" t="e">
        <f>IFERROR(IF(GETPIVOTDATA("Avg. Price",Pivots!$A$4,"Date ",E60,"Company",$G$34,"Market",$D$4,"Product",$D$3)=0,NA(),GETPIVOTDATA("Avg. Price",Pivots!$A$4,"Date ",E60,"Company",$G$34,"Market",$D$4,"Product",$D$3)),NA())</f>
        <v>#N/A</v>
      </c>
      <c r="H60" s="18">
        <f>IFERROR(IF(GETPIVOTDATA("Avg. Price",Pivots!$A$4,"Date ",E60,"Company",$H$34,"Market",$D$4,"Product",$D$3)=0,NA(),GETPIVOTDATA("Avg. Price",Pivots!$A$4,"Date ",E60,"Company",$H$34,"Market",$D$4,"Product",$D$3)),NA())</f>
        <v>6170</v>
      </c>
      <c r="I60" s="18">
        <f>IFERROR(IF(GETPIVOTDATA("Avg. Price",Pivots!$A$4,"Date ",E60,"Company",$I$34,"Market",$D$4,"Product",$D$3)=0,NA(),GETPIVOTDATA("Avg. Price",Pivots!$A$4,"Date ",E60,"Company",$I$34,"Market",$D$4,"Product",$D$3)),NA())</f>
        <v>6000</v>
      </c>
      <c r="J60" s="18">
        <f>IFERROR(IF(GETPIVOTDATA("Avg. Price",Pivots!$A$4,"Date ",E60,"Company",$J$34,"Market",$D$4,"Product",$D$3)=0,NA(),GETPIVOTDATA("Avg. Price",Pivots!$A$4,"Date ",E60,"Company",$J$34,"Market",$D$4,"Product",$D$3)),NA())</f>
        <v>6440</v>
      </c>
      <c r="K60" s="18">
        <f>IFERROR(IF(GETPIVOTDATA("Avg. Price",Pivots!$A$4,"Date ",E60,"Company",$K$34,"Market",$D$4,"Product",$D$3)=0,NA(),GETPIVOTDATA("Avg. Price",Pivots!$A$4,"Date ",E60,"Company",$K$34,"Market",$D$4,"Product",$D$3)),NA())</f>
        <v>6750</v>
      </c>
      <c r="L60" s="18">
        <f>IFERROR(IF(GETPIVOTDATA("Avg. Price",Pivots!$A$4,"Date ",E60,"Company",$L$34,"Market",$D$4,"Product",$D$3)=0,NA(),GETPIVOTDATA("Avg. Price",Pivots!$A$4,"Date ",E60,"Company",$L$34,"Market",$D$4,"Product",$D$3)),NA())</f>
        <v>6000</v>
      </c>
      <c r="M60" s="18">
        <f>IFERROR(IF(GETPIVOTDATA("Avg. Price",Pivots!$A$4,"Date ",E60,"Company",$M$34,"Market",$D$4,"Product",$D$3)=0,NA(),GETPIVOTDATA("Avg. Price",Pivots!$A$4,"Date ",E60,"Company",$M$34,"Market",$D$4,"Product",$D$3)),NA())</f>
        <v>6650</v>
      </c>
      <c r="N60" s="18">
        <f>IFERROR(IF(GETPIVOTDATA("Avg. Price",Pivots!$A$4,"Date ",E60,"Company",$N$34,"Market",$D$4,"Product",$D$3)=0,NA(),GETPIVOTDATA("Avg. Price",Pivots!$A$4,"Date ",E60,"Company",$N$34,"Market",$D$4,"Product",$D$3)),NA())</f>
        <v>6490</v>
      </c>
      <c r="O60" s="18">
        <f>IFERROR(IF(GETPIVOTDATA("Avg. Price",Pivots!$A$4,"Date ",E60,"Company",$O$34,"Market",$D$4,"Product",$D$3)=0,NA(),GETPIVOTDATA("Avg. Price",Pivots!$A$4,"Date ",E60,"Company",$O$34,"Market",$D$4,"Product",$D$3)),NA())</f>
        <v>6050</v>
      </c>
    </row>
    <row r="61" spans="5:15" x14ac:dyDescent="0.45">
      <c r="E61" s="10">
        <v>45318</v>
      </c>
      <c r="F61" s="18" t="e">
        <f>IFERROR(IF(GETPIVOTDATA("Avg. Price",Pivots!$A$4,"Date ",E61,"Company",$F$34,"Market",$D$4,"Product",$D$3)=0,NA(),GETPIVOTDATA("Avg. Price",Pivots!$A$4,"Date ",E61,"Company",$F$34,"Market",$D$4,"Product",$D$3)),NA())</f>
        <v>#N/A</v>
      </c>
      <c r="G61" s="18" t="e">
        <f>IFERROR(IF(GETPIVOTDATA("Avg. Price",Pivots!$A$4,"Date ",E61,"Company",$G$34,"Market",$D$4,"Product",$D$3)=0,NA(),GETPIVOTDATA("Avg. Price",Pivots!$A$4,"Date ",E61,"Company",$G$34,"Market",$D$4,"Product",$D$3)),NA())</f>
        <v>#N/A</v>
      </c>
      <c r="H61" s="18" t="e">
        <f>IFERROR(IF(GETPIVOTDATA("Avg. Price",Pivots!$A$4,"Date ",E61,"Company",$H$34,"Market",$D$4,"Product",$D$3)=0,NA(),GETPIVOTDATA("Avg. Price",Pivots!$A$4,"Date ",E61,"Company",$H$34,"Market",$D$4,"Product",$D$3)),NA())</f>
        <v>#N/A</v>
      </c>
      <c r="I61" s="18">
        <f>IFERROR(IF(GETPIVOTDATA("Avg. Price",Pivots!$A$4,"Date ",E61,"Company",$I$34,"Market",$D$4,"Product",$D$3)=0,NA(),GETPIVOTDATA("Avg. Price",Pivots!$A$4,"Date ",E61,"Company",$I$34,"Market",$D$4,"Product",$D$3)),NA())</f>
        <v>6000</v>
      </c>
      <c r="J61" s="18">
        <f>IFERROR(IF(GETPIVOTDATA("Avg. Price",Pivots!$A$4,"Date ",E61,"Company",$J$34,"Market",$D$4,"Product",$D$3)=0,NA(),GETPIVOTDATA("Avg. Price",Pivots!$A$4,"Date ",E61,"Company",$J$34,"Market",$D$4,"Product",$D$3)),NA())</f>
        <v>6500</v>
      </c>
      <c r="K61" s="18" t="e">
        <f>IFERROR(IF(GETPIVOTDATA("Avg. Price",Pivots!$A$4,"Date ",E61,"Company",$K$34,"Market",$D$4,"Product",$D$3)=0,NA(),GETPIVOTDATA("Avg. Price",Pivots!$A$4,"Date ",E61,"Company",$K$34,"Market",$D$4,"Product",$D$3)),NA())</f>
        <v>#N/A</v>
      </c>
      <c r="L61" s="18">
        <f>IFERROR(IF(GETPIVOTDATA("Avg. Price",Pivots!$A$4,"Date ",E61,"Company",$L$34,"Market",$D$4,"Product",$D$3)=0,NA(),GETPIVOTDATA("Avg. Price",Pivots!$A$4,"Date ",E61,"Company",$L$34,"Market",$D$4,"Product",$D$3)),NA())</f>
        <v>6000</v>
      </c>
      <c r="M61" s="18">
        <f>IFERROR(IF(GETPIVOTDATA("Avg. Price",Pivots!$A$4,"Date ",E61,"Company",$M$34,"Market",$D$4,"Product",$D$3)=0,NA(),GETPIVOTDATA("Avg. Price",Pivots!$A$4,"Date ",E61,"Company",$M$34,"Market",$D$4,"Product",$D$3)),NA())</f>
        <v>6650</v>
      </c>
      <c r="N61" s="18">
        <f>IFERROR(IF(GETPIVOTDATA("Avg. Price",Pivots!$A$4,"Date ",E61,"Company",$N$34,"Market",$D$4,"Product",$D$3)=0,NA(),GETPIVOTDATA("Avg. Price",Pivots!$A$4,"Date ",E61,"Company",$N$34,"Market",$D$4,"Product",$D$3)),NA())</f>
        <v>6500</v>
      </c>
      <c r="O61" s="18">
        <f>IFERROR(IF(GETPIVOTDATA("Avg. Price",Pivots!$A$4,"Date ",E61,"Company",$O$34,"Market",$D$4,"Product",$D$3)=0,NA(),GETPIVOTDATA("Avg. Price",Pivots!$A$4,"Date ",E61,"Company",$O$34,"Market",$D$4,"Product",$D$3)),NA())</f>
        <v>6050</v>
      </c>
    </row>
    <row r="62" spans="5:15" x14ac:dyDescent="0.45">
      <c r="E62" s="10">
        <v>45319</v>
      </c>
      <c r="F62" s="18" t="e">
        <f>IFERROR(IF(GETPIVOTDATA("Avg. Price",Pivots!$A$4,"Date ",E62,"Company",$F$34,"Market",$D$4,"Product",$D$3)=0,NA(),GETPIVOTDATA("Avg. Price",Pivots!$A$4,"Date ",E62,"Company",$F$34,"Market",$D$4,"Product",$D$3)),NA())</f>
        <v>#N/A</v>
      </c>
      <c r="G62" s="18" t="e">
        <f>IFERROR(IF(GETPIVOTDATA("Avg. Price",Pivots!$A$4,"Date ",E62,"Company",$G$34,"Market",$D$4,"Product",$D$3)=0,NA(),GETPIVOTDATA("Avg. Price",Pivots!$A$4,"Date ",E62,"Company",$G$34,"Market",$D$4,"Product",$D$3)),NA())</f>
        <v>#N/A</v>
      </c>
      <c r="H62" s="18" t="e">
        <f>IFERROR(IF(GETPIVOTDATA("Avg. Price",Pivots!$A$4,"Date ",E62,"Company",$H$34,"Market",$D$4,"Product",$D$3)=0,NA(),GETPIVOTDATA("Avg. Price",Pivots!$A$4,"Date ",E62,"Company",$H$34,"Market",$D$4,"Product",$D$3)),NA())</f>
        <v>#N/A</v>
      </c>
      <c r="I62" s="18">
        <f>IFERROR(IF(GETPIVOTDATA("Avg. Price",Pivots!$A$4,"Date ",E62,"Company",$I$34,"Market",$D$4,"Product",$D$3)=0,NA(),GETPIVOTDATA("Avg. Price",Pivots!$A$4,"Date ",E62,"Company",$I$34,"Market",$D$4,"Product",$D$3)),NA())</f>
        <v>5600</v>
      </c>
      <c r="J62" s="18">
        <f>IFERROR(IF(GETPIVOTDATA("Avg. Price",Pivots!$A$4,"Date ",E62,"Company",$J$34,"Market",$D$4,"Product",$D$3)=0,NA(),GETPIVOTDATA("Avg. Price",Pivots!$A$4,"Date ",E62,"Company",$J$34,"Market",$D$4,"Product",$D$3)),NA())</f>
        <v>6500</v>
      </c>
      <c r="K62" s="18" t="e">
        <f>IFERROR(IF(GETPIVOTDATA("Avg. Price",Pivots!$A$4,"Date ",E62,"Company",$K$34,"Market",$D$4,"Product",$D$3)=0,NA(),GETPIVOTDATA("Avg. Price",Pivots!$A$4,"Date ",E62,"Company",$K$34,"Market",$D$4,"Product",$D$3)),NA())</f>
        <v>#N/A</v>
      </c>
      <c r="L62" s="18" t="e">
        <f>IFERROR(IF(GETPIVOTDATA("Avg. Price",Pivots!$A$4,"Date ",E62,"Company",$L$34,"Market",$D$4,"Product",$D$3)=0,NA(),GETPIVOTDATA("Avg. Price",Pivots!$A$4,"Date ",E62,"Company",$L$34,"Market",$D$4,"Product",$D$3)),NA())</f>
        <v>#N/A</v>
      </c>
      <c r="M62" s="18" t="e">
        <f>IFERROR(IF(GETPIVOTDATA("Avg. Price",Pivots!$A$4,"Date ",E62,"Company",$M$34,"Market",$D$4,"Product",$D$3)=0,NA(),GETPIVOTDATA("Avg. Price",Pivots!$A$4,"Date ",E62,"Company",$M$34,"Market",$D$4,"Product",$D$3)),NA())</f>
        <v>#N/A</v>
      </c>
      <c r="N62" s="18">
        <f>IFERROR(IF(GETPIVOTDATA("Avg. Price",Pivots!$A$4,"Date ",E62,"Company",$N$34,"Market",$D$4,"Product",$D$3)=0,NA(),GETPIVOTDATA("Avg. Price",Pivots!$A$4,"Date ",E62,"Company",$N$34,"Market",$D$4,"Product",$D$3)),NA())</f>
        <v>6487.5</v>
      </c>
      <c r="O62" s="18">
        <f>IFERROR(IF(GETPIVOTDATA("Avg. Price",Pivots!$A$4,"Date ",E62,"Company",$O$34,"Market",$D$4,"Product",$D$3)=0,NA(),GETPIVOTDATA("Avg. Price",Pivots!$A$4,"Date ",E62,"Company",$O$34,"Market",$D$4,"Product",$D$3)),NA())</f>
        <v>6250</v>
      </c>
    </row>
    <row r="63" spans="5:15" x14ac:dyDescent="0.45">
      <c r="E63" s="10">
        <v>45320</v>
      </c>
      <c r="F63" s="18" t="e">
        <f>IFERROR(IF(GETPIVOTDATA("Avg. Price",Pivots!$A$4,"Date ",E63,"Company",$F$34,"Market",$D$4,"Product",$D$3)=0,NA(),GETPIVOTDATA("Avg. Price",Pivots!$A$4,"Date ",E63,"Company",$F$34,"Market",$D$4,"Product",$D$3)),NA())</f>
        <v>#N/A</v>
      </c>
      <c r="G63" s="18" t="e">
        <f>IFERROR(IF(GETPIVOTDATA("Avg. Price",Pivots!$A$4,"Date ",E63,"Company",$G$34,"Market",$D$4,"Product",$D$3)=0,NA(),GETPIVOTDATA("Avg. Price",Pivots!$A$4,"Date ",E63,"Company",$G$34,"Market",$D$4,"Product",$D$3)),NA())</f>
        <v>#N/A</v>
      </c>
      <c r="H63" s="18" t="e">
        <f>IFERROR(IF(GETPIVOTDATA("Avg. Price",Pivots!$A$4,"Date ",E63,"Company",$H$34,"Market",$D$4,"Product",$D$3)=0,NA(),GETPIVOTDATA("Avg. Price",Pivots!$A$4,"Date ",E63,"Company",$H$34,"Market",$D$4,"Product",$D$3)),NA())</f>
        <v>#N/A</v>
      </c>
      <c r="I63" s="18">
        <f>IFERROR(IF(GETPIVOTDATA("Avg. Price",Pivots!$A$4,"Date ",E63,"Company",$I$34,"Market",$D$4,"Product",$D$3)=0,NA(),GETPIVOTDATA("Avg. Price",Pivots!$A$4,"Date ",E63,"Company",$I$34,"Market",$D$4,"Product",$D$3)),NA())</f>
        <v>5400</v>
      </c>
      <c r="J63" s="18" t="e">
        <f>IFERROR(IF(GETPIVOTDATA("Avg. Price",Pivots!$A$4,"Date ",E63,"Company",$J$34,"Market",$D$4,"Product",$D$3)=0,NA(),GETPIVOTDATA("Avg. Price",Pivots!$A$4,"Date ",E63,"Company",$J$34,"Market",$D$4,"Product",$D$3)),NA())</f>
        <v>#N/A</v>
      </c>
      <c r="K63" s="18" t="e">
        <f>IFERROR(IF(GETPIVOTDATA("Avg. Price",Pivots!$A$4,"Date ",E63,"Company",$K$34,"Market",$D$4,"Product",$D$3)=0,NA(),GETPIVOTDATA("Avg. Price",Pivots!$A$4,"Date ",E63,"Company",$K$34,"Market",$D$4,"Product",$D$3)),NA())</f>
        <v>#N/A</v>
      </c>
      <c r="L63" s="18" t="e">
        <f>IFERROR(IF(GETPIVOTDATA("Avg. Price",Pivots!$A$4,"Date ",E63,"Company",$L$34,"Market",$D$4,"Product",$D$3)=0,NA(),GETPIVOTDATA("Avg. Price",Pivots!$A$4,"Date ",E63,"Company",$L$34,"Market",$D$4,"Product",$D$3)),NA())</f>
        <v>#N/A</v>
      </c>
      <c r="M63" s="18" t="e">
        <f>IFERROR(IF(GETPIVOTDATA("Avg. Price",Pivots!$A$4,"Date ",E63,"Company",$M$34,"Market",$D$4,"Product",$D$3)=0,NA(),GETPIVOTDATA("Avg. Price",Pivots!$A$4,"Date ",E63,"Company",$M$34,"Market",$D$4,"Product",$D$3)),NA())</f>
        <v>#N/A</v>
      </c>
      <c r="N63" s="18" t="e">
        <f>IFERROR(IF(GETPIVOTDATA("Avg. Price",Pivots!$A$4,"Date ",E63,"Company",$N$34,"Market",$D$4,"Product",$D$3)=0,NA(),GETPIVOTDATA("Avg. Price",Pivots!$A$4,"Date ",E63,"Company",$N$34,"Market",$D$4,"Product",$D$3)),NA())</f>
        <v>#N/A</v>
      </c>
      <c r="O63" s="18" t="e">
        <f>IFERROR(IF(GETPIVOTDATA("Avg. Price",Pivots!$A$4,"Date ",E63,"Company",$O$34,"Market",$D$4,"Product",$D$3)=0,NA(),GETPIVOTDATA("Avg. Price",Pivots!$A$4,"Date ",E63,"Company",$O$34,"Market",$D$4,"Product",$D$3)),NA())</f>
        <v>#N/A</v>
      </c>
    </row>
    <row r="64" spans="5:15" x14ac:dyDescent="0.45">
      <c r="E64" s="10">
        <v>45321</v>
      </c>
      <c r="F64" s="18" t="e">
        <f>IFERROR(IF(GETPIVOTDATA("Avg. Price",Pivots!$A$4,"Date ",E64,"Company",$F$34,"Market",$D$4,"Product",$D$3)=0,NA(),GETPIVOTDATA("Avg. Price",Pivots!$A$4,"Date ",E64,"Company",$F$34,"Market",$D$4,"Product",$D$3)),NA())</f>
        <v>#N/A</v>
      </c>
      <c r="G64" s="18" t="e">
        <f>IFERROR(IF(GETPIVOTDATA("Avg. Price",Pivots!$A$4,"Date ",E64,"Company",$G$34,"Market",$D$4,"Product",$D$3)=0,NA(),GETPIVOTDATA("Avg. Price",Pivots!$A$4,"Date ",E64,"Company",$G$34,"Market",$D$4,"Product",$D$3)),NA())</f>
        <v>#N/A</v>
      </c>
      <c r="H64" s="18" t="e">
        <f>IFERROR(IF(GETPIVOTDATA("Avg. Price",Pivots!$A$4,"Date ",E64,"Company",$H$34,"Market",$D$4,"Product",$D$3)=0,NA(),GETPIVOTDATA("Avg. Price",Pivots!$A$4,"Date ",E64,"Company",$H$34,"Market",$D$4,"Product",$D$3)),NA())</f>
        <v>#N/A</v>
      </c>
      <c r="I64" s="18" t="e">
        <f>IFERROR(IF(GETPIVOTDATA("Avg. Price",Pivots!$A$4,"Date ",E64,"Company",$I$34,"Market",$D$4,"Product",$D$3)=0,NA(),GETPIVOTDATA("Avg. Price",Pivots!$A$4,"Date ",E64,"Company",$I$34,"Market",$D$4,"Product",$D$3)),NA())</f>
        <v>#N/A</v>
      </c>
      <c r="J64" s="18" t="e">
        <f>IFERROR(IF(GETPIVOTDATA("Avg. Price",Pivots!$A$4,"Date ",E64,"Company",$J$34,"Market",$D$4,"Product",$D$3)=0,NA(),GETPIVOTDATA("Avg. Price",Pivots!$A$4,"Date ",E64,"Company",$J$34,"Market",$D$4,"Product",$D$3)),NA())</f>
        <v>#N/A</v>
      </c>
      <c r="K64" s="18" t="e">
        <f>IFERROR(IF(GETPIVOTDATA("Avg. Price",Pivots!$A$4,"Date ",E64,"Company",$K$34,"Market",$D$4,"Product",$D$3)=0,NA(),GETPIVOTDATA("Avg. Price",Pivots!$A$4,"Date ",E64,"Company",$K$34,"Market",$D$4,"Product",$D$3)),NA())</f>
        <v>#N/A</v>
      </c>
      <c r="L64" s="18" t="e">
        <f>IFERROR(IF(GETPIVOTDATA("Avg. Price",Pivots!$A$4,"Date ",E64,"Company",$L$34,"Market",$D$4,"Product",$D$3)=0,NA(),GETPIVOTDATA("Avg. Price",Pivots!$A$4,"Date ",E64,"Company",$L$34,"Market",$D$4,"Product",$D$3)),NA())</f>
        <v>#N/A</v>
      </c>
      <c r="M64" s="18" t="e">
        <f>IFERROR(IF(GETPIVOTDATA("Avg. Price",Pivots!$A$4,"Date ",E64,"Company",$M$34,"Market",$D$4,"Product",$D$3)=0,NA(),GETPIVOTDATA("Avg. Price",Pivots!$A$4,"Date ",E64,"Company",$M$34,"Market",$D$4,"Product",$D$3)),NA())</f>
        <v>#N/A</v>
      </c>
      <c r="N64" s="18" t="e">
        <f>IFERROR(IF(GETPIVOTDATA("Avg. Price",Pivots!$A$4,"Date ",E64,"Company",$N$34,"Market",$D$4,"Product",$D$3)=0,NA(),GETPIVOTDATA("Avg. Price",Pivots!$A$4,"Date ",E64,"Company",$N$34,"Market",$D$4,"Product",$D$3)),NA())</f>
        <v>#N/A</v>
      </c>
      <c r="O64" s="18" t="e">
        <f>IFERROR(IF(GETPIVOTDATA("Avg. Price",Pivots!$A$4,"Date ",E64,"Company",$O$34,"Market",$D$4,"Product",$D$3)=0,NA(),GETPIVOTDATA("Avg. Price",Pivots!$A$4,"Date ",E64,"Company",$O$34,"Market",$D$4,"Product",$D$3)),NA())</f>
        <v>#N/A</v>
      </c>
    </row>
    <row r="65" spans="5:15" x14ac:dyDescent="0.45">
      <c r="E65" s="10">
        <v>45322</v>
      </c>
      <c r="F65" s="18" t="e">
        <f>IFERROR(IF(GETPIVOTDATA("Avg. Price",Pivots!$A$4,"Date ",E65,"Company",$F$34,"Market",$D$4,"Product",$D$3)=0,NA(),GETPIVOTDATA("Avg. Price",Pivots!$A$4,"Date ",E65,"Company",$F$34,"Market",$D$4,"Product",$D$3)),NA())</f>
        <v>#N/A</v>
      </c>
      <c r="G65" s="18" t="e">
        <f>IFERROR(IF(GETPIVOTDATA("Avg. Price",Pivots!$A$4,"Date ",E65,"Company",$G$34,"Market",$D$4,"Product",$D$3)=0,NA(),GETPIVOTDATA("Avg. Price",Pivots!$A$4,"Date ",E65,"Company",$G$34,"Market",$D$4,"Product",$D$3)),NA())</f>
        <v>#N/A</v>
      </c>
      <c r="H65" s="18" t="e">
        <f>IFERROR(IF(GETPIVOTDATA("Avg. Price",Pivots!$A$4,"Date ",E65,"Company",$H$34,"Market",$D$4,"Product",$D$3)=0,NA(),GETPIVOTDATA("Avg. Price",Pivots!$A$4,"Date ",E65,"Company",$H$34,"Market",$D$4,"Product",$D$3)),NA())</f>
        <v>#N/A</v>
      </c>
      <c r="I65" s="18" t="e">
        <f>IFERROR(IF(GETPIVOTDATA("Avg. Price",Pivots!$A$4,"Date ",E65,"Company",$I$34,"Market",$D$4,"Product",$D$3)=0,NA(),GETPIVOTDATA("Avg. Price",Pivots!$A$4,"Date ",E65,"Company",$I$34,"Market",$D$4,"Product",$D$3)),NA())</f>
        <v>#N/A</v>
      </c>
      <c r="J65" s="18" t="e">
        <f>IFERROR(IF(GETPIVOTDATA("Avg. Price",Pivots!$A$4,"Date ",E65,"Company",$J$34,"Market",$D$4,"Product",$D$3)=0,NA(),GETPIVOTDATA("Avg. Price",Pivots!$A$4,"Date ",E65,"Company",$J$34,"Market",$D$4,"Product",$D$3)),NA())</f>
        <v>#N/A</v>
      </c>
      <c r="K65" s="18" t="e">
        <f>IFERROR(IF(GETPIVOTDATA("Avg. Price",Pivots!$A$4,"Date ",E65,"Company",$K$34,"Market",$D$4,"Product",$D$3)=0,NA(),GETPIVOTDATA("Avg. Price",Pivots!$A$4,"Date ",E65,"Company",$K$34,"Market",$D$4,"Product",$D$3)),NA())</f>
        <v>#N/A</v>
      </c>
      <c r="L65" s="18" t="e">
        <f>IFERROR(IF(GETPIVOTDATA("Avg. Price",Pivots!$A$4,"Date ",E65,"Company",$L$34,"Market",$D$4,"Product",$D$3)=0,NA(),GETPIVOTDATA("Avg. Price",Pivots!$A$4,"Date ",E65,"Company",$L$34,"Market",$D$4,"Product",$D$3)),NA())</f>
        <v>#N/A</v>
      </c>
      <c r="M65" s="18" t="e">
        <f>IFERROR(IF(GETPIVOTDATA("Avg. Price",Pivots!$A$4,"Date ",E65,"Company",$M$34,"Market",$D$4,"Product",$D$3)=0,NA(),GETPIVOTDATA("Avg. Price",Pivots!$A$4,"Date ",E65,"Company",$M$34,"Market",$D$4,"Product",$D$3)),NA())</f>
        <v>#N/A</v>
      </c>
      <c r="N65" s="18" t="e">
        <f>IFERROR(IF(GETPIVOTDATA("Avg. Price",Pivots!$A$4,"Date ",E65,"Company",$N$34,"Market",$D$4,"Product",$D$3)=0,NA(),GETPIVOTDATA("Avg. Price",Pivots!$A$4,"Date ",E65,"Company",$N$34,"Market",$D$4,"Product",$D$3)),NA())</f>
        <v>#N/A</v>
      </c>
      <c r="O65" s="18" t="e">
        <f>IFERROR(IF(GETPIVOTDATA("Avg. Price",Pivots!$A$4,"Date ",E65,"Company",$O$34,"Market",$D$4,"Product",$D$3)=0,NA(),GETPIVOTDATA("Avg. Price",Pivots!$A$4,"Date ",E65,"Company",$O$34,"Market",$D$4,"Product",$D$3)),NA())</f>
        <v>#N/A</v>
      </c>
    </row>
    <row r="66" spans="5:15" hidden="1" x14ac:dyDescent="0.45">
      <c r="E66" s="10">
        <v>45323</v>
      </c>
      <c r="F66" s="2" t="e">
        <f>IFERROR(IF(GETPIVOTDATA("Avg. Price",Pivots!$A$4,"Date ",E66,"Company",$F$34,"Market",$D$4,"Product",$D$3)=0,NA(),GETPIVOTDATA("Avg. Price",Pivots!$A$4,"Date ",E66,"Company",$F$34,"Market",$D$4,"Product",$D$3)),NA())</f>
        <v>#N/A</v>
      </c>
      <c r="G66" s="2" t="e">
        <f>IFERROR(IF(GETPIVOTDATA("Avg. Price",Pivots!$A$4,"Date ",E66,"Company",$G$34,"Market",$D$4,"Product",$D$3)=0,NA(),GETPIVOTDATA("Avg. Price",Pivots!$A$4,"Date ",E66,"Company",$G$34,"Market",$D$4,"Product",$D$3)),NA())</f>
        <v>#N/A</v>
      </c>
      <c r="H66" s="2" t="e">
        <f>IFERROR(IF(GETPIVOTDATA("Avg. Price",Pivots!$A$4,"Date ",E66,"Company",$H$34,"Market",$D$4,"Product",$D$3)=0,NA(),GETPIVOTDATA("Avg. Price",Pivots!$A$4,"Date ",E66,"Company",$H$34,"Market",$D$4,"Product",$D$3)),NA())</f>
        <v>#N/A</v>
      </c>
      <c r="I66" s="2" t="e">
        <f>IFERROR(IF(GETPIVOTDATA("Avg. Price",Pivots!$A$4,"Date ",E66,"Company",$I$34,"Market",$D$4,"Product",$D$3)=0,NA(),GETPIVOTDATA("Avg. Price",Pivots!$A$4,"Date ",E66,"Company",$I$34,"Market",$D$4,"Product",$D$3)),NA())</f>
        <v>#N/A</v>
      </c>
      <c r="J66" s="2" t="e">
        <f>IFERROR(IF(GETPIVOTDATA("Avg. Price",Pivots!$A$4,"Date ",E66,"Company",$J$34,"Market",$D$4,"Product",$D$3)=0,NA(),GETPIVOTDATA("Avg. Price",Pivots!$A$4,"Date ",E66,"Company",$J$34,"Market",$D$4,"Product",$D$3)),NA())</f>
        <v>#N/A</v>
      </c>
      <c r="K66" s="2" t="e">
        <f>IFERROR(IF(GETPIVOTDATA("Avg. Price",Pivots!$A$4,"Date ",E66,"Company",$K$34,"Market",$D$4,"Product",$D$3)=0,NA(),GETPIVOTDATA("Avg. Price",Pivots!$A$4,"Date ",E66,"Company",$K$34,"Market",$D$4,"Product",$D$3)),NA())</f>
        <v>#N/A</v>
      </c>
      <c r="L66" s="2" t="e">
        <f>IFERROR(IF(GETPIVOTDATA("Avg. Price",Pivots!$A$4,"Date ",E66,"Company",$L$34,"Market",$D$4,"Product",$D$3)=0,NA(),GETPIVOTDATA("Avg. Price",Pivots!$A$4,"Date ",E66,"Company",$L$34,"Market",$D$4,"Product",$D$3)),NA())</f>
        <v>#N/A</v>
      </c>
      <c r="M66" s="2" t="e">
        <f>IFERROR(IF(GETPIVOTDATA("Avg. Price",Pivots!$A$4,"Date ",E66,"Company",$M$34,"Market",$D$4,"Product",$D$3)=0,NA(),GETPIVOTDATA("Avg. Price",Pivots!$A$4,"Date ",E66,"Company",$M$34,"Market",$D$4,"Product",$D$3)),NA())</f>
        <v>#N/A</v>
      </c>
      <c r="N66" s="2" t="e">
        <f>IFERROR(IF(GETPIVOTDATA("Avg. Price",Pivots!$A$4,"Date ",E66,"Company",$N$34,"Market",$D$4,"Product",$D$3)=0,NA(),GETPIVOTDATA("Avg. Price",Pivots!$A$4,"Date ",E66,"Company",$N$34,"Market",$D$4,"Product",$D$3)),NA())</f>
        <v>#N/A</v>
      </c>
      <c r="O66" s="2" t="e">
        <f>IFERROR(IF(GETPIVOTDATA("Avg. Price",Pivots!$A$4,"Date ",E66,"Company",$O$34,"Market",$D$4,"Product",$D$3)=0,NA(),GETPIVOTDATA("Avg. Price",Pivots!$A$4,"Date ",E66,"Company",$O$34,"Market",$D$4,"Product",$D$3)),NA())</f>
        <v>#N/A</v>
      </c>
    </row>
    <row r="67" spans="5:15" hidden="1" x14ac:dyDescent="0.45">
      <c r="E67" s="10">
        <v>45324</v>
      </c>
      <c r="F67" s="2" t="e">
        <f>IFERROR(IF(GETPIVOTDATA("Avg. Price",Pivots!$A$4,"Date ",E67,"Company",$F$34,"Market",$D$4,"Product",$D$3)=0,NA(),GETPIVOTDATA("Avg. Price",Pivots!$A$4,"Date ",E67,"Company",$F$34,"Market",$D$4,"Product",$D$3)),NA())</f>
        <v>#N/A</v>
      </c>
      <c r="G67" s="2" t="e">
        <f>IFERROR(IF(GETPIVOTDATA("Avg. Price",Pivots!$A$4,"Date ",E67,"Company",$G$34,"Market",$D$4,"Product",$D$3)=0,NA(),GETPIVOTDATA("Avg. Price",Pivots!$A$4,"Date ",E67,"Company",$G$34,"Market",$D$4,"Product",$D$3)),NA())</f>
        <v>#N/A</v>
      </c>
      <c r="H67" s="2" t="e">
        <f>IFERROR(IF(GETPIVOTDATA("Avg. Price",Pivots!$A$4,"Date ",E67,"Company",$H$34,"Market",$D$4,"Product",$D$3)=0,NA(),GETPIVOTDATA("Avg. Price",Pivots!$A$4,"Date ",E67,"Company",$H$34,"Market",$D$4,"Product",$D$3)),NA())</f>
        <v>#N/A</v>
      </c>
      <c r="I67" s="2" t="e">
        <f>IFERROR(IF(GETPIVOTDATA("Avg. Price",Pivots!$A$4,"Date ",E67,"Company",$I$34,"Market",$D$4,"Product",$D$3)=0,NA(),GETPIVOTDATA("Avg. Price",Pivots!$A$4,"Date ",E67,"Company",$I$34,"Market",$D$4,"Product",$D$3)),NA())</f>
        <v>#N/A</v>
      </c>
      <c r="J67" s="2" t="e">
        <f>IFERROR(IF(GETPIVOTDATA("Avg. Price",Pivots!$A$4,"Date ",E67,"Company",$J$34,"Market",$D$4,"Product",$D$3)=0,NA(),GETPIVOTDATA("Avg. Price",Pivots!$A$4,"Date ",E67,"Company",$J$34,"Market",$D$4,"Product",$D$3)),NA())</f>
        <v>#N/A</v>
      </c>
      <c r="K67" s="2" t="e">
        <f>IFERROR(IF(GETPIVOTDATA("Avg. Price",Pivots!$A$4,"Date ",E67,"Company",$K$34,"Market",$D$4,"Product",$D$3)=0,NA(),GETPIVOTDATA("Avg. Price",Pivots!$A$4,"Date ",E67,"Company",$K$34,"Market",$D$4,"Product",$D$3)),NA())</f>
        <v>#N/A</v>
      </c>
      <c r="L67" s="2" t="e">
        <f>IFERROR(IF(GETPIVOTDATA("Avg. Price",Pivots!$A$4,"Date ",E67,"Company",$L$34,"Market",$D$4,"Product",$D$3)=0,NA(),GETPIVOTDATA("Avg. Price",Pivots!$A$4,"Date ",E67,"Company",$L$34,"Market",$D$4,"Product",$D$3)),NA())</f>
        <v>#N/A</v>
      </c>
      <c r="M67" s="2" t="e">
        <f>IFERROR(IF(GETPIVOTDATA("Avg. Price",Pivots!$A$4,"Date ",E67,"Company",$M$34,"Market",$D$4,"Product",$D$3)=0,NA(),GETPIVOTDATA("Avg. Price",Pivots!$A$4,"Date ",E67,"Company",$M$34,"Market",$D$4,"Product",$D$3)),NA())</f>
        <v>#N/A</v>
      </c>
      <c r="N67" s="2" t="e">
        <f>IFERROR(IF(GETPIVOTDATA("Avg. Price",Pivots!$A$4,"Date ",E67,"Company",$N$34,"Market",$D$4,"Product",$D$3)=0,NA(),GETPIVOTDATA("Avg. Price",Pivots!$A$4,"Date ",E67,"Company",$N$34,"Market",$D$4,"Product",$D$3)),NA())</f>
        <v>#N/A</v>
      </c>
      <c r="O67" s="2" t="e">
        <f>IFERROR(IF(GETPIVOTDATA("Avg. Price",Pivots!$A$4,"Date ",E67,"Company",$O$34,"Market",$D$4,"Product",$D$3)=0,NA(),GETPIVOTDATA("Avg. Price",Pivots!$A$4,"Date ",E67,"Company",$O$34,"Market",$D$4,"Product",$D$3)),NA())</f>
        <v>#N/A</v>
      </c>
    </row>
    <row r="68" spans="5:15" hidden="1" x14ac:dyDescent="0.45">
      <c r="E68" s="10">
        <v>45325</v>
      </c>
      <c r="F68" s="2" t="e">
        <f>IFERROR(IF(GETPIVOTDATA("Avg. Price",Pivots!$A$4,"Date ",E68,"Company",$F$34,"Market",$D$4,"Product",$D$3)=0,NA(),GETPIVOTDATA("Avg. Price",Pivots!$A$4,"Date ",E68,"Company",$F$34,"Market",$D$4,"Product",$D$3)),NA())</f>
        <v>#N/A</v>
      </c>
      <c r="G68" s="2" t="e">
        <f>IFERROR(IF(GETPIVOTDATA("Avg. Price",Pivots!$A$4,"Date ",E68,"Company",$G$34,"Market",$D$4,"Product",$D$3)=0,NA(),GETPIVOTDATA("Avg. Price",Pivots!$A$4,"Date ",E68,"Company",$G$34,"Market",$D$4,"Product",$D$3)),NA())</f>
        <v>#N/A</v>
      </c>
      <c r="H68" s="2" t="e">
        <f>IFERROR(IF(GETPIVOTDATA("Avg. Price",Pivots!$A$4,"Date ",E68,"Company",$H$34,"Market",$D$4,"Product",$D$3)=0,NA(),GETPIVOTDATA("Avg. Price",Pivots!$A$4,"Date ",E68,"Company",$H$34,"Market",$D$4,"Product",$D$3)),NA())</f>
        <v>#N/A</v>
      </c>
      <c r="I68" s="2" t="e">
        <f>IFERROR(IF(GETPIVOTDATA("Avg. Price",Pivots!$A$4,"Date ",E68,"Company",$I$34,"Market",$D$4,"Product",$D$3)=0,NA(),GETPIVOTDATA("Avg. Price",Pivots!$A$4,"Date ",E68,"Company",$I$34,"Market",$D$4,"Product",$D$3)),NA())</f>
        <v>#N/A</v>
      </c>
      <c r="J68" s="2" t="e">
        <f>IFERROR(IF(GETPIVOTDATA("Avg. Price",Pivots!$A$4,"Date ",E68,"Company",$J$34,"Market",$D$4,"Product",$D$3)=0,NA(),GETPIVOTDATA("Avg. Price",Pivots!$A$4,"Date ",E68,"Company",$J$34,"Market",$D$4,"Product",$D$3)),NA())</f>
        <v>#N/A</v>
      </c>
      <c r="K68" s="2" t="e">
        <f>IFERROR(IF(GETPIVOTDATA("Avg. Price",Pivots!$A$4,"Date ",E68,"Company",$K$34,"Market",$D$4,"Product",$D$3)=0,NA(),GETPIVOTDATA("Avg. Price",Pivots!$A$4,"Date ",E68,"Company",$K$34,"Market",$D$4,"Product",$D$3)),NA())</f>
        <v>#N/A</v>
      </c>
      <c r="L68" s="2" t="e">
        <f>IFERROR(IF(GETPIVOTDATA("Avg. Price",Pivots!$A$4,"Date ",E68,"Company",$L$34,"Market",$D$4,"Product",$D$3)=0,NA(),GETPIVOTDATA("Avg. Price",Pivots!$A$4,"Date ",E68,"Company",$L$34,"Market",$D$4,"Product",$D$3)),NA())</f>
        <v>#N/A</v>
      </c>
      <c r="M68" s="2" t="e">
        <f>IFERROR(IF(GETPIVOTDATA("Avg. Price",Pivots!$A$4,"Date ",E68,"Company",$M$34,"Market",$D$4,"Product",$D$3)=0,NA(),GETPIVOTDATA("Avg. Price",Pivots!$A$4,"Date ",E68,"Company",$M$34,"Market",$D$4,"Product",$D$3)),NA())</f>
        <v>#N/A</v>
      </c>
      <c r="N68" s="2" t="e">
        <f>IFERROR(IF(GETPIVOTDATA("Avg. Price",Pivots!$A$4,"Date ",E68,"Company",$N$34,"Market",$D$4,"Product",$D$3)=0,NA(),GETPIVOTDATA("Avg. Price",Pivots!$A$4,"Date ",E68,"Company",$N$34,"Market",$D$4,"Product",$D$3)),NA())</f>
        <v>#N/A</v>
      </c>
      <c r="O68" s="2" t="e">
        <f>IFERROR(IF(GETPIVOTDATA("Avg. Price",Pivots!$A$4,"Date ",E68,"Company",$O$34,"Market",$D$4,"Product",$D$3)=0,NA(),GETPIVOTDATA("Avg. Price",Pivots!$A$4,"Date ",E68,"Company",$O$34,"Market",$D$4,"Product",$D$3)),NA())</f>
        <v>#N/A</v>
      </c>
    </row>
    <row r="69" spans="5:15" hidden="1" x14ac:dyDescent="0.45">
      <c r="E69" s="10">
        <v>45326</v>
      </c>
      <c r="F69" s="2" t="e">
        <f>IFERROR(IF(GETPIVOTDATA("Avg. Price",Pivots!$A$4,"Date ",E69,"Company",$F$34,"Market",$D$4,"Product",$D$3)=0,NA(),GETPIVOTDATA("Avg. Price",Pivots!$A$4,"Date ",E69,"Company",$F$34,"Market",$D$4,"Product",$D$3)),NA())</f>
        <v>#N/A</v>
      </c>
      <c r="G69" s="2" t="e">
        <f>IFERROR(IF(GETPIVOTDATA("Avg. Price",Pivots!$A$4,"Date ",E69,"Company",$G$34,"Market",$D$4,"Product",$D$3)=0,NA(),GETPIVOTDATA("Avg. Price",Pivots!$A$4,"Date ",E69,"Company",$G$34,"Market",$D$4,"Product",$D$3)),NA())</f>
        <v>#N/A</v>
      </c>
      <c r="H69" s="2" t="e">
        <f>IFERROR(IF(GETPIVOTDATA("Avg. Price",Pivots!$A$4,"Date ",E69,"Company",$H$34,"Market",$D$4,"Product",$D$3)=0,NA(),GETPIVOTDATA("Avg. Price",Pivots!$A$4,"Date ",E69,"Company",$H$34,"Market",$D$4,"Product",$D$3)),NA())</f>
        <v>#N/A</v>
      </c>
      <c r="I69" s="2" t="e">
        <f>IFERROR(IF(GETPIVOTDATA("Avg. Price",Pivots!$A$4,"Date ",E69,"Company",$I$34,"Market",$D$4,"Product",$D$3)=0,NA(),GETPIVOTDATA("Avg. Price",Pivots!$A$4,"Date ",E69,"Company",$I$34,"Market",$D$4,"Product",$D$3)),NA())</f>
        <v>#N/A</v>
      </c>
      <c r="J69" s="2" t="e">
        <f>IFERROR(IF(GETPIVOTDATA("Avg. Price",Pivots!$A$4,"Date ",E69,"Company",$J$34,"Market",$D$4,"Product",$D$3)=0,NA(),GETPIVOTDATA("Avg. Price",Pivots!$A$4,"Date ",E69,"Company",$J$34,"Market",$D$4,"Product",$D$3)),NA())</f>
        <v>#N/A</v>
      </c>
      <c r="K69" s="2" t="e">
        <f>IFERROR(IF(GETPIVOTDATA("Avg. Price",Pivots!$A$4,"Date ",E69,"Company",$K$34,"Market",$D$4,"Product",$D$3)=0,NA(),GETPIVOTDATA("Avg. Price",Pivots!$A$4,"Date ",E69,"Company",$K$34,"Market",$D$4,"Product",$D$3)),NA())</f>
        <v>#N/A</v>
      </c>
      <c r="L69" s="2" t="e">
        <f>IFERROR(IF(GETPIVOTDATA("Avg. Price",Pivots!$A$4,"Date ",E69,"Company",$L$34,"Market",$D$4,"Product",$D$3)=0,NA(),GETPIVOTDATA("Avg. Price",Pivots!$A$4,"Date ",E69,"Company",$L$34,"Market",$D$4,"Product",$D$3)),NA())</f>
        <v>#N/A</v>
      </c>
      <c r="M69" s="2" t="e">
        <f>IFERROR(IF(GETPIVOTDATA("Avg. Price",Pivots!$A$4,"Date ",E69,"Company",$M$34,"Market",$D$4,"Product",$D$3)=0,NA(),GETPIVOTDATA("Avg. Price",Pivots!$A$4,"Date ",E69,"Company",$M$34,"Market",$D$4,"Product",$D$3)),NA())</f>
        <v>#N/A</v>
      </c>
      <c r="N69" s="2" t="e">
        <f>IFERROR(IF(GETPIVOTDATA("Avg. Price",Pivots!$A$4,"Date ",E69,"Company",$N$34,"Market",$D$4,"Product",$D$3)=0,NA(),GETPIVOTDATA("Avg. Price",Pivots!$A$4,"Date ",E69,"Company",$N$34,"Market",$D$4,"Product",$D$3)),NA())</f>
        <v>#N/A</v>
      </c>
      <c r="O69" s="2" t="e">
        <f>IFERROR(IF(GETPIVOTDATA("Avg. Price",Pivots!$A$4,"Date ",E69,"Company",$O$34,"Market",$D$4,"Product",$D$3)=0,NA(),GETPIVOTDATA("Avg. Price",Pivots!$A$4,"Date ",E69,"Company",$O$34,"Market",$D$4,"Product",$D$3)),NA())</f>
        <v>#N/A</v>
      </c>
    </row>
    <row r="70" spans="5:15" hidden="1" x14ac:dyDescent="0.45">
      <c r="E70" s="10">
        <v>45327</v>
      </c>
      <c r="F70" s="2" t="e">
        <f>IFERROR(IF(GETPIVOTDATA("Avg. Price",Pivots!$A$4,"Date ",E70,"Company",$F$34,"Market",$D$4,"Product",$D$3)=0,NA(),GETPIVOTDATA("Avg. Price",Pivots!$A$4,"Date ",E70,"Company",$F$34,"Market",$D$4,"Product",$D$3)),NA())</f>
        <v>#N/A</v>
      </c>
      <c r="G70" s="2" t="e">
        <f>IFERROR(IF(GETPIVOTDATA("Avg. Price",Pivots!$A$4,"Date ",E70,"Company",$G$34,"Market",$D$4,"Product",$D$3)=0,NA(),GETPIVOTDATA("Avg. Price",Pivots!$A$4,"Date ",E70,"Company",$G$34,"Market",$D$4,"Product",$D$3)),NA())</f>
        <v>#N/A</v>
      </c>
      <c r="H70" s="2" t="e">
        <f>IFERROR(IF(GETPIVOTDATA("Avg. Price",Pivots!$A$4,"Date ",E70,"Company",$H$34,"Market",$D$4,"Product",$D$3)=0,NA(),GETPIVOTDATA("Avg. Price",Pivots!$A$4,"Date ",E70,"Company",$H$34,"Market",$D$4,"Product",$D$3)),NA())</f>
        <v>#N/A</v>
      </c>
      <c r="I70" s="2" t="e">
        <f>IFERROR(IF(GETPIVOTDATA("Avg. Price",Pivots!$A$4,"Date ",E70,"Company",$I$34,"Market",$D$4,"Product",$D$3)=0,NA(),GETPIVOTDATA("Avg. Price",Pivots!$A$4,"Date ",E70,"Company",$I$34,"Market",$D$4,"Product",$D$3)),NA())</f>
        <v>#N/A</v>
      </c>
      <c r="J70" s="2" t="e">
        <f>IFERROR(IF(GETPIVOTDATA("Avg. Price",Pivots!$A$4,"Date ",E70,"Company",$J$34,"Market",$D$4,"Product",$D$3)=0,NA(),GETPIVOTDATA("Avg. Price",Pivots!$A$4,"Date ",E70,"Company",$J$34,"Market",$D$4,"Product",$D$3)),NA())</f>
        <v>#N/A</v>
      </c>
      <c r="K70" s="2" t="e">
        <f>IFERROR(IF(GETPIVOTDATA("Avg. Price",Pivots!$A$4,"Date ",E70,"Company",$K$34,"Market",$D$4,"Product",$D$3)=0,NA(),GETPIVOTDATA("Avg. Price",Pivots!$A$4,"Date ",E70,"Company",$K$34,"Market",$D$4,"Product",$D$3)),NA())</f>
        <v>#N/A</v>
      </c>
      <c r="L70" s="2" t="e">
        <f>IFERROR(IF(GETPIVOTDATA("Avg. Price",Pivots!$A$4,"Date ",E70,"Company",$L$34,"Market",$D$4,"Product",$D$3)=0,NA(),GETPIVOTDATA("Avg. Price",Pivots!$A$4,"Date ",E70,"Company",$L$34,"Market",$D$4,"Product",$D$3)),NA())</f>
        <v>#N/A</v>
      </c>
      <c r="M70" s="2" t="e">
        <f>IFERROR(IF(GETPIVOTDATA("Avg. Price",Pivots!$A$4,"Date ",E70,"Company",$M$34,"Market",$D$4,"Product",$D$3)=0,NA(),GETPIVOTDATA("Avg. Price",Pivots!$A$4,"Date ",E70,"Company",$M$34,"Market",$D$4,"Product",$D$3)),NA())</f>
        <v>#N/A</v>
      </c>
      <c r="N70" s="2" t="e">
        <f>IFERROR(IF(GETPIVOTDATA("Avg. Price",Pivots!$A$4,"Date ",E70,"Company",$N$34,"Market",$D$4,"Product",$D$3)=0,NA(),GETPIVOTDATA("Avg. Price",Pivots!$A$4,"Date ",E70,"Company",$N$34,"Market",$D$4,"Product",$D$3)),NA())</f>
        <v>#N/A</v>
      </c>
      <c r="O70" s="2" t="e">
        <f>IFERROR(IF(GETPIVOTDATA("Avg. Price",Pivots!$A$4,"Date ",E70,"Company",$O$34,"Market",$D$4,"Product",$D$3)=0,NA(),GETPIVOTDATA("Avg. Price",Pivots!$A$4,"Date ",E70,"Company",$O$34,"Market",$D$4,"Product",$D$3)),NA())</f>
        <v>#N/A</v>
      </c>
    </row>
    <row r="71" spans="5:15" hidden="1" x14ac:dyDescent="0.45">
      <c r="E71" s="10">
        <v>45328</v>
      </c>
      <c r="F71" s="2" t="e">
        <f>IFERROR(IF(GETPIVOTDATA("Avg. Price",Pivots!$A$4,"Date ",E71,"Company",$F$34,"Market",$D$4,"Product",$D$3)=0,NA(),GETPIVOTDATA("Avg. Price",Pivots!$A$4,"Date ",E71,"Company",$F$34,"Market",$D$4,"Product",$D$3)),NA())</f>
        <v>#N/A</v>
      </c>
      <c r="G71" s="2" t="e">
        <f>IFERROR(IF(GETPIVOTDATA("Avg. Price",Pivots!$A$4,"Date ",E71,"Company",$G$34,"Market",$D$4,"Product",$D$3)=0,NA(),GETPIVOTDATA("Avg. Price",Pivots!$A$4,"Date ",E71,"Company",$G$34,"Market",$D$4,"Product",$D$3)),NA())</f>
        <v>#N/A</v>
      </c>
      <c r="H71" s="2" t="e">
        <f>IFERROR(IF(GETPIVOTDATA("Avg. Price",Pivots!$A$4,"Date ",E71,"Company",$H$34,"Market",$D$4,"Product",$D$3)=0,NA(),GETPIVOTDATA("Avg. Price",Pivots!$A$4,"Date ",E71,"Company",$H$34,"Market",$D$4,"Product",$D$3)),NA())</f>
        <v>#N/A</v>
      </c>
      <c r="I71" s="2" t="e">
        <f>IFERROR(IF(GETPIVOTDATA("Avg. Price",Pivots!$A$4,"Date ",E71,"Company",$I$34,"Market",$D$4,"Product",$D$3)=0,NA(),GETPIVOTDATA("Avg. Price",Pivots!$A$4,"Date ",E71,"Company",$I$34,"Market",$D$4,"Product",$D$3)),NA())</f>
        <v>#N/A</v>
      </c>
      <c r="J71" s="2" t="e">
        <f>IFERROR(IF(GETPIVOTDATA("Avg. Price",Pivots!$A$4,"Date ",E71,"Company",$J$34,"Market",$D$4,"Product",$D$3)=0,NA(),GETPIVOTDATA("Avg. Price",Pivots!$A$4,"Date ",E71,"Company",$J$34,"Market",$D$4,"Product",$D$3)),NA())</f>
        <v>#N/A</v>
      </c>
      <c r="K71" s="2" t="e">
        <f>IFERROR(IF(GETPIVOTDATA("Avg. Price",Pivots!$A$4,"Date ",E71,"Company",$K$34,"Market",$D$4,"Product",$D$3)=0,NA(),GETPIVOTDATA("Avg. Price",Pivots!$A$4,"Date ",E71,"Company",$K$34,"Market",$D$4,"Product",$D$3)),NA())</f>
        <v>#N/A</v>
      </c>
      <c r="L71" s="2" t="e">
        <f>IFERROR(IF(GETPIVOTDATA("Avg. Price",Pivots!$A$4,"Date ",E71,"Company",$L$34,"Market",$D$4,"Product",$D$3)=0,NA(),GETPIVOTDATA("Avg. Price",Pivots!$A$4,"Date ",E71,"Company",$L$34,"Market",$D$4,"Product",$D$3)),NA())</f>
        <v>#N/A</v>
      </c>
      <c r="M71" s="2" t="e">
        <f>IFERROR(IF(GETPIVOTDATA("Avg. Price",Pivots!$A$4,"Date ",E71,"Company",$M$34,"Market",$D$4,"Product",$D$3)=0,NA(),GETPIVOTDATA("Avg. Price",Pivots!$A$4,"Date ",E71,"Company",$M$34,"Market",$D$4,"Product",$D$3)),NA())</f>
        <v>#N/A</v>
      </c>
      <c r="N71" s="2" t="e">
        <f>IFERROR(IF(GETPIVOTDATA("Avg. Price",Pivots!$A$4,"Date ",E71,"Company",$N$34,"Market",$D$4,"Product",$D$3)=0,NA(),GETPIVOTDATA("Avg. Price",Pivots!$A$4,"Date ",E71,"Company",$N$34,"Market",$D$4,"Product",$D$3)),NA())</f>
        <v>#N/A</v>
      </c>
      <c r="O71" s="2" t="e">
        <f>IFERROR(IF(GETPIVOTDATA("Avg. Price",Pivots!$A$4,"Date ",E71,"Company",$O$34,"Market",$D$4,"Product",$D$3)=0,NA(),GETPIVOTDATA("Avg. Price",Pivots!$A$4,"Date ",E71,"Company",$O$34,"Market",$D$4,"Product",$D$3)),NA())</f>
        <v>#N/A</v>
      </c>
    </row>
    <row r="72" spans="5:15" hidden="1" x14ac:dyDescent="0.45">
      <c r="E72" s="10">
        <v>45329</v>
      </c>
      <c r="F72" s="2" t="e">
        <f>IFERROR(IF(GETPIVOTDATA("Avg. Price",Pivots!$A$4,"Date ",E72,"Company",$F$34,"Market",$D$4,"Product",$D$3)=0,NA(),GETPIVOTDATA("Avg. Price",Pivots!$A$4,"Date ",E72,"Company",$F$34,"Market",$D$4,"Product",$D$3)),NA())</f>
        <v>#N/A</v>
      </c>
      <c r="G72" s="2" t="e">
        <f>IFERROR(IF(GETPIVOTDATA("Avg. Price",Pivots!$A$4,"Date ",E72,"Company",$G$34,"Market",$D$4,"Product",$D$3)=0,NA(),GETPIVOTDATA("Avg. Price",Pivots!$A$4,"Date ",E72,"Company",$G$34,"Market",$D$4,"Product",$D$3)),NA())</f>
        <v>#N/A</v>
      </c>
      <c r="H72" s="2" t="e">
        <f>IFERROR(IF(GETPIVOTDATA("Avg. Price",Pivots!$A$4,"Date ",E72,"Company",$H$34,"Market",$D$4,"Product",$D$3)=0,NA(),GETPIVOTDATA("Avg. Price",Pivots!$A$4,"Date ",E72,"Company",$H$34,"Market",$D$4,"Product",$D$3)),NA())</f>
        <v>#N/A</v>
      </c>
      <c r="I72" s="2" t="e">
        <f>IFERROR(IF(GETPIVOTDATA("Avg. Price",Pivots!$A$4,"Date ",E72,"Company",$I$34,"Market",$D$4,"Product",$D$3)=0,NA(),GETPIVOTDATA("Avg. Price",Pivots!$A$4,"Date ",E72,"Company",$I$34,"Market",$D$4,"Product",$D$3)),NA())</f>
        <v>#N/A</v>
      </c>
      <c r="J72" s="2" t="e">
        <f>IFERROR(IF(GETPIVOTDATA("Avg. Price",Pivots!$A$4,"Date ",E72,"Company",$J$34,"Market",$D$4,"Product",$D$3)=0,NA(),GETPIVOTDATA("Avg. Price",Pivots!$A$4,"Date ",E72,"Company",$J$34,"Market",$D$4,"Product",$D$3)),NA())</f>
        <v>#N/A</v>
      </c>
      <c r="K72" s="2" t="e">
        <f>IFERROR(IF(GETPIVOTDATA("Avg. Price",Pivots!$A$4,"Date ",E72,"Company",$K$34,"Market",$D$4,"Product",$D$3)=0,NA(),GETPIVOTDATA("Avg. Price",Pivots!$A$4,"Date ",E72,"Company",$K$34,"Market",$D$4,"Product",$D$3)),NA())</f>
        <v>#N/A</v>
      </c>
      <c r="L72" s="2" t="e">
        <f>IFERROR(IF(GETPIVOTDATA("Avg. Price",Pivots!$A$4,"Date ",E72,"Company",$L$34,"Market",$D$4,"Product",$D$3)=0,NA(),GETPIVOTDATA("Avg. Price",Pivots!$A$4,"Date ",E72,"Company",$L$34,"Market",$D$4,"Product",$D$3)),NA())</f>
        <v>#N/A</v>
      </c>
      <c r="M72" s="2" t="e">
        <f>IFERROR(IF(GETPIVOTDATA("Avg. Price",Pivots!$A$4,"Date ",E72,"Company",$M$34,"Market",$D$4,"Product",$D$3)=0,NA(),GETPIVOTDATA("Avg. Price",Pivots!$A$4,"Date ",E72,"Company",$M$34,"Market",$D$4,"Product",$D$3)),NA())</f>
        <v>#N/A</v>
      </c>
      <c r="N72" s="2" t="e">
        <f>IFERROR(IF(GETPIVOTDATA("Avg. Price",Pivots!$A$4,"Date ",E72,"Company",$N$34,"Market",$D$4,"Product",$D$3)=0,NA(),GETPIVOTDATA("Avg. Price",Pivots!$A$4,"Date ",E72,"Company",$N$34,"Market",$D$4,"Product",$D$3)),NA())</f>
        <v>#N/A</v>
      </c>
      <c r="O72" s="2" t="e">
        <f>IFERROR(IF(GETPIVOTDATA("Avg. Price",Pivots!$A$4,"Date ",E72,"Company",$O$34,"Market",$D$4,"Product",$D$3)=0,NA(),GETPIVOTDATA("Avg. Price",Pivots!$A$4,"Date ",E72,"Company",$O$34,"Market",$D$4,"Product",$D$3)),NA())</f>
        <v>#N/A</v>
      </c>
    </row>
    <row r="73" spans="5:15" hidden="1" x14ac:dyDescent="0.45">
      <c r="E73" s="10">
        <v>45330</v>
      </c>
      <c r="F73" s="2" t="e">
        <f>IFERROR(IF(GETPIVOTDATA("Avg. Price",Pivots!$A$4,"Date ",E73,"Company",$F$34,"Market",$D$4,"Product",$D$3)=0,NA(),GETPIVOTDATA("Avg. Price",Pivots!$A$4,"Date ",E73,"Company",$F$34,"Market",$D$4,"Product",$D$3)),NA())</f>
        <v>#N/A</v>
      </c>
      <c r="G73" s="2" t="e">
        <f>IFERROR(IF(GETPIVOTDATA("Avg. Price",Pivots!$A$4,"Date ",E73,"Company",$G$34,"Market",$D$4,"Product",$D$3)=0,NA(),GETPIVOTDATA("Avg. Price",Pivots!$A$4,"Date ",E73,"Company",$G$34,"Market",$D$4,"Product",$D$3)),NA())</f>
        <v>#N/A</v>
      </c>
      <c r="H73" s="2" t="e">
        <f>IFERROR(IF(GETPIVOTDATA("Avg. Price",Pivots!$A$4,"Date ",E73,"Company",$H$34,"Market",$D$4,"Product",$D$3)=0,NA(),GETPIVOTDATA("Avg. Price",Pivots!$A$4,"Date ",E73,"Company",$H$34,"Market",$D$4,"Product",$D$3)),NA())</f>
        <v>#N/A</v>
      </c>
      <c r="I73" s="2" t="e">
        <f>IFERROR(IF(GETPIVOTDATA("Avg. Price",Pivots!$A$4,"Date ",E73,"Company",$I$34,"Market",$D$4,"Product",$D$3)=0,NA(),GETPIVOTDATA("Avg. Price",Pivots!$A$4,"Date ",E73,"Company",$I$34,"Market",$D$4,"Product",$D$3)),NA())</f>
        <v>#N/A</v>
      </c>
      <c r="J73" s="2" t="e">
        <f>IFERROR(IF(GETPIVOTDATA("Avg. Price",Pivots!$A$4,"Date ",E73,"Company",$J$34,"Market",$D$4,"Product",$D$3)=0,NA(),GETPIVOTDATA("Avg. Price",Pivots!$A$4,"Date ",E73,"Company",$J$34,"Market",$D$4,"Product",$D$3)),NA())</f>
        <v>#N/A</v>
      </c>
      <c r="K73" s="2" t="e">
        <f>IFERROR(IF(GETPIVOTDATA("Avg. Price",Pivots!$A$4,"Date ",E73,"Company",$K$34,"Market",$D$4,"Product",$D$3)=0,NA(),GETPIVOTDATA("Avg. Price",Pivots!$A$4,"Date ",E73,"Company",$K$34,"Market",$D$4,"Product",$D$3)),NA())</f>
        <v>#N/A</v>
      </c>
      <c r="L73" s="2" t="e">
        <f>IFERROR(IF(GETPIVOTDATA("Avg. Price",Pivots!$A$4,"Date ",E73,"Company",$L$34,"Market",$D$4,"Product",$D$3)=0,NA(),GETPIVOTDATA("Avg. Price",Pivots!$A$4,"Date ",E73,"Company",$L$34,"Market",$D$4,"Product",$D$3)),NA())</f>
        <v>#N/A</v>
      </c>
      <c r="M73" s="2" t="e">
        <f>IFERROR(IF(GETPIVOTDATA("Avg. Price",Pivots!$A$4,"Date ",E73,"Company",$M$34,"Market",$D$4,"Product",$D$3)=0,NA(),GETPIVOTDATA("Avg. Price",Pivots!$A$4,"Date ",E73,"Company",$M$34,"Market",$D$4,"Product",$D$3)),NA())</f>
        <v>#N/A</v>
      </c>
      <c r="N73" s="2" t="e">
        <f>IFERROR(IF(GETPIVOTDATA("Avg. Price",Pivots!$A$4,"Date ",E73,"Company",$N$34,"Market",$D$4,"Product",$D$3)=0,NA(),GETPIVOTDATA("Avg. Price",Pivots!$A$4,"Date ",E73,"Company",$N$34,"Market",$D$4,"Product",$D$3)),NA())</f>
        <v>#N/A</v>
      </c>
      <c r="O73" s="2" t="e">
        <f>IFERROR(IF(GETPIVOTDATA("Avg. Price",Pivots!$A$4,"Date ",E73,"Company",$O$34,"Market",$D$4,"Product",$D$3)=0,NA(),GETPIVOTDATA("Avg. Price",Pivots!$A$4,"Date ",E73,"Company",$O$34,"Market",$D$4,"Product",$D$3)),NA())</f>
        <v>#N/A</v>
      </c>
    </row>
    <row r="74" spans="5:15" hidden="1" x14ac:dyDescent="0.45">
      <c r="E74" s="10">
        <v>45331</v>
      </c>
      <c r="F74" s="2" t="e">
        <f>IFERROR(IF(GETPIVOTDATA("Avg. Price",Pivots!$A$4,"Date ",E74,"Company",$F$34,"Market",$D$4,"Product",$D$3)=0,NA(),GETPIVOTDATA("Avg. Price",Pivots!$A$4,"Date ",E74,"Company",$F$34,"Market",$D$4,"Product",$D$3)),NA())</f>
        <v>#N/A</v>
      </c>
      <c r="G74" s="2" t="e">
        <f>IFERROR(IF(GETPIVOTDATA("Avg. Price",Pivots!$A$4,"Date ",E74,"Company",$G$34,"Market",$D$4,"Product",$D$3)=0,NA(),GETPIVOTDATA("Avg. Price",Pivots!$A$4,"Date ",E74,"Company",$G$34,"Market",$D$4,"Product",$D$3)),NA())</f>
        <v>#N/A</v>
      </c>
      <c r="H74" s="2" t="e">
        <f>IFERROR(IF(GETPIVOTDATA("Avg. Price",Pivots!$A$4,"Date ",E74,"Company",$H$34,"Market",$D$4,"Product",$D$3)=0,NA(),GETPIVOTDATA("Avg. Price",Pivots!$A$4,"Date ",E74,"Company",$H$34,"Market",$D$4,"Product",$D$3)),NA())</f>
        <v>#N/A</v>
      </c>
      <c r="I74" s="2" t="e">
        <f>IFERROR(IF(GETPIVOTDATA("Avg. Price",Pivots!$A$4,"Date ",E74,"Company",$I$34,"Market",$D$4,"Product",$D$3)=0,NA(),GETPIVOTDATA("Avg. Price",Pivots!$A$4,"Date ",E74,"Company",$I$34,"Market",$D$4,"Product",$D$3)),NA())</f>
        <v>#N/A</v>
      </c>
      <c r="J74" s="2" t="e">
        <f>IFERROR(IF(GETPIVOTDATA("Avg. Price",Pivots!$A$4,"Date ",E74,"Company",$J$34,"Market",$D$4,"Product",$D$3)=0,NA(),GETPIVOTDATA("Avg. Price",Pivots!$A$4,"Date ",E74,"Company",$J$34,"Market",$D$4,"Product",$D$3)),NA())</f>
        <v>#N/A</v>
      </c>
      <c r="K74" s="2" t="e">
        <f>IFERROR(IF(GETPIVOTDATA("Avg. Price",Pivots!$A$4,"Date ",E74,"Company",$K$34,"Market",$D$4,"Product",$D$3)=0,NA(),GETPIVOTDATA("Avg. Price",Pivots!$A$4,"Date ",E74,"Company",$K$34,"Market",$D$4,"Product",$D$3)),NA())</f>
        <v>#N/A</v>
      </c>
      <c r="L74" s="2" t="e">
        <f>IFERROR(IF(GETPIVOTDATA("Avg. Price",Pivots!$A$4,"Date ",E74,"Company",$L$34,"Market",$D$4,"Product",$D$3)=0,NA(),GETPIVOTDATA("Avg. Price",Pivots!$A$4,"Date ",E74,"Company",$L$34,"Market",$D$4,"Product",$D$3)),NA())</f>
        <v>#N/A</v>
      </c>
      <c r="M74" s="2" t="e">
        <f>IFERROR(IF(GETPIVOTDATA("Avg. Price",Pivots!$A$4,"Date ",E74,"Company",$M$34,"Market",$D$4,"Product",$D$3)=0,NA(),GETPIVOTDATA("Avg. Price",Pivots!$A$4,"Date ",E74,"Company",$M$34,"Market",$D$4,"Product",$D$3)),NA())</f>
        <v>#N/A</v>
      </c>
      <c r="N74" s="2" t="e">
        <f>IFERROR(IF(GETPIVOTDATA("Avg. Price",Pivots!$A$4,"Date ",E74,"Company",$N$34,"Market",$D$4,"Product",$D$3)=0,NA(),GETPIVOTDATA("Avg. Price",Pivots!$A$4,"Date ",E74,"Company",$N$34,"Market",$D$4,"Product",$D$3)),NA())</f>
        <v>#N/A</v>
      </c>
      <c r="O74" s="2" t="e">
        <f>IFERROR(IF(GETPIVOTDATA("Avg. Price",Pivots!$A$4,"Date ",E74,"Company",$O$34,"Market",$D$4,"Product",$D$3)=0,NA(),GETPIVOTDATA("Avg. Price",Pivots!$A$4,"Date ",E74,"Company",$O$34,"Market",$D$4,"Product",$D$3)),NA())</f>
        <v>#N/A</v>
      </c>
    </row>
    <row r="75" spans="5:15" hidden="1" x14ac:dyDescent="0.45">
      <c r="E75" s="10">
        <v>45332</v>
      </c>
      <c r="F75" s="2" t="e">
        <f>IFERROR(IF(GETPIVOTDATA("Avg. Price",Pivots!$A$4,"Date ",E75,"Company",$F$34,"Market",$D$4,"Product",$D$3)=0,NA(),GETPIVOTDATA("Avg. Price",Pivots!$A$4,"Date ",E75,"Company",$F$34,"Market",$D$4,"Product",$D$3)),NA())</f>
        <v>#N/A</v>
      </c>
      <c r="G75" s="2" t="e">
        <f>IFERROR(IF(GETPIVOTDATA("Avg. Price",Pivots!$A$4,"Date ",E75,"Company",$G$34,"Market",$D$4,"Product",$D$3)=0,NA(),GETPIVOTDATA("Avg. Price",Pivots!$A$4,"Date ",E75,"Company",$G$34,"Market",$D$4,"Product",$D$3)),NA())</f>
        <v>#N/A</v>
      </c>
      <c r="H75" s="2" t="e">
        <f>IFERROR(IF(GETPIVOTDATA("Avg. Price",Pivots!$A$4,"Date ",E75,"Company",$H$34,"Market",$D$4,"Product",$D$3)=0,NA(),GETPIVOTDATA("Avg. Price",Pivots!$A$4,"Date ",E75,"Company",$H$34,"Market",$D$4,"Product",$D$3)),NA())</f>
        <v>#N/A</v>
      </c>
      <c r="I75" s="2" t="e">
        <f>IFERROR(IF(GETPIVOTDATA("Avg. Price",Pivots!$A$4,"Date ",E75,"Company",$I$34,"Market",$D$4,"Product",$D$3)=0,NA(),GETPIVOTDATA("Avg. Price",Pivots!$A$4,"Date ",E75,"Company",$I$34,"Market",$D$4,"Product",$D$3)),NA())</f>
        <v>#N/A</v>
      </c>
      <c r="J75" s="2" t="e">
        <f>IFERROR(IF(GETPIVOTDATA("Avg. Price",Pivots!$A$4,"Date ",E75,"Company",$J$34,"Market",$D$4,"Product",$D$3)=0,NA(),GETPIVOTDATA("Avg. Price",Pivots!$A$4,"Date ",E75,"Company",$J$34,"Market",$D$4,"Product",$D$3)),NA())</f>
        <v>#N/A</v>
      </c>
      <c r="K75" s="2" t="e">
        <f>IFERROR(IF(GETPIVOTDATA("Avg. Price",Pivots!$A$4,"Date ",E75,"Company",$K$34,"Market",$D$4,"Product",$D$3)=0,NA(),GETPIVOTDATA("Avg. Price",Pivots!$A$4,"Date ",E75,"Company",$K$34,"Market",$D$4,"Product",$D$3)),NA())</f>
        <v>#N/A</v>
      </c>
      <c r="L75" s="2" t="e">
        <f>IFERROR(IF(GETPIVOTDATA("Avg. Price",Pivots!$A$4,"Date ",E75,"Company",$L$34,"Market",$D$4,"Product",$D$3)=0,NA(),GETPIVOTDATA("Avg. Price",Pivots!$A$4,"Date ",E75,"Company",$L$34,"Market",$D$4,"Product",$D$3)),NA())</f>
        <v>#N/A</v>
      </c>
      <c r="M75" s="2" t="e">
        <f>IFERROR(IF(GETPIVOTDATA("Avg. Price",Pivots!$A$4,"Date ",E75,"Company",$M$34,"Market",$D$4,"Product",$D$3)=0,NA(),GETPIVOTDATA("Avg. Price",Pivots!$A$4,"Date ",E75,"Company",$M$34,"Market",$D$4,"Product",$D$3)),NA())</f>
        <v>#N/A</v>
      </c>
      <c r="N75" s="2" t="e">
        <f>IFERROR(IF(GETPIVOTDATA("Avg. Price",Pivots!$A$4,"Date ",E75,"Company",$N$34,"Market",$D$4,"Product",$D$3)=0,NA(),GETPIVOTDATA("Avg. Price",Pivots!$A$4,"Date ",E75,"Company",$N$34,"Market",$D$4,"Product",$D$3)),NA())</f>
        <v>#N/A</v>
      </c>
      <c r="O75" s="2" t="e">
        <f>IFERROR(IF(GETPIVOTDATA("Avg. Price",Pivots!$A$4,"Date ",E75,"Company",$O$34,"Market",$D$4,"Product",$D$3)=0,NA(),GETPIVOTDATA("Avg. Price",Pivots!$A$4,"Date ",E75,"Company",$O$34,"Market",$D$4,"Product",$D$3)),NA())</f>
        <v>#N/A</v>
      </c>
    </row>
    <row r="76" spans="5:15" hidden="1" x14ac:dyDescent="0.45">
      <c r="E76" s="10">
        <v>45333</v>
      </c>
      <c r="F76" s="2" t="e">
        <f>IFERROR(IF(GETPIVOTDATA("Avg. Price",Pivots!$A$4,"Date ",E76,"Company",$F$34,"Market",$D$4,"Product",$D$3)=0,NA(),GETPIVOTDATA("Avg. Price",Pivots!$A$4,"Date ",E76,"Company",$F$34,"Market",$D$4,"Product",$D$3)),NA())</f>
        <v>#N/A</v>
      </c>
      <c r="G76" s="2" t="e">
        <f>IFERROR(IF(GETPIVOTDATA("Avg. Price",Pivots!$A$4,"Date ",E76,"Company",$G$34,"Market",$D$4,"Product",$D$3)=0,NA(),GETPIVOTDATA("Avg. Price",Pivots!$A$4,"Date ",E76,"Company",$G$34,"Market",$D$4,"Product",$D$3)),NA())</f>
        <v>#N/A</v>
      </c>
      <c r="H76" s="2" t="e">
        <f>IFERROR(IF(GETPIVOTDATA("Avg. Price",Pivots!$A$4,"Date ",E76,"Company",$H$34,"Market",$D$4,"Product",$D$3)=0,NA(),GETPIVOTDATA("Avg. Price",Pivots!$A$4,"Date ",E76,"Company",$H$34,"Market",$D$4,"Product",$D$3)),NA())</f>
        <v>#N/A</v>
      </c>
      <c r="I76" s="2" t="e">
        <f>IFERROR(IF(GETPIVOTDATA("Avg. Price",Pivots!$A$4,"Date ",E76,"Company",$I$34,"Market",$D$4,"Product",$D$3)=0,NA(),GETPIVOTDATA("Avg. Price",Pivots!$A$4,"Date ",E76,"Company",$I$34,"Market",$D$4,"Product",$D$3)),NA())</f>
        <v>#N/A</v>
      </c>
      <c r="J76" s="2" t="e">
        <f>IFERROR(IF(GETPIVOTDATA("Avg. Price",Pivots!$A$4,"Date ",E76,"Company",$J$34,"Market",$D$4,"Product",$D$3)=0,NA(),GETPIVOTDATA("Avg. Price",Pivots!$A$4,"Date ",E76,"Company",$J$34,"Market",$D$4,"Product",$D$3)),NA())</f>
        <v>#N/A</v>
      </c>
      <c r="K76" s="2" t="e">
        <f>IFERROR(IF(GETPIVOTDATA("Avg. Price",Pivots!$A$4,"Date ",E76,"Company",$K$34,"Market",$D$4,"Product",$D$3)=0,NA(),GETPIVOTDATA("Avg. Price",Pivots!$A$4,"Date ",E76,"Company",$K$34,"Market",$D$4,"Product",$D$3)),NA())</f>
        <v>#N/A</v>
      </c>
      <c r="L76" s="2" t="e">
        <f>IFERROR(IF(GETPIVOTDATA("Avg. Price",Pivots!$A$4,"Date ",E76,"Company",$L$34,"Market",$D$4,"Product",$D$3)=0,NA(),GETPIVOTDATA("Avg. Price",Pivots!$A$4,"Date ",E76,"Company",$L$34,"Market",$D$4,"Product",$D$3)),NA())</f>
        <v>#N/A</v>
      </c>
      <c r="M76" s="2" t="e">
        <f>IFERROR(IF(GETPIVOTDATA("Avg. Price",Pivots!$A$4,"Date ",E76,"Company",$M$34,"Market",$D$4,"Product",$D$3)=0,NA(),GETPIVOTDATA("Avg. Price",Pivots!$A$4,"Date ",E76,"Company",$M$34,"Market",$D$4,"Product",$D$3)),NA())</f>
        <v>#N/A</v>
      </c>
      <c r="N76" s="2" t="e">
        <f>IFERROR(IF(GETPIVOTDATA("Avg. Price",Pivots!$A$4,"Date ",E76,"Company",$N$34,"Market",$D$4,"Product",$D$3)=0,NA(),GETPIVOTDATA("Avg. Price",Pivots!$A$4,"Date ",E76,"Company",$N$34,"Market",$D$4,"Product",$D$3)),NA())</f>
        <v>#N/A</v>
      </c>
      <c r="O76" s="2" t="e">
        <f>IFERROR(IF(GETPIVOTDATA("Avg. Price",Pivots!$A$4,"Date ",E76,"Company",$O$34,"Market",$D$4,"Product",$D$3)=0,NA(),GETPIVOTDATA("Avg. Price",Pivots!$A$4,"Date ",E76,"Company",$O$34,"Market",$D$4,"Product",$D$3)),NA())</f>
        <v>#N/A</v>
      </c>
    </row>
    <row r="77" spans="5:15" hidden="1" x14ac:dyDescent="0.45">
      <c r="E77" s="10">
        <v>45334</v>
      </c>
      <c r="F77" s="2" t="e">
        <f>IFERROR(IF(GETPIVOTDATA("Avg. Price",Pivots!$A$4,"Date ",E77,"Company",$F$34,"Market",$D$4,"Product",$D$3)=0,NA(),GETPIVOTDATA("Avg. Price",Pivots!$A$4,"Date ",E77,"Company",$F$34,"Market",$D$4,"Product",$D$3)),NA())</f>
        <v>#N/A</v>
      </c>
      <c r="G77" s="2" t="e">
        <f>IFERROR(IF(GETPIVOTDATA("Avg. Price",Pivots!$A$4,"Date ",E77,"Company",$G$34,"Market",$D$4,"Product",$D$3)=0,NA(),GETPIVOTDATA("Avg. Price",Pivots!$A$4,"Date ",E77,"Company",$G$34,"Market",$D$4,"Product",$D$3)),NA())</f>
        <v>#N/A</v>
      </c>
      <c r="H77" s="2" t="e">
        <f>IFERROR(IF(GETPIVOTDATA("Avg. Price",Pivots!$A$4,"Date ",E77,"Company",$H$34,"Market",$D$4,"Product",$D$3)=0,NA(),GETPIVOTDATA("Avg. Price",Pivots!$A$4,"Date ",E77,"Company",$H$34,"Market",$D$4,"Product",$D$3)),NA())</f>
        <v>#N/A</v>
      </c>
      <c r="I77" s="2" t="e">
        <f>IFERROR(IF(GETPIVOTDATA("Avg. Price",Pivots!$A$4,"Date ",E77,"Company",$I$34,"Market",$D$4,"Product",$D$3)=0,NA(),GETPIVOTDATA("Avg. Price",Pivots!$A$4,"Date ",E77,"Company",$I$34,"Market",$D$4,"Product",$D$3)),NA())</f>
        <v>#N/A</v>
      </c>
      <c r="J77" s="2" t="e">
        <f>IFERROR(IF(GETPIVOTDATA("Avg. Price",Pivots!$A$4,"Date ",E77,"Company",$J$34,"Market",$D$4,"Product",$D$3)=0,NA(),GETPIVOTDATA("Avg. Price",Pivots!$A$4,"Date ",E77,"Company",$J$34,"Market",$D$4,"Product",$D$3)),NA())</f>
        <v>#N/A</v>
      </c>
      <c r="K77" s="2" t="e">
        <f>IFERROR(IF(GETPIVOTDATA("Avg. Price",Pivots!$A$4,"Date ",E77,"Company",$K$34,"Market",$D$4,"Product",$D$3)=0,NA(),GETPIVOTDATA("Avg. Price",Pivots!$A$4,"Date ",E77,"Company",$K$34,"Market",$D$4,"Product",$D$3)),NA())</f>
        <v>#N/A</v>
      </c>
      <c r="L77" s="2" t="e">
        <f>IFERROR(IF(GETPIVOTDATA("Avg. Price",Pivots!$A$4,"Date ",E77,"Company",$L$34,"Market",$D$4,"Product",$D$3)=0,NA(),GETPIVOTDATA("Avg. Price",Pivots!$A$4,"Date ",E77,"Company",$L$34,"Market",$D$4,"Product",$D$3)),NA())</f>
        <v>#N/A</v>
      </c>
      <c r="M77" s="2" t="e">
        <f>IFERROR(IF(GETPIVOTDATA("Avg. Price",Pivots!$A$4,"Date ",E77,"Company",$M$34,"Market",$D$4,"Product",$D$3)=0,NA(),GETPIVOTDATA("Avg. Price",Pivots!$A$4,"Date ",E77,"Company",$M$34,"Market",$D$4,"Product",$D$3)),NA())</f>
        <v>#N/A</v>
      </c>
      <c r="N77" s="2" t="e">
        <f>IFERROR(IF(GETPIVOTDATA("Avg. Price",Pivots!$A$4,"Date ",E77,"Company",$N$34,"Market",$D$4,"Product",$D$3)=0,NA(),GETPIVOTDATA("Avg. Price",Pivots!$A$4,"Date ",E77,"Company",$N$34,"Market",$D$4,"Product",$D$3)),NA())</f>
        <v>#N/A</v>
      </c>
      <c r="O77" s="2" t="e">
        <f>IFERROR(IF(GETPIVOTDATA("Avg. Price",Pivots!$A$4,"Date ",E77,"Company",$O$34,"Market",$D$4,"Product",$D$3)=0,NA(),GETPIVOTDATA("Avg. Price",Pivots!$A$4,"Date ",E77,"Company",$O$34,"Market",$D$4,"Product",$D$3)),NA())</f>
        <v>#N/A</v>
      </c>
    </row>
    <row r="78" spans="5:15" hidden="1" x14ac:dyDescent="0.45">
      <c r="E78" s="10">
        <v>45335</v>
      </c>
      <c r="F78" s="2" t="e">
        <f>IFERROR(IF(GETPIVOTDATA("Avg. Price",Pivots!$A$4,"Date ",E78,"Company",$F$34,"Market",$D$4,"Product",$D$3)=0,NA(),GETPIVOTDATA("Avg. Price",Pivots!$A$4,"Date ",E78,"Company",$F$34,"Market",$D$4,"Product",$D$3)),NA())</f>
        <v>#N/A</v>
      </c>
      <c r="G78" s="2" t="e">
        <f>IFERROR(IF(GETPIVOTDATA("Avg. Price",Pivots!$A$4,"Date ",E78,"Company",$G$34,"Market",$D$4,"Product",$D$3)=0,NA(),GETPIVOTDATA("Avg. Price",Pivots!$A$4,"Date ",E78,"Company",$G$34,"Market",$D$4,"Product",$D$3)),NA())</f>
        <v>#N/A</v>
      </c>
      <c r="H78" s="2" t="e">
        <f>IFERROR(IF(GETPIVOTDATA("Avg. Price",Pivots!$A$4,"Date ",E78,"Company",$H$34,"Market",$D$4,"Product",$D$3)=0,NA(),GETPIVOTDATA("Avg. Price",Pivots!$A$4,"Date ",E78,"Company",$H$34,"Market",$D$4,"Product",$D$3)),NA())</f>
        <v>#N/A</v>
      </c>
      <c r="I78" s="2" t="e">
        <f>IFERROR(IF(GETPIVOTDATA("Avg. Price",Pivots!$A$4,"Date ",E78,"Company",$I$34,"Market",$D$4,"Product",$D$3)=0,NA(),GETPIVOTDATA("Avg. Price",Pivots!$A$4,"Date ",E78,"Company",$I$34,"Market",$D$4,"Product",$D$3)),NA())</f>
        <v>#N/A</v>
      </c>
      <c r="J78" s="2" t="e">
        <f>IFERROR(IF(GETPIVOTDATA("Avg. Price",Pivots!$A$4,"Date ",E78,"Company",$J$34,"Market",$D$4,"Product",$D$3)=0,NA(),GETPIVOTDATA("Avg. Price",Pivots!$A$4,"Date ",E78,"Company",$J$34,"Market",$D$4,"Product",$D$3)),NA())</f>
        <v>#N/A</v>
      </c>
      <c r="K78" s="2" t="e">
        <f>IFERROR(IF(GETPIVOTDATA("Avg. Price",Pivots!$A$4,"Date ",E78,"Company",$K$34,"Market",$D$4,"Product",$D$3)=0,NA(),GETPIVOTDATA("Avg. Price",Pivots!$A$4,"Date ",E78,"Company",$K$34,"Market",$D$4,"Product",$D$3)),NA())</f>
        <v>#N/A</v>
      </c>
      <c r="L78" s="2" t="e">
        <f>IFERROR(IF(GETPIVOTDATA("Avg. Price",Pivots!$A$4,"Date ",E78,"Company",$L$34,"Market",$D$4,"Product",$D$3)=0,NA(),GETPIVOTDATA("Avg. Price",Pivots!$A$4,"Date ",E78,"Company",$L$34,"Market",$D$4,"Product",$D$3)),NA())</f>
        <v>#N/A</v>
      </c>
      <c r="M78" s="2" t="e">
        <f>IFERROR(IF(GETPIVOTDATA("Avg. Price",Pivots!$A$4,"Date ",E78,"Company",$M$34,"Market",$D$4,"Product",$D$3)=0,NA(),GETPIVOTDATA("Avg. Price",Pivots!$A$4,"Date ",E78,"Company",$M$34,"Market",$D$4,"Product",$D$3)),NA())</f>
        <v>#N/A</v>
      </c>
      <c r="N78" s="2" t="e">
        <f>IFERROR(IF(GETPIVOTDATA("Avg. Price",Pivots!$A$4,"Date ",E78,"Company",$N$34,"Market",$D$4,"Product",$D$3)=0,NA(),GETPIVOTDATA("Avg. Price",Pivots!$A$4,"Date ",E78,"Company",$N$34,"Market",$D$4,"Product",$D$3)),NA())</f>
        <v>#N/A</v>
      </c>
      <c r="O78" s="2" t="e">
        <f>IFERROR(IF(GETPIVOTDATA("Avg. Price",Pivots!$A$4,"Date ",E78,"Company",$O$34,"Market",$D$4,"Product",$D$3)=0,NA(),GETPIVOTDATA("Avg. Price",Pivots!$A$4,"Date ",E78,"Company",$O$34,"Market",$D$4,"Product",$D$3)),NA())</f>
        <v>#N/A</v>
      </c>
    </row>
    <row r="79" spans="5:15" hidden="1" x14ac:dyDescent="0.45">
      <c r="E79" s="10">
        <v>45336</v>
      </c>
      <c r="F79" s="2" t="e">
        <f>IFERROR(IF(GETPIVOTDATA("Avg. Price",Pivots!$A$4,"Date ",E79,"Company",$F$34,"Market",$D$4,"Product",$D$3)=0,NA(),GETPIVOTDATA("Avg. Price",Pivots!$A$4,"Date ",E79,"Company",$F$34,"Market",$D$4,"Product",$D$3)),NA())</f>
        <v>#N/A</v>
      </c>
      <c r="G79" s="2" t="e">
        <f>IFERROR(IF(GETPIVOTDATA("Avg. Price",Pivots!$A$4,"Date ",E79,"Company",$G$34,"Market",$D$4,"Product",$D$3)=0,NA(),GETPIVOTDATA("Avg. Price",Pivots!$A$4,"Date ",E79,"Company",$G$34,"Market",$D$4,"Product",$D$3)),NA())</f>
        <v>#N/A</v>
      </c>
      <c r="H79" s="2" t="e">
        <f>IFERROR(IF(GETPIVOTDATA("Avg. Price",Pivots!$A$4,"Date ",E79,"Company",$H$34,"Market",$D$4,"Product",$D$3)=0,NA(),GETPIVOTDATA("Avg. Price",Pivots!$A$4,"Date ",E79,"Company",$H$34,"Market",$D$4,"Product",$D$3)),NA())</f>
        <v>#N/A</v>
      </c>
      <c r="I79" s="2" t="e">
        <f>IFERROR(IF(GETPIVOTDATA("Avg. Price",Pivots!$A$4,"Date ",E79,"Company",$I$34,"Market",$D$4,"Product",$D$3)=0,NA(),GETPIVOTDATA("Avg. Price",Pivots!$A$4,"Date ",E79,"Company",$I$34,"Market",$D$4,"Product",$D$3)),NA())</f>
        <v>#N/A</v>
      </c>
      <c r="J79" s="2" t="e">
        <f>IFERROR(IF(GETPIVOTDATA("Avg. Price",Pivots!$A$4,"Date ",E79,"Company",$J$34,"Market",$D$4,"Product",$D$3)=0,NA(),GETPIVOTDATA("Avg. Price",Pivots!$A$4,"Date ",E79,"Company",$J$34,"Market",$D$4,"Product",$D$3)),NA())</f>
        <v>#N/A</v>
      </c>
      <c r="K79" s="2" t="e">
        <f>IFERROR(IF(GETPIVOTDATA("Avg. Price",Pivots!$A$4,"Date ",E79,"Company",$K$34,"Market",$D$4,"Product",$D$3)=0,NA(),GETPIVOTDATA("Avg. Price",Pivots!$A$4,"Date ",E79,"Company",$K$34,"Market",$D$4,"Product",$D$3)),NA())</f>
        <v>#N/A</v>
      </c>
      <c r="L79" s="2" t="e">
        <f>IFERROR(IF(GETPIVOTDATA("Avg. Price",Pivots!$A$4,"Date ",E79,"Company",$L$34,"Market",$D$4,"Product",$D$3)=0,NA(),GETPIVOTDATA("Avg. Price",Pivots!$A$4,"Date ",E79,"Company",$L$34,"Market",$D$4,"Product",$D$3)),NA())</f>
        <v>#N/A</v>
      </c>
      <c r="M79" s="2" t="e">
        <f>IFERROR(IF(GETPIVOTDATA("Avg. Price",Pivots!$A$4,"Date ",E79,"Company",$M$34,"Market",$D$4,"Product",$D$3)=0,NA(),GETPIVOTDATA("Avg. Price",Pivots!$A$4,"Date ",E79,"Company",$M$34,"Market",$D$4,"Product",$D$3)),NA())</f>
        <v>#N/A</v>
      </c>
      <c r="N79" s="2" t="e">
        <f>IFERROR(IF(GETPIVOTDATA("Avg. Price",Pivots!$A$4,"Date ",E79,"Company",$N$34,"Market",$D$4,"Product",$D$3)=0,NA(),GETPIVOTDATA("Avg. Price",Pivots!$A$4,"Date ",E79,"Company",$N$34,"Market",$D$4,"Product",$D$3)),NA())</f>
        <v>#N/A</v>
      </c>
      <c r="O79" s="2" t="e">
        <f>IFERROR(IF(GETPIVOTDATA("Avg. Price",Pivots!$A$4,"Date ",E79,"Company",$O$34,"Market",$D$4,"Product",$D$3)=0,NA(),GETPIVOTDATA("Avg. Price",Pivots!$A$4,"Date ",E79,"Company",$O$34,"Market",$D$4,"Product",$D$3)),NA())</f>
        <v>#N/A</v>
      </c>
    </row>
    <row r="80" spans="5:15" hidden="1" x14ac:dyDescent="0.45">
      <c r="E80" s="10">
        <v>45337</v>
      </c>
      <c r="F80" s="2" t="e">
        <f>IFERROR(IF(GETPIVOTDATA("Avg. Price",Pivots!$A$4,"Date ",E80,"Company",$F$34,"Market",$D$4,"Product",$D$3)=0,NA(),GETPIVOTDATA("Avg. Price",Pivots!$A$4,"Date ",E80,"Company",$F$34,"Market",$D$4,"Product",$D$3)),NA())</f>
        <v>#N/A</v>
      </c>
      <c r="G80" s="2" t="e">
        <f>IFERROR(IF(GETPIVOTDATA("Avg. Price",Pivots!$A$4,"Date ",E80,"Company",$G$34,"Market",$D$4,"Product",$D$3)=0,NA(),GETPIVOTDATA("Avg. Price",Pivots!$A$4,"Date ",E80,"Company",$G$34,"Market",$D$4,"Product",$D$3)),NA())</f>
        <v>#N/A</v>
      </c>
      <c r="H80" s="2" t="e">
        <f>IFERROR(IF(GETPIVOTDATA("Avg. Price",Pivots!$A$4,"Date ",E80,"Company",$H$34,"Market",$D$4,"Product",$D$3)=0,NA(),GETPIVOTDATA("Avg. Price",Pivots!$A$4,"Date ",E80,"Company",$H$34,"Market",$D$4,"Product",$D$3)),NA())</f>
        <v>#N/A</v>
      </c>
      <c r="I80" s="2" t="e">
        <f>IFERROR(IF(GETPIVOTDATA("Avg. Price",Pivots!$A$4,"Date ",E80,"Company",$I$34,"Market",$D$4,"Product",$D$3)=0,NA(),GETPIVOTDATA("Avg. Price",Pivots!$A$4,"Date ",E80,"Company",$I$34,"Market",$D$4,"Product",$D$3)),NA())</f>
        <v>#N/A</v>
      </c>
      <c r="J80" s="2" t="e">
        <f>IFERROR(IF(GETPIVOTDATA("Avg. Price",Pivots!$A$4,"Date ",E80,"Company",$J$34,"Market",$D$4,"Product",$D$3)=0,NA(),GETPIVOTDATA("Avg. Price",Pivots!$A$4,"Date ",E80,"Company",$J$34,"Market",$D$4,"Product",$D$3)),NA())</f>
        <v>#N/A</v>
      </c>
      <c r="K80" s="2" t="e">
        <f>IFERROR(IF(GETPIVOTDATA("Avg. Price",Pivots!$A$4,"Date ",E80,"Company",$K$34,"Market",$D$4,"Product",$D$3)=0,NA(),GETPIVOTDATA("Avg. Price",Pivots!$A$4,"Date ",E80,"Company",$K$34,"Market",$D$4,"Product",$D$3)),NA())</f>
        <v>#N/A</v>
      </c>
      <c r="L80" s="2" t="e">
        <f>IFERROR(IF(GETPIVOTDATA("Avg. Price",Pivots!$A$4,"Date ",E80,"Company",$L$34,"Market",$D$4,"Product",$D$3)=0,NA(),GETPIVOTDATA("Avg. Price",Pivots!$A$4,"Date ",E80,"Company",$L$34,"Market",$D$4,"Product",$D$3)),NA())</f>
        <v>#N/A</v>
      </c>
      <c r="M80" s="2" t="e">
        <f>IFERROR(IF(GETPIVOTDATA("Avg. Price",Pivots!$A$4,"Date ",E80,"Company",$M$34,"Market",$D$4,"Product",$D$3)=0,NA(),GETPIVOTDATA("Avg. Price",Pivots!$A$4,"Date ",E80,"Company",$M$34,"Market",$D$4,"Product",$D$3)),NA())</f>
        <v>#N/A</v>
      </c>
      <c r="N80" s="2" t="e">
        <f>IFERROR(IF(GETPIVOTDATA("Avg. Price",Pivots!$A$4,"Date ",E80,"Company",$N$34,"Market",$D$4,"Product",$D$3)=0,NA(),GETPIVOTDATA("Avg. Price",Pivots!$A$4,"Date ",E80,"Company",$N$34,"Market",$D$4,"Product",$D$3)),NA())</f>
        <v>#N/A</v>
      </c>
      <c r="O80" s="2" t="e">
        <f>IFERROR(IF(GETPIVOTDATA("Avg. Price",Pivots!$A$4,"Date ",E80,"Company",$O$34,"Market",$D$4,"Product",$D$3)=0,NA(),GETPIVOTDATA("Avg. Price",Pivots!$A$4,"Date ",E80,"Company",$O$34,"Market",$D$4,"Product",$D$3)),NA())</f>
        <v>#N/A</v>
      </c>
    </row>
    <row r="81" spans="5:15" hidden="1" x14ac:dyDescent="0.45">
      <c r="E81" s="10">
        <v>45338</v>
      </c>
      <c r="F81" s="2" t="e">
        <f>IFERROR(IF(GETPIVOTDATA("Avg. Price",Pivots!$A$4,"Date ",E81,"Company",$F$34,"Market",$D$4,"Product",$D$3)=0,NA(),GETPIVOTDATA("Avg. Price",Pivots!$A$4,"Date ",E81,"Company",$F$34,"Market",$D$4,"Product",$D$3)),NA())</f>
        <v>#N/A</v>
      </c>
      <c r="G81" s="2" t="e">
        <f>IFERROR(IF(GETPIVOTDATA("Avg. Price",Pivots!$A$4,"Date ",E81,"Company",$G$34,"Market",$D$4,"Product",$D$3)=0,NA(),GETPIVOTDATA("Avg. Price",Pivots!$A$4,"Date ",E81,"Company",$G$34,"Market",$D$4,"Product",$D$3)),NA())</f>
        <v>#N/A</v>
      </c>
      <c r="H81" s="2" t="e">
        <f>IFERROR(IF(GETPIVOTDATA("Avg. Price",Pivots!$A$4,"Date ",E81,"Company",$H$34,"Market",$D$4,"Product",$D$3)=0,NA(),GETPIVOTDATA("Avg. Price",Pivots!$A$4,"Date ",E81,"Company",$H$34,"Market",$D$4,"Product",$D$3)),NA())</f>
        <v>#N/A</v>
      </c>
      <c r="I81" s="2" t="e">
        <f>IFERROR(IF(GETPIVOTDATA("Avg. Price",Pivots!$A$4,"Date ",E81,"Company",$I$34,"Market",$D$4,"Product",$D$3)=0,NA(),GETPIVOTDATA("Avg. Price",Pivots!$A$4,"Date ",E81,"Company",$I$34,"Market",$D$4,"Product",$D$3)),NA())</f>
        <v>#N/A</v>
      </c>
      <c r="J81" s="2" t="e">
        <f>IFERROR(IF(GETPIVOTDATA("Avg. Price",Pivots!$A$4,"Date ",E81,"Company",$J$34,"Market",$D$4,"Product",$D$3)=0,NA(),GETPIVOTDATA("Avg. Price",Pivots!$A$4,"Date ",E81,"Company",$J$34,"Market",$D$4,"Product",$D$3)),NA())</f>
        <v>#N/A</v>
      </c>
      <c r="K81" s="2" t="e">
        <f>IFERROR(IF(GETPIVOTDATA("Avg. Price",Pivots!$A$4,"Date ",E81,"Company",$K$34,"Market",$D$4,"Product",$D$3)=0,NA(),GETPIVOTDATA("Avg. Price",Pivots!$A$4,"Date ",E81,"Company",$K$34,"Market",$D$4,"Product",$D$3)),NA())</f>
        <v>#N/A</v>
      </c>
      <c r="L81" s="2" t="e">
        <f>IFERROR(IF(GETPIVOTDATA("Avg. Price",Pivots!$A$4,"Date ",E81,"Company",$L$34,"Market",$D$4,"Product",$D$3)=0,NA(),GETPIVOTDATA("Avg. Price",Pivots!$A$4,"Date ",E81,"Company",$L$34,"Market",$D$4,"Product",$D$3)),NA())</f>
        <v>#N/A</v>
      </c>
      <c r="M81" s="2" t="e">
        <f>IFERROR(IF(GETPIVOTDATA("Avg. Price",Pivots!$A$4,"Date ",E81,"Company",$M$34,"Market",$D$4,"Product",$D$3)=0,NA(),GETPIVOTDATA("Avg. Price",Pivots!$A$4,"Date ",E81,"Company",$M$34,"Market",$D$4,"Product",$D$3)),NA())</f>
        <v>#N/A</v>
      </c>
      <c r="N81" s="2" t="e">
        <f>IFERROR(IF(GETPIVOTDATA("Avg. Price",Pivots!$A$4,"Date ",E81,"Company",$N$34,"Market",$D$4,"Product",$D$3)=0,NA(),GETPIVOTDATA("Avg. Price",Pivots!$A$4,"Date ",E81,"Company",$N$34,"Market",$D$4,"Product",$D$3)),NA())</f>
        <v>#N/A</v>
      </c>
      <c r="O81" s="2" t="e">
        <f>IFERROR(IF(GETPIVOTDATA("Avg. Price",Pivots!$A$4,"Date ",E81,"Company",$O$34,"Market",$D$4,"Product",$D$3)=0,NA(),GETPIVOTDATA("Avg. Price",Pivots!$A$4,"Date ",E81,"Company",$O$34,"Market",$D$4,"Product",$D$3)),NA())</f>
        <v>#N/A</v>
      </c>
    </row>
    <row r="82" spans="5:15" hidden="1" x14ac:dyDescent="0.45">
      <c r="E82" s="10">
        <v>45339</v>
      </c>
      <c r="F82" s="2" t="e">
        <f>IFERROR(IF(GETPIVOTDATA("Avg. Price",Pivots!$A$4,"Date ",E82,"Company",$F$34,"Market",$D$4,"Product",$D$3)=0,NA(),GETPIVOTDATA("Avg. Price",Pivots!$A$4,"Date ",E82,"Company",$F$34,"Market",$D$4,"Product",$D$3)),NA())</f>
        <v>#N/A</v>
      </c>
      <c r="G82" s="2" t="e">
        <f>IFERROR(IF(GETPIVOTDATA("Avg. Price",Pivots!$A$4,"Date ",E82,"Company",$G$34,"Market",$D$4,"Product",$D$3)=0,NA(),GETPIVOTDATA("Avg. Price",Pivots!$A$4,"Date ",E82,"Company",$G$34,"Market",$D$4,"Product",$D$3)),NA())</f>
        <v>#N/A</v>
      </c>
      <c r="H82" s="2" t="e">
        <f>IFERROR(IF(GETPIVOTDATA("Avg. Price",Pivots!$A$4,"Date ",E82,"Company",$H$34,"Market",$D$4,"Product",$D$3)=0,NA(),GETPIVOTDATA("Avg. Price",Pivots!$A$4,"Date ",E82,"Company",$H$34,"Market",$D$4,"Product",$D$3)),NA())</f>
        <v>#N/A</v>
      </c>
      <c r="I82" s="2" t="e">
        <f>IFERROR(IF(GETPIVOTDATA("Avg. Price",Pivots!$A$4,"Date ",E82,"Company",$I$34,"Market",$D$4,"Product",$D$3)=0,NA(),GETPIVOTDATA("Avg. Price",Pivots!$A$4,"Date ",E82,"Company",$I$34,"Market",$D$4,"Product",$D$3)),NA())</f>
        <v>#N/A</v>
      </c>
      <c r="J82" s="2" t="e">
        <f>IFERROR(IF(GETPIVOTDATA("Avg. Price",Pivots!$A$4,"Date ",E82,"Company",$J$34,"Market",$D$4,"Product",$D$3)=0,NA(),GETPIVOTDATA("Avg. Price",Pivots!$A$4,"Date ",E82,"Company",$J$34,"Market",$D$4,"Product",$D$3)),NA())</f>
        <v>#N/A</v>
      </c>
      <c r="K82" s="2" t="e">
        <f>IFERROR(IF(GETPIVOTDATA("Avg. Price",Pivots!$A$4,"Date ",E82,"Company",$K$34,"Market",$D$4,"Product",$D$3)=0,NA(),GETPIVOTDATA("Avg. Price",Pivots!$A$4,"Date ",E82,"Company",$K$34,"Market",$D$4,"Product",$D$3)),NA())</f>
        <v>#N/A</v>
      </c>
      <c r="L82" s="2" t="e">
        <f>IFERROR(IF(GETPIVOTDATA("Avg. Price",Pivots!$A$4,"Date ",E82,"Company",$L$34,"Market",$D$4,"Product",$D$3)=0,NA(),GETPIVOTDATA("Avg. Price",Pivots!$A$4,"Date ",E82,"Company",$L$34,"Market",$D$4,"Product",$D$3)),NA())</f>
        <v>#N/A</v>
      </c>
      <c r="M82" s="2" t="e">
        <f>IFERROR(IF(GETPIVOTDATA("Avg. Price",Pivots!$A$4,"Date ",E82,"Company",$M$34,"Market",$D$4,"Product",$D$3)=0,NA(),GETPIVOTDATA("Avg. Price",Pivots!$A$4,"Date ",E82,"Company",$M$34,"Market",$D$4,"Product",$D$3)),NA())</f>
        <v>#N/A</v>
      </c>
      <c r="N82" s="2" t="e">
        <f>IFERROR(IF(GETPIVOTDATA("Avg. Price",Pivots!$A$4,"Date ",E82,"Company",$N$34,"Market",$D$4,"Product",$D$3)=0,NA(),GETPIVOTDATA("Avg. Price",Pivots!$A$4,"Date ",E82,"Company",$N$34,"Market",$D$4,"Product",$D$3)),NA())</f>
        <v>#N/A</v>
      </c>
      <c r="O82" s="2" t="e">
        <f>IFERROR(IF(GETPIVOTDATA("Avg. Price",Pivots!$A$4,"Date ",E82,"Company",$O$34,"Market",$D$4,"Product",$D$3)=0,NA(),GETPIVOTDATA("Avg. Price",Pivots!$A$4,"Date ",E82,"Company",$O$34,"Market",$D$4,"Product",$D$3)),NA())</f>
        <v>#N/A</v>
      </c>
    </row>
    <row r="83" spans="5:15" hidden="1" x14ac:dyDescent="0.45">
      <c r="E83" s="10">
        <v>45340</v>
      </c>
      <c r="F83" s="2" t="e">
        <f>IFERROR(IF(GETPIVOTDATA("Avg. Price",Pivots!$A$4,"Date ",E83,"Company",$F$34,"Market",$D$4,"Product",$D$3)=0,NA(),GETPIVOTDATA("Avg. Price",Pivots!$A$4,"Date ",E83,"Company",$F$34,"Market",$D$4,"Product",$D$3)),NA())</f>
        <v>#N/A</v>
      </c>
      <c r="G83" s="2" t="e">
        <f>IFERROR(IF(GETPIVOTDATA("Avg. Price",Pivots!$A$4,"Date ",E83,"Company",$G$34,"Market",$D$4,"Product",$D$3)=0,NA(),GETPIVOTDATA("Avg. Price",Pivots!$A$4,"Date ",E83,"Company",$G$34,"Market",$D$4,"Product",$D$3)),NA())</f>
        <v>#N/A</v>
      </c>
      <c r="H83" s="2" t="e">
        <f>IFERROR(IF(GETPIVOTDATA("Avg. Price",Pivots!$A$4,"Date ",E83,"Company",$H$34,"Market",$D$4,"Product",$D$3)=0,NA(),GETPIVOTDATA("Avg. Price",Pivots!$A$4,"Date ",E83,"Company",$H$34,"Market",$D$4,"Product",$D$3)),NA())</f>
        <v>#N/A</v>
      </c>
      <c r="I83" s="2" t="e">
        <f>IFERROR(IF(GETPIVOTDATA("Avg. Price",Pivots!$A$4,"Date ",E83,"Company",$I$34,"Market",$D$4,"Product",$D$3)=0,NA(),GETPIVOTDATA("Avg. Price",Pivots!$A$4,"Date ",E83,"Company",$I$34,"Market",$D$4,"Product",$D$3)),NA())</f>
        <v>#N/A</v>
      </c>
      <c r="J83" s="2" t="e">
        <f>IFERROR(IF(GETPIVOTDATA("Avg. Price",Pivots!$A$4,"Date ",E83,"Company",$J$34,"Market",$D$4,"Product",$D$3)=0,NA(),GETPIVOTDATA("Avg. Price",Pivots!$A$4,"Date ",E83,"Company",$J$34,"Market",$D$4,"Product",$D$3)),NA())</f>
        <v>#N/A</v>
      </c>
      <c r="K83" s="2" t="e">
        <f>IFERROR(IF(GETPIVOTDATA("Avg. Price",Pivots!$A$4,"Date ",E83,"Company",$K$34,"Market",$D$4,"Product",$D$3)=0,NA(),GETPIVOTDATA("Avg. Price",Pivots!$A$4,"Date ",E83,"Company",$K$34,"Market",$D$4,"Product",$D$3)),NA())</f>
        <v>#N/A</v>
      </c>
      <c r="L83" s="2" t="e">
        <f>IFERROR(IF(GETPIVOTDATA("Avg. Price",Pivots!$A$4,"Date ",E83,"Company",$L$34,"Market",$D$4,"Product",$D$3)=0,NA(),GETPIVOTDATA("Avg. Price",Pivots!$A$4,"Date ",E83,"Company",$L$34,"Market",$D$4,"Product",$D$3)),NA())</f>
        <v>#N/A</v>
      </c>
      <c r="M83" s="2" t="e">
        <f>IFERROR(IF(GETPIVOTDATA("Avg. Price",Pivots!$A$4,"Date ",E83,"Company",$M$34,"Market",$D$4,"Product",$D$3)=0,NA(),GETPIVOTDATA("Avg. Price",Pivots!$A$4,"Date ",E83,"Company",$M$34,"Market",$D$4,"Product",$D$3)),NA())</f>
        <v>#N/A</v>
      </c>
      <c r="N83" s="2" t="e">
        <f>IFERROR(IF(GETPIVOTDATA("Avg. Price",Pivots!$A$4,"Date ",E83,"Company",$N$34,"Market",$D$4,"Product",$D$3)=0,NA(),GETPIVOTDATA("Avg. Price",Pivots!$A$4,"Date ",E83,"Company",$N$34,"Market",$D$4,"Product",$D$3)),NA())</f>
        <v>#N/A</v>
      </c>
      <c r="O83" s="2" t="e">
        <f>IFERROR(IF(GETPIVOTDATA("Avg. Price",Pivots!$A$4,"Date ",E83,"Company",$O$34,"Market",$D$4,"Product",$D$3)=0,NA(),GETPIVOTDATA("Avg. Price",Pivots!$A$4,"Date ",E83,"Company",$O$34,"Market",$D$4,"Product",$D$3)),NA())</f>
        <v>#N/A</v>
      </c>
    </row>
    <row r="84" spans="5:15" hidden="1" x14ac:dyDescent="0.45">
      <c r="E84" s="10">
        <v>45341</v>
      </c>
      <c r="F84" s="2" t="e">
        <f>IFERROR(IF(GETPIVOTDATA("Avg. Price",Pivots!$A$4,"Date ",E84,"Company",$F$34,"Market",$D$4,"Product",$D$3)=0,NA(),GETPIVOTDATA("Avg. Price",Pivots!$A$4,"Date ",E84,"Company",$F$34,"Market",$D$4,"Product",$D$3)),NA())</f>
        <v>#N/A</v>
      </c>
      <c r="G84" s="2" t="e">
        <f>IFERROR(IF(GETPIVOTDATA("Avg. Price",Pivots!$A$4,"Date ",E84,"Company",$G$34,"Market",$D$4,"Product",$D$3)=0,NA(),GETPIVOTDATA("Avg. Price",Pivots!$A$4,"Date ",E84,"Company",$G$34,"Market",$D$4,"Product",$D$3)),NA())</f>
        <v>#N/A</v>
      </c>
      <c r="H84" s="2" t="e">
        <f>IFERROR(IF(GETPIVOTDATA("Avg. Price",Pivots!$A$4,"Date ",E84,"Company",$H$34,"Market",$D$4,"Product",$D$3)=0,NA(),GETPIVOTDATA("Avg. Price",Pivots!$A$4,"Date ",E84,"Company",$H$34,"Market",$D$4,"Product",$D$3)),NA())</f>
        <v>#N/A</v>
      </c>
      <c r="I84" s="2" t="e">
        <f>IFERROR(IF(GETPIVOTDATA("Avg. Price",Pivots!$A$4,"Date ",E84,"Company",$I$34,"Market",$D$4,"Product",$D$3)=0,NA(),GETPIVOTDATA("Avg. Price",Pivots!$A$4,"Date ",E84,"Company",$I$34,"Market",$D$4,"Product",$D$3)),NA())</f>
        <v>#N/A</v>
      </c>
      <c r="J84" s="2" t="e">
        <f>IFERROR(IF(GETPIVOTDATA("Avg. Price",Pivots!$A$4,"Date ",E84,"Company",$J$34,"Market",$D$4,"Product",$D$3)=0,NA(),GETPIVOTDATA("Avg. Price",Pivots!$A$4,"Date ",E84,"Company",$J$34,"Market",$D$4,"Product",$D$3)),NA())</f>
        <v>#N/A</v>
      </c>
      <c r="K84" s="2" t="e">
        <f>IFERROR(IF(GETPIVOTDATA("Avg. Price",Pivots!$A$4,"Date ",E84,"Company",$K$34,"Market",$D$4,"Product",$D$3)=0,NA(),GETPIVOTDATA("Avg. Price",Pivots!$A$4,"Date ",E84,"Company",$K$34,"Market",$D$4,"Product",$D$3)),NA())</f>
        <v>#N/A</v>
      </c>
      <c r="L84" s="2" t="e">
        <f>IFERROR(IF(GETPIVOTDATA("Avg. Price",Pivots!$A$4,"Date ",E84,"Company",$L$34,"Market",$D$4,"Product",$D$3)=0,NA(),GETPIVOTDATA("Avg. Price",Pivots!$A$4,"Date ",E84,"Company",$L$34,"Market",$D$4,"Product",$D$3)),NA())</f>
        <v>#N/A</v>
      </c>
      <c r="M84" s="2" t="e">
        <f>IFERROR(IF(GETPIVOTDATA("Avg. Price",Pivots!$A$4,"Date ",E84,"Company",$M$34,"Market",$D$4,"Product",$D$3)=0,NA(),GETPIVOTDATA("Avg. Price",Pivots!$A$4,"Date ",E84,"Company",$M$34,"Market",$D$4,"Product",$D$3)),NA())</f>
        <v>#N/A</v>
      </c>
      <c r="N84" s="2" t="e">
        <f>IFERROR(IF(GETPIVOTDATA("Avg. Price",Pivots!$A$4,"Date ",E84,"Company",$N$34,"Market",$D$4,"Product",$D$3)=0,NA(),GETPIVOTDATA("Avg. Price",Pivots!$A$4,"Date ",E84,"Company",$N$34,"Market",$D$4,"Product",$D$3)),NA())</f>
        <v>#N/A</v>
      </c>
      <c r="O84" s="2" t="e">
        <f>IFERROR(IF(GETPIVOTDATA("Avg. Price",Pivots!$A$4,"Date ",E84,"Company",$O$34,"Market",$D$4,"Product",$D$3)=0,NA(),GETPIVOTDATA("Avg. Price",Pivots!$A$4,"Date ",E84,"Company",$O$34,"Market",$D$4,"Product",$D$3)),NA())</f>
        <v>#N/A</v>
      </c>
    </row>
    <row r="85" spans="5:15" hidden="1" x14ac:dyDescent="0.45">
      <c r="E85" s="10">
        <v>45342</v>
      </c>
      <c r="F85" s="2" t="e">
        <f>IFERROR(IF(GETPIVOTDATA("Avg. Price",Pivots!$A$4,"Date ",E85,"Company",$F$34,"Market",$D$4,"Product",$D$3)=0,NA(),GETPIVOTDATA("Avg. Price",Pivots!$A$4,"Date ",E85,"Company",$F$34,"Market",$D$4,"Product",$D$3)),NA())</f>
        <v>#N/A</v>
      </c>
      <c r="G85" s="2" t="e">
        <f>IFERROR(IF(GETPIVOTDATA("Avg. Price",Pivots!$A$4,"Date ",E85,"Company",$G$34,"Market",$D$4,"Product",$D$3)=0,NA(),GETPIVOTDATA("Avg. Price",Pivots!$A$4,"Date ",E85,"Company",$G$34,"Market",$D$4,"Product",$D$3)),NA())</f>
        <v>#N/A</v>
      </c>
      <c r="H85" s="2" t="e">
        <f>IFERROR(IF(GETPIVOTDATA("Avg. Price",Pivots!$A$4,"Date ",E85,"Company",$H$34,"Market",$D$4,"Product",$D$3)=0,NA(),GETPIVOTDATA("Avg. Price",Pivots!$A$4,"Date ",E85,"Company",$H$34,"Market",$D$4,"Product",$D$3)),NA())</f>
        <v>#N/A</v>
      </c>
      <c r="I85" s="2" t="e">
        <f>IFERROR(IF(GETPIVOTDATA("Avg. Price",Pivots!$A$4,"Date ",E85,"Company",$I$34,"Market",$D$4,"Product",$D$3)=0,NA(),GETPIVOTDATA("Avg. Price",Pivots!$A$4,"Date ",E85,"Company",$I$34,"Market",$D$4,"Product",$D$3)),NA())</f>
        <v>#N/A</v>
      </c>
      <c r="J85" s="2" t="e">
        <f>IFERROR(IF(GETPIVOTDATA("Avg. Price",Pivots!$A$4,"Date ",E85,"Company",$J$34,"Market",$D$4,"Product",$D$3)=0,NA(),GETPIVOTDATA("Avg. Price",Pivots!$A$4,"Date ",E85,"Company",$J$34,"Market",$D$4,"Product",$D$3)),NA())</f>
        <v>#N/A</v>
      </c>
      <c r="K85" s="2" t="e">
        <f>IFERROR(IF(GETPIVOTDATA("Avg. Price",Pivots!$A$4,"Date ",E85,"Company",$K$34,"Market",$D$4,"Product",$D$3)=0,NA(),GETPIVOTDATA("Avg. Price",Pivots!$A$4,"Date ",E85,"Company",$K$34,"Market",$D$4,"Product",$D$3)),NA())</f>
        <v>#N/A</v>
      </c>
      <c r="L85" s="2" t="e">
        <f>IFERROR(IF(GETPIVOTDATA("Avg. Price",Pivots!$A$4,"Date ",E85,"Company",$L$34,"Market",$D$4,"Product",$D$3)=0,NA(),GETPIVOTDATA("Avg. Price",Pivots!$A$4,"Date ",E85,"Company",$L$34,"Market",$D$4,"Product",$D$3)),NA())</f>
        <v>#N/A</v>
      </c>
      <c r="M85" s="2" t="e">
        <f>IFERROR(IF(GETPIVOTDATA("Avg. Price",Pivots!$A$4,"Date ",E85,"Company",$M$34,"Market",$D$4,"Product",$D$3)=0,NA(),GETPIVOTDATA("Avg. Price",Pivots!$A$4,"Date ",E85,"Company",$M$34,"Market",$D$4,"Product",$D$3)),NA())</f>
        <v>#N/A</v>
      </c>
      <c r="N85" s="2" t="e">
        <f>IFERROR(IF(GETPIVOTDATA("Avg. Price",Pivots!$A$4,"Date ",E85,"Company",$N$34,"Market",$D$4,"Product",$D$3)=0,NA(),GETPIVOTDATA("Avg. Price",Pivots!$A$4,"Date ",E85,"Company",$N$34,"Market",$D$4,"Product",$D$3)),NA())</f>
        <v>#N/A</v>
      </c>
      <c r="O85" s="2" t="e">
        <f>IFERROR(IF(GETPIVOTDATA("Avg. Price",Pivots!$A$4,"Date ",E85,"Company",$O$34,"Market",$D$4,"Product",$D$3)=0,NA(),GETPIVOTDATA("Avg. Price",Pivots!$A$4,"Date ",E85,"Company",$O$34,"Market",$D$4,"Product",$D$3)),NA())</f>
        <v>#N/A</v>
      </c>
    </row>
    <row r="86" spans="5:15" hidden="1" x14ac:dyDescent="0.45">
      <c r="E86" s="10">
        <v>45343</v>
      </c>
      <c r="F86" s="2" t="e">
        <f>IFERROR(IF(GETPIVOTDATA("Avg. Price",Pivots!$A$4,"Date ",E86,"Company",$F$34,"Market",$D$4,"Product",$D$3)=0,NA(),GETPIVOTDATA("Avg. Price",Pivots!$A$4,"Date ",E86,"Company",$F$34,"Market",$D$4,"Product",$D$3)),NA())</f>
        <v>#N/A</v>
      </c>
      <c r="G86" s="2" t="e">
        <f>IFERROR(IF(GETPIVOTDATA("Avg. Price",Pivots!$A$4,"Date ",E86,"Company",$G$34,"Market",$D$4,"Product",$D$3)=0,NA(),GETPIVOTDATA("Avg. Price",Pivots!$A$4,"Date ",E86,"Company",$G$34,"Market",$D$4,"Product",$D$3)),NA())</f>
        <v>#N/A</v>
      </c>
      <c r="H86" s="2" t="e">
        <f>IFERROR(IF(GETPIVOTDATA("Avg. Price",Pivots!$A$4,"Date ",E86,"Company",$H$34,"Market",$D$4,"Product",$D$3)=0,NA(),GETPIVOTDATA("Avg. Price",Pivots!$A$4,"Date ",E86,"Company",$H$34,"Market",$D$4,"Product",$D$3)),NA())</f>
        <v>#N/A</v>
      </c>
      <c r="I86" s="2" t="e">
        <f>IFERROR(IF(GETPIVOTDATA("Avg. Price",Pivots!$A$4,"Date ",E86,"Company",$I$34,"Market",$D$4,"Product",$D$3)=0,NA(),GETPIVOTDATA("Avg. Price",Pivots!$A$4,"Date ",E86,"Company",$I$34,"Market",$D$4,"Product",$D$3)),NA())</f>
        <v>#N/A</v>
      </c>
      <c r="J86" s="2" t="e">
        <f>IFERROR(IF(GETPIVOTDATA("Avg. Price",Pivots!$A$4,"Date ",E86,"Company",$J$34,"Market",$D$4,"Product",$D$3)=0,NA(),GETPIVOTDATA("Avg. Price",Pivots!$A$4,"Date ",E86,"Company",$J$34,"Market",$D$4,"Product",$D$3)),NA())</f>
        <v>#N/A</v>
      </c>
      <c r="K86" s="2" t="e">
        <f>IFERROR(IF(GETPIVOTDATA("Avg. Price",Pivots!$A$4,"Date ",E86,"Company",$K$34,"Market",$D$4,"Product",$D$3)=0,NA(),GETPIVOTDATA("Avg. Price",Pivots!$A$4,"Date ",E86,"Company",$K$34,"Market",$D$4,"Product",$D$3)),NA())</f>
        <v>#N/A</v>
      </c>
      <c r="L86" s="2" t="e">
        <f>IFERROR(IF(GETPIVOTDATA("Avg. Price",Pivots!$A$4,"Date ",E86,"Company",$L$34,"Market",$D$4,"Product",$D$3)=0,NA(),GETPIVOTDATA("Avg. Price",Pivots!$A$4,"Date ",E86,"Company",$L$34,"Market",$D$4,"Product",$D$3)),NA())</f>
        <v>#N/A</v>
      </c>
      <c r="M86" s="2" t="e">
        <f>IFERROR(IF(GETPIVOTDATA("Avg. Price",Pivots!$A$4,"Date ",E86,"Company",$M$34,"Market",$D$4,"Product",$D$3)=0,NA(),GETPIVOTDATA("Avg. Price",Pivots!$A$4,"Date ",E86,"Company",$M$34,"Market",$D$4,"Product",$D$3)),NA())</f>
        <v>#N/A</v>
      </c>
      <c r="N86" s="2" t="e">
        <f>IFERROR(IF(GETPIVOTDATA("Avg. Price",Pivots!$A$4,"Date ",E86,"Company",$N$34,"Market",$D$4,"Product",$D$3)=0,NA(),GETPIVOTDATA("Avg. Price",Pivots!$A$4,"Date ",E86,"Company",$N$34,"Market",$D$4,"Product",$D$3)),NA())</f>
        <v>#N/A</v>
      </c>
      <c r="O86" s="2" t="e">
        <f>IFERROR(IF(GETPIVOTDATA("Avg. Price",Pivots!$A$4,"Date ",E86,"Company",$O$34,"Market",$D$4,"Product",$D$3)=0,NA(),GETPIVOTDATA("Avg. Price",Pivots!$A$4,"Date ",E86,"Company",$O$34,"Market",$D$4,"Product",$D$3)),NA())</f>
        <v>#N/A</v>
      </c>
    </row>
    <row r="87" spans="5:15" hidden="1" x14ac:dyDescent="0.45">
      <c r="E87" s="10">
        <v>45344</v>
      </c>
      <c r="F87" s="2" t="e">
        <f>IFERROR(IF(GETPIVOTDATA("Avg. Price",Pivots!$A$4,"Date ",E87,"Company",$F$34,"Market",$D$4,"Product",$D$3)=0,NA(),GETPIVOTDATA("Avg. Price",Pivots!$A$4,"Date ",E87,"Company",$F$34,"Market",$D$4,"Product",$D$3)),NA())</f>
        <v>#N/A</v>
      </c>
      <c r="G87" s="2" t="e">
        <f>IFERROR(IF(GETPIVOTDATA("Avg. Price",Pivots!$A$4,"Date ",E87,"Company",$G$34,"Market",$D$4,"Product",$D$3)=0,NA(),GETPIVOTDATA("Avg. Price",Pivots!$A$4,"Date ",E87,"Company",$G$34,"Market",$D$4,"Product",$D$3)),NA())</f>
        <v>#N/A</v>
      </c>
      <c r="H87" s="2" t="e">
        <f>IFERROR(IF(GETPIVOTDATA("Avg. Price",Pivots!$A$4,"Date ",E87,"Company",$H$34,"Market",$D$4,"Product",$D$3)=0,NA(),GETPIVOTDATA("Avg. Price",Pivots!$A$4,"Date ",E87,"Company",$H$34,"Market",$D$4,"Product",$D$3)),NA())</f>
        <v>#N/A</v>
      </c>
      <c r="I87" s="2" t="e">
        <f>IFERROR(IF(GETPIVOTDATA("Avg. Price",Pivots!$A$4,"Date ",E87,"Company",$I$34,"Market",$D$4,"Product",$D$3)=0,NA(),GETPIVOTDATA("Avg. Price",Pivots!$A$4,"Date ",E87,"Company",$I$34,"Market",$D$4,"Product",$D$3)),NA())</f>
        <v>#N/A</v>
      </c>
      <c r="J87" s="2" t="e">
        <f>IFERROR(IF(GETPIVOTDATA("Avg. Price",Pivots!$A$4,"Date ",E87,"Company",$J$34,"Market",$D$4,"Product",$D$3)=0,NA(),GETPIVOTDATA("Avg. Price",Pivots!$A$4,"Date ",E87,"Company",$J$34,"Market",$D$4,"Product",$D$3)),NA())</f>
        <v>#N/A</v>
      </c>
      <c r="K87" s="2" t="e">
        <f>IFERROR(IF(GETPIVOTDATA("Avg. Price",Pivots!$A$4,"Date ",E87,"Company",$K$34,"Market",$D$4,"Product",$D$3)=0,NA(),GETPIVOTDATA("Avg. Price",Pivots!$A$4,"Date ",E87,"Company",$K$34,"Market",$D$4,"Product",$D$3)),NA())</f>
        <v>#N/A</v>
      </c>
      <c r="L87" s="2" t="e">
        <f>IFERROR(IF(GETPIVOTDATA("Avg. Price",Pivots!$A$4,"Date ",E87,"Company",$L$34,"Market",$D$4,"Product",$D$3)=0,NA(),GETPIVOTDATA("Avg. Price",Pivots!$A$4,"Date ",E87,"Company",$L$34,"Market",$D$4,"Product",$D$3)),NA())</f>
        <v>#N/A</v>
      </c>
      <c r="M87" s="2" t="e">
        <f>IFERROR(IF(GETPIVOTDATA("Avg. Price",Pivots!$A$4,"Date ",E87,"Company",$M$34,"Market",$D$4,"Product",$D$3)=0,NA(),GETPIVOTDATA("Avg. Price",Pivots!$A$4,"Date ",E87,"Company",$M$34,"Market",$D$4,"Product",$D$3)),NA())</f>
        <v>#N/A</v>
      </c>
      <c r="N87" s="2" t="e">
        <f>IFERROR(IF(GETPIVOTDATA("Avg. Price",Pivots!$A$4,"Date ",E87,"Company",$N$34,"Market",$D$4,"Product",$D$3)=0,NA(),GETPIVOTDATA("Avg. Price",Pivots!$A$4,"Date ",E87,"Company",$N$34,"Market",$D$4,"Product",$D$3)),NA())</f>
        <v>#N/A</v>
      </c>
      <c r="O87" s="2" t="e">
        <f>IFERROR(IF(GETPIVOTDATA("Avg. Price",Pivots!$A$4,"Date ",E87,"Company",$O$34,"Market",$D$4,"Product",$D$3)=0,NA(),GETPIVOTDATA("Avg. Price",Pivots!$A$4,"Date ",E87,"Company",$O$34,"Market",$D$4,"Product",$D$3)),NA())</f>
        <v>#N/A</v>
      </c>
    </row>
    <row r="88" spans="5:15" hidden="1" x14ac:dyDescent="0.45">
      <c r="E88" s="10">
        <v>45345</v>
      </c>
      <c r="F88" s="2" t="e">
        <f>IFERROR(IF(GETPIVOTDATA("Avg. Price",Pivots!$A$4,"Date ",E88,"Company",$F$34,"Market",$D$4,"Product",$D$3)=0,NA(),GETPIVOTDATA("Avg. Price",Pivots!$A$4,"Date ",E88,"Company",$F$34,"Market",$D$4,"Product",$D$3)),NA())</f>
        <v>#N/A</v>
      </c>
      <c r="G88" s="2" t="e">
        <f>IFERROR(IF(GETPIVOTDATA("Avg. Price",Pivots!$A$4,"Date ",E88,"Company",$G$34,"Market",$D$4,"Product",$D$3)=0,NA(),GETPIVOTDATA("Avg. Price",Pivots!$A$4,"Date ",E88,"Company",$G$34,"Market",$D$4,"Product",$D$3)),NA())</f>
        <v>#N/A</v>
      </c>
      <c r="H88" s="2" t="e">
        <f>IFERROR(IF(GETPIVOTDATA("Avg. Price",Pivots!$A$4,"Date ",E88,"Company",$H$34,"Market",$D$4,"Product",$D$3)=0,NA(),GETPIVOTDATA("Avg. Price",Pivots!$A$4,"Date ",E88,"Company",$H$34,"Market",$D$4,"Product",$D$3)),NA())</f>
        <v>#N/A</v>
      </c>
      <c r="I88" s="2" t="e">
        <f>IFERROR(IF(GETPIVOTDATA("Avg. Price",Pivots!$A$4,"Date ",E88,"Company",$I$34,"Market",$D$4,"Product",$D$3)=0,NA(),GETPIVOTDATA("Avg. Price",Pivots!$A$4,"Date ",E88,"Company",$I$34,"Market",$D$4,"Product",$D$3)),NA())</f>
        <v>#N/A</v>
      </c>
      <c r="J88" s="2" t="e">
        <f>IFERROR(IF(GETPIVOTDATA("Avg. Price",Pivots!$A$4,"Date ",E88,"Company",$J$34,"Market",$D$4,"Product",$D$3)=0,NA(),GETPIVOTDATA("Avg. Price",Pivots!$A$4,"Date ",E88,"Company",$J$34,"Market",$D$4,"Product",$D$3)),NA())</f>
        <v>#N/A</v>
      </c>
      <c r="K88" s="2" t="e">
        <f>IFERROR(IF(GETPIVOTDATA("Avg. Price",Pivots!$A$4,"Date ",E88,"Company",$K$34,"Market",$D$4,"Product",$D$3)=0,NA(),GETPIVOTDATA("Avg. Price",Pivots!$A$4,"Date ",E88,"Company",$K$34,"Market",$D$4,"Product",$D$3)),NA())</f>
        <v>#N/A</v>
      </c>
      <c r="L88" s="2" t="e">
        <f>IFERROR(IF(GETPIVOTDATA("Avg. Price",Pivots!$A$4,"Date ",E88,"Company",$L$34,"Market",$D$4,"Product",$D$3)=0,NA(),GETPIVOTDATA("Avg. Price",Pivots!$A$4,"Date ",E88,"Company",$L$34,"Market",$D$4,"Product",$D$3)),NA())</f>
        <v>#N/A</v>
      </c>
      <c r="M88" s="2" t="e">
        <f>IFERROR(IF(GETPIVOTDATA("Avg. Price",Pivots!$A$4,"Date ",E88,"Company",$M$34,"Market",$D$4,"Product",$D$3)=0,NA(),GETPIVOTDATA("Avg. Price",Pivots!$A$4,"Date ",E88,"Company",$M$34,"Market",$D$4,"Product",$D$3)),NA())</f>
        <v>#N/A</v>
      </c>
      <c r="N88" s="2" t="e">
        <f>IFERROR(IF(GETPIVOTDATA("Avg. Price",Pivots!$A$4,"Date ",E88,"Company",$N$34,"Market",$D$4,"Product",$D$3)=0,NA(),GETPIVOTDATA("Avg. Price",Pivots!$A$4,"Date ",E88,"Company",$N$34,"Market",$D$4,"Product",$D$3)),NA())</f>
        <v>#N/A</v>
      </c>
      <c r="O88" s="2" t="e">
        <f>IFERROR(IF(GETPIVOTDATA("Avg. Price",Pivots!$A$4,"Date ",E88,"Company",$O$34,"Market",$D$4,"Product",$D$3)=0,NA(),GETPIVOTDATA("Avg. Price",Pivots!$A$4,"Date ",E88,"Company",$O$34,"Market",$D$4,"Product",$D$3)),NA())</f>
        <v>#N/A</v>
      </c>
    </row>
    <row r="89" spans="5:15" hidden="1" x14ac:dyDescent="0.45">
      <c r="E89" s="10">
        <v>45346</v>
      </c>
      <c r="F89" s="2" t="e">
        <f>IFERROR(IF(GETPIVOTDATA("Avg. Price",Pivots!$A$4,"Date ",E89,"Company",$F$34,"Market",$D$4,"Product",$D$3)=0,NA(),GETPIVOTDATA("Avg. Price",Pivots!$A$4,"Date ",E89,"Company",$F$34,"Market",$D$4,"Product",$D$3)),NA())</f>
        <v>#N/A</v>
      </c>
      <c r="G89" s="2" t="e">
        <f>IFERROR(IF(GETPIVOTDATA("Avg. Price",Pivots!$A$4,"Date ",E89,"Company",$G$34,"Market",$D$4,"Product",$D$3)=0,NA(),GETPIVOTDATA("Avg. Price",Pivots!$A$4,"Date ",E89,"Company",$G$34,"Market",$D$4,"Product",$D$3)),NA())</f>
        <v>#N/A</v>
      </c>
      <c r="H89" s="2" t="e">
        <f>IFERROR(IF(GETPIVOTDATA("Avg. Price",Pivots!$A$4,"Date ",E89,"Company",$H$34,"Market",$D$4,"Product",$D$3)=0,NA(),GETPIVOTDATA("Avg. Price",Pivots!$A$4,"Date ",E89,"Company",$H$34,"Market",$D$4,"Product",$D$3)),NA())</f>
        <v>#N/A</v>
      </c>
      <c r="I89" s="2" t="e">
        <f>IFERROR(IF(GETPIVOTDATA("Avg. Price",Pivots!$A$4,"Date ",E89,"Company",$I$34,"Market",$D$4,"Product",$D$3)=0,NA(),GETPIVOTDATA("Avg. Price",Pivots!$A$4,"Date ",E89,"Company",$I$34,"Market",$D$4,"Product",$D$3)),NA())</f>
        <v>#N/A</v>
      </c>
      <c r="J89" s="2" t="e">
        <f>IFERROR(IF(GETPIVOTDATA("Avg. Price",Pivots!$A$4,"Date ",E89,"Company",$J$34,"Market",$D$4,"Product",$D$3)=0,NA(),GETPIVOTDATA("Avg. Price",Pivots!$A$4,"Date ",E89,"Company",$J$34,"Market",$D$4,"Product",$D$3)),NA())</f>
        <v>#N/A</v>
      </c>
      <c r="K89" s="2" t="e">
        <f>IFERROR(IF(GETPIVOTDATA("Avg. Price",Pivots!$A$4,"Date ",E89,"Company",$K$34,"Market",$D$4,"Product",$D$3)=0,NA(),GETPIVOTDATA("Avg. Price",Pivots!$A$4,"Date ",E89,"Company",$K$34,"Market",$D$4,"Product",$D$3)),NA())</f>
        <v>#N/A</v>
      </c>
      <c r="L89" s="2" t="e">
        <f>IFERROR(IF(GETPIVOTDATA("Avg. Price",Pivots!$A$4,"Date ",E89,"Company",$L$34,"Market",$D$4,"Product",$D$3)=0,NA(),GETPIVOTDATA("Avg. Price",Pivots!$A$4,"Date ",E89,"Company",$L$34,"Market",$D$4,"Product",$D$3)),NA())</f>
        <v>#N/A</v>
      </c>
      <c r="M89" s="2" t="e">
        <f>IFERROR(IF(GETPIVOTDATA("Avg. Price",Pivots!$A$4,"Date ",E89,"Company",$M$34,"Market",$D$4,"Product",$D$3)=0,NA(),GETPIVOTDATA("Avg. Price",Pivots!$A$4,"Date ",E89,"Company",$M$34,"Market",$D$4,"Product",$D$3)),NA())</f>
        <v>#N/A</v>
      </c>
      <c r="N89" s="2" t="e">
        <f>IFERROR(IF(GETPIVOTDATA("Avg. Price",Pivots!$A$4,"Date ",E89,"Company",$N$34,"Market",$D$4,"Product",$D$3)=0,NA(),GETPIVOTDATA("Avg. Price",Pivots!$A$4,"Date ",E89,"Company",$N$34,"Market",$D$4,"Product",$D$3)),NA())</f>
        <v>#N/A</v>
      </c>
      <c r="O89" s="2" t="e">
        <f>IFERROR(IF(GETPIVOTDATA("Avg. Price",Pivots!$A$4,"Date ",E89,"Company",$O$34,"Market",$D$4,"Product",$D$3)=0,NA(),GETPIVOTDATA("Avg. Price",Pivots!$A$4,"Date ",E89,"Company",$O$34,"Market",$D$4,"Product",$D$3)),NA())</f>
        <v>#N/A</v>
      </c>
    </row>
    <row r="90" spans="5:15" hidden="1" x14ac:dyDescent="0.45">
      <c r="E90" s="10">
        <v>45347</v>
      </c>
      <c r="F90" s="2" t="e">
        <f>IFERROR(IF(GETPIVOTDATA("Avg. Price",Pivots!$A$4,"Date ",E90,"Company",$F$34,"Market",$D$4,"Product",$D$3)=0,NA(),GETPIVOTDATA("Avg. Price",Pivots!$A$4,"Date ",E90,"Company",$F$34,"Market",$D$4,"Product",$D$3)),NA())</f>
        <v>#N/A</v>
      </c>
      <c r="G90" s="2" t="e">
        <f>IFERROR(IF(GETPIVOTDATA("Avg. Price",Pivots!$A$4,"Date ",E90,"Company",$G$34,"Market",$D$4,"Product",$D$3)=0,NA(),GETPIVOTDATA("Avg. Price",Pivots!$A$4,"Date ",E90,"Company",$G$34,"Market",$D$4,"Product",$D$3)),NA())</f>
        <v>#N/A</v>
      </c>
      <c r="H90" s="2" t="e">
        <f>IFERROR(IF(GETPIVOTDATA("Avg. Price",Pivots!$A$4,"Date ",E90,"Company",$H$34,"Market",$D$4,"Product",$D$3)=0,NA(),GETPIVOTDATA("Avg. Price",Pivots!$A$4,"Date ",E90,"Company",$H$34,"Market",$D$4,"Product",$D$3)),NA())</f>
        <v>#N/A</v>
      </c>
      <c r="I90" s="2" t="e">
        <f>IFERROR(IF(GETPIVOTDATA("Avg. Price",Pivots!$A$4,"Date ",E90,"Company",$I$34,"Market",$D$4,"Product",$D$3)=0,NA(),GETPIVOTDATA("Avg. Price",Pivots!$A$4,"Date ",E90,"Company",$I$34,"Market",$D$4,"Product",$D$3)),NA())</f>
        <v>#N/A</v>
      </c>
      <c r="J90" s="2" t="e">
        <f>IFERROR(IF(GETPIVOTDATA("Avg. Price",Pivots!$A$4,"Date ",E90,"Company",$J$34,"Market",$D$4,"Product",$D$3)=0,NA(),GETPIVOTDATA("Avg. Price",Pivots!$A$4,"Date ",E90,"Company",$J$34,"Market",$D$4,"Product",$D$3)),NA())</f>
        <v>#N/A</v>
      </c>
      <c r="K90" s="2" t="e">
        <f>IFERROR(IF(GETPIVOTDATA("Avg. Price",Pivots!$A$4,"Date ",E90,"Company",$K$34,"Market",$D$4,"Product",$D$3)=0,NA(),GETPIVOTDATA("Avg. Price",Pivots!$A$4,"Date ",E90,"Company",$K$34,"Market",$D$4,"Product",$D$3)),NA())</f>
        <v>#N/A</v>
      </c>
      <c r="L90" s="2" t="e">
        <f>IFERROR(IF(GETPIVOTDATA("Avg. Price",Pivots!$A$4,"Date ",E90,"Company",$L$34,"Market",$D$4,"Product",$D$3)=0,NA(),GETPIVOTDATA("Avg. Price",Pivots!$A$4,"Date ",E90,"Company",$L$34,"Market",$D$4,"Product",$D$3)),NA())</f>
        <v>#N/A</v>
      </c>
      <c r="M90" s="2" t="e">
        <f>IFERROR(IF(GETPIVOTDATA("Avg. Price",Pivots!$A$4,"Date ",E90,"Company",$M$34,"Market",$D$4,"Product",$D$3)=0,NA(),GETPIVOTDATA("Avg. Price",Pivots!$A$4,"Date ",E90,"Company",$M$34,"Market",$D$4,"Product",$D$3)),NA())</f>
        <v>#N/A</v>
      </c>
      <c r="N90" s="2" t="e">
        <f>IFERROR(IF(GETPIVOTDATA("Avg. Price",Pivots!$A$4,"Date ",E90,"Company",$N$34,"Market",$D$4,"Product",$D$3)=0,NA(),GETPIVOTDATA("Avg. Price",Pivots!$A$4,"Date ",E90,"Company",$N$34,"Market",$D$4,"Product",$D$3)),NA())</f>
        <v>#N/A</v>
      </c>
      <c r="O90" s="2" t="e">
        <f>IFERROR(IF(GETPIVOTDATA("Avg. Price",Pivots!$A$4,"Date ",E90,"Company",$O$34,"Market",$D$4,"Product",$D$3)=0,NA(),GETPIVOTDATA("Avg. Price",Pivots!$A$4,"Date ",E90,"Company",$O$34,"Market",$D$4,"Product",$D$3)),NA())</f>
        <v>#N/A</v>
      </c>
    </row>
    <row r="91" spans="5:15" hidden="1" x14ac:dyDescent="0.45">
      <c r="E91" s="10">
        <v>45348</v>
      </c>
      <c r="F91" s="2" t="e">
        <f>IFERROR(IF(GETPIVOTDATA("Avg. Price",Pivots!$A$4,"Date ",E91,"Company",$F$34,"Market",$D$4,"Product",$D$3)=0,NA(),GETPIVOTDATA("Avg. Price",Pivots!$A$4,"Date ",E91,"Company",$F$34,"Market",$D$4,"Product",$D$3)),NA())</f>
        <v>#N/A</v>
      </c>
      <c r="G91" s="2" t="e">
        <f>IFERROR(IF(GETPIVOTDATA("Avg. Price",Pivots!$A$4,"Date ",E91,"Company",$G$34,"Market",$D$4,"Product",$D$3)=0,NA(),GETPIVOTDATA("Avg. Price",Pivots!$A$4,"Date ",E91,"Company",$G$34,"Market",$D$4,"Product",$D$3)),NA())</f>
        <v>#N/A</v>
      </c>
      <c r="H91" s="2" t="e">
        <f>IFERROR(IF(GETPIVOTDATA("Avg. Price",Pivots!$A$4,"Date ",E91,"Company",$H$34,"Market",$D$4,"Product",$D$3)=0,NA(),GETPIVOTDATA("Avg. Price",Pivots!$A$4,"Date ",E91,"Company",$H$34,"Market",$D$4,"Product",$D$3)),NA())</f>
        <v>#N/A</v>
      </c>
      <c r="I91" s="2" t="e">
        <f>IFERROR(IF(GETPIVOTDATA("Avg. Price",Pivots!$A$4,"Date ",E91,"Company",$I$34,"Market",$D$4,"Product",$D$3)=0,NA(),GETPIVOTDATA("Avg. Price",Pivots!$A$4,"Date ",E91,"Company",$I$34,"Market",$D$4,"Product",$D$3)),NA())</f>
        <v>#N/A</v>
      </c>
      <c r="J91" s="2" t="e">
        <f>IFERROR(IF(GETPIVOTDATA("Avg. Price",Pivots!$A$4,"Date ",E91,"Company",$J$34,"Market",$D$4,"Product",$D$3)=0,NA(),GETPIVOTDATA("Avg. Price",Pivots!$A$4,"Date ",E91,"Company",$J$34,"Market",$D$4,"Product",$D$3)),NA())</f>
        <v>#N/A</v>
      </c>
      <c r="K91" s="2" t="e">
        <f>IFERROR(IF(GETPIVOTDATA("Avg. Price",Pivots!$A$4,"Date ",E91,"Company",$K$34,"Market",$D$4,"Product",$D$3)=0,NA(),GETPIVOTDATA("Avg. Price",Pivots!$A$4,"Date ",E91,"Company",$K$34,"Market",$D$4,"Product",$D$3)),NA())</f>
        <v>#N/A</v>
      </c>
      <c r="L91" s="2" t="e">
        <f>IFERROR(IF(GETPIVOTDATA("Avg. Price",Pivots!$A$4,"Date ",E91,"Company",$L$34,"Market",$D$4,"Product",$D$3)=0,NA(),GETPIVOTDATA("Avg. Price",Pivots!$A$4,"Date ",E91,"Company",$L$34,"Market",$D$4,"Product",$D$3)),NA())</f>
        <v>#N/A</v>
      </c>
      <c r="M91" s="2" t="e">
        <f>IFERROR(IF(GETPIVOTDATA("Avg. Price",Pivots!$A$4,"Date ",E91,"Company",$M$34,"Market",$D$4,"Product",$D$3)=0,NA(),GETPIVOTDATA("Avg. Price",Pivots!$A$4,"Date ",E91,"Company",$M$34,"Market",$D$4,"Product",$D$3)),NA())</f>
        <v>#N/A</v>
      </c>
      <c r="N91" s="2" t="e">
        <f>IFERROR(IF(GETPIVOTDATA("Avg. Price",Pivots!$A$4,"Date ",E91,"Company",$N$34,"Market",$D$4,"Product",$D$3)=0,NA(),GETPIVOTDATA("Avg. Price",Pivots!$A$4,"Date ",E91,"Company",$N$34,"Market",$D$4,"Product",$D$3)),NA())</f>
        <v>#N/A</v>
      </c>
      <c r="O91" s="2" t="e">
        <f>IFERROR(IF(GETPIVOTDATA("Avg. Price",Pivots!$A$4,"Date ",E91,"Company",$O$34,"Market",$D$4,"Product",$D$3)=0,NA(),GETPIVOTDATA("Avg. Price",Pivots!$A$4,"Date ",E91,"Company",$O$34,"Market",$D$4,"Product",$D$3)),NA())</f>
        <v>#N/A</v>
      </c>
    </row>
    <row r="92" spans="5:15" hidden="1" x14ac:dyDescent="0.45">
      <c r="E92" s="10">
        <v>45349</v>
      </c>
      <c r="F92" s="2" t="e">
        <f>IFERROR(IF(GETPIVOTDATA("Avg. Price",Pivots!$A$4,"Date ",E92,"Company",$F$34,"Market",$D$4,"Product",$D$3)=0,NA(),GETPIVOTDATA("Avg. Price",Pivots!$A$4,"Date ",E92,"Company",$F$34,"Market",$D$4,"Product",$D$3)),NA())</f>
        <v>#N/A</v>
      </c>
      <c r="G92" s="2" t="e">
        <f>IFERROR(IF(GETPIVOTDATA("Avg. Price",Pivots!$A$4,"Date ",E92,"Company",$G$34,"Market",$D$4,"Product",$D$3)=0,NA(),GETPIVOTDATA("Avg. Price",Pivots!$A$4,"Date ",E92,"Company",$G$34,"Market",$D$4,"Product",$D$3)),NA())</f>
        <v>#N/A</v>
      </c>
      <c r="H92" s="2" t="e">
        <f>IFERROR(IF(GETPIVOTDATA("Avg. Price",Pivots!$A$4,"Date ",E92,"Company",$H$34,"Market",$D$4,"Product",$D$3)=0,NA(),GETPIVOTDATA("Avg. Price",Pivots!$A$4,"Date ",E92,"Company",$H$34,"Market",$D$4,"Product",$D$3)),NA())</f>
        <v>#N/A</v>
      </c>
      <c r="I92" s="2" t="e">
        <f>IFERROR(IF(GETPIVOTDATA("Avg. Price",Pivots!$A$4,"Date ",E92,"Company",$I$34,"Market",$D$4,"Product",$D$3)=0,NA(),GETPIVOTDATA("Avg. Price",Pivots!$A$4,"Date ",E92,"Company",$I$34,"Market",$D$4,"Product",$D$3)),NA())</f>
        <v>#N/A</v>
      </c>
      <c r="J92" s="2" t="e">
        <f>IFERROR(IF(GETPIVOTDATA("Avg. Price",Pivots!$A$4,"Date ",E92,"Company",$J$34,"Market",$D$4,"Product",$D$3)=0,NA(),GETPIVOTDATA("Avg. Price",Pivots!$A$4,"Date ",E92,"Company",$J$34,"Market",$D$4,"Product",$D$3)),NA())</f>
        <v>#N/A</v>
      </c>
      <c r="K92" s="2" t="e">
        <f>IFERROR(IF(GETPIVOTDATA("Avg. Price",Pivots!$A$4,"Date ",E92,"Company",$K$34,"Market",$D$4,"Product",$D$3)=0,NA(),GETPIVOTDATA("Avg. Price",Pivots!$A$4,"Date ",E92,"Company",$K$34,"Market",$D$4,"Product",$D$3)),NA())</f>
        <v>#N/A</v>
      </c>
      <c r="L92" s="2" t="e">
        <f>IFERROR(IF(GETPIVOTDATA("Avg. Price",Pivots!$A$4,"Date ",E92,"Company",$L$34,"Market",$D$4,"Product",$D$3)=0,NA(),GETPIVOTDATA("Avg. Price",Pivots!$A$4,"Date ",E92,"Company",$L$34,"Market",$D$4,"Product",$D$3)),NA())</f>
        <v>#N/A</v>
      </c>
      <c r="M92" s="2" t="e">
        <f>IFERROR(IF(GETPIVOTDATA("Avg. Price",Pivots!$A$4,"Date ",E92,"Company",$M$34,"Market",$D$4,"Product",$D$3)=0,NA(),GETPIVOTDATA("Avg. Price",Pivots!$A$4,"Date ",E92,"Company",$M$34,"Market",$D$4,"Product",$D$3)),NA())</f>
        <v>#N/A</v>
      </c>
      <c r="N92" s="2" t="e">
        <f>IFERROR(IF(GETPIVOTDATA("Avg. Price",Pivots!$A$4,"Date ",E92,"Company",$N$34,"Market",$D$4,"Product",$D$3)=0,NA(),GETPIVOTDATA("Avg. Price",Pivots!$A$4,"Date ",E92,"Company",$N$34,"Market",$D$4,"Product",$D$3)),NA())</f>
        <v>#N/A</v>
      </c>
      <c r="O92" s="2" t="e">
        <f>IFERROR(IF(GETPIVOTDATA("Avg. Price",Pivots!$A$4,"Date ",E92,"Company",$O$34,"Market",$D$4,"Product",$D$3)=0,NA(),GETPIVOTDATA("Avg. Price",Pivots!$A$4,"Date ",E92,"Company",$O$34,"Market",$D$4,"Product",$D$3)),NA())</f>
        <v>#N/A</v>
      </c>
    </row>
    <row r="93" spans="5:15" hidden="1" x14ac:dyDescent="0.45">
      <c r="E93" s="10">
        <v>45350</v>
      </c>
      <c r="F93" s="2" t="e">
        <f>IFERROR(IF(GETPIVOTDATA("Avg. Price",Pivots!$A$4,"Date ",E93,"Company",$F$34,"Market",$D$4,"Product",$D$3)=0,NA(),GETPIVOTDATA("Avg. Price",Pivots!$A$4,"Date ",E93,"Company",$F$34,"Market",$D$4,"Product",$D$3)),NA())</f>
        <v>#N/A</v>
      </c>
      <c r="G93" s="2" t="e">
        <f>IFERROR(IF(GETPIVOTDATA("Avg. Price",Pivots!$A$4,"Date ",E93,"Company",$G$34,"Market",$D$4,"Product",$D$3)=0,NA(),GETPIVOTDATA("Avg. Price",Pivots!$A$4,"Date ",E93,"Company",$G$34,"Market",$D$4,"Product",$D$3)),NA())</f>
        <v>#N/A</v>
      </c>
      <c r="H93" s="2" t="e">
        <f>IFERROR(IF(GETPIVOTDATA("Avg. Price",Pivots!$A$4,"Date ",E93,"Company",$H$34,"Market",$D$4,"Product",$D$3)=0,NA(),GETPIVOTDATA("Avg. Price",Pivots!$A$4,"Date ",E93,"Company",$H$34,"Market",$D$4,"Product",$D$3)),NA())</f>
        <v>#N/A</v>
      </c>
      <c r="I93" s="2" t="e">
        <f>IFERROR(IF(GETPIVOTDATA("Avg. Price",Pivots!$A$4,"Date ",E93,"Company",$I$34,"Market",$D$4,"Product",$D$3)=0,NA(),GETPIVOTDATA("Avg. Price",Pivots!$A$4,"Date ",E93,"Company",$I$34,"Market",$D$4,"Product",$D$3)),NA())</f>
        <v>#N/A</v>
      </c>
      <c r="J93" s="2" t="e">
        <f>IFERROR(IF(GETPIVOTDATA("Avg. Price",Pivots!$A$4,"Date ",E93,"Company",$J$34,"Market",$D$4,"Product",$D$3)=0,NA(),GETPIVOTDATA("Avg. Price",Pivots!$A$4,"Date ",E93,"Company",$J$34,"Market",$D$4,"Product",$D$3)),NA())</f>
        <v>#N/A</v>
      </c>
      <c r="K93" s="2" t="e">
        <f>IFERROR(IF(GETPIVOTDATA("Avg. Price",Pivots!$A$4,"Date ",E93,"Company",$K$34,"Market",$D$4,"Product",$D$3)=0,NA(),GETPIVOTDATA("Avg. Price",Pivots!$A$4,"Date ",E93,"Company",$K$34,"Market",$D$4,"Product",$D$3)),NA())</f>
        <v>#N/A</v>
      </c>
      <c r="L93" s="2" t="e">
        <f>IFERROR(IF(GETPIVOTDATA("Avg. Price",Pivots!$A$4,"Date ",E93,"Company",$L$34,"Market",$D$4,"Product",$D$3)=0,NA(),GETPIVOTDATA("Avg. Price",Pivots!$A$4,"Date ",E93,"Company",$L$34,"Market",$D$4,"Product",$D$3)),NA())</f>
        <v>#N/A</v>
      </c>
      <c r="M93" s="2" t="e">
        <f>IFERROR(IF(GETPIVOTDATA("Avg. Price",Pivots!$A$4,"Date ",E93,"Company",$M$34,"Market",$D$4,"Product",$D$3)=0,NA(),GETPIVOTDATA("Avg. Price",Pivots!$A$4,"Date ",E93,"Company",$M$34,"Market",$D$4,"Product",$D$3)),NA())</f>
        <v>#N/A</v>
      </c>
      <c r="N93" s="2" t="e">
        <f>IFERROR(IF(GETPIVOTDATA("Avg. Price",Pivots!$A$4,"Date ",E93,"Company",$N$34,"Market",$D$4,"Product",$D$3)=0,NA(),GETPIVOTDATA("Avg. Price",Pivots!$A$4,"Date ",E93,"Company",$N$34,"Market",$D$4,"Product",$D$3)),NA())</f>
        <v>#N/A</v>
      </c>
      <c r="O93" s="2" t="e">
        <f>IFERROR(IF(GETPIVOTDATA("Avg. Price",Pivots!$A$4,"Date ",E93,"Company",$O$34,"Market",$D$4,"Product",$D$3)=0,NA(),GETPIVOTDATA("Avg. Price",Pivots!$A$4,"Date ",E93,"Company",$O$34,"Market",$D$4,"Product",$D$3)),NA())</f>
        <v>#N/A</v>
      </c>
    </row>
    <row r="94" spans="5:15" hidden="1" x14ac:dyDescent="0.45">
      <c r="E94" s="10">
        <v>45351</v>
      </c>
      <c r="F94" s="2" t="e">
        <f>IFERROR(IF(GETPIVOTDATA("Avg. Price",Pivots!$A$4,"Date ",E94,"Company",$F$34,"Market",$D$4,"Product",$D$3)=0,NA(),GETPIVOTDATA("Avg. Price",Pivots!$A$4,"Date ",E94,"Company",$F$34,"Market",$D$4,"Product",$D$3)),NA())</f>
        <v>#N/A</v>
      </c>
      <c r="G94" s="2" t="e">
        <f>IFERROR(IF(GETPIVOTDATA("Avg. Price",Pivots!$A$4,"Date ",E94,"Company",$G$34,"Market",$D$4,"Product",$D$3)=0,NA(),GETPIVOTDATA("Avg. Price",Pivots!$A$4,"Date ",E94,"Company",$G$34,"Market",$D$4,"Product",$D$3)),NA())</f>
        <v>#N/A</v>
      </c>
      <c r="H94" s="2" t="e">
        <f>IFERROR(IF(GETPIVOTDATA("Avg. Price",Pivots!$A$4,"Date ",E94,"Company",$H$34,"Market",$D$4,"Product",$D$3)=0,NA(),GETPIVOTDATA("Avg. Price",Pivots!$A$4,"Date ",E94,"Company",$H$34,"Market",$D$4,"Product",$D$3)),NA())</f>
        <v>#N/A</v>
      </c>
      <c r="I94" s="2" t="e">
        <f>IFERROR(IF(GETPIVOTDATA("Avg. Price",Pivots!$A$4,"Date ",E94,"Company",$I$34,"Market",$D$4,"Product",$D$3)=0,NA(),GETPIVOTDATA("Avg. Price",Pivots!$A$4,"Date ",E94,"Company",$I$34,"Market",$D$4,"Product",$D$3)),NA())</f>
        <v>#N/A</v>
      </c>
      <c r="J94" s="2" t="e">
        <f>IFERROR(IF(GETPIVOTDATA("Avg. Price",Pivots!$A$4,"Date ",E94,"Company",$J$34,"Market",$D$4,"Product",$D$3)=0,NA(),GETPIVOTDATA("Avg. Price",Pivots!$A$4,"Date ",E94,"Company",$J$34,"Market",$D$4,"Product",$D$3)),NA())</f>
        <v>#N/A</v>
      </c>
      <c r="K94" s="2" t="e">
        <f>IFERROR(IF(GETPIVOTDATA("Avg. Price",Pivots!$A$4,"Date ",E94,"Company",$K$34,"Market",$D$4,"Product",$D$3)=0,NA(),GETPIVOTDATA("Avg. Price",Pivots!$A$4,"Date ",E94,"Company",$K$34,"Market",$D$4,"Product",$D$3)),NA())</f>
        <v>#N/A</v>
      </c>
      <c r="L94" s="2" t="e">
        <f>IFERROR(IF(GETPIVOTDATA("Avg. Price",Pivots!$A$4,"Date ",E94,"Company",$L$34,"Market",$D$4,"Product",$D$3)=0,NA(),GETPIVOTDATA("Avg. Price",Pivots!$A$4,"Date ",E94,"Company",$L$34,"Market",$D$4,"Product",$D$3)),NA())</f>
        <v>#N/A</v>
      </c>
      <c r="M94" s="2" t="e">
        <f>IFERROR(IF(GETPIVOTDATA("Avg. Price",Pivots!$A$4,"Date ",E94,"Company",$M$34,"Market",$D$4,"Product",$D$3)=0,NA(),GETPIVOTDATA("Avg. Price",Pivots!$A$4,"Date ",E94,"Company",$M$34,"Market",$D$4,"Product",$D$3)),NA())</f>
        <v>#N/A</v>
      </c>
      <c r="N94" s="2" t="e">
        <f>IFERROR(IF(GETPIVOTDATA("Avg. Price",Pivots!$A$4,"Date ",E94,"Company",$N$34,"Market",$D$4,"Product",$D$3)=0,NA(),GETPIVOTDATA("Avg. Price",Pivots!$A$4,"Date ",E94,"Company",$N$34,"Market",$D$4,"Product",$D$3)),NA())</f>
        <v>#N/A</v>
      </c>
      <c r="O94" s="2" t="e">
        <f>IFERROR(IF(GETPIVOTDATA("Avg. Price",Pivots!$A$4,"Date ",E94,"Company",$O$34,"Market",$D$4,"Product",$D$3)=0,NA(),GETPIVOTDATA("Avg. Price",Pivots!$A$4,"Date ",E94,"Company",$O$34,"Market",$D$4,"Product",$D$3)),NA())</f>
        <v>#N/A</v>
      </c>
    </row>
    <row r="95" spans="5:15" hidden="1" x14ac:dyDescent="0.45">
      <c r="E95" s="10">
        <v>45352</v>
      </c>
      <c r="F95" s="2" t="e">
        <f>IFERROR(IF(GETPIVOTDATA("Avg. Price",Pivots!$A$4,"Date ",E95,"Company",$F$34,"Market",$D$4,"Product",$D$3)=0,NA(),GETPIVOTDATA("Avg. Price",Pivots!$A$4,"Date ",E95,"Company",$F$34,"Market",$D$4,"Product",$D$3)),NA())</f>
        <v>#N/A</v>
      </c>
      <c r="G95" s="2" t="e">
        <f>IFERROR(IF(GETPIVOTDATA("Avg. Price",Pivots!$A$4,"Date ",E95,"Company",$G$34,"Market",$D$4,"Product",$D$3)=0,NA(),GETPIVOTDATA("Avg. Price",Pivots!$A$4,"Date ",E95,"Company",$G$34,"Market",$D$4,"Product",$D$3)),NA())</f>
        <v>#N/A</v>
      </c>
      <c r="H95" s="2" t="e">
        <f>IFERROR(IF(GETPIVOTDATA("Avg. Price",Pivots!$A$4,"Date ",E95,"Company",$H$34,"Market",$D$4,"Product",$D$3)=0,NA(),GETPIVOTDATA("Avg. Price",Pivots!$A$4,"Date ",E95,"Company",$H$34,"Market",$D$4,"Product",$D$3)),NA())</f>
        <v>#N/A</v>
      </c>
      <c r="I95" s="2" t="e">
        <f>IFERROR(IF(GETPIVOTDATA("Avg. Price",Pivots!$A$4,"Date ",E95,"Company",$I$34,"Market",$D$4,"Product",$D$3)=0,NA(),GETPIVOTDATA("Avg. Price",Pivots!$A$4,"Date ",E95,"Company",$I$34,"Market",$D$4,"Product",$D$3)),NA())</f>
        <v>#N/A</v>
      </c>
      <c r="J95" s="2" t="e">
        <f>IFERROR(IF(GETPIVOTDATA("Avg. Price",Pivots!$A$4,"Date ",E95,"Company",$J$34,"Market",$D$4,"Product",$D$3)=0,NA(),GETPIVOTDATA("Avg. Price",Pivots!$A$4,"Date ",E95,"Company",$J$34,"Market",$D$4,"Product",$D$3)),NA())</f>
        <v>#N/A</v>
      </c>
      <c r="K95" s="2" t="e">
        <f>IFERROR(IF(GETPIVOTDATA("Avg. Price",Pivots!$A$4,"Date ",E95,"Company",$K$34,"Market",$D$4,"Product",$D$3)=0,NA(),GETPIVOTDATA("Avg. Price",Pivots!$A$4,"Date ",E95,"Company",$K$34,"Market",$D$4,"Product",$D$3)),NA())</f>
        <v>#N/A</v>
      </c>
      <c r="L95" s="2" t="e">
        <f>IFERROR(IF(GETPIVOTDATA("Avg. Price",Pivots!$A$4,"Date ",E95,"Company",$L$34,"Market",$D$4,"Product",$D$3)=0,NA(),GETPIVOTDATA("Avg. Price",Pivots!$A$4,"Date ",E95,"Company",$L$34,"Market",$D$4,"Product",$D$3)),NA())</f>
        <v>#N/A</v>
      </c>
      <c r="M95" s="2" t="e">
        <f>IFERROR(IF(GETPIVOTDATA("Avg. Price",Pivots!$A$4,"Date ",E95,"Company",$M$34,"Market",$D$4,"Product",$D$3)=0,NA(),GETPIVOTDATA("Avg. Price",Pivots!$A$4,"Date ",E95,"Company",$M$34,"Market",$D$4,"Product",$D$3)),NA())</f>
        <v>#N/A</v>
      </c>
      <c r="N95" s="2" t="e">
        <f>IFERROR(IF(GETPIVOTDATA("Avg. Price",Pivots!$A$4,"Date ",E95,"Company",$N$34,"Market",$D$4,"Product",$D$3)=0,NA(),GETPIVOTDATA("Avg. Price",Pivots!$A$4,"Date ",E95,"Company",$N$34,"Market",$D$4,"Product",$D$3)),NA())</f>
        <v>#N/A</v>
      </c>
      <c r="O95" s="2" t="e">
        <f>IFERROR(IF(GETPIVOTDATA("Avg. Price",Pivots!$A$4,"Date ",E95,"Company",$O$34,"Market",$D$4,"Product",$D$3)=0,NA(),GETPIVOTDATA("Avg. Price",Pivots!$A$4,"Date ",E95,"Company",$O$34,"Market",$D$4,"Product",$D$3)),NA())</f>
        <v>#N/A</v>
      </c>
    </row>
    <row r="96" spans="5:15" hidden="1" x14ac:dyDescent="0.45">
      <c r="E96" s="10">
        <v>45353</v>
      </c>
      <c r="F96" s="2" t="e">
        <f>IFERROR(IF(GETPIVOTDATA("Avg. Price",Pivots!$A$4,"Date ",E96,"Company",$F$34,"Market",$D$4,"Product",$D$3)=0,NA(),GETPIVOTDATA("Avg. Price",Pivots!$A$4,"Date ",E96,"Company",$F$34,"Market",$D$4,"Product",$D$3)),NA())</f>
        <v>#N/A</v>
      </c>
      <c r="G96" s="2" t="e">
        <f>IFERROR(IF(GETPIVOTDATA("Avg. Price",Pivots!$A$4,"Date ",E96,"Company",$G$34,"Market",$D$4,"Product",$D$3)=0,NA(),GETPIVOTDATA("Avg. Price",Pivots!$A$4,"Date ",E96,"Company",$G$34,"Market",$D$4,"Product",$D$3)),NA())</f>
        <v>#N/A</v>
      </c>
      <c r="H96" s="2" t="e">
        <f>IFERROR(IF(GETPIVOTDATA("Avg. Price",Pivots!$A$4,"Date ",E96,"Company",$H$34,"Market",$D$4,"Product",$D$3)=0,NA(),GETPIVOTDATA("Avg. Price",Pivots!$A$4,"Date ",E96,"Company",$H$34,"Market",$D$4,"Product",$D$3)),NA())</f>
        <v>#N/A</v>
      </c>
      <c r="I96" s="2" t="e">
        <f>IFERROR(IF(GETPIVOTDATA("Avg. Price",Pivots!$A$4,"Date ",E96,"Company",$I$34,"Market",$D$4,"Product",$D$3)=0,NA(),GETPIVOTDATA("Avg. Price",Pivots!$A$4,"Date ",E96,"Company",$I$34,"Market",$D$4,"Product",$D$3)),NA())</f>
        <v>#N/A</v>
      </c>
      <c r="J96" s="2" t="e">
        <f>IFERROR(IF(GETPIVOTDATA("Avg. Price",Pivots!$A$4,"Date ",E96,"Company",$J$34,"Market",$D$4,"Product",$D$3)=0,NA(),GETPIVOTDATA("Avg. Price",Pivots!$A$4,"Date ",E96,"Company",$J$34,"Market",$D$4,"Product",$D$3)),NA())</f>
        <v>#N/A</v>
      </c>
      <c r="K96" s="2" t="e">
        <f>IFERROR(IF(GETPIVOTDATA("Avg. Price",Pivots!$A$4,"Date ",E96,"Company",$K$34,"Market",$D$4,"Product",$D$3)=0,NA(),GETPIVOTDATA("Avg. Price",Pivots!$A$4,"Date ",E96,"Company",$K$34,"Market",$D$4,"Product",$D$3)),NA())</f>
        <v>#N/A</v>
      </c>
      <c r="L96" s="2" t="e">
        <f>IFERROR(IF(GETPIVOTDATA("Avg. Price",Pivots!$A$4,"Date ",E96,"Company",$L$34,"Market",$D$4,"Product",$D$3)=0,NA(),GETPIVOTDATA("Avg. Price",Pivots!$A$4,"Date ",E96,"Company",$L$34,"Market",$D$4,"Product",$D$3)),NA())</f>
        <v>#N/A</v>
      </c>
      <c r="M96" s="2" t="e">
        <f>IFERROR(IF(GETPIVOTDATA("Avg. Price",Pivots!$A$4,"Date ",E96,"Company",$M$34,"Market",$D$4,"Product",$D$3)=0,NA(),GETPIVOTDATA("Avg. Price",Pivots!$A$4,"Date ",E96,"Company",$M$34,"Market",$D$4,"Product",$D$3)),NA())</f>
        <v>#N/A</v>
      </c>
      <c r="N96" s="2" t="e">
        <f>IFERROR(IF(GETPIVOTDATA("Avg. Price",Pivots!$A$4,"Date ",E96,"Company",$N$34,"Market",$D$4,"Product",$D$3)=0,NA(),GETPIVOTDATA("Avg. Price",Pivots!$A$4,"Date ",E96,"Company",$N$34,"Market",$D$4,"Product",$D$3)),NA())</f>
        <v>#N/A</v>
      </c>
      <c r="O96" s="2" t="e">
        <f>IFERROR(IF(GETPIVOTDATA("Avg. Price",Pivots!$A$4,"Date ",E96,"Company",$O$34,"Market",$D$4,"Product",$D$3)=0,NA(),GETPIVOTDATA("Avg. Price",Pivots!$A$4,"Date ",E96,"Company",$O$34,"Market",$D$4,"Product",$D$3)),NA())</f>
        <v>#N/A</v>
      </c>
    </row>
    <row r="97" spans="5:15" hidden="1" x14ac:dyDescent="0.45">
      <c r="E97" s="10">
        <v>45354</v>
      </c>
      <c r="F97" s="2" t="e">
        <f>IFERROR(IF(GETPIVOTDATA("Avg. Price",Pivots!$A$4,"Date ",E97,"Company",$F$34,"Market",$D$4,"Product",$D$3)=0,NA(),GETPIVOTDATA("Avg. Price",Pivots!$A$4,"Date ",E97,"Company",$F$34,"Market",$D$4,"Product",$D$3)),NA())</f>
        <v>#N/A</v>
      </c>
      <c r="G97" s="2" t="e">
        <f>IFERROR(IF(GETPIVOTDATA("Avg. Price",Pivots!$A$4,"Date ",E97,"Company",$G$34,"Market",$D$4,"Product",$D$3)=0,NA(),GETPIVOTDATA("Avg. Price",Pivots!$A$4,"Date ",E97,"Company",$G$34,"Market",$D$4,"Product",$D$3)),NA())</f>
        <v>#N/A</v>
      </c>
      <c r="H97" s="2" t="e">
        <f>IFERROR(IF(GETPIVOTDATA("Avg. Price",Pivots!$A$4,"Date ",E97,"Company",$H$34,"Market",$D$4,"Product",$D$3)=0,NA(),GETPIVOTDATA("Avg. Price",Pivots!$A$4,"Date ",E97,"Company",$H$34,"Market",$D$4,"Product",$D$3)),NA())</f>
        <v>#N/A</v>
      </c>
      <c r="I97" s="2" t="e">
        <f>IFERROR(IF(GETPIVOTDATA("Avg. Price",Pivots!$A$4,"Date ",E97,"Company",$I$34,"Market",$D$4,"Product",$D$3)=0,NA(),GETPIVOTDATA("Avg. Price",Pivots!$A$4,"Date ",E97,"Company",$I$34,"Market",$D$4,"Product",$D$3)),NA())</f>
        <v>#N/A</v>
      </c>
      <c r="J97" s="2" t="e">
        <f>IFERROR(IF(GETPIVOTDATA("Avg. Price",Pivots!$A$4,"Date ",E97,"Company",$J$34,"Market",$D$4,"Product",$D$3)=0,NA(),GETPIVOTDATA("Avg. Price",Pivots!$A$4,"Date ",E97,"Company",$J$34,"Market",$D$4,"Product",$D$3)),NA())</f>
        <v>#N/A</v>
      </c>
      <c r="K97" s="2" t="e">
        <f>IFERROR(IF(GETPIVOTDATA("Avg. Price",Pivots!$A$4,"Date ",E97,"Company",$K$34,"Market",$D$4,"Product",$D$3)=0,NA(),GETPIVOTDATA("Avg. Price",Pivots!$A$4,"Date ",E97,"Company",$K$34,"Market",$D$4,"Product",$D$3)),NA())</f>
        <v>#N/A</v>
      </c>
      <c r="L97" s="2" t="e">
        <f>IFERROR(IF(GETPIVOTDATA("Avg. Price",Pivots!$A$4,"Date ",E97,"Company",$L$34,"Market",$D$4,"Product",$D$3)=0,NA(),GETPIVOTDATA("Avg. Price",Pivots!$A$4,"Date ",E97,"Company",$L$34,"Market",$D$4,"Product",$D$3)),NA())</f>
        <v>#N/A</v>
      </c>
      <c r="M97" s="2" t="e">
        <f>IFERROR(IF(GETPIVOTDATA("Avg. Price",Pivots!$A$4,"Date ",E97,"Company",$M$34,"Market",$D$4,"Product",$D$3)=0,NA(),GETPIVOTDATA("Avg. Price",Pivots!$A$4,"Date ",E97,"Company",$M$34,"Market",$D$4,"Product",$D$3)),NA())</f>
        <v>#N/A</v>
      </c>
      <c r="N97" s="2" t="e">
        <f>IFERROR(IF(GETPIVOTDATA("Avg. Price",Pivots!$A$4,"Date ",E97,"Company",$N$34,"Market",$D$4,"Product",$D$3)=0,NA(),GETPIVOTDATA("Avg. Price",Pivots!$A$4,"Date ",E97,"Company",$N$34,"Market",$D$4,"Product",$D$3)),NA())</f>
        <v>#N/A</v>
      </c>
      <c r="O97" s="2" t="e">
        <f>IFERROR(IF(GETPIVOTDATA("Avg. Price",Pivots!$A$4,"Date ",E97,"Company",$O$34,"Market",$D$4,"Product",$D$3)=0,NA(),GETPIVOTDATA("Avg. Price",Pivots!$A$4,"Date ",E97,"Company",$O$34,"Market",$D$4,"Product",$D$3)),NA())</f>
        <v>#N/A</v>
      </c>
    </row>
    <row r="98" spans="5:15" hidden="1" x14ac:dyDescent="0.45">
      <c r="E98" s="10">
        <v>45355</v>
      </c>
      <c r="F98" s="2" t="e">
        <f>IFERROR(IF(GETPIVOTDATA("Avg. Price",Pivots!$A$4,"Date ",E98,"Company",$F$34,"Market",$D$4,"Product",$D$3)=0,NA(),GETPIVOTDATA("Avg. Price",Pivots!$A$4,"Date ",E98,"Company",$F$34,"Market",$D$4,"Product",$D$3)),NA())</f>
        <v>#N/A</v>
      </c>
      <c r="G98" s="2" t="e">
        <f>IFERROR(IF(GETPIVOTDATA("Avg. Price",Pivots!$A$4,"Date ",E98,"Company",$G$34,"Market",$D$4,"Product",$D$3)=0,NA(),GETPIVOTDATA("Avg. Price",Pivots!$A$4,"Date ",E98,"Company",$G$34,"Market",$D$4,"Product",$D$3)),NA())</f>
        <v>#N/A</v>
      </c>
      <c r="H98" s="2" t="e">
        <f>IFERROR(IF(GETPIVOTDATA("Avg. Price",Pivots!$A$4,"Date ",E98,"Company",$H$34,"Market",$D$4,"Product",$D$3)=0,NA(),GETPIVOTDATA("Avg. Price",Pivots!$A$4,"Date ",E98,"Company",$H$34,"Market",$D$4,"Product",$D$3)),NA())</f>
        <v>#N/A</v>
      </c>
      <c r="I98" s="2" t="e">
        <f>IFERROR(IF(GETPIVOTDATA("Avg. Price",Pivots!$A$4,"Date ",E98,"Company",$I$34,"Market",$D$4,"Product",$D$3)=0,NA(),GETPIVOTDATA("Avg. Price",Pivots!$A$4,"Date ",E98,"Company",$I$34,"Market",$D$4,"Product",$D$3)),NA())</f>
        <v>#N/A</v>
      </c>
      <c r="J98" s="2" t="e">
        <f>IFERROR(IF(GETPIVOTDATA("Avg. Price",Pivots!$A$4,"Date ",E98,"Company",$J$34,"Market",$D$4,"Product",$D$3)=0,NA(),GETPIVOTDATA("Avg. Price",Pivots!$A$4,"Date ",E98,"Company",$J$34,"Market",$D$4,"Product",$D$3)),NA())</f>
        <v>#N/A</v>
      </c>
      <c r="K98" s="2" t="e">
        <f>IFERROR(IF(GETPIVOTDATA("Avg. Price",Pivots!$A$4,"Date ",E98,"Company",$K$34,"Market",$D$4,"Product",$D$3)=0,NA(),GETPIVOTDATA("Avg. Price",Pivots!$A$4,"Date ",E98,"Company",$K$34,"Market",$D$4,"Product",$D$3)),NA())</f>
        <v>#N/A</v>
      </c>
      <c r="L98" s="2" t="e">
        <f>IFERROR(IF(GETPIVOTDATA("Avg. Price",Pivots!$A$4,"Date ",E98,"Company",$L$34,"Market",$D$4,"Product",$D$3)=0,NA(),GETPIVOTDATA("Avg. Price",Pivots!$A$4,"Date ",E98,"Company",$L$34,"Market",$D$4,"Product",$D$3)),NA())</f>
        <v>#N/A</v>
      </c>
      <c r="M98" s="2" t="e">
        <f>IFERROR(IF(GETPIVOTDATA("Avg. Price",Pivots!$A$4,"Date ",E98,"Company",$M$34,"Market",$D$4,"Product",$D$3)=0,NA(),GETPIVOTDATA("Avg. Price",Pivots!$A$4,"Date ",E98,"Company",$M$34,"Market",$D$4,"Product",$D$3)),NA())</f>
        <v>#N/A</v>
      </c>
      <c r="N98" s="2" t="e">
        <f>IFERROR(IF(GETPIVOTDATA("Avg. Price",Pivots!$A$4,"Date ",E98,"Company",$N$34,"Market",$D$4,"Product",$D$3)=0,NA(),GETPIVOTDATA("Avg. Price",Pivots!$A$4,"Date ",E98,"Company",$N$34,"Market",$D$4,"Product",$D$3)),NA())</f>
        <v>#N/A</v>
      </c>
      <c r="O98" s="2" t="e">
        <f>IFERROR(IF(GETPIVOTDATA("Avg. Price",Pivots!$A$4,"Date ",E98,"Company",$O$34,"Market",$D$4,"Product",$D$3)=0,NA(),GETPIVOTDATA("Avg. Price",Pivots!$A$4,"Date ",E98,"Company",$O$34,"Market",$D$4,"Product",$D$3)),NA())</f>
        <v>#N/A</v>
      </c>
    </row>
    <row r="99" spans="5:15" hidden="1" x14ac:dyDescent="0.45">
      <c r="E99" s="10">
        <v>45356</v>
      </c>
      <c r="F99" s="2" t="e">
        <f>IFERROR(IF(GETPIVOTDATA("Avg. Price",Pivots!$A$4,"Date ",E99,"Company",$F$34,"Market",$D$4,"Product",$D$3)=0,NA(),GETPIVOTDATA("Avg. Price",Pivots!$A$4,"Date ",E99,"Company",$F$34,"Market",$D$4,"Product",$D$3)),NA())</f>
        <v>#N/A</v>
      </c>
      <c r="G99" s="2" t="e">
        <f>IFERROR(IF(GETPIVOTDATA("Avg. Price",Pivots!$A$4,"Date ",E99,"Company",$G$34,"Market",$D$4,"Product",$D$3)=0,NA(),GETPIVOTDATA("Avg. Price",Pivots!$A$4,"Date ",E99,"Company",$G$34,"Market",$D$4,"Product",$D$3)),NA())</f>
        <v>#N/A</v>
      </c>
      <c r="H99" s="2" t="e">
        <f>IFERROR(IF(GETPIVOTDATA("Avg. Price",Pivots!$A$4,"Date ",E99,"Company",$H$34,"Market",$D$4,"Product",$D$3)=0,NA(),GETPIVOTDATA("Avg. Price",Pivots!$A$4,"Date ",E99,"Company",$H$34,"Market",$D$4,"Product",$D$3)),NA())</f>
        <v>#N/A</v>
      </c>
      <c r="I99" s="2" t="e">
        <f>IFERROR(IF(GETPIVOTDATA("Avg. Price",Pivots!$A$4,"Date ",E99,"Company",$I$34,"Market",$D$4,"Product",$D$3)=0,NA(),GETPIVOTDATA("Avg. Price",Pivots!$A$4,"Date ",E99,"Company",$I$34,"Market",$D$4,"Product",$D$3)),NA())</f>
        <v>#N/A</v>
      </c>
      <c r="J99" s="2" t="e">
        <f>IFERROR(IF(GETPIVOTDATA("Avg. Price",Pivots!$A$4,"Date ",E99,"Company",$J$34,"Market",$D$4,"Product",$D$3)=0,NA(),GETPIVOTDATA("Avg. Price",Pivots!$A$4,"Date ",E99,"Company",$J$34,"Market",$D$4,"Product",$D$3)),NA())</f>
        <v>#N/A</v>
      </c>
      <c r="K99" s="2" t="e">
        <f>IFERROR(IF(GETPIVOTDATA("Avg. Price",Pivots!$A$4,"Date ",E99,"Company",$K$34,"Market",$D$4,"Product",$D$3)=0,NA(),GETPIVOTDATA("Avg. Price",Pivots!$A$4,"Date ",E99,"Company",$K$34,"Market",$D$4,"Product",$D$3)),NA())</f>
        <v>#N/A</v>
      </c>
      <c r="L99" s="2" t="e">
        <f>IFERROR(IF(GETPIVOTDATA("Avg. Price",Pivots!$A$4,"Date ",E99,"Company",$L$34,"Market",$D$4,"Product",$D$3)=0,NA(),GETPIVOTDATA("Avg. Price",Pivots!$A$4,"Date ",E99,"Company",$L$34,"Market",$D$4,"Product",$D$3)),NA())</f>
        <v>#N/A</v>
      </c>
      <c r="M99" s="2" t="e">
        <f>IFERROR(IF(GETPIVOTDATA("Avg. Price",Pivots!$A$4,"Date ",E99,"Company",$M$34,"Market",$D$4,"Product",$D$3)=0,NA(),GETPIVOTDATA("Avg. Price",Pivots!$A$4,"Date ",E99,"Company",$M$34,"Market",$D$4,"Product",$D$3)),NA())</f>
        <v>#N/A</v>
      </c>
      <c r="N99" s="2" t="e">
        <f>IFERROR(IF(GETPIVOTDATA("Avg. Price",Pivots!$A$4,"Date ",E99,"Company",$N$34,"Market",$D$4,"Product",$D$3)=0,NA(),GETPIVOTDATA("Avg. Price",Pivots!$A$4,"Date ",E99,"Company",$N$34,"Market",$D$4,"Product",$D$3)),NA())</f>
        <v>#N/A</v>
      </c>
      <c r="O99" s="2" t="e">
        <f>IFERROR(IF(GETPIVOTDATA("Avg. Price",Pivots!$A$4,"Date ",E99,"Company",$O$34,"Market",$D$4,"Product",$D$3)=0,NA(),GETPIVOTDATA("Avg. Price",Pivots!$A$4,"Date ",E99,"Company",$O$34,"Market",$D$4,"Product",$D$3)),NA())</f>
        <v>#N/A</v>
      </c>
    </row>
    <row r="100" spans="5:15" hidden="1" x14ac:dyDescent="0.45">
      <c r="E100" s="10">
        <v>45357</v>
      </c>
      <c r="F100" s="2" t="e">
        <f>IFERROR(IF(GETPIVOTDATA("Avg. Price",Pivots!$A$4,"Date ",E100,"Company",$F$34,"Market",$D$4,"Product",$D$3)=0,NA(),GETPIVOTDATA("Avg. Price",Pivots!$A$4,"Date ",E100,"Company",$F$34,"Market",$D$4,"Product",$D$3)),NA())</f>
        <v>#N/A</v>
      </c>
      <c r="G100" s="2" t="e">
        <f>IFERROR(IF(GETPIVOTDATA("Avg. Price",Pivots!$A$4,"Date ",E100,"Company",$G$34,"Market",$D$4,"Product",$D$3)=0,NA(),GETPIVOTDATA("Avg. Price",Pivots!$A$4,"Date ",E100,"Company",$G$34,"Market",$D$4,"Product",$D$3)),NA())</f>
        <v>#N/A</v>
      </c>
      <c r="H100" s="2" t="e">
        <f>IFERROR(IF(GETPIVOTDATA("Avg. Price",Pivots!$A$4,"Date ",E100,"Company",$H$34,"Market",$D$4,"Product",$D$3)=0,NA(),GETPIVOTDATA("Avg. Price",Pivots!$A$4,"Date ",E100,"Company",$H$34,"Market",$D$4,"Product",$D$3)),NA())</f>
        <v>#N/A</v>
      </c>
      <c r="I100" s="2" t="e">
        <f>IFERROR(IF(GETPIVOTDATA("Avg. Price",Pivots!$A$4,"Date ",E100,"Company",$I$34,"Market",$D$4,"Product",$D$3)=0,NA(),GETPIVOTDATA("Avg. Price",Pivots!$A$4,"Date ",E100,"Company",$I$34,"Market",$D$4,"Product",$D$3)),NA())</f>
        <v>#N/A</v>
      </c>
      <c r="J100" s="2" t="e">
        <f>IFERROR(IF(GETPIVOTDATA("Avg. Price",Pivots!$A$4,"Date ",E100,"Company",$J$34,"Market",$D$4,"Product",$D$3)=0,NA(),GETPIVOTDATA("Avg. Price",Pivots!$A$4,"Date ",E100,"Company",$J$34,"Market",$D$4,"Product",$D$3)),NA())</f>
        <v>#N/A</v>
      </c>
      <c r="K100" s="2" t="e">
        <f>IFERROR(IF(GETPIVOTDATA("Avg. Price",Pivots!$A$4,"Date ",E100,"Company",$K$34,"Market",$D$4,"Product",$D$3)=0,NA(),GETPIVOTDATA("Avg. Price",Pivots!$A$4,"Date ",E100,"Company",$K$34,"Market",$D$4,"Product",$D$3)),NA())</f>
        <v>#N/A</v>
      </c>
      <c r="L100" s="2" t="e">
        <f>IFERROR(IF(GETPIVOTDATA("Avg. Price",Pivots!$A$4,"Date ",E100,"Company",$L$34,"Market",$D$4,"Product",$D$3)=0,NA(),GETPIVOTDATA("Avg. Price",Pivots!$A$4,"Date ",E100,"Company",$L$34,"Market",$D$4,"Product",$D$3)),NA())</f>
        <v>#N/A</v>
      </c>
      <c r="M100" s="2" t="e">
        <f>IFERROR(IF(GETPIVOTDATA("Avg. Price",Pivots!$A$4,"Date ",E100,"Company",$M$34,"Market",$D$4,"Product",$D$3)=0,NA(),GETPIVOTDATA("Avg. Price",Pivots!$A$4,"Date ",E100,"Company",$M$34,"Market",$D$4,"Product",$D$3)),NA())</f>
        <v>#N/A</v>
      </c>
      <c r="N100" s="2" t="e">
        <f>IFERROR(IF(GETPIVOTDATA("Avg. Price",Pivots!$A$4,"Date ",E100,"Company",$N$34,"Market",$D$4,"Product",$D$3)=0,NA(),GETPIVOTDATA("Avg. Price",Pivots!$A$4,"Date ",E100,"Company",$N$34,"Market",$D$4,"Product",$D$3)),NA())</f>
        <v>#N/A</v>
      </c>
      <c r="O100" s="2" t="e">
        <f>IFERROR(IF(GETPIVOTDATA("Avg. Price",Pivots!$A$4,"Date ",E100,"Company",$O$34,"Market",$D$4,"Product",$D$3)=0,NA(),GETPIVOTDATA("Avg. Price",Pivots!$A$4,"Date ",E100,"Company",$O$34,"Market",$D$4,"Product",$D$3)),NA())</f>
        <v>#N/A</v>
      </c>
    </row>
    <row r="101" spans="5:15" hidden="1" x14ac:dyDescent="0.45">
      <c r="E101" s="10">
        <v>45358</v>
      </c>
      <c r="F101" s="2" t="e">
        <f>IFERROR(IF(GETPIVOTDATA("Avg. Price",Pivots!$A$4,"Date ",E101,"Company",$F$34,"Market",$D$4,"Product",$D$3)=0,NA(),GETPIVOTDATA("Avg. Price",Pivots!$A$4,"Date ",E101,"Company",$F$34,"Market",$D$4,"Product",$D$3)),NA())</f>
        <v>#N/A</v>
      </c>
      <c r="G101" s="2" t="e">
        <f>IFERROR(IF(GETPIVOTDATA("Avg. Price",Pivots!$A$4,"Date ",E101,"Company",$G$34,"Market",$D$4,"Product",$D$3)=0,NA(),GETPIVOTDATA("Avg. Price",Pivots!$A$4,"Date ",E101,"Company",$G$34,"Market",$D$4,"Product",$D$3)),NA())</f>
        <v>#N/A</v>
      </c>
      <c r="H101" s="2" t="e">
        <f>IFERROR(IF(GETPIVOTDATA("Avg. Price",Pivots!$A$4,"Date ",E101,"Company",$H$34,"Market",$D$4,"Product",$D$3)=0,NA(),GETPIVOTDATA("Avg. Price",Pivots!$A$4,"Date ",E101,"Company",$H$34,"Market",$D$4,"Product",$D$3)),NA())</f>
        <v>#N/A</v>
      </c>
      <c r="I101" s="2" t="e">
        <f>IFERROR(IF(GETPIVOTDATA("Avg. Price",Pivots!$A$4,"Date ",E101,"Company",$I$34,"Market",$D$4,"Product",$D$3)=0,NA(),GETPIVOTDATA("Avg. Price",Pivots!$A$4,"Date ",E101,"Company",$I$34,"Market",$D$4,"Product",$D$3)),NA())</f>
        <v>#N/A</v>
      </c>
      <c r="J101" s="2" t="e">
        <f>IFERROR(IF(GETPIVOTDATA("Avg. Price",Pivots!$A$4,"Date ",E101,"Company",$J$34,"Market",$D$4,"Product",$D$3)=0,NA(),GETPIVOTDATA("Avg. Price",Pivots!$A$4,"Date ",E101,"Company",$J$34,"Market",$D$4,"Product",$D$3)),NA())</f>
        <v>#N/A</v>
      </c>
      <c r="K101" s="2" t="e">
        <f>IFERROR(IF(GETPIVOTDATA("Avg. Price",Pivots!$A$4,"Date ",E101,"Company",$K$34,"Market",$D$4,"Product",$D$3)=0,NA(),GETPIVOTDATA("Avg. Price",Pivots!$A$4,"Date ",E101,"Company",$K$34,"Market",$D$4,"Product",$D$3)),NA())</f>
        <v>#N/A</v>
      </c>
      <c r="L101" s="2" t="e">
        <f>IFERROR(IF(GETPIVOTDATA("Avg. Price",Pivots!$A$4,"Date ",E101,"Company",$L$34,"Market",$D$4,"Product",$D$3)=0,NA(),GETPIVOTDATA("Avg. Price",Pivots!$A$4,"Date ",E101,"Company",$L$34,"Market",$D$4,"Product",$D$3)),NA())</f>
        <v>#N/A</v>
      </c>
      <c r="M101" s="2" t="e">
        <f>IFERROR(IF(GETPIVOTDATA("Avg. Price",Pivots!$A$4,"Date ",E101,"Company",$M$34,"Market",$D$4,"Product",$D$3)=0,NA(),GETPIVOTDATA("Avg. Price",Pivots!$A$4,"Date ",E101,"Company",$M$34,"Market",$D$4,"Product",$D$3)),NA())</f>
        <v>#N/A</v>
      </c>
      <c r="N101" s="2" t="e">
        <f>IFERROR(IF(GETPIVOTDATA("Avg. Price",Pivots!$A$4,"Date ",E101,"Company",$N$34,"Market",$D$4,"Product",$D$3)=0,NA(),GETPIVOTDATA("Avg. Price",Pivots!$A$4,"Date ",E101,"Company",$N$34,"Market",$D$4,"Product",$D$3)),NA())</f>
        <v>#N/A</v>
      </c>
      <c r="O101" s="2" t="e">
        <f>IFERROR(IF(GETPIVOTDATA("Avg. Price",Pivots!$A$4,"Date ",E101,"Company",$O$34,"Market",$D$4,"Product",$D$3)=0,NA(),GETPIVOTDATA("Avg. Price",Pivots!$A$4,"Date ",E101,"Company",$O$34,"Market",$D$4,"Product",$D$3)),NA())</f>
        <v>#N/A</v>
      </c>
    </row>
    <row r="102" spans="5:15" hidden="1" x14ac:dyDescent="0.45">
      <c r="E102" s="10">
        <v>45359</v>
      </c>
      <c r="F102" s="2" t="e">
        <f>IFERROR(IF(GETPIVOTDATA("Avg. Price",Pivots!$A$4,"Date ",E102,"Company",$F$34,"Market",$D$4,"Product",$D$3)=0,NA(),GETPIVOTDATA("Avg. Price",Pivots!$A$4,"Date ",E102,"Company",$F$34,"Market",$D$4,"Product",$D$3)),NA())</f>
        <v>#N/A</v>
      </c>
      <c r="G102" s="2" t="e">
        <f>IFERROR(IF(GETPIVOTDATA("Avg. Price",Pivots!$A$4,"Date ",E102,"Company",$G$34,"Market",$D$4,"Product",$D$3)=0,NA(),GETPIVOTDATA("Avg. Price",Pivots!$A$4,"Date ",E102,"Company",$G$34,"Market",$D$4,"Product",$D$3)),NA())</f>
        <v>#N/A</v>
      </c>
      <c r="H102" s="2" t="e">
        <f>IFERROR(IF(GETPIVOTDATA("Avg. Price",Pivots!$A$4,"Date ",E102,"Company",$H$34,"Market",$D$4,"Product",$D$3)=0,NA(),GETPIVOTDATA("Avg. Price",Pivots!$A$4,"Date ",E102,"Company",$H$34,"Market",$D$4,"Product",$D$3)),NA())</f>
        <v>#N/A</v>
      </c>
      <c r="I102" s="2" t="e">
        <f>IFERROR(IF(GETPIVOTDATA("Avg. Price",Pivots!$A$4,"Date ",E102,"Company",$I$34,"Market",$D$4,"Product",$D$3)=0,NA(),GETPIVOTDATA("Avg. Price",Pivots!$A$4,"Date ",E102,"Company",$I$34,"Market",$D$4,"Product",$D$3)),NA())</f>
        <v>#N/A</v>
      </c>
      <c r="J102" s="2" t="e">
        <f>IFERROR(IF(GETPIVOTDATA("Avg. Price",Pivots!$A$4,"Date ",E102,"Company",$J$34,"Market",$D$4,"Product",$D$3)=0,NA(),GETPIVOTDATA("Avg. Price",Pivots!$A$4,"Date ",E102,"Company",$J$34,"Market",$D$4,"Product",$D$3)),NA())</f>
        <v>#N/A</v>
      </c>
      <c r="K102" s="2" t="e">
        <f>IFERROR(IF(GETPIVOTDATA("Avg. Price",Pivots!$A$4,"Date ",E102,"Company",$K$34,"Market",$D$4,"Product",$D$3)=0,NA(),GETPIVOTDATA("Avg. Price",Pivots!$A$4,"Date ",E102,"Company",$K$34,"Market",$D$4,"Product",$D$3)),NA())</f>
        <v>#N/A</v>
      </c>
      <c r="L102" s="2" t="e">
        <f>IFERROR(IF(GETPIVOTDATA("Avg. Price",Pivots!$A$4,"Date ",E102,"Company",$L$34,"Market",$D$4,"Product",$D$3)=0,NA(),GETPIVOTDATA("Avg. Price",Pivots!$A$4,"Date ",E102,"Company",$L$34,"Market",$D$4,"Product",$D$3)),NA())</f>
        <v>#N/A</v>
      </c>
      <c r="M102" s="2" t="e">
        <f>IFERROR(IF(GETPIVOTDATA("Avg. Price",Pivots!$A$4,"Date ",E102,"Company",$M$34,"Market",$D$4,"Product",$D$3)=0,NA(),GETPIVOTDATA("Avg. Price",Pivots!$A$4,"Date ",E102,"Company",$M$34,"Market",$D$4,"Product",$D$3)),NA())</f>
        <v>#N/A</v>
      </c>
      <c r="N102" s="2" t="e">
        <f>IFERROR(IF(GETPIVOTDATA("Avg. Price",Pivots!$A$4,"Date ",E102,"Company",$N$34,"Market",$D$4,"Product",$D$3)=0,NA(),GETPIVOTDATA("Avg. Price",Pivots!$A$4,"Date ",E102,"Company",$N$34,"Market",$D$4,"Product",$D$3)),NA())</f>
        <v>#N/A</v>
      </c>
      <c r="O102" s="2" t="e">
        <f>IFERROR(IF(GETPIVOTDATA("Avg. Price",Pivots!$A$4,"Date ",E102,"Company",$O$34,"Market",$D$4,"Product",$D$3)=0,NA(),GETPIVOTDATA("Avg. Price",Pivots!$A$4,"Date ",E102,"Company",$O$34,"Market",$D$4,"Product",$D$3)),NA())</f>
        <v>#N/A</v>
      </c>
    </row>
    <row r="103" spans="5:15" hidden="1" x14ac:dyDescent="0.45">
      <c r="E103" s="10">
        <v>45360</v>
      </c>
      <c r="F103" s="2" t="e">
        <f>IFERROR(IF(GETPIVOTDATA("Avg. Price",Pivots!$A$4,"Date ",E103,"Company",$F$34,"Market",$D$4,"Product",$D$3)=0,NA(),GETPIVOTDATA("Avg. Price",Pivots!$A$4,"Date ",E103,"Company",$F$34,"Market",$D$4,"Product",$D$3)),NA())</f>
        <v>#N/A</v>
      </c>
      <c r="G103" s="2" t="e">
        <f>IFERROR(IF(GETPIVOTDATA("Avg. Price",Pivots!$A$4,"Date ",E103,"Company",$G$34,"Market",$D$4,"Product",$D$3)=0,NA(),GETPIVOTDATA("Avg. Price",Pivots!$A$4,"Date ",E103,"Company",$G$34,"Market",$D$4,"Product",$D$3)),NA())</f>
        <v>#N/A</v>
      </c>
      <c r="H103" s="2" t="e">
        <f>IFERROR(IF(GETPIVOTDATA("Avg. Price",Pivots!$A$4,"Date ",E103,"Company",$H$34,"Market",$D$4,"Product",$D$3)=0,NA(),GETPIVOTDATA("Avg. Price",Pivots!$A$4,"Date ",E103,"Company",$H$34,"Market",$D$4,"Product",$D$3)),NA())</f>
        <v>#N/A</v>
      </c>
      <c r="I103" s="2" t="e">
        <f>IFERROR(IF(GETPIVOTDATA("Avg. Price",Pivots!$A$4,"Date ",E103,"Company",$I$34,"Market",$D$4,"Product",$D$3)=0,NA(),GETPIVOTDATA("Avg. Price",Pivots!$A$4,"Date ",E103,"Company",$I$34,"Market",$D$4,"Product",$D$3)),NA())</f>
        <v>#N/A</v>
      </c>
      <c r="J103" s="2" t="e">
        <f>IFERROR(IF(GETPIVOTDATA("Avg. Price",Pivots!$A$4,"Date ",E103,"Company",$J$34,"Market",$D$4,"Product",$D$3)=0,NA(),GETPIVOTDATA("Avg. Price",Pivots!$A$4,"Date ",E103,"Company",$J$34,"Market",$D$4,"Product",$D$3)),NA())</f>
        <v>#N/A</v>
      </c>
      <c r="K103" s="2" t="e">
        <f>IFERROR(IF(GETPIVOTDATA("Avg. Price",Pivots!$A$4,"Date ",E103,"Company",$K$34,"Market",$D$4,"Product",$D$3)=0,NA(),GETPIVOTDATA("Avg. Price",Pivots!$A$4,"Date ",E103,"Company",$K$34,"Market",$D$4,"Product",$D$3)),NA())</f>
        <v>#N/A</v>
      </c>
      <c r="L103" s="2" t="e">
        <f>IFERROR(IF(GETPIVOTDATA("Avg. Price",Pivots!$A$4,"Date ",E103,"Company",$L$34,"Market",$D$4,"Product",$D$3)=0,NA(),GETPIVOTDATA("Avg. Price",Pivots!$A$4,"Date ",E103,"Company",$L$34,"Market",$D$4,"Product",$D$3)),NA())</f>
        <v>#N/A</v>
      </c>
      <c r="M103" s="2" t="e">
        <f>IFERROR(IF(GETPIVOTDATA("Avg. Price",Pivots!$A$4,"Date ",E103,"Company",$M$34,"Market",$D$4,"Product",$D$3)=0,NA(),GETPIVOTDATA("Avg. Price",Pivots!$A$4,"Date ",E103,"Company",$M$34,"Market",$D$4,"Product",$D$3)),NA())</f>
        <v>#N/A</v>
      </c>
      <c r="N103" s="2" t="e">
        <f>IFERROR(IF(GETPIVOTDATA("Avg. Price",Pivots!$A$4,"Date ",E103,"Company",$N$34,"Market",$D$4,"Product",$D$3)=0,NA(),GETPIVOTDATA("Avg. Price",Pivots!$A$4,"Date ",E103,"Company",$N$34,"Market",$D$4,"Product",$D$3)),NA())</f>
        <v>#N/A</v>
      </c>
      <c r="O103" s="2" t="e">
        <f>IFERROR(IF(GETPIVOTDATA("Avg. Price",Pivots!$A$4,"Date ",E103,"Company",$O$34,"Market",$D$4,"Product",$D$3)=0,NA(),GETPIVOTDATA("Avg. Price",Pivots!$A$4,"Date ",E103,"Company",$O$34,"Market",$D$4,"Product",$D$3)),NA())</f>
        <v>#N/A</v>
      </c>
    </row>
    <row r="104" spans="5:15" hidden="1" x14ac:dyDescent="0.45">
      <c r="E104" s="10">
        <v>45361</v>
      </c>
      <c r="F104" s="2" t="e">
        <f>IFERROR(IF(GETPIVOTDATA("Avg. Price",Pivots!$A$4,"Date ",E104,"Company",$F$34,"Market",$D$4,"Product",$D$3)=0,NA(),GETPIVOTDATA("Avg. Price",Pivots!$A$4,"Date ",E104,"Company",$F$34,"Market",$D$4,"Product",$D$3)),NA())</f>
        <v>#N/A</v>
      </c>
      <c r="G104" s="2" t="e">
        <f>IFERROR(IF(GETPIVOTDATA("Avg. Price",Pivots!$A$4,"Date ",E104,"Company",$G$34,"Market",$D$4,"Product",$D$3)=0,NA(),GETPIVOTDATA("Avg. Price",Pivots!$A$4,"Date ",E104,"Company",$G$34,"Market",$D$4,"Product",$D$3)),NA())</f>
        <v>#N/A</v>
      </c>
      <c r="H104" s="2" t="e">
        <f>IFERROR(IF(GETPIVOTDATA("Avg. Price",Pivots!$A$4,"Date ",E104,"Company",$H$34,"Market",$D$4,"Product",$D$3)=0,NA(),GETPIVOTDATA("Avg. Price",Pivots!$A$4,"Date ",E104,"Company",$H$34,"Market",$D$4,"Product",$D$3)),NA())</f>
        <v>#N/A</v>
      </c>
      <c r="I104" s="2" t="e">
        <f>IFERROR(IF(GETPIVOTDATA("Avg. Price",Pivots!$A$4,"Date ",E104,"Company",$I$34,"Market",$D$4,"Product",$D$3)=0,NA(),GETPIVOTDATA("Avg. Price",Pivots!$A$4,"Date ",E104,"Company",$I$34,"Market",$D$4,"Product",$D$3)),NA())</f>
        <v>#N/A</v>
      </c>
      <c r="J104" s="2" t="e">
        <f>IFERROR(IF(GETPIVOTDATA("Avg. Price",Pivots!$A$4,"Date ",E104,"Company",$J$34,"Market",$D$4,"Product",$D$3)=0,NA(),GETPIVOTDATA("Avg. Price",Pivots!$A$4,"Date ",E104,"Company",$J$34,"Market",$D$4,"Product",$D$3)),NA())</f>
        <v>#N/A</v>
      </c>
      <c r="K104" s="2" t="e">
        <f>IFERROR(IF(GETPIVOTDATA("Avg. Price",Pivots!$A$4,"Date ",E104,"Company",$K$34,"Market",$D$4,"Product",$D$3)=0,NA(),GETPIVOTDATA("Avg. Price",Pivots!$A$4,"Date ",E104,"Company",$K$34,"Market",$D$4,"Product",$D$3)),NA())</f>
        <v>#N/A</v>
      </c>
      <c r="L104" s="2" t="e">
        <f>IFERROR(IF(GETPIVOTDATA("Avg. Price",Pivots!$A$4,"Date ",E104,"Company",$L$34,"Market",$D$4,"Product",$D$3)=0,NA(),GETPIVOTDATA("Avg. Price",Pivots!$A$4,"Date ",E104,"Company",$L$34,"Market",$D$4,"Product",$D$3)),NA())</f>
        <v>#N/A</v>
      </c>
      <c r="M104" s="2" t="e">
        <f>IFERROR(IF(GETPIVOTDATA("Avg. Price",Pivots!$A$4,"Date ",E104,"Company",$M$34,"Market",$D$4,"Product",$D$3)=0,NA(),GETPIVOTDATA("Avg. Price",Pivots!$A$4,"Date ",E104,"Company",$M$34,"Market",$D$4,"Product",$D$3)),NA())</f>
        <v>#N/A</v>
      </c>
      <c r="N104" s="2" t="e">
        <f>IFERROR(IF(GETPIVOTDATA("Avg. Price",Pivots!$A$4,"Date ",E104,"Company",$N$34,"Market",$D$4,"Product",$D$3)=0,NA(),GETPIVOTDATA("Avg. Price",Pivots!$A$4,"Date ",E104,"Company",$N$34,"Market",$D$4,"Product",$D$3)),NA())</f>
        <v>#N/A</v>
      </c>
      <c r="O104" s="2" t="e">
        <f>IFERROR(IF(GETPIVOTDATA("Avg. Price",Pivots!$A$4,"Date ",E104,"Company",$O$34,"Market",$D$4,"Product",$D$3)=0,NA(),GETPIVOTDATA("Avg. Price",Pivots!$A$4,"Date ",E104,"Company",$O$34,"Market",$D$4,"Product",$D$3)),NA())</f>
        <v>#N/A</v>
      </c>
    </row>
    <row r="105" spans="5:15" hidden="1" x14ac:dyDescent="0.45">
      <c r="E105" s="10">
        <v>45362</v>
      </c>
      <c r="F105" s="2" t="e">
        <f>IFERROR(IF(GETPIVOTDATA("Avg. Price",Pivots!$A$4,"Date ",E105,"Company",$F$34,"Market",$D$4,"Product",$D$3)=0,NA(),GETPIVOTDATA("Avg. Price",Pivots!$A$4,"Date ",E105,"Company",$F$34,"Market",$D$4,"Product",$D$3)),NA())</f>
        <v>#N/A</v>
      </c>
      <c r="G105" s="2" t="e">
        <f>IFERROR(IF(GETPIVOTDATA("Avg. Price",Pivots!$A$4,"Date ",E105,"Company",$G$34,"Market",$D$4,"Product",$D$3)=0,NA(),GETPIVOTDATA("Avg. Price",Pivots!$A$4,"Date ",E105,"Company",$G$34,"Market",$D$4,"Product",$D$3)),NA())</f>
        <v>#N/A</v>
      </c>
      <c r="H105" s="2" t="e">
        <f>IFERROR(IF(GETPIVOTDATA("Avg. Price",Pivots!$A$4,"Date ",E105,"Company",$H$34,"Market",$D$4,"Product",$D$3)=0,NA(),GETPIVOTDATA("Avg. Price",Pivots!$A$4,"Date ",E105,"Company",$H$34,"Market",$D$4,"Product",$D$3)),NA())</f>
        <v>#N/A</v>
      </c>
      <c r="I105" s="2" t="e">
        <f>IFERROR(IF(GETPIVOTDATA("Avg. Price",Pivots!$A$4,"Date ",E105,"Company",$I$34,"Market",$D$4,"Product",$D$3)=0,NA(),GETPIVOTDATA("Avg. Price",Pivots!$A$4,"Date ",E105,"Company",$I$34,"Market",$D$4,"Product",$D$3)),NA())</f>
        <v>#N/A</v>
      </c>
      <c r="J105" s="2" t="e">
        <f>IFERROR(IF(GETPIVOTDATA("Avg. Price",Pivots!$A$4,"Date ",E105,"Company",$J$34,"Market",$D$4,"Product",$D$3)=0,NA(),GETPIVOTDATA("Avg. Price",Pivots!$A$4,"Date ",E105,"Company",$J$34,"Market",$D$4,"Product",$D$3)),NA())</f>
        <v>#N/A</v>
      </c>
      <c r="K105" s="2" t="e">
        <f>IFERROR(IF(GETPIVOTDATA("Avg. Price",Pivots!$A$4,"Date ",E105,"Company",$K$34,"Market",$D$4,"Product",$D$3)=0,NA(),GETPIVOTDATA("Avg. Price",Pivots!$A$4,"Date ",E105,"Company",$K$34,"Market",$D$4,"Product",$D$3)),NA())</f>
        <v>#N/A</v>
      </c>
      <c r="L105" s="2" t="e">
        <f>IFERROR(IF(GETPIVOTDATA("Avg. Price",Pivots!$A$4,"Date ",E105,"Company",$L$34,"Market",$D$4,"Product",$D$3)=0,NA(),GETPIVOTDATA("Avg. Price",Pivots!$A$4,"Date ",E105,"Company",$L$34,"Market",$D$4,"Product",$D$3)),NA())</f>
        <v>#N/A</v>
      </c>
      <c r="M105" s="2" t="e">
        <f>IFERROR(IF(GETPIVOTDATA("Avg. Price",Pivots!$A$4,"Date ",E105,"Company",$M$34,"Market",$D$4,"Product",$D$3)=0,NA(),GETPIVOTDATA("Avg. Price",Pivots!$A$4,"Date ",E105,"Company",$M$34,"Market",$D$4,"Product",$D$3)),NA())</f>
        <v>#N/A</v>
      </c>
      <c r="N105" s="2" t="e">
        <f>IFERROR(IF(GETPIVOTDATA("Avg. Price",Pivots!$A$4,"Date ",E105,"Company",$N$34,"Market",$D$4,"Product",$D$3)=0,NA(),GETPIVOTDATA("Avg. Price",Pivots!$A$4,"Date ",E105,"Company",$N$34,"Market",$D$4,"Product",$D$3)),NA())</f>
        <v>#N/A</v>
      </c>
      <c r="O105" s="2" t="e">
        <f>IFERROR(IF(GETPIVOTDATA("Avg. Price",Pivots!$A$4,"Date ",E105,"Company",$O$34,"Market",$D$4,"Product",$D$3)=0,NA(),GETPIVOTDATA("Avg. Price",Pivots!$A$4,"Date ",E105,"Company",$O$34,"Market",$D$4,"Product",$D$3)),NA())</f>
        <v>#N/A</v>
      </c>
    </row>
    <row r="106" spans="5:15" hidden="1" x14ac:dyDescent="0.45">
      <c r="E106" s="10">
        <v>45363</v>
      </c>
      <c r="F106" s="2" t="e">
        <f>IFERROR(IF(GETPIVOTDATA("Avg. Price",Pivots!$A$4,"Date ",E106,"Company",$F$34,"Market",$D$4,"Product",$D$3)=0,NA(),GETPIVOTDATA("Avg. Price",Pivots!$A$4,"Date ",E106,"Company",$F$34,"Market",$D$4,"Product",$D$3)),NA())</f>
        <v>#N/A</v>
      </c>
      <c r="G106" s="2" t="e">
        <f>IFERROR(IF(GETPIVOTDATA("Avg. Price",Pivots!$A$4,"Date ",E106,"Company",$G$34,"Market",$D$4,"Product",$D$3)=0,NA(),GETPIVOTDATA("Avg. Price",Pivots!$A$4,"Date ",E106,"Company",$G$34,"Market",$D$4,"Product",$D$3)),NA())</f>
        <v>#N/A</v>
      </c>
      <c r="H106" s="2" t="e">
        <f>IFERROR(IF(GETPIVOTDATA("Avg. Price",Pivots!$A$4,"Date ",E106,"Company",$H$34,"Market",$D$4,"Product",$D$3)=0,NA(),GETPIVOTDATA("Avg. Price",Pivots!$A$4,"Date ",E106,"Company",$H$34,"Market",$D$4,"Product",$D$3)),NA())</f>
        <v>#N/A</v>
      </c>
      <c r="I106" s="2" t="e">
        <f>IFERROR(IF(GETPIVOTDATA("Avg. Price",Pivots!$A$4,"Date ",E106,"Company",$I$34,"Market",$D$4,"Product",$D$3)=0,NA(),GETPIVOTDATA("Avg. Price",Pivots!$A$4,"Date ",E106,"Company",$I$34,"Market",$D$4,"Product",$D$3)),NA())</f>
        <v>#N/A</v>
      </c>
      <c r="J106" s="2" t="e">
        <f>IFERROR(IF(GETPIVOTDATA("Avg. Price",Pivots!$A$4,"Date ",E106,"Company",$J$34,"Market",$D$4,"Product",$D$3)=0,NA(),GETPIVOTDATA("Avg. Price",Pivots!$A$4,"Date ",E106,"Company",$J$34,"Market",$D$4,"Product",$D$3)),NA())</f>
        <v>#N/A</v>
      </c>
      <c r="K106" s="2" t="e">
        <f>IFERROR(IF(GETPIVOTDATA("Avg. Price",Pivots!$A$4,"Date ",E106,"Company",$K$34,"Market",$D$4,"Product",$D$3)=0,NA(),GETPIVOTDATA("Avg. Price",Pivots!$A$4,"Date ",E106,"Company",$K$34,"Market",$D$4,"Product",$D$3)),NA())</f>
        <v>#N/A</v>
      </c>
      <c r="L106" s="2" t="e">
        <f>IFERROR(IF(GETPIVOTDATA("Avg. Price",Pivots!$A$4,"Date ",E106,"Company",$L$34,"Market",$D$4,"Product",$D$3)=0,NA(),GETPIVOTDATA("Avg. Price",Pivots!$A$4,"Date ",E106,"Company",$L$34,"Market",$D$4,"Product",$D$3)),NA())</f>
        <v>#N/A</v>
      </c>
      <c r="M106" s="2" t="e">
        <f>IFERROR(IF(GETPIVOTDATA("Avg. Price",Pivots!$A$4,"Date ",E106,"Company",$M$34,"Market",$D$4,"Product",$D$3)=0,NA(),GETPIVOTDATA("Avg. Price",Pivots!$A$4,"Date ",E106,"Company",$M$34,"Market",$D$4,"Product",$D$3)),NA())</f>
        <v>#N/A</v>
      </c>
      <c r="N106" s="2" t="e">
        <f>IFERROR(IF(GETPIVOTDATA("Avg. Price",Pivots!$A$4,"Date ",E106,"Company",$N$34,"Market",$D$4,"Product",$D$3)=0,NA(),GETPIVOTDATA("Avg. Price",Pivots!$A$4,"Date ",E106,"Company",$N$34,"Market",$D$4,"Product",$D$3)),NA())</f>
        <v>#N/A</v>
      </c>
      <c r="O106" s="2" t="e">
        <f>IFERROR(IF(GETPIVOTDATA("Avg. Price",Pivots!$A$4,"Date ",E106,"Company",$O$34,"Market",$D$4,"Product",$D$3)=0,NA(),GETPIVOTDATA("Avg. Price",Pivots!$A$4,"Date ",E106,"Company",$O$34,"Market",$D$4,"Product",$D$3)),NA())</f>
        <v>#N/A</v>
      </c>
    </row>
    <row r="107" spans="5:15" hidden="1" x14ac:dyDescent="0.45">
      <c r="E107" s="10">
        <v>45364</v>
      </c>
      <c r="F107" s="2" t="e">
        <f>IFERROR(IF(GETPIVOTDATA("Avg. Price",Pivots!$A$4,"Date ",E107,"Company",$F$34,"Market",$D$4,"Product",$D$3)=0,NA(),GETPIVOTDATA("Avg. Price",Pivots!$A$4,"Date ",E107,"Company",$F$34,"Market",$D$4,"Product",$D$3)),NA())</f>
        <v>#N/A</v>
      </c>
      <c r="G107" s="2" t="e">
        <f>IFERROR(IF(GETPIVOTDATA("Avg. Price",Pivots!$A$4,"Date ",E107,"Company",$G$34,"Market",$D$4,"Product",$D$3)=0,NA(),GETPIVOTDATA("Avg. Price",Pivots!$A$4,"Date ",E107,"Company",$G$34,"Market",$D$4,"Product",$D$3)),NA())</f>
        <v>#N/A</v>
      </c>
      <c r="H107" s="2" t="e">
        <f>IFERROR(IF(GETPIVOTDATA("Avg. Price",Pivots!$A$4,"Date ",E107,"Company",$H$34,"Market",$D$4,"Product",$D$3)=0,NA(),GETPIVOTDATA("Avg. Price",Pivots!$A$4,"Date ",E107,"Company",$H$34,"Market",$D$4,"Product",$D$3)),NA())</f>
        <v>#N/A</v>
      </c>
      <c r="I107" s="2" t="e">
        <f>IFERROR(IF(GETPIVOTDATA("Avg. Price",Pivots!$A$4,"Date ",E107,"Company",$I$34,"Market",$D$4,"Product",$D$3)=0,NA(),GETPIVOTDATA("Avg. Price",Pivots!$A$4,"Date ",E107,"Company",$I$34,"Market",$D$4,"Product",$D$3)),NA())</f>
        <v>#N/A</v>
      </c>
      <c r="J107" s="2" t="e">
        <f>IFERROR(IF(GETPIVOTDATA("Avg. Price",Pivots!$A$4,"Date ",E107,"Company",$J$34,"Market",$D$4,"Product",$D$3)=0,NA(),GETPIVOTDATA("Avg. Price",Pivots!$A$4,"Date ",E107,"Company",$J$34,"Market",$D$4,"Product",$D$3)),NA())</f>
        <v>#N/A</v>
      </c>
      <c r="K107" s="2" t="e">
        <f>IFERROR(IF(GETPIVOTDATA("Avg. Price",Pivots!$A$4,"Date ",E107,"Company",$K$34,"Market",$D$4,"Product",$D$3)=0,NA(),GETPIVOTDATA("Avg. Price",Pivots!$A$4,"Date ",E107,"Company",$K$34,"Market",$D$4,"Product",$D$3)),NA())</f>
        <v>#N/A</v>
      </c>
      <c r="L107" s="2" t="e">
        <f>IFERROR(IF(GETPIVOTDATA("Avg. Price",Pivots!$A$4,"Date ",E107,"Company",$L$34,"Market",$D$4,"Product",$D$3)=0,NA(),GETPIVOTDATA("Avg. Price",Pivots!$A$4,"Date ",E107,"Company",$L$34,"Market",$D$4,"Product",$D$3)),NA())</f>
        <v>#N/A</v>
      </c>
      <c r="M107" s="2" t="e">
        <f>IFERROR(IF(GETPIVOTDATA("Avg. Price",Pivots!$A$4,"Date ",E107,"Company",$M$34,"Market",$D$4,"Product",$D$3)=0,NA(),GETPIVOTDATA("Avg. Price",Pivots!$A$4,"Date ",E107,"Company",$M$34,"Market",$D$4,"Product",$D$3)),NA())</f>
        <v>#N/A</v>
      </c>
      <c r="N107" s="2" t="e">
        <f>IFERROR(IF(GETPIVOTDATA("Avg. Price",Pivots!$A$4,"Date ",E107,"Company",$N$34,"Market",$D$4,"Product",$D$3)=0,NA(),GETPIVOTDATA("Avg. Price",Pivots!$A$4,"Date ",E107,"Company",$N$34,"Market",$D$4,"Product",$D$3)),NA())</f>
        <v>#N/A</v>
      </c>
      <c r="O107" s="2" t="e">
        <f>IFERROR(IF(GETPIVOTDATA("Avg. Price",Pivots!$A$4,"Date ",E107,"Company",$O$34,"Market",$D$4,"Product",$D$3)=0,NA(),GETPIVOTDATA("Avg. Price",Pivots!$A$4,"Date ",E107,"Company",$O$34,"Market",$D$4,"Product",$D$3)),NA())</f>
        <v>#N/A</v>
      </c>
    </row>
    <row r="108" spans="5:15" hidden="1" x14ac:dyDescent="0.45">
      <c r="E108" s="10">
        <v>45365</v>
      </c>
      <c r="F108" s="2" t="e">
        <f>IFERROR(IF(GETPIVOTDATA("Avg. Price",Pivots!$A$4,"Date ",E108,"Company",$F$34,"Market",$D$4,"Product",$D$3)=0,NA(),GETPIVOTDATA("Avg. Price",Pivots!$A$4,"Date ",E108,"Company",$F$34,"Market",$D$4,"Product",$D$3)),NA())</f>
        <v>#N/A</v>
      </c>
      <c r="G108" s="2" t="e">
        <f>IFERROR(IF(GETPIVOTDATA("Avg. Price",Pivots!$A$4,"Date ",E108,"Company",$G$34,"Market",$D$4,"Product",$D$3)=0,NA(),GETPIVOTDATA("Avg. Price",Pivots!$A$4,"Date ",E108,"Company",$G$34,"Market",$D$4,"Product",$D$3)),NA())</f>
        <v>#N/A</v>
      </c>
      <c r="H108" s="2" t="e">
        <f>IFERROR(IF(GETPIVOTDATA("Avg. Price",Pivots!$A$4,"Date ",E108,"Company",$H$34,"Market",$D$4,"Product",$D$3)=0,NA(),GETPIVOTDATA("Avg. Price",Pivots!$A$4,"Date ",E108,"Company",$H$34,"Market",$D$4,"Product",$D$3)),NA())</f>
        <v>#N/A</v>
      </c>
      <c r="I108" s="2" t="e">
        <f>IFERROR(IF(GETPIVOTDATA("Avg. Price",Pivots!$A$4,"Date ",E108,"Company",$I$34,"Market",$D$4,"Product",$D$3)=0,NA(),GETPIVOTDATA("Avg. Price",Pivots!$A$4,"Date ",E108,"Company",$I$34,"Market",$D$4,"Product",$D$3)),NA())</f>
        <v>#N/A</v>
      </c>
      <c r="J108" s="2" t="e">
        <f>IFERROR(IF(GETPIVOTDATA("Avg. Price",Pivots!$A$4,"Date ",E108,"Company",$J$34,"Market",$D$4,"Product",$D$3)=0,NA(),GETPIVOTDATA("Avg. Price",Pivots!$A$4,"Date ",E108,"Company",$J$34,"Market",$D$4,"Product",$D$3)),NA())</f>
        <v>#N/A</v>
      </c>
      <c r="K108" s="2" t="e">
        <f>IFERROR(IF(GETPIVOTDATA("Avg. Price",Pivots!$A$4,"Date ",E108,"Company",$K$34,"Market",$D$4,"Product",$D$3)=0,NA(),GETPIVOTDATA("Avg. Price",Pivots!$A$4,"Date ",E108,"Company",$K$34,"Market",$D$4,"Product",$D$3)),NA())</f>
        <v>#N/A</v>
      </c>
      <c r="L108" s="2" t="e">
        <f>IFERROR(IF(GETPIVOTDATA("Avg. Price",Pivots!$A$4,"Date ",E108,"Company",$L$34,"Market",$D$4,"Product",$D$3)=0,NA(),GETPIVOTDATA("Avg. Price",Pivots!$A$4,"Date ",E108,"Company",$L$34,"Market",$D$4,"Product",$D$3)),NA())</f>
        <v>#N/A</v>
      </c>
      <c r="M108" s="2" t="e">
        <f>IFERROR(IF(GETPIVOTDATA("Avg. Price",Pivots!$A$4,"Date ",E108,"Company",$M$34,"Market",$D$4,"Product",$D$3)=0,NA(),GETPIVOTDATA("Avg. Price",Pivots!$A$4,"Date ",E108,"Company",$M$34,"Market",$D$4,"Product",$D$3)),NA())</f>
        <v>#N/A</v>
      </c>
      <c r="N108" s="2" t="e">
        <f>IFERROR(IF(GETPIVOTDATA("Avg. Price",Pivots!$A$4,"Date ",E108,"Company",$N$34,"Market",$D$4,"Product",$D$3)=0,NA(),GETPIVOTDATA("Avg. Price",Pivots!$A$4,"Date ",E108,"Company",$N$34,"Market",$D$4,"Product",$D$3)),NA())</f>
        <v>#N/A</v>
      </c>
      <c r="O108" s="2" t="e">
        <f>IFERROR(IF(GETPIVOTDATA("Avg. Price",Pivots!$A$4,"Date ",E108,"Company",$O$34,"Market",$D$4,"Product",$D$3)=0,NA(),GETPIVOTDATA("Avg. Price",Pivots!$A$4,"Date ",E108,"Company",$O$34,"Market",$D$4,"Product",$D$3)),NA())</f>
        <v>#N/A</v>
      </c>
    </row>
    <row r="109" spans="5:15" hidden="1" x14ac:dyDescent="0.45">
      <c r="E109" s="10">
        <v>45366</v>
      </c>
      <c r="F109" s="2" t="e">
        <f>IFERROR(IF(GETPIVOTDATA("Avg. Price",Pivots!$A$4,"Date ",E109,"Company",$F$34,"Market",$D$4,"Product",$D$3)=0,NA(),GETPIVOTDATA("Avg. Price",Pivots!$A$4,"Date ",E109,"Company",$F$34,"Market",$D$4,"Product",$D$3)),NA())</f>
        <v>#N/A</v>
      </c>
      <c r="G109" s="2" t="e">
        <f>IFERROR(IF(GETPIVOTDATA("Avg. Price",Pivots!$A$4,"Date ",E109,"Company",$G$34,"Market",$D$4,"Product",$D$3)=0,NA(),GETPIVOTDATA("Avg. Price",Pivots!$A$4,"Date ",E109,"Company",$G$34,"Market",$D$4,"Product",$D$3)),NA())</f>
        <v>#N/A</v>
      </c>
      <c r="H109" s="2" t="e">
        <f>IFERROR(IF(GETPIVOTDATA("Avg. Price",Pivots!$A$4,"Date ",E109,"Company",$H$34,"Market",$D$4,"Product",$D$3)=0,NA(),GETPIVOTDATA("Avg. Price",Pivots!$A$4,"Date ",E109,"Company",$H$34,"Market",$D$4,"Product",$D$3)),NA())</f>
        <v>#N/A</v>
      </c>
      <c r="I109" s="2" t="e">
        <f>IFERROR(IF(GETPIVOTDATA("Avg. Price",Pivots!$A$4,"Date ",E109,"Company",$I$34,"Market",$D$4,"Product",$D$3)=0,NA(),GETPIVOTDATA("Avg. Price",Pivots!$A$4,"Date ",E109,"Company",$I$34,"Market",$D$4,"Product",$D$3)),NA())</f>
        <v>#N/A</v>
      </c>
      <c r="J109" s="2" t="e">
        <f>IFERROR(IF(GETPIVOTDATA("Avg. Price",Pivots!$A$4,"Date ",E109,"Company",$J$34,"Market",$D$4,"Product",$D$3)=0,NA(),GETPIVOTDATA("Avg. Price",Pivots!$A$4,"Date ",E109,"Company",$J$34,"Market",$D$4,"Product",$D$3)),NA())</f>
        <v>#N/A</v>
      </c>
      <c r="K109" s="2" t="e">
        <f>IFERROR(IF(GETPIVOTDATA("Avg. Price",Pivots!$A$4,"Date ",E109,"Company",$K$34,"Market",$D$4,"Product",$D$3)=0,NA(),GETPIVOTDATA("Avg. Price",Pivots!$A$4,"Date ",E109,"Company",$K$34,"Market",$D$4,"Product",$D$3)),NA())</f>
        <v>#N/A</v>
      </c>
      <c r="L109" s="2" t="e">
        <f>IFERROR(IF(GETPIVOTDATA("Avg. Price",Pivots!$A$4,"Date ",E109,"Company",$L$34,"Market",$D$4,"Product",$D$3)=0,NA(),GETPIVOTDATA("Avg. Price",Pivots!$A$4,"Date ",E109,"Company",$L$34,"Market",$D$4,"Product",$D$3)),NA())</f>
        <v>#N/A</v>
      </c>
      <c r="M109" s="2" t="e">
        <f>IFERROR(IF(GETPIVOTDATA("Avg. Price",Pivots!$A$4,"Date ",E109,"Company",$M$34,"Market",$D$4,"Product",$D$3)=0,NA(),GETPIVOTDATA("Avg. Price",Pivots!$A$4,"Date ",E109,"Company",$M$34,"Market",$D$4,"Product",$D$3)),NA())</f>
        <v>#N/A</v>
      </c>
      <c r="N109" s="2" t="e">
        <f>IFERROR(IF(GETPIVOTDATA("Avg. Price",Pivots!$A$4,"Date ",E109,"Company",$N$34,"Market",$D$4,"Product",$D$3)=0,NA(),GETPIVOTDATA("Avg. Price",Pivots!$A$4,"Date ",E109,"Company",$N$34,"Market",$D$4,"Product",$D$3)),NA())</f>
        <v>#N/A</v>
      </c>
      <c r="O109" s="2" t="e">
        <f>IFERROR(IF(GETPIVOTDATA("Avg. Price",Pivots!$A$4,"Date ",E109,"Company",$O$34,"Market",$D$4,"Product",$D$3)=0,NA(),GETPIVOTDATA("Avg. Price",Pivots!$A$4,"Date ",E109,"Company",$O$34,"Market",$D$4,"Product",$D$3)),NA())</f>
        <v>#N/A</v>
      </c>
    </row>
    <row r="110" spans="5:15" hidden="1" x14ac:dyDescent="0.45">
      <c r="E110" s="10">
        <v>45367</v>
      </c>
      <c r="F110" s="2" t="e">
        <f>IFERROR(IF(GETPIVOTDATA("Avg. Price",Pivots!$A$4,"Date ",E110,"Company",$F$34,"Market",$D$4,"Product",$D$3)=0,NA(),GETPIVOTDATA("Avg. Price",Pivots!$A$4,"Date ",E110,"Company",$F$34,"Market",$D$4,"Product",$D$3)),NA())</f>
        <v>#N/A</v>
      </c>
      <c r="G110" s="2" t="e">
        <f>IFERROR(IF(GETPIVOTDATA("Avg. Price",Pivots!$A$4,"Date ",E110,"Company",$G$34,"Market",$D$4,"Product",$D$3)=0,NA(),GETPIVOTDATA("Avg. Price",Pivots!$A$4,"Date ",E110,"Company",$G$34,"Market",$D$4,"Product",$D$3)),NA())</f>
        <v>#N/A</v>
      </c>
      <c r="H110" s="2" t="e">
        <f>IFERROR(IF(GETPIVOTDATA("Avg. Price",Pivots!$A$4,"Date ",E110,"Company",$H$34,"Market",$D$4,"Product",$D$3)=0,NA(),GETPIVOTDATA("Avg. Price",Pivots!$A$4,"Date ",E110,"Company",$H$34,"Market",$D$4,"Product",$D$3)),NA())</f>
        <v>#N/A</v>
      </c>
      <c r="I110" s="2" t="e">
        <f>IFERROR(IF(GETPIVOTDATA("Avg. Price",Pivots!$A$4,"Date ",E110,"Company",$I$34,"Market",$D$4,"Product",$D$3)=0,NA(),GETPIVOTDATA("Avg. Price",Pivots!$A$4,"Date ",E110,"Company",$I$34,"Market",$D$4,"Product",$D$3)),NA())</f>
        <v>#N/A</v>
      </c>
      <c r="J110" s="2" t="e">
        <f>IFERROR(IF(GETPIVOTDATA("Avg. Price",Pivots!$A$4,"Date ",E110,"Company",$J$34,"Market",$D$4,"Product",$D$3)=0,NA(),GETPIVOTDATA("Avg. Price",Pivots!$A$4,"Date ",E110,"Company",$J$34,"Market",$D$4,"Product",$D$3)),NA())</f>
        <v>#N/A</v>
      </c>
      <c r="K110" s="2" t="e">
        <f>IFERROR(IF(GETPIVOTDATA("Avg. Price",Pivots!$A$4,"Date ",E110,"Company",$K$34,"Market",$D$4,"Product",$D$3)=0,NA(),GETPIVOTDATA("Avg. Price",Pivots!$A$4,"Date ",E110,"Company",$K$34,"Market",$D$4,"Product",$D$3)),NA())</f>
        <v>#N/A</v>
      </c>
      <c r="L110" s="2" t="e">
        <f>IFERROR(IF(GETPIVOTDATA("Avg. Price",Pivots!$A$4,"Date ",E110,"Company",$L$34,"Market",$D$4,"Product",$D$3)=0,NA(),GETPIVOTDATA("Avg. Price",Pivots!$A$4,"Date ",E110,"Company",$L$34,"Market",$D$4,"Product",$D$3)),NA())</f>
        <v>#N/A</v>
      </c>
      <c r="M110" s="2" t="e">
        <f>IFERROR(IF(GETPIVOTDATA("Avg. Price",Pivots!$A$4,"Date ",E110,"Company",$M$34,"Market",$D$4,"Product",$D$3)=0,NA(),GETPIVOTDATA("Avg. Price",Pivots!$A$4,"Date ",E110,"Company",$M$34,"Market",$D$4,"Product",$D$3)),NA())</f>
        <v>#N/A</v>
      </c>
      <c r="N110" s="2" t="e">
        <f>IFERROR(IF(GETPIVOTDATA("Avg. Price",Pivots!$A$4,"Date ",E110,"Company",$N$34,"Market",$D$4,"Product",$D$3)=0,NA(),GETPIVOTDATA("Avg. Price",Pivots!$A$4,"Date ",E110,"Company",$N$34,"Market",$D$4,"Product",$D$3)),NA())</f>
        <v>#N/A</v>
      </c>
      <c r="O110" s="2" t="e">
        <f>IFERROR(IF(GETPIVOTDATA("Avg. Price",Pivots!$A$4,"Date ",E110,"Company",$O$34,"Market",$D$4,"Product",$D$3)=0,NA(),GETPIVOTDATA("Avg. Price",Pivots!$A$4,"Date ",E110,"Company",$O$34,"Market",$D$4,"Product",$D$3)),NA())</f>
        <v>#N/A</v>
      </c>
    </row>
    <row r="114" spans="17:21" x14ac:dyDescent="0.45">
      <c r="Q114" s="31"/>
      <c r="R114" s="31"/>
      <c r="S114" s="31"/>
      <c r="T114" s="31"/>
      <c r="U114" s="31"/>
    </row>
    <row r="115" spans="17:21" x14ac:dyDescent="0.45">
      <c r="Q115" s="31"/>
      <c r="R115" s="31"/>
      <c r="S115" s="31"/>
      <c r="T115" s="31"/>
      <c r="U115" s="31"/>
    </row>
    <row r="116" spans="17:21" x14ac:dyDescent="0.45">
      <c r="Q116" s="31"/>
      <c r="R116" s="32" t="s">
        <v>83</v>
      </c>
      <c r="S116" s="33" t="s">
        <v>84</v>
      </c>
      <c r="T116" s="31"/>
      <c r="U116" s="31"/>
    </row>
    <row r="117" spans="17:21" x14ac:dyDescent="0.45">
      <c r="Q117" s="31"/>
      <c r="R117" s="31">
        <v>7</v>
      </c>
      <c r="S117" s="34">
        <v>8421504</v>
      </c>
      <c r="T117" s="31"/>
      <c r="U117" s="31"/>
    </row>
    <row r="118" spans="17:21" x14ac:dyDescent="0.45">
      <c r="Q118" s="31"/>
      <c r="R118" s="34">
        <v>8</v>
      </c>
      <c r="S118" s="34">
        <v>1947054</v>
      </c>
      <c r="T118" s="31"/>
      <c r="U118" s="31"/>
    </row>
    <row r="119" spans="17:21" x14ac:dyDescent="0.45">
      <c r="Q119" s="31"/>
      <c r="R119" s="34">
        <v>9</v>
      </c>
      <c r="S119" s="34">
        <v>15192591</v>
      </c>
      <c r="T119" s="31"/>
      <c r="U119" s="31"/>
    </row>
    <row r="120" spans="17:21" x14ac:dyDescent="0.45">
      <c r="Q120" s="31"/>
      <c r="R120" s="34">
        <v>10</v>
      </c>
      <c r="S120" s="34">
        <v>12874308</v>
      </c>
      <c r="T120" s="31"/>
      <c r="U120" s="31"/>
    </row>
    <row r="121" spans="17:21" x14ac:dyDescent="0.45">
      <c r="Q121" s="31"/>
      <c r="R121" s="34">
        <v>11</v>
      </c>
      <c r="S121" s="34">
        <v>37055</v>
      </c>
      <c r="T121" s="31"/>
      <c r="U121" s="31"/>
    </row>
    <row r="122" spans="17:21" x14ac:dyDescent="0.45">
      <c r="Q122" s="31"/>
      <c r="R122" s="34">
        <v>12</v>
      </c>
      <c r="S122" s="34">
        <v>5287936</v>
      </c>
      <c r="T122" s="31"/>
      <c r="U122" s="31"/>
    </row>
    <row r="123" spans="17:21" x14ac:dyDescent="0.45">
      <c r="Q123" s="31"/>
      <c r="R123" s="34">
        <v>13</v>
      </c>
      <c r="S123" s="34">
        <v>1137349</v>
      </c>
      <c r="T123" s="31"/>
      <c r="U123" s="31"/>
    </row>
    <row r="124" spans="17:21" x14ac:dyDescent="0.45">
      <c r="Q124" s="31"/>
      <c r="R124" s="34">
        <v>14</v>
      </c>
      <c r="S124" s="34">
        <v>6192818</v>
      </c>
      <c r="T124" s="31"/>
      <c r="U124" s="31"/>
    </row>
    <row r="125" spans="17:21" x14ac:dyDescent="0.45">
      <c r="Q125" s="31"/>
      <c r="R125" s="34">
        <v>15</v>
      </c>
      <c r="S125" s="34">
        <v>13553360</v>
      </c>
      <c r="T125" s="31"/>
      <c r="U125" s="31"/>
    </row>
    <row r="126" spans="17:21" x14ac:dyDescent="0.45">
      <c r="Q126" s="31"/>
      <c r="R126" s="34">
        <v>16</v>
      </c>
      <c r="S126" s="34">
        <v>6740479</v>
      </c>
      <c r="T126" s="31"/>
      <c r="U126" s="31"/>
    </row>
    <row r="127" spans="17:21" x14ac:dyDescent="0.45">
      <c r="Q127" s="31"/>
      <c r="R127" s="31"/>
      <c r="S127" s="31"/>
      <c r="T127" s="31"/>
      <c r="U127" s="31"/>
    </row>
    <row r="128" spans="17:21" x14ac:dyDescent="0.45">
      <c r="Q128" s="31"/>
      <c r="R128" s="31"/>
      <c r="S128" s="31"/>
      <c r="T128" s="31"/>
      <c r="U128" s="31"/>
    </row>
    <row r="129" spans="17:21" x14ac:dyDescent="0.45">
      <c r="Q129" s="31"/>
      <c r="R129" s="31"/>
      <c r="S129" s="31"/>
      <c r="T129" s="31"/>
      <c r="U129" s="31"/>
    </row>
  </sheetData>
  <mergeCells count="30">
    <mergeCell ref="D5:E5"/>
    <mergeCell ref="B5:C5"/>
    <mergeCell ref="D4:E4"/>
    <mergeCell ref="B4:C4"/>
    <mergeCell ref="B3:C3"/>
    <mergeCell ref="D3:E3"/>
    <mergeCell ref="V5:W5"/>
    <mergeCell ref="G6:H6"/>
    <mergeCell ref="J6:K6"/>
    <mergeCell ref="M6:N6"/>
    <mergeCell ref="P6:Q6"/>
    <mergeCell ref="S6:T6"/>
    <mergeCell ref="V6:W6"/>
    <mergeCell ref="G5:H5"/>
    <mergeCell ref="J5:K5"/>
    <mergeCell ref="M5:N5"/>
    <mergeCell ref="P5:Q5"/>
    <mergeCell ref="S5:T5"/>
    <mergeCell ref="V2:W2"/>
    <mergeCell ref="S2:T2"/>
    <mergeCell ref="P2:Q2"/>
    <mergeCell ref="M2:N2"/>
    <mergeCell ref="J2:K2"/>
    <mergeCell ref="V3:W3"/>
    <mergeCell ref="S3:T3"/>
    <mergeCell ref="P3:Q3"/>
    <mergeCell ref="M3:N3"/>
    <mergeCell ref="G3:H3"/>
    <mergeCell ref="G2:H2"/>
    <mergeCell ref="J3:K3"/>
  </mergeCells>
  <dataValidations count="1">
    <dataValidation type="list" allowBlank="1" showInputMessage="1" showErrorMessage="1" sqref="D5" xr:uid="{E5AB7C26-35E7-4714-AEA7-9D7CFA653872}">
      <formula1>"7,8,10,11,12,13,14,15,16"</formula1>
    </dataValidation>
  </dataValidations>
  <pageMargins left="0.7" right="0.7" top="0.75" bottom="0.75" header="0.3" footer="0.3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B0200109-720D-436A-92AF-8E981FB9CC6F}">
          <x14:formula1>
            <xm:f>'Raw data K1-2'!$Q$3:$Q$5</xm:f>
          </x14:formula1>
          <xm:sqref>D3</xm:sqref>
        </x14:dataValidation>
        <x14:dataValidation type="list" allowBlank="1" showInputMessage="1" showErrorMessage="1" xr:uid="{C2E84D40-A8AB-4FE6-AA0F-FF47BABB4610}">
          <x14:formula1>
            <xm:f>'Raw data K1-2'!$T$3:$T$5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9A55-F35C-45B4-9AA4-CD3F76826569}">
  <sheetPr codeName="Sheet5">
    <tabColor theme="1"/>
  </sheetPr>
  <dimension ref="A4:CH310"/>
  <sheetViews>
    <sheetView zoomScale="70" zoomScaleNormal="70" workbookViewId="0">
      <selection activeCell="M36" sqref="M36"/>
    </sheetView>
  </sheetViews>
  <sheetFormatPr defaultRowHeight="14.25" x14ac:dyDescent="0.45"/>
  <cols>
    <col min="1" max="1" width="10.59765625" bestFit="1" customWidth="1"/>
    <col min="2" max="2" width="12.33203125" bestFit="1" customWidth="1"/>
    <col min="3" max="3" width="14.1328125" bestFit="1" customWidth="1"/>
    <col min="4" max="5" width="12.33203125" bestFit="1" customWidth="1"/>
    <col min="6" max="6" width="14.1328125" bestFit="1" customWidth="1"/>
    <col min="7" max="7" width="12.33203125" bestFit="1" customWidth="1"/>
    <col min="8" max="8" width="14.3984375" bestFit="1" customWidth="1"/>
    <col min="9" max="9" width="14.1328125" bestFit="1" customWidth="1"/>
    <col min="10" max="10" width="17.59765625" bestFit="1" customWidth="1"/>
    <col min="11" max="11" width="10.33203125" bestFit="1" customWidth="1"/>
    <col min="12" max="12" width="10.33203125" customWidth="1"/>
    <col min="13" max="14" width="13.86328125" bestFit="1" customWidth="1"/>
    <col min="15" max="15" width="10" bestFit="1" customWidth="1"/>
    <col min="16" max="16" width="6.265625" bestFit="1" customWidth="1"/>
    <col min="17" max="17" width="12.9296875" bestFit="1" customWidth="1"/>
    <col min="18" max="18" width="11.796875" bestFit="1" customWidth="1"/>
    <col min="19" max="19" width="9.19921875" bestFit="1" customWidth="1"/>
    <col min="20" max="20" width="12.9296875" bestFit="1" customWidth="1"/>
    <col min="21" max="21" width="11.33203125" bestFit="1" customWidth="1"/>
    <col min="22" max="22" width="13.33203125" bestFit="1" customWidth="1"/>
    <col min="23" max="23" width="9.796875" bestFit="1" customWidth="1"/>
    <col min="24" max="24" width="6.265625" bestFit="1" customWidth="1"/>
    <col min="25" max="25" width="11.796875" bestFit="1" customWidth="1"/>
    <col min="26" max="26" width="9.19921875" bestFit="1" customWidth="1"/>
    <col min="27" max="27" width="11.33203125" bestFit="1" customWidth="1"/>
    <col min="28" max="28" width="13.33203125" bestFit="1" customWidth="1"/>
    <col min="29" max="29" width="9.796875" bestFit="1" customWidth="1"/>
    <col min="30" max="30" width="6.265625" bestFit="1" customWidth="1"/>
    <col min="31" max="31" width="11.796875" bestFit="1" customWidth="1"/>
    <col min="32" max="32" width="9.19921875" bestFit="1" customWidth="1"/>
    <col min="33" max="33" width="11.33203125" bestFit="1" customWidth="1"/>
    <col min="34" max="34" width="13.33203125" bestFit="1" customWidth="1"/>
    <col min="35" max="35" width="9.796875" bestFit="1" customWidth="1"/>
    <col min="36" max="36" width="6.265625" bestFit="1" customWidth="1"/>
    <col min="37" max="37" width="12.9296875" bestFit="1" customWidth="1"/>
    <col min="38" max="38" width="11.796875" bestFit="1" customWidth="1"/>
    <col min="39" max="39" width="9.19921875" bestFit="1" customWidth="1"/>
    <col min="40" max="40" width="12.9296875" bestFit="1" customWidth="1"/>
    <col min="41" max="41" width="12.33203125" bestFit="1" customWidth="1"/>
    <col min="42" max="42" width="14.46484375" bestFit="1" customWidth="1"/>
    <col min="43" max="43" width="9.796875" bestFit="1" customWidth="1"/>
    <col min="44" max="44" width="6.265625" bestFit="1" customWidth="1"/>
    <col min="45" max="45" width="11.796875" bestFit="1" customWidth="1"/>
    <col min="46" max="46" width="9.19921875" bestFit="1" customWidth="1"/>
    <col min="47" max="47" width="12.33203125" bestFit="1" customWidth="1"/>
    <col min="48" max="48" width="14.46484375" bestFit="1" customWidth="1"/>
    <col min="49" max="49" width="9.796875" bestFit="1" customWidth="1"/>
    <col min="50" max="50" width="6.265625" bestFit="1" customWidth="1"/>
    <col min="51" max="51" width="11.796875" bestFit="1" customWidth="1"/>
    <col min="52" max="52" width="9.19921875" bestFit="1" customWidth="1"/>
    <col min="53" max="53" width="12.33203125" bestFit="1" customWidth="1"/>
    <col min="54" max="54" width="14.46484375" bestFit="1" customWidth="1"/>
    <col min="55" max="55" width="9.796875" bestFit="1" customWidth="1"/>
    <col min="56" max="56" width="6.265625" bestFit="1" customWidth="1"/>
    <col min="57" max="57" width="11.796875" bestFit="1" customWidth="1"/>
    <col min="58" max="58" width="9.19921875" bestFit="1" customWidth="1"/>
    <col min="59" max="59" width="12.33203125" bestFit="1" customWidth="1"/>
    <col min="60" max="60" width="14.46484375" bestFit="1" customWidth="1"/>
    <col min="61" max="61" width="9.796875" bestFit="1" customWidth="1"/>
    <col min="62" max="62" width="6.265625" bestFit="1" customWidth="1"/>
    <col min="63" max="63" width="12.9296875" bestFit="1" customWidth="1"/>
    <col min="64" max="64" width="11.796875" bestFit="1" customWidth="1"/>
    <col min="65" max="65" width="9.19921875" bestFit="1" customWidth="1"/>
    <col min="66" max="66" width="12.9296875" bestFit="1" customWidth="1"/>
    <col min="67" max="67" width="12.33203125" bestFit="1" customWidth="1"/>
    <col min="68" max="68" width="14.46484375" bestFit="1" customWidth="1"/>
    <col min="69" max="69" width="9.796875" bestFit="1" customWidth="1"/>
    <col min="70" max="70" width="6.265625" bestFit="1" customWidth="1"/>
    <col min="71" max="71" width="12.9296875" bestFit="1" customWidth="1"/>
    <col min="72" max="72" width="11.796875" bestFit="1" customWidth="1"/>
    <col min="73" max="73" width="9.19921875" bestFit="1" customWidth="1"/>
    <col min="74" max="74" width="12.9296875" bestFit="1" customWidth="1"/>
    <col min="75" max="75" width="12.33203125" bestFit="1" customWidth="1"/>
    <col min="76" max="76" width="14.46484375" bestFit="1" customWidth="1"/>
    <col min="77" max="77" width="9.796875" bestFit="1" customWidth="1"/>
    <col min="78" max="78" width="6.265625" bestFit="1" customWidth="1"/>
    <col min="79" max="79" width="12.9296875" bestFit="1" customWidth="1"/>
    <col min="80" max="80" width="11.796875" bestFit="1" customWidth="1"/>
    <col min="81" max="81" width="9.19921875" bestFit="1" customWidth="1"/>
    <col min="82" max="82" width="12.9296875" bestFit="1" customWidth="1"/>
    <col min="83" max="83" width="12.33203125" bestFit="1" customWidth="1"/>
    <col min="84" max="85" width="14.46484375" bestFit="1" customWidth="1"/>
    <col min="86" max="86" width="16.46484375" bestFit="1" customWidth="1"/>
  </cols>
  <sheetData>
    <row r="4" spans="1:86" x14ac:dyDescent="0.45">
      <c r="A4" s="6" t="s">
        <v>24</v>
      </c>
      <c r="B4" s="6" t="s">
        <v>25</v>
      </c>
      <c r="O4" s="6" t="s">
        <v>3</v>
      </c>
    </row>
    <row r="5" spans="1:86" x14ac:dyDescent="0.45">
      <c r="B5" t="s">
        <v>0</v>
      </c>
      <c r="D5" t="s">
        <v>26</v>
      </c>
      <c r="E5" t="s">
        <v>14</v>
      </c>
      <c r="G5" t="s">
        <v>27</v>
      </c>
      <c r="H5" t="s">
        <v>19</v>
      </c>
      <c r="J5" t="s">
        <v>28</v>
      </c>
      <c r="K5" t="s">
        <v>23</v>
      </c>
      <c r="O5">
        <v>7</v>
      </c>
      <c r="U5" t="s">
        <v>78</v>
      </c>
      <c r="V5" t="s">
        <v>79</v>
      </c>
      <c r="W5">
        <v>8</v>
      </c>
      <c r="AA5" t="s">
        <v>80</v>
      </c>
      <c r="AB5" t="s">
        <v>81</v>
      </c>
      <c r="AC5">
        <v>9</v>
      </c>
      <c r="AG5" t="s">
        <v>61</v>
      </c>
      <c r="AH5" t="s">
        <v>62</v>
      </c>
      <c r="AI5">
        <v>10</v>
      </c>
      <c r="AO5" t="s">
        <v>63</v>
      </c>
      <c r="AP5" t="s">
        <v>64</v>
      </c>
      <c r="AQ5">
        <v>11</v>
      </c>
      <c r="AU5" t="s">
        <v>65</v>
      </c>
      <c r="AV5" t="s">
        <v>66</v>
      </c>
      <c r="AW5">
        <v>12</v>
      </c>
      <c r="BA5" t="s">
        <v>67</v>
      </c>
      <c r="BB5" t="s">
        <v>68</v>
      </c>
      <c r="BC5">
        <v>13</v>
      </c>
      <c r="BG5" t="s">
        <v>69</v>
      </c>
      <c r="BH5" t="s">
        <v>70</v>
      </c>
      <c r="BI5">
        <v>14</v>
      </c>
      <c r="BO5" t="s">
        <v>71</v>
      </c>
      <c r="BP5" t="s">
        <v>72</v>
      </c>
      <c r="BQ5">
        <v>15</v>
      </c>
      <c r="BW5" t="s">
        <v>73</v>
      </c>
      <c r="BX5" t="s">
        <v>74</v>
      </c>
      <c r="BY5">
        <v>16</v>
      </c>
      <c r="CE5" t="s">
        <v>75</v>
      </c>
      <c r="CF5" t="s">
        <v>76</v>
      </c>
      <c r="CG5" t="s">
        <v>54</v>
      </c>
      <c r="CH5" t="s">
        <v>55</v>
      </c>
    </row>
    <row r="6" spans="1:86" x14ac:dyDescent="0.45">
      <c r="A6" s="6" t="s">
        <v>29</v>
      </c>
      <c r="B6" t="s">
        <v>16</v>
      </c>
      <c r="C6" t="s">
        <v>15</v>
      </c>
      <c r="E6" t="s">
        <v>16</v>
      </c>
      <c r="F6" t="s">
        <v>15</v>
      </c>
      <c r="H6" t="s">
        <v>16</v>
      </c>
      <c r="I6" t="s">
        <v>15</v>
      </c>
      <c r="O6" t="s">
        <v>51</v>
      </c>
      <c r="R6" t="s">
        <v>52</v>
      </c>
      <c r="W6" t="s">
        <v>51</v>
      </c>
      <c r="Y6" t="s">
        <v>52</v>
      </c>
      <c r="AC6" t="s">
        <v>51</v>
      </c>
      <c r="AE6" t="s">
        <v>52</v>
      </c>
      <c r="AI6" t="s">
        <v>51</v>
      </c>
      <c r="AL6" t="s">
        <v>52</v>
      </c>
      <c r="AQ6" t="s">
        <v>51</v>
      </c>
      <c r="AS6" t="s">
        <v>52</v>
      </c>
      <c r="AW6" t="s">
        <v>51</v>
      </c>
      <c r="AY6" t="s">
        <v>52</v>
      </c>
      <c r="BC6" t="s">
        <v>51</v>
      </c>
      <c r="BE6" t="s">
        <v>52</v>
      </c>
      <c r="BI6" t="s">
        <v>51</v>
      </c>
      <c r="BL6" t="s">
        <v>52</v>
      </c>
      <c r="BQ6" t="s">
        <v>51</v>
      </c>
      <c r="BT6" t="s">
        <v>52</v>
      </c>
      <c r="BY6" t="s">
        <v>51</v>
      </c>
      <c r="CB6" t="s">
        <v>52</v>
      </c>
    </row>
    <row r="7" spans="1:86" x14ac:dyDescent="0.45">
      <c r="A7" s="7">
        <v>45292</v>
      </c>
      <c r="B7" s="11">
        <v>3725</v>
      </c>
      <c r="C7" s="11">
        <v>6657.5</v>
      </c>
      <c r="D7" s="2">
        <v>5191.25</v>
      </c>
      <c r="E7" s="11">
        <v>3744.9367088607596</v>
      </c>
      <c r="F7" s="11">
        <v>6650</v>
      </c>
      <c r="G7" s="2">
        <v>5109.7315436241606</v>
      </c>
      <c r="H7" s="11"/>
      <c r="I7" s="11"/>
      <c r="J7" s="2"/>
      <c r="K7" s="2">
        <v>5126.9841269841272</v>
      </c>
      <c r="L7" s="2"/>
      <c r="N7" s="6" t="s">
        <v>50</v>
      </c>
      <c r="O7" t="s">
        <v>0</v>
      </c>
      <c r="P7" t="s">
        <v>14</v>
      </c>
      <c r="Q7" t="s">
        <v>19</v>
      </c>
      <c r="R7" t="s">
        <v>0</v>
      </c>
      <c r="S7" t="s">
        <v>14</v>
      </c>
      <c r="T7" t="s">
        <v>19</v>
      </c>
      <c r="W7" t="s">
        <v>0</v>
      </c>
      <c r="X7" t="s">
        <v>14</v>
      </c>
      <c r="Y7" t="s">
        <v>0</v>
      </c>
      <c r="Z7" t="s">
        <v>14</v>
      </c>
      <c r="AC7" t="s">
        <v>0</v>
      </c>
      <c r="AD7" t="s">
        <v>14</v>
      </c>
      <c r="AE7" t="s">
        <v>0</v>
      </c>
      <c r="AF7" t="s">
        <v>14</v>
      </c>
      <c r="AI7" t="s">
        <v>0</v>
      </c>
      <c r="AJ7" t="s">
        <v>14</v>
      </c>
      <c r="AK7" t="s">
        <v>19</v>
      </c>
      <c r="AL7" t="s">
        <v>0</v>
      </c>
      <c r="AM7" t="s">
        <v>14</v>
      </c>
      <c r="AN7" t="s">
        <v>19</v>
      </c>
      <c r="AQ7" t="s">
        <v>0</v>
      </c>
      <c r="AR7" t="s">
        <v>14</v>
      </c>
      <c r="AS7" t="s">
        <v>0</v>
      </c>
      <c r="AT7" t="s">
        <v>14</v>
      </c>
      <c r="AW7" t="s">
        <v>0</v>
      </c>
      <c r="AX7" t="s">
        <v>14</v>
      </c>
      <c r="AY7" t="s">
        <v>0</v>
      </c>
      <c r="AZ7" t="s">
        <v>14</v>
      </c>
      <c r="BC7" t="s">
        <v>0</v>
      </c>
      <c r="BD7" t="s">
        <v>14</v>
      </c>
      <c r="BE7" t="s">
        <v>0</v>
      </c>
      <c r="BF7" t="s">
        <v>14</v>
      </c>
      <c r="BI7" t="s">
        <v>0</v>
      </c>
      <c r="BJ7" t="s">
        <v>14</v>
      </c>
      <c r="BK7" t="s">
        <v>19</v>
      </c>
      <c r="BL7" t="s">
        <v>0</v>
      </c>
      <c r="BM7" t="s">
        <v>14</v>
      </c>
      <c r="BN7" t="s">
        <v>19</v>
      </c>
      <c r="BQ7" t="s">
        <v>0</v>
      </c>
      <c r="BR7" t="s">
        <v>14</v>
      </c>
      <c r="BS7" t="s">
        <v>19</v>
      </c>
      <c r="BT7" t="s">
        <v>0</v>
      </c>
      <c r="BU7" t="s">
        <v>14</v>
      </c>
      <c r="BV7" t="s">
        <v>19</v>
      </c>
      <c r="BY7" t="s">
        <v>0</v>
      </c>
      <c r="BZ7" t="s">
        <v>14</v>
      </c>
      <c r="CA7" t="s">
        <v>19</v>
      </c>
      <c r="CB7" t="s">
        <v>0</v>
      </c>
      <c r="CC7" t="s">
        <v>14</v>
      </c>
      <c r="CD7" t="s">
        <v>19</v>
      </c>
    </row>
    <row r="8" spans="1:86" x14ac:dyDescent="0.45">
      <c r="A8" s="8">
        <v>7</v>
      </c>
      <c r="B8" s="11">
        <v>3750</v>
      </c>
      <c r="C8" s="11">
        <v>6650</v>
      </c>
      <c r="D8" s="2">
        <v>5200</v>
      </c>
      <c r="E8" s="11">
        <v>3750</v>
      </c>
      <c r="F8" s="11">
        <v>6650</v>
      </c>
      <c r="G8" s="2">
        <v>5103.333333333333</v>
      </c>
      <c r="H8" s="11"/>
      <c r="I8" s="11"/>
      <c r="J8" s="2"/>
      <c r="K8" s="2">
        <v>5123.6842105263158</v>
      </c>
      <c r="L8" s="2"/>
      <c r="N8" s="16" t="s">
        <v>16</v>
      </c>
      <c r="O8" s="51">
        <v>1639</v>
      </c>
      <c r="P8" s="51">
        <v>2111</v>
      </c>
      <c r="Q8" s="51">
        <v>203</v>
      </c>
      <c r="R8" s="51">
        <v>6334200</v>
      </c>
      <c r="S8" s="51">
        <v>7998500</v>
      </c>
      <c r="T8" s="51">
        <v>900750</v>
      </c>
      <c r="U8" s="51">
        <v>3953</v>
      </c>
      <c r="V8" s="51">
        <v>15233450</v>
      </c>
      <c r="W8" s="51">
        <v>1342</v>
      </c>
      <c r="X8" s="51">
        <v>2225</v>
      </c>
      <c r="Y8" s="51">
        <v>5139270</v>
      </c>
      <c r="Z8" s="51">
        <v>8238912</v>
      </c>
      <c r="AA8" s="51">
        <v>3567</v>
      </c>
      <c r="AB8" s="51">
        <v>13378182</v>
      </c>
      <c r="AC8" s="51">
        <v>1280</v>
      </c>
      <c r="AD8" s="51">
        <v>2342</v>
      </c>
      <c r="AE8" s="51">
        <v>4802760</v>
      </c>
      <c r="AF8" s="51">
        <v>8525835</v>
      </c>
      <c r="AG8" s="51">
        <v>3622</v>
      </c>
      <c r="AH8" s="51">
        <v>13328595</v>
      </c>
      <c r="AI8" s="51">
        <v>1633</v>
      </c>
      <c r="AJ8" s="51">
        <v>2580</v>
      </c>
      <c r="AK8" s="51">
        <v>52</v>
      </c>
      <c r="AL8" s="51">
        <v>6604000</v>
      </c>
      <c r="AM8" s="51">
        <v>10113600</v>
      </c>
      <c r="AN8" s="51">
        <v>230000</v>
      </c>
      <c r="AO8" s="51">
        <v>4265</v>
      </c>
      <c r="AP8" s="51">
        <v>16947600</v>
      </c>
      <c r="AQ8" s="51">
        <v>1320</v>
      </c>
      <c r="AR8" s="51">
        <v>2477</v>
      </c>
      <c r="AS8" s="51">
        <v>5275000</v>
      </c>
      <c r="AT8" s="51">
        <v>9712900</v>
      </c>
      <c r="AU8" s="51">
        <v>3797</v>
      </c>
      <c r="AV8" s="51">
        <v>14987900</v>
      </c>
      <c r="AW8" s="51">
        <v>1223</v>
      </c>
      <c r="AX8" s="51">
        <v>2392</v>
      </c>
      <c r="AY8" s="51">
        <v>4640200</v>
      </c>
      <c r="AZ8" s="51">
        <v>9371950</v>
      </c>
      <c r="BA8" s="51">
        <v>3615</v>
      </c>
      <c r="BB8" s="51">
        <v>14012150</v>
      </c>
      <c r="BC8" s="51">
        <v>1170</v>
      </c>
      <c r="BD8" s="51">
        <v>3073</v>
      </c>
      <c r="BE8" s="51">
        <v>3952500</v>
      </c>
      <c r="BF8" s="51">
        <v>10623650</v>
      </c>
      <c r="BG8" s="51">
        <v>4243</v>
      </c>
      <c r="BH8" s="51">
        <v>14576150</v>
      </c>
      <c r="BI8" s="51">
        <v>1421</v>
      </c>
      <c r="BJ8" s="51">
        <v>3326</v>
      </c>
      <c r="BK8" s="51">
        <v>50</v>
      </c>
      <c r="BL8" s="51">
        <v>5408700</v>
      </c>
      <c r="BM8" s="51">
        <v>12375100</v>
      </c>
      <c r="BN8" s="51">
        <v>210000</v>
      </c>
      <c r="BO8" s="51">
        <v>4797</v>
      </c>
      <c r="BP8" s="51">
        <v>17993800</v>
      </c>
      <c r="BQ8" s="51">
        <v>1615</v>
      </c>
      <c r="BR8" s="51">
        <v>3625</v>
      </c>
      <c r="BS8" s="51">
        <v>41</v>
      </c>
      <c r="BT8" s="51">
        <v>6344750</v>
      </c>
      <c r="BU8" s="51">
        <v>12834550</v>
      </c>
      <c r="BV8" s="51">
        <v>170150</v>
      </c>
      <c r="BW8" s="51">
        <v>5281</v>
      </c>
      <c r="BX8" s="51">
        <v>19349450</v>
      </c>
      <c r="BY8" s="51">
        <v>1110</v>
      </c>
      <c r="BZ8" s="51">
        <v>2992</v>
      </c>
      <c r="CA8" s="51">
        <v>6</v>
      </c>
      <c r="CB8" s="51">
        <v>4162500</v>
      </c>
      <c r="CC8" s="51">
        <v>11190600</v>
      </c>
      <c r="CD8" s="51">
        <v>27000</v>
      </c>
      <c r="CE8" s="51">
        <v>4108</v>
      </c>
      <c r="CF8" s="51">
        <v>15380100</v>
      </c>
      <c r="CG8" s="51">
        <v>41248</v>
      </c>
      <c r="CH8" s="51">
        <v>155187377</v>
      </c>
    </row>
    <row r="9" spans="1:86" x14ac:dyDescent="0.45">
      <c r="A9" s="8">
        <v>8</v>
      </c>
      <c r="B9" s="11">
        <v>3700</v>
      </c>
      <c r="C9" s="11">
        <v>6650</v>
      </c>
      <c r="D9" s="2">
        <v>5175</v>
      </c>
      <c r="E9" s="11">
        <v>3750</v>
      </c>
      <c r="F9" s="11">
        <v>6650</v>
      </c>
      <c r="G9" s="2">
        <v>5103.333333333333</v>
      </c>
      <c r="H9" s="11"/>
      <c r="I9" s="11"/>
      <c r="J9" s="2"/>
      <c r="K9" s="2">
        <v>5118.4210526315792</v>
      </c>
      <c r="L9" s="2"/>
      <c r="N9" s="16" t="s">
        <v>15</v>
      </c>
      <c r="O9" s="51">
        <v>938</v>
      </c>
      <c r="P9" s="51">
        <v>315</v>
      </c>
      <c r="Q9" s="51">
        <v>29</v>
      </c>
      <c r="R9" s="51">
        <v>6406500</v>
      </c>
      <c r="S9" s="51">
        <v>2120650</v>
      </c>
      <c r="T9" s="51">
        <v>217500</v>
      </c>
      <c r="U9" s="51">
        <v>1282</v>
      </c>
      <c r="V9" s="51">
        <v>8744650</v>
      </c>
      <c r="W9" s="51">
        <v>752</v>
      </c>
      <c r="X9" s="51">
        <v>488</v>
      </c>
      <c r="Y9" s="51">
        <v>4575530</v>
      </c>
      <c r="Z9" s="51">
        <v>2841221</v>
      </c>
      <c r="AA9" s="51">
        <v>1240</v>
      </c>
      <c r="AB9" s="51">
        <v>7416751</v>
      </c>
      <c r="AC9" s="51">
        <v>910</v>
      </c>
      <c r="AD9" s="51">
        <v>387</v>
      </c>
      <c r="AE9" s="51">
        <v>5990047</v>
      </c>
      <c r="AF9" s="51">
        <v>2543793</v>
      </c>
      <c r="AG9" s="51">
        <v>1297</v>
      </c>
      <c r="AH9" s="51">
        <v>8533840</v>
      </c>
      <c r="AI9" s="51">
        <v>594</v>
      </c>
      <c r="AJ9" s="51">
        <v>360</v>
      </c>
      <c r="AK9" s="51"/>
      <c r="AL9" s="51">
        <v>3905350</v>
      </c>
      <c r="AM9" s="51">
        <v>2208600</v>
      </c>
      <c r="AN9" s="51"/>
      <c r="AO9" s="51">
        <v>954</v>
      </c>
      <c r="AP9" s="51">
        <v>6113950</v>
      </c>
      <c r="AQ9" s="51">
        <v>797</v>
      </c>
      <c r="AR9" s="51">
        <v>414</v>
      </c>
      <c r="AS9" s="51">
        <v>5298150</v>
      </c>
      <c r="AT9" s="51">
        <v>2670300</v>
      </c>
      <c r="AU9" s="51">
        <v>1211</v>
      </c>
      <c r="AV9" s="51">
        <v>7968450</v>
      </c>
      <c r="AW9" s="51">
        <v>1010</v>
      </c>
      <c r="AX9" s="51">
        <v>649</v>
      </c>
      <c r="AY9" s="51">
        <v>6931200</v>
      </c>
      <c r="AZ9" s="51">
        <v>4406200</v>
      </c>
      <c r="BA9" s="51">
        <v>1659</v>
      </c>
      <c r="BB9" s="51">
        <v>11337400</v>
      </c>
      <c r="BC9" s="51">
        <v>964</v>
      </c>
      <c r="BD9" s="51">
        <v>909</v>
      </c>
      <c r="BE9" s="51">
        <v>6075900</v>
      </c>
      <c r="BF9" s="51">
        <v>5635250</v>
      </c>
      <c r="BG9" s="51">
        <v>1873</v>
      </c>
      <c r="BH9" s="51">
        <v>11711150</v>
      </c>
      <c r="BI9" s="51">
        <v>880</v>
      </c>
      <c r="BJ9" s="51">
        <v>376</v>
      </c>
      <c r="BK9" s="51"/>
      <c r="BL9" s="51">
        <v>5852000</v>
      </c>
      <c r="BM9" s="51">
        <v>2500400</v>
      </c>
      <c r="BN9" s="51"/>
      <c r="BO9" s="51">
        <v>1256</v>
      </c>
      <c r="BP9" s="51">
        <v>8352400</v>
      </c>
      <c r="BQ9" s="51">
        <v>1661</v>
      </c>
      <c r="BR9" s="51">
        <v>1127</v>
      </c>
      <c r="BS9" s="51"/>
      <c r="BT9" s="51">
        <v>10669150</v>
      </c>
      <c r="BU9" s="51">
        <v>7191750</v>
      </c>
      <c r="BV9" s="51"/>
      <c r="BW9" s="51">
        <v>2788</v>
      </c>
      <c r="BX9" s="51">
        <v>17860900</v>
      </c>
      <c r="BY9" s="51">
        <v>1097</v>
      </c>
      <c r="BZ9" s="51">
        <v>898</v>
      </c>
      <c r="CA9" s="51">
        <v>35</v>
      </c>
      <c r="CB9" s="51">
        <v>7052050</v>
      </c>
      <c r="CC9" s="51">
        <v>5700000</v>
      </c>
      <c r="CD9" s="51">
        <v>238000</v>
      </c>
      <c r="CE9" s="51">
        <v>2030</v>
      </c>
      <c r="CF9" s="51">
        <v>12990050</v>
      </c>
      <c r="CG9" s="51">
        <v>15590</v>
      </c>
      <c r="CH9" s="51">
        <v>101029541</v>
      </c>
    </row>
    <row r="10" spans="1:86" x14ac:dyDescent="0.45">
      <c r="A10" s="8">
        <v>9</v>
      </c>
      <c r="B10" s="11">
        <v>3600</v>
      </c>
      <c r="C10" s="11">
        <v>6650</v>
      </c>
      <c r="D10" s="2">
        <v>5125</v>
      </c>
      <c r="E10" s="11">
        <v>3700</v>
      </c>
      <c r="F10" s="11">
        <v>6650</v>
      </c>
      <c r="G10" s="2">
        <v>5076.666666666667</v>
      </c>
      <c r="H10" s="11"/>
      <c r="I10" s="11"/>
      <c r="J10" s="2"/>
      <c r="K10" s="2">
        <v>5086.8421052631575</v>
      </c>
      <c r="L10" s="2"/>
      <c r="N10" s="16" t="s">
        <v>23</v>
      </c>
      <c r="O10" s="51">
        <v>2577</v>
      </c>
      <c r="P10" s="51">
        <v>2426</v>
      </c>
      <c r="Q10" s="51">
        <v>232</v>
      </c>
      <c r="R10" s="51">
        <v>12740700</v>
      </c>
      <c r="S10" s="51">
        <v>10119150</v>
      </c>
      <c r="T10" s="51">
        <v>1118250</v>
      </c>
      <c r="U10" s="51">
        <v>5235</v>
      </c>
      <c r="V10" s="51">
        <v>23978100</v>
      </c>
      <c r="W10" s="51">
        <v>2094</v>
      </c>
      <c r="X10" s="51">
        <v>2713</v>
      </c>
      <c r="Y10" s="51">
        <v>9714800</v>
      </c>
      <c r="Z10" s="51">
        <v>11080133</v>
      </c>
      <c r="AA10" s="51">
        <v>4807</v>
      </c>
      <c r="AB10" s="51">
        <v>20794933</v>
      </c>
      <c r="AC10" s="51">
        <v>2190</v>
      </c>
      <c r="AD10" s="51">
        <v>2729</v>
      </c>
      <c r="AE10" s="51">
        <v>10792807</v>
      </c>
      <c r="AF10" s="51">
        <v>11069628</v>
      </c>
      <c r="AG10" s="51">
        <v>4919</v>
      </c>
      <c r="AH10" s="51">
        <v>21862435</v>
      </c>
      <c r="AI10" s="51">
        <v>2227</v>
      </c>
      <c r="AJ10" s="51">
        <v>2940</v>
      </c>
      <c r="AK10" s="51">
        <v>52</v>
      </c>
      <c r="AL10" s="51">
        <v>10509350</v>
      </c>
      <c r="AM10" s="51">
        <v>12322200</v>
      </c>
      <c r="AN10" s="51">
        <v>230000</v>
      </c>
      <c r="AO10" s="51">
        <v>5219</v>
      </c>
      <c r="AP10" s="51">
        <v>23061550</v>
      </c>
      <c r="AQ10" s="51">
        <v>2117</v>
      </c>
      <c r="AR10" s="51">
        <v>2891</v>
      </c>
      <c r="AS10" s="51">
        <v>10573150</v>
      </c>
      <c r="AT10" s="51">
        <v>12383200</v>
      </c>
      <c r="AU10" s="51">
        <v>5008</v>
      </c>
      <c r="AV10" s="51">
        <v>22956350</v>
      </c>
      <c r="AW10" s="51">
        <v>2233</v>
      </c>
      <c r="AX10" s="51">
        <v>3041</v>
      </c>
      <c r="AY10" s="51">
        <v>11571400</v>
      </c>
      <c r="AZ10" s="51">
        <v>13778150</v>
      </c>
      <c r="BA10" s="51">
        <v>5274</v>
      </c>
      <c r="BB10" s="51">
        <v>25349550</v>
      </c>
      <c r="BC10" s="51">
        <v>2134</v>
      </c>
      <c r="BD10" s="51">
        <v>3982</v>
      </c>
      <c r="BE10" s="51">
        <v>10028400</v>
      </c>
      <c r="BF10" s="51">
        <v>16258900</v>
      </c>
      <c r="BG10" s="51">
        <v>6116</v>
      </c>
      <c r="BH10" s="51">
        <v>26287300</v>
      </c>
      <c r="BI10" s="51">
        <v>2301</v>
      </c>
      <c r="BJ10" s="51">
        <v>3702</v>
      </c>
      <c r="BK10" s="51">
        <v>50</v>
      </c>
      <c r="BL10" s="51">
        <v>11260700</v>
      </c>
      <c r="BM10" s="51">
        <v>14875500</v>
      </c>
      <c r="BN10" s="51">
        <v>210000</v>
      </c>
      <c r="BO10" s="51">
        <v>6053</v>
      </c>
      <c r="BP10" s="51">
        <v>26346200</v>
      </c>
      <c r="BQ10" s="51">
        <v>3276</v>
      </c>
      <c r="BR10" s="51">
        <v>4752</v>
      </c>
      <c r="BS10" s="51">
        <v>41</v>
      </c>
      <c r="BT10" s="51">
        <v>17013900</v>
      </c>
      <c r="BU10" s="51">
        <v>20026300</v>
      </c>
      <c r="BV10" s="51">
        <v>170150</v>
      </c>
      <c r="BW10" s="51">
        <v>8069</v>
      </c>
      <c r="BX10" s="51">
        <v>37210350</v>
      </c>
      <c r="BY10" s="51">
        <v>2207</v>
      </c>
      <c r="BZ10" s="51">
        <v>3890</v>
      </c>
      <c r="CA10" s="51">
        <v>41</v>
      </c>
      <c r="CB10" s="51">
        <v>11214550</v>
      </c>
      <c r="CC10" s="51">
        <v>16890600</v>
      </c>
      <c r="CD10" s="51">
        <v>265000</v>
      </c>
      <c r="CE10" s="51">
        <v>6138</v>
      </c>
      <c r="CF10" s="51">
        <v>28370150</v>
      </c>
      <c r="CG10" s="51">
        <v>56838</v>
      </c>
      <c r="CH10" s="51">
        <v>256216918</v>
      </c>
    </row>
    <row r="11" spans="1:86" x14ac:dyDescent="0.45">
      <c r="A11" s="8">
        <v>10</v>
      </c>
      <c r="B11" s="11">
        <v>3700</v>
      </c>
      <c r="C11" s="11">
        <v>6725</v>
      </c>
      <c r="D11" s="2">
        <v>5212.5</v>
      </c>
      <c r="E11" s="11">
        <v>3750</v>
      </c>
      <c r="F11" s="11">
        <v>6650</v>
      </c>
      <c r="G11" s="2">
        <v>5200</v>
      </c>
      <c r="H11" s="11"/>
      <c r="I11" s="11"/>
      <c r="J11" s="2"/>
      <c r="K11" s="2">
        <v>5202.7777777777774</v>
      </c>
      <c r="L11" s="2"/>
      <c r="AF11" s="4"/>
    </row>
    <row r="12" spans="1:86" x14ac:dyDescent="0.45">
      <c r="A12" s="8">
        <v>11</v>
      </c>
      <c r="B12" s="11">
        <v>3750</v>
      </c>
      <c r="C12" s="11">
        <v>6650</v>
      </c>
      <c r="D12" s="2">
        <v>5200</v>
      </c>
      <c r="E12" s="11">
        <v>3750</v>
      </c>
      <c r="F12" s="11">
        <v>6650</v>
      </c>
      <c r="G12" s="2">
        <v>5103.333333333333</v>
      </c>
      <c r="H12" s="11"/>
      <c r="I12" s="11"/>
      <c r="J12" s="2"/>
      <c r="K12" s="2">
        <v>5123.6842105263158</v>
      </c>
      <c r="L12" s="2"/>
      <c r="AF12" s="4"/>
    </row>
    <row r="13" spans="1:86" x14ac:dyDescent="0.45">
      <c r="A13" s="8">
        <v>12</v>
      </c>
      <c r="B13" s="11">
        <v>3750</v>
      </c>
      <c r="C13" s="11">
        <v>6650</v>
      </c>
      <c r="D13" s="2">
        <v>5200</v>
      </c>
      <c r="E13" s="11">
        <v>3750</v>
      </c>
      <c r="F13" s="11">
        <v>6650</v>
      </c>
      <c r="G13" s="2">
        <v>5103.333333333333</v>
      </c>
      <c r="H13" s="11"/>
      <c r="I13" s="11"/>
      <c r="J13" s="2"/>
      <c r="K13" s="2">
        <v>5123.6842105263158</v>
      </c>
      <c r="L13" s="2"/>
      <c r="N13" s="6" t="s">
        <v>50</v>
      </c>
      <c r="O13" t="s">
        <v>49</v>
      </c>
      <c r="AF13" s="4"/>
    </row>
    <row r="14" spans="1:86" x14ac:dyDescent="0.45">
      <c r="A14" s="8">
        <v>13</v>
      </c>
      <c r="B14" s="11">
        <v>3750</v>
      </c>
      <c r="C14" s="11">
        <v>6650</v>
      </c>
      <c r="D14" s="2">
        <v>5200</v>
      </c>
      <c r="E14" s="11">
        <v>3750</v>
      </c>
      <c r="F14" s="11">
        <v>6650</v>
      </c>
      <c r="G14" s="2">
        <v>5103.333333333333</v>
      </c>
      <c r="H14" s="11"/>
      <c r="I14" s="11"/>
      <c r="J14" s="2"/>
      <c r="K14" s="2">
        <v>5123.6842105263158</v>
      </c>
      <c r="L14" s="2"/>
      <c r="N14" s="16" t="s">
        <v>16</v>
      </c>
      <c r="O14" s="51">
        <v>16156</v>
      </c>
      <c r="AF14" s="4"/>
    </row>
    <row r="15" spans="1:86" x14ac:dyDescent="0.45">
      <c r="A15" s="8">
        <v>14</v>
      </c>
      <c r="B15" s="11">
        <v>3750</v>
      </c>
      <c r="C15" s="11">
        <v>6650</v>
      </c>
      <c r="D15" s="2">
        <v>5200</v>
      </c>
      <c r="E15" s="11">
        <v>3750</v>
      </c>
      <c r="F15" s="11">
        <v>6650</v>
      </c>
      <c r="G15" s="2">
        <v>5103.333333333333</v>
      </c>
      <c r="H15" s="11"/>
      <c r="I15" s="11"/>
      <c r="J15" s="2"/>
      <c r="K15" s="2">
        <v>5123.6842105263158</v>
      </c>
      <c r="L15" s="2"/>
      <c r="N15" s="8" t="s">
        <v>0</v>
      </c>
      <c r="O15" s="51">
        <v>4527</v>
      </c>
      <c r="AF15" s="4"/>
    </row>
    <row r="16" spans="1:86" x14ac:dyDescent="0.45">
      <c r="A16" s="8">
        <v>15</v>
      </c>
      <c r="B16" s="11">
        <v>3750</v>
      </c>
      <c r="C16" s="11">
        <v>6650</v>
      </c>
      <c r="D16" s="2">
        <v>5200</v>
      </c>
      <c r="E16" s="11">
        <v>3750</v>
      </c>
      <c r="F16" s="11">
        <v>6650</v>
      </c>
      <c r="G16" s="2">
        <v>5103.333333333333</v>
      </c>
      <c r="H16" s="11"/>
      <c r="I16" s="11"/>
      <c r="J16" s="2"/>
      <c r="K16" s="2">
        <v>5123.6842105263158</v>
      </c>
      <c r="L16" s="2"/>
      <c r="N16" s="8" t="s">
        <v>12</v>
      </c>
      <c r="O16" s="51">
        <v>15</v>
      </c>
      <c r="AF16" s="4"/>
    </row>
    <row r="17" spans="1:32" x14ac:dyDescent="0.45">
      <c r="A17" s="8">
        <v>16</v>
      </c>
      <c r="B17" s="11">
        <v>3750</v>
      </c>
      <c r="C17" s="11">
        <v>6650</v>
      </c>
      <c r="D17" s="2">
        <v>5200</v>
      </c>
      <c r="E17" s="11">
        <v>3750</v>
      </c>
      <c r="F17" s="11">
        <v>6650</v>
      </c>
      <c r="G17" s="2">
        <v>5103.333333333333</v>
      </c>
      <c r="H17" s="11"/>
      <c r="I17" s="11"/>
      <c r="J17" s="2"/>
      <c r="K17" s="2">
        <v>5123.6842105263158</v>
      </c>
      <c r="L17" s="2"/>
      <c r="N17" s="8" t="s">
        <v>14</v>
      </c>
      <c r="O17" s="51">
        <v>11087</v>
      </c>
      <c r="AF17" s="4"/>
    </row>
    <row r="18" spans="1:32" x14ac:dyDescent="0.45">
      <c r="A18" s="7">
        <v>45293</v>
      </c>
      <c r="B18" s="11">
        <v>3715</v>
      </c>
      <c r="C18" s="11">
        <v>6700</v>
      </c>
      <c r="D18" s="2">
        <v>5207.5</v>
      </c>
      <c r="E18" s="11">
        <v>3640</v>
      </c>
      <c r="F18" s="11">
        <v>6754.545454545455</v>
      </c>
      <c r="G18" s="2">
        <v>5271.4285714285716</v>
      </c>
      <c r="H18" s="11">
        <v>4200</v>
      </c>
      <c r="I18" s="11"/>
      <c r="J18" s="2">
        <v>4200</v>
      </c>
      <c r="K18" s="2">
        <v>5127.173913043478</v>
      </c>
      <c r="L18" s="2"/>
      <c r="N18" s="8" t="s">
        <v>19</v>
      </c>
      <c r="O18" s="51">
        <v>527</v>
      </c>
      <c r="AF18" s="4"/>
    </row>
    <row r="19" spans="1:32" x14ac:dyDescent="0.45">
      <c r="A19" s="8">
        <v>7</v>
      </c>
      <c r="B19" s="11">
        <v>3750</v>
      </c>
      <c r="C19" s="11">
        <v>6650</v>
      </c>
      <c r="D19" s="2">
        <v>5200</v>
      </c>
      <c r="E19" s="11">
        <v>3650</v>
      </c>
      <c r="F19" s="11">
        <v>6650</v>
      </c>
      <c r="G19" s="2">
        <v>5150</v>
      </c>
      <c r="H19" s="11">
        <v>4200</v>
      </c>
      <c r="I19" s="11"/>
      <c r="J19" s="2">
        <v>4200</v>
      </c>
      <c r="K19" s="2">
        <v>4633.333333333333</v>
      </c>
      <c r="L19" s="2"/>
      <c r="N19" s="16" t="s">
        <v>15</v>
      </c>
      <c r="O19" s="51">
        <v>12915</v>
      </c>
      <c r="AF19" s="4"/>
    </row>
    <row r="20" spans="1:32" x14ac:dyDescent="0.45">
      <c r="A20" s="8">
        <v>8</v>
      </c>
      <c r="B20" s="11">
        <v>3600</v>
      </c>
      <c r="C20" s="11">
        <v>7000</v>
      </c>
      <c r="D20" s="2">
        <v>5300</v>
      </c>
      <c r="E20" s="11">
        <v>3650</v>
      </c>
      <c r="F20" s="11">
        <v>7150</v>
      </c>
      <c r="G20" s="2">
        <v>5983.333333333333</v>
      </c>
      <c r="H20" s="11"/>
      <c r="I20" s="11"/>
      <c r="J20" s="2"/>
      <c r="K20" s="2">
        <v>5710</v>
      </c>
      <c r="L20" s="2"/>
      <c r="N20" s="8" t="s">
        <v>0</v>
      </c>
      <c r="O20" s="51">
        <v>4384</v>
      </c>
      <c r="AF20" s="4"/>
    </row>
    <row r="21" spans="1:32" x14ac:dyDescent="0.45">
      <c r="A21" s="8">
        <v>9</v>
      </c>
      <c r="B21" s="11">
        <v>3600</v>
      </c>
      <c r="C21" s="11">
        <v>6650</v>
      </c>
      <c r="D21" s="2">
        <v>5125</v>
      </c>
      <c r="E21" s="11">
        <v>3550</v>
      </c>
      <c r="F21" s="11">
        <v>6650</v>
      </c>
      <c r="G21" s="2">
        <v>5100</v>
      </c>
      <c r="H21" s="11"/>
      <c r="I21" s="11"/>
      <c r="J21" s="2"/>
      <c r="K21" s="2">
        <v>5112.5</v>
      </c>
      <c r="L21" s="2"/>
      <c r="N21" s="8" t="s">
        <v>12</v>
      </c>
      <c r="O21" s="51">
        <v>15</v>
      </c>
      <c r="AF21" s="4"/>
    </row>
    <row r="22" spans="1:32" x14ac:dyDescent="0.45">
      <c r="A22" s="8">
        <v>10</v>
      </c>
      <c r="B22" s="11">
        <v>3700</v>
      </c>
      <c r="C22" s="11">
        <v>6800</v>
      </c>
      <c r="D22" s="2">
        <v>5250</v>
      </c>
      <c r="E22" s="11">
        <v>3650</v>
      </c>
      <c r="F22" s="11">
        <v>6800</v>
      </c>
      <c r="G22" s="2">
        <v>5225</v>
      </c>
      <c r="H22" s="11"/>
      <c r="I22" s="11"/>
      <c r="J22" s="2"/>
      <c r="K22" s="2">
        <v>5237.5</v>
      </c>
      <c r="L22" s="2"/>
      <c r="N22" s="8" t="s">
        <v>14</v>
      </c>
      <c r="O22" s="51">
        <v>8426</v>
      </c>
      <c r="AF22" s="4"/>
    </row>
    <row r="23" spans="1:32" x14ac:dyDescent="0.45">
      <c r="A23" s="8">
        <v>11</v>
      </c>
      <c r="B23" s="11">
        <v>3750</v>
      </c>
      <c r="C23" s="11">
        <v>6650</v>
      </c>
      <c r="D23" s="2">
        <v>5200</v>
      </c>
      <c r="E23" s="11">
        <v>3650</v>
      </c>
      <c r="F23" s="11">
        <v>6650</v>
      </c>
      <c r="G23" s="2">
        <v>5150</v>
      </c>
      <c r="H23" s="11"/>
      <c r="I23" s="11"/>
      <c r="J23" s="2"/>
      <c r="K23" s="2">
        <v>5175</v>
      </c>
      <c r="L23" s="2"/>
      <c r="N23" s="8" t="s">
        <v>19</v>
      </c>
      <c r="O23" s="51">
        <v>90</v>
      </c>
      <c r="AF23" s="4"/>
    </row>
    <row r="24" spans="1:32" x14ac:dyDescent="0.45">
      <c r="A24" s="8">
        <v>12</v>
      </c>
      <c r="B24" s="11">
        <v>3750</v>
      </c>
      <c r="C24" s="11">
        <v>6650</v>
      </c>
      <c r="D24" s="2">
        <v>5200</v>
      </c>
      <c r="E24" s="11">
        <v>3650</v>
      </c>
      <c r="F24" s="11">
        <v>6650</v>
      </c>
      <c r="G24" s="2">
        <v>5150</v>
      </c>
      <c r="H24" s="11"/>
      <c r="I24" s="11"/>
      <c r="J24" s="2"/>
      <c r="K24" s="2">
        <v>5175</v>
      </c>
      <c r="L24" s="2"/>
      <c r="N24" s="16" t="s">
        <v>13</v>
      </c>
      <c r="O24" s="51">
        <v>627</v>
      </c>
      <c r="AF24" s="4"/>
    </row>
    <row r="25" spans="1:32" x14ac:dyDescent="0.45">
      <c r="A25" s="8">
        <v>13</v>
      </c>
      <c r="B25" s="11">
        <v>3750</v>
      </c>
      <c r="C25" s="11">
        <v>6650</v>
      </c>
      <c r="D25" s="2">
        <v>5200</v>
      </c>
      <c r="E25" s="11">
        <v>3650</v>
      </c>
      <c r="F25" s="11">
        <v>6650</v>
      </c>
      <c r="G25" s="2">
        <v>5150</v>
      </c>
      <c r="H25" s="11"/>
      <c r="I25" s="11"/>
      <c r="J25" s="2"/>
      <c r="K25" s="2">
        <v>5175</v>
      </c>
      <c r="L25" s="2"/>
      <c r="N25" s="8" t="s">
        <v>12</v>
      </c>
      <c r="O25" s="51">
        <v>627</v>
      </c>
      <c r="AF25" s="4"/>
    </row>
    <row r="26" spans="1:32" x14ac:dyDescent="0.45">
      <c r="A26" s="8">
        <v>14</v>
      </c>
      <c r="B26" s="11">
        <v>3750</v>
      </c>
      <c r="C26" s="11">
        <v>6650</v>
      </c>
      <c r="D26" s="2">
        <v>5200</v>
      </c>
      <c r="E26" s="11">
        <v>3650</v>
      </c>
      <c r="F26" s="11">
        <v>6650</v>
      </c>
      <c r="G26" s="2">
        <v>5150</v>
      </c>
      <c r="H26" s="11"/>
      <c r="I26" s="11"/>
      <c r="J26" s="2"/>
      <c r="K26" s="2">
        <v>5175</v>
      </c>
      <c r="L26" s="2"/>
      <c r="N26" s="16" t="s">
        <v>17</v>
      </c>
      <c r="O26" s="51">
        <v>821</v>
      </c>
      <c r="AF26" s="4"/>
    </row>
    <row r="27" spans="1:32" x14ac:dyDescent="0.45">
      <c r="A27" s="8">
        <v>15</v>
      </c>
      <c r="B27" s="11">
        <v>3750</v>
      </c>
      <c r="C27" s="11">
        <v>6650</v>
      </c>
      <c r="D27" s="2">
        <v>5200</v>
      </c>
      <c r="E27" s="11">
        <v>3650</v>
      </c>
      <c r="F27" s="11">
        <v>6650</v>
      </c>
      <c r="G27" s="2">
        <v>5150</v>
      </c>
      <c r="H27" s="11"/>
      <c r="I27" s="11"/>
      <c r="J27" s="2"/>
      <c r="K27" s="2">
        <v>5175</v>
      </c>
      <c r="L27" s="2"/>
      <c r="N27" s="8" t="s">
        <v>12</v>
      </c>
      <c r="O27" s="51">
        <v>821</v>
      </c>
      <c r="AF27" s="4"/>
    </row>
    <row r="28" spans="1:32" x14ac:dyDescent="0.45">
      <c r="A28" s="8">
        <v>16</v>
      </c>
      <c r="B28" s="11">
        <v>3750</v>
      </c>
      <c r="C28" s="11">
        <v>6650</v>
      </c>
      <c r="D28" s="2">
        <v>5200</v>
      </c>
      <c r="E28" s="11">
        <v>3650</v>
      </c>
      <c r="F28" s="11">
        <v>6650</v>
      </c>
      <c r="G28" s="2">
        <v>5150</v>
      </c>
      <c r="H28" s="11"/>
      <c r="I28" s="11"/>
      <c r="J28" s="2"/>
      <c r="K28" s="2">
        <v>5175</v>
      </c>
      <c r="L28" s="2"/>
      <c r="N28" s="16" t="s">
        <v>20</v>
      </c>
      <c r="O28" s="51">
        <v>637</v>
      </c>
      <c r="AF28" s="4"/>
    </row>
    <row r="29" spans="1:32" x14ac:dyDescent="0.45">
      <c r="A29" s="7">
        <v>45294</v>
      </c>
      <c r="B29" s="11">
        <v>3675</v>
      </c>
      <c r="C29" s="11">
        <v>6738.8888888888887</v>
      </c>
      <c r="D29" s="2">
        <v>5126.3157894736842</v>
      </c>
      <c r="E29" s="11">
        <v>3711.6666666666665</v>
      </c>
      <c r="F29" s="11">
        <v>6744.8275862068967</v>
      </c>
      <c r="G29" s="2">
        <v>4700</v>
      </c>
      <c r="H29" s="11">
        <v>4200</v>
      </c>
      <c r="I29" s="11"/>
      <c r="J29" s="2">
        <v>4200</v>
      </c>
      <c r="K29" s="2">
        <v>4769.7247706422022</v>
      </c>
      <c r="L29" s="2"/>
      <c r="N29" s="8" t="s">
        <v>12</v>
      </c>
      <c r="O29" s="51">
        <v>637</v>
      </c>
      <c r="AF29" s="4"/>
    </row>
    <row r="30" spans="1:32" x14ac:dyDescent="0.45">
      <c r="A30" s="8">
        <v>7</v>
      </c>
      <c r="B30" s="11">
        <v>3650</v>
      </c>
      <c r="C30" s="11">
        <v>6650</v>
      </c>
      <c r="D30" s="2">
        <v>5150</v>
      </c>
      <c r="E30" s="11">
        <v>3650</v>
      </c>
      <c r="F30" s="11">
        <v>6650</v>
      </c>
      <c r="G30" s="2">
        <v>4650</v>
      </c>
      <c r="H30" s="11">
        <v>4200</v>
      </c>
      <c r="I30" s="11"/>
      <c r="J30" s="2">
        <v>4200</v>
      </c>
      <c r="K30" s="2">
        <v>4695.833333333333</v>
      </c>
      <c r="L30" s="2"/>
      <c r="N30" s="16" t="s">
        <v>18</v>
      </c>
      <c r="O30" s="51">
        <v>12</v>
      </c>
      <c r="AF30" s="4"/>
    </row>
    <row r="31" spans="1:32" x14ac:dyDescent="0.45">
      <c r="A31" s="8">
        <v>8</v>
      </c>
      <c r="B31" s="11">
        <v>3500</v>
      </c>
      <c r="C31" s="11">
        <v>7300</v>
      </c>
      <c r="D31" s="2">
        <v>5400</v>
      </c>
      <c r="E31" s="11">
        <v>3750</v>
      </c>
      <c r="F31" s="11">
        <v>7300</v>
      </c>
      <c r="G31" s="2">
        <v>4933.333333333333</v>
      </c>
      <c r="H31" s="11"/>
      <c r="I31" s="11"/>
      <c r="J31" s="2"/>
      <c r="K31" s="2">
        <v>5018.181818181818</v>
      </c>
      <c r="L31" s="2"/>
      <c r="N31" s="8" t="s">
        <v>12</v>
      </c>
      <c r="O31" s="51">
        <v>12</v>
      </c>
      <c r="AF31" s="4"/>
    </row>
    <row r="32" spans="1:32" x14ac:dyDescent="0.45">
      <c r="A32" s="8">
        <v>9</v>
      </c>
      <c r="B32" s="11">
        <v>3600</v>
      </c>
      <c r="C32" s="11">
        <v>6650</v>
      </c>
      <c r="D32" s="2">
        <v>5125</v>
      </c>
      <c r="E32" s="11">
        <v>3616.6666666666665</v>
      </c>
      <c r="F32" s="11">
        <v>6650</v>
      </c>
      <c r="G32" s="2">
        <v>4627.7777777777774</v>
      </c>
      <c r="H32" s="11"/>
      <c r="I32" s="11"/>
      <c r="J32" s="2"/>
      <c r="K32" s="2">
        <v>4718.181818181818</v>
      </c>
      <c r="L32" s="2"/>
      <c r="N32" s="16" t="s">
        <v>23</v>
      </c>
      <c r="O32" s="51">
        <v>31168</v>
      </c>
      <c r="AF32" s="4"/>
    </row>
    <row r="33" spans="1:32" x14ac:dyDescent="0.45">
      <c r="A33" s="8">
        <v>10</v>
      </c>
      <c r="B33" s="11">
        <v>3500</v>
      </c>
      <c r="C33" s="11">
        <v>6800</v>
      </c>
      <c r="D33" s="2">
        <v>5150</v>
      </c>
      <c r="E33" s="11">
        <v>3550</v>
      </c>
      <c r="F33" s="11">
        <v>6800</v>
      </c>
      <c r="G33" s="2">
        <v>4633.333333333333</v>
      </c>
      <c r="H33" s="11"/>
      <c r="I33" s="11"/>
      <c r="J33" s="2"/>
      <c r="K33" s="2">
        <v>4727.272727272727</v>
      </c>
      <c r="L33" s="2"/>
      <c r="AF33" s="4"/>
    </row>
    <row r="34" spans="1:32" x14ac:dyDescent="0.45">
      <c r="A34" s="8">
        <v>11</v>
      </c>
      <c r="B34" s="11">
        <v>3750</v>
      </c>
      <c r="C34" s="11">
        <v>6650</v>
      </c>
      <c r="D34" s="2">
        <v>5200</v>
      </c>
      <c r="E34" s="11">
        <v>3750</v>
      </c>
      <c r="F34" s="11">
        <v>6650</v>
      </c>
      <c r="G34" s="2">
        <v>4716.666666666667</v>
      </c>
      <c r="H34" s="11"/>
      <c r="I34" s="11"/>
      <c r="J34" s="2"/>
      <c r="K34" s="2">
        <v>4804.545454545455</v>
      </c>
      <c r="L34" s="2"/>
      <c r="AF34" s="4"/>
    </row>
    <row r="35" spans="1:32" x14ac:dyDescent="0.45">
      <c r="A35" s="8">
        <v>12</v>
      </c>
      <c r="B35" s="11">
        <v>3750</v>
      </c>
      <c r="C35" s="11">
        <v>6650</v>
      </c>
      <c r="D35" s="2">
        <v>5200</v>
      </c>
      <c r="E35" s="11">
        <v>3833.3333333333335</v>
      </c>
      <c r="F35" s="11">
        <v>6737.5</v>
      </c>
      <c r="G35" s="2">
        <v>4995</v>
      </c>
      <c r="H35" s="11"/>
      <c r="I35" s="11"/>
      <c r="J35" s="2"/>
      <c r="K35" s="2">
        <v>5029.166666666667</v>
      </c>
      <c r="L35" s="2"/>
      <c r="AF35" s="4"/>
    </row>
    <row r="36" spans="1:32" x14ac:dyDescent="0.45">
      <c r="A36" s="8">
        <v>13</v>
      </c>
      <c r="B36" s="11">
        <v>3750</v>
      </c>
      <c r="C36" s="11">
        <v>6650</v>
      </c>
      <c r="D36" s="2">
        <v>5200</v>
      </c>
      <c r="E36" s="11">
        <v>3750</v>
      </c>
      <c r="F36" s="11">
        <v>6650</v>
      </c>
      <c r="G36" s="2">
        <v>4716.666666666667</v>
      </c>
      <c r="H36" s="11"/>
      <c r="I36" s="11"/>
      <c r="J36" s="2"/>
      <c r="K36" s="2">
        <v>4804.545454545455</v>
      </c>
      <c r="L36" s="2"/>
      <c r="AF36" s="4"/>
    </row>
    <row r="37" spans="1:32" x14ac:dyDescent="0.45">
      <c r="A37" s="8">
        <v>14</v>
      </c>
      <c r="B37" s="11">
        <v>3750</v>
      </c>
      <c r="C37" s="11">
        <v>6650</v>
      </c>
      <c r="D37" s="2">
        <v>5200</v>
      </c>
      <c r="E37" s="11">
        <v>3750</v>
      </c>
      <c r="F37" s="11">
        <v>6650</v>
      </c>
      <c r="G37" s="2">
        <v>4716.666666666667</v>
      </c>
      <c r="H37" s="11"/>
      <c r="I37" s="11"/>
      <c r="J37" s="2"/>
      <c r="K37" s="2">
        <v>4804.545454545455</v>
      </c>
      <c r="L37" s="2"/>
      <c r="N37" s="6" t="s">
        <v>44</v>
      </c>
      <c r="O37" s="6" t="s">
        <v>53</v>
      </c>
      <c r="AF37" s="4"/>
    </row>
    <row r="38" spans="1:32" x14ac:dyDescent="0.45">
      <c r="A38" s="8">
        <v>15</v>
      </c>
      <c r="B38" s="11">
        <v>3750</v>
      </c>
      <c r="C38" s="11"/>
      <c r="D38" s="2">
        <v>3750</v>
      </c>
      <c r="E38" s="11">
        <v>3716.6666666666665</v>
      </c>
      <c r="F38" s="11">
        <v>6650</v>
      </c>
      <c r="G38" s="2">
        <v>4135.7142857142853</v>
      </c>
      <c r="H38" s="11"/>
      <c r="I38" s="11"/>
      <c r="J38" s="2"/>
      <c r="K38" s="2">
        <v>4087.5</v>
      </c>
      <c r="L38" s="2"/>
      <c r="N38" s="6" t="s">
        <v>50</v>
      </c>
      <c r="O38">
        <v>7</v>
      </c>
      <c r="P38">
        <v>8</v>
      </c>
      <c r="Q38">
        <v>9</v>
      </c>
      <c r="R38">
        <v>10</v>
      </c>
      <c r="S38">
        <v>11</v>
      </c>
      <c r="T38">
        <v>12</v>
      </c>
      <c r="U38">
        <v>13</v>
      </c>
      <c r="V38">
        <v>14</v>
      </c>
      <c r="W38">
        <v>15</v>
      </c>
      <c r="X38">
        <v>16</v>
      </c>
      <c r="Y38" t="s">
        <v>23</v>
      </c>
      <c r="AF38" s="4"/>
    </row>
    <row r="39" spans="1:32" x14ac:dyDescent="0.45">
      <c r="A39" s="8">
        <v>16</v>
      </c>
      <c r="B39" s="11">
        <v>3750</v>
      </c>
      <c r="C39" s="11">
        <v>6650</v>
      </c>
      <c r="D39" s="2">
        <v>5200</v>
      </c>
      <c r="E39" s="11">
        <v>3750</v>
      </c>
      <c r="F39" s="11">
        <v>6650</v>
      </c>
      <c r="G39" s="2">
        <v>4716.666666666667</v>
      </c>
      <c r="H39" s="11"/>
      <c r="I39" s="11"/>
      <c r="J39" s="2"/>
      <c r="K39" s="2">
        <v>4804.545454545455</v>
      </c>
      <c r="L39" s="2"/>
      <c r="N39" s="16" t="s">
        <v>14</v>
      </c>
      <c r="O39" s="51">
        <v>2120650</v>
      </c>
      <c r="P39" s="51">
        <v>2841221</v>
      </c>
      <c r="Q39" s="51">
        <v>2543793</v>
      </c>
      <c r="R39" s="51">
        <v>2208600</v>
      </c>
      <c r="S39" s="51">
        <v>2670300</v>
      </c>
      <c r="T39" s="51">
        <v>4406200</v>
      </c>
      <c r="U39" s="51">
        <v>5635250</v>
      </c>
      <c r="V39" s="51">
        <v>2500400</v>
      </c>
      <c r="W39" s="51">
        <v>7191750</v>
      </c>
      <c r="X39" s="51">
        <v>5700000</v>
      </c>
      <c r="Y39" s="51">
        <v>37818164</v>
      </c>
      <c r="AF39" s="4"/>
    </row>
    <row r="40" spans="1:32" x14ac:dyDescent="0.45">
      <c r="A40" s="7">
        <v>45295</v>
      </c>
      <c r="B40" s="11">
        <v>3702.6315789473683</v>
      </c>
      <c r="C40" s="11">
        <v>6669.4444444444443</v>
      </c>
      <c r="D40" s="2">
        <v>5145.9459459459458</v>
      </c>
      <c r="E40" s="11">
        <v>3725.8620689655172</v>
      </c>
      <c r="F40" s="11">
        <v>6677.272727272727</v>
      </c>
      <c r="G40" s="2">
        <v>5296.7741935483873</v>
      </c>
      <c r="H40" s="11"/>
      <c r="I40" s="11"/>
      <c r="J40" s="2"/>
      <c r="K40" s="2">
        <v>5240.4040404040406</v>
      </c>
      <c r="L40" s="2"/>
      <c r="N40" s="8" t="s">
        <v>15</v>
      </c>
      <c r="O40" s="51">
        <v>2120650</v>
      </c>
      <c r="P40" s="51">
        <v>2841221</v>
      </c>
      <c r="Q40" s="51">
        <v>2543793</v>
      </c>
      <c r="R40" s="51">
        <v>2208600</v>
      </c>
      <c r="S40" s="51">
        <v>2670300</v>
      </c>
      <c r="T40" s="51">
        <v>4406200</v>
      </c>
      <c r="U40" s="51">
        <v>5635250</v>
      </c>
      <c r="V40" s="51">
        <v>2500400</v>
      </c>
      <c r="W40" s="51">
        <v>7191750</v>
      </c>
      <c r="X40" s="51">
        <v>5700000</v>
      </c>
      <c r="Y40" s="51">
        <v>37818164</v>
      </c>
    </row>
    <row r="41" spans="1:32" x14ac:dyDescent="0.45">
      <c r="A41" s="8">
        <v>7</v>
      </c>
      <c r="B41" s="11">
        <v>3650</v>
      </c>
      <c r="C41" s="11">
        <v>6650</v>
      </c>
      <c r="D41" s="2">
        <v>5150</v>
      </c>
      <c r="E41" s="11">
        <v>3650</v>
      </c>
      <c r="F41" s="11">
        <v>6650</v>
      </c>
      <c r="G41" s="2">
        <v>5364.2857142857147</v>
      </c>
      <c r="H41" s="11"/>
      <c r="I41" s="11"/>
      <c r="J41" s="2"/>
      <c r="K41" s="2">
        <v>5286.363636363636</v>
      </c>
      <c r="L41" s="2"/>
      <c r="N41" s="16" t="s">
        <v>23</v>
      </c>
      <c r="O41" s="51">
        <v>2120650</v>
      </c>
      <c r="P41" s="51">
        <v>2841221</v>
      </c>
      <c r="Q41" s="51">
        <v>2543793</v>
      </c>
      <c r="R41" s="51">
        <v>2208600</v>
      </c>
      <c r="S41" s="51">
        <v>2670300</v>
      </c>
      <c r="T41" s="51">
        <v>4406200</v>
      </c>
      <c r="U41" s="51">
        <v>5635250</v>
      </c>
      <c r="V41" s="51">
        <v>2500400</v>
      </c>
      <c r="W41" s="51">
        <v>7191750</v>
      </c>
      <c r="X41" s="51">
        <v>5700000</v>
      </c>
      <c r="Y41" s="51">
        <v>37818164</v>
      </c>
      <c r="AF41" s="4"/>
    </row>
    <row r="42" spans="1:32" x14ac:dyDescent="0.45">
      <c r="A42" s="8">
        <v>8</v>
      </c>
      <c r="B42" s="11">
        <v>3500</v>
      </c>
      <c r="C42" s="11"/>
      <c r="D42" s="2">
        <v>3500</v>
      </c>
      <c r="E42" s="11">
        <v>3750</v>
      </c>
      <c r="F42" s="11"/>
      <c r="G42" s="2">
        <v>3750</v>
      </c>
      <c r="H42" s="11"/>
      <c r="I42" s="11"/>
      <c r="J42" s="2"/>
      <c r="K42" s="2">
        <v>3650</v>
      </c>
      <c r="L42" s="2"/>
      <c r="AF42" s="4"/>
    </row>
    <row r="43" spans="1:32" x14ac:dyDescent="0.45">
      <c r="A43" s="8">
        <v>9</v>
      </c>
      <c r="B43" s="11">
        <v>3600</v>
      </c>
      <c r="C43" s="11">
        <v>6650</v>
      </c>
      <c r="D43" s="2">
        <v>5125</v>
      </c>
      <c r="E43" s="11">
        <v>3550</v>
      </c>
      <c r="F43" s="11">
        <v>6650</v>
      </c>
      <c r="G43" s="2">
        <v>5321.4285714285716</v>
      </c>
      <c r="H43" s="11"/>
      <c r="I43" s="11"/>
      <c r="J43" s="2"/>
      <c r="K43" s="2">
        <v>5250</v>
      </c>
      <c r="L43" s="2"/>
      <c r="AF43" s="4"/>
    </row>
    <row r="44" spans="1:32" x14ac:dyDescent="0.45">
      <c r="A44" s="8">
        <v>10</v>
      </c>
      <c r="B44" s="11">
        <v>3900</v>
      </c>
      <c r="C44" s="11">
        <v>6550</v>
      </c>
      <c r="D44" s="2">
        <v>5225</v>
      </c>
      <c r="E44" s="11">
        <v>3766.6666666666665</v>
      </c>
      <c r="F44" s="11">
        <v>6800</v>
      </c>
      <c r="G44" s="2">
        <v>5283.333333333333</v>
      </c>
      <c r="H44" s="11"/>
      <c r="I44" s="11"/>
      <c r="J44" s="2"/>
      <c r="K44" s="2">
        <v>5260</v>
      </c>
      <c r="L44" s="2"/>
      <c r="AF44" s="4"/>
    </row>
    <row r="45" spans="1:32" x14ac:dyDescent="0.45">
      <c r="A45" s="8">
        <v>11</v>
      </c>
      <c r="B45" s="11">
        <v>3750</v>
      </c>
      <c r="C45" s="11">
        <v>6650</v>
      </c>
      <c r="D45" s="2">
        <v>5200</v>
      </c>
      <c r="E45" s="11">
        <v>3750</v>
      </c>
      <c r="F45" s="11">
        <v>6650</v>
      </c>
      <c r="G45" s="2">
        <v>5407.1428571428569</v>
      </c>
      <c r="H45" s="11"/>
      <c r="I45" s="11"/>
      <c r="J45" s="2"/>
      <c r="K45" s="2">
        <v>5331.818181818182</v>
      </c>
      <c r="L45" s="2"/>
      <c r="AF45" s="4"/>
    </row>
    <row r="46" spans="1:32" x14ac:dyDescent="0.45">
      <c r="A46" s="8">
        <v>12</v>
      </c>
      <c r="B46" s="11">
        <v>3750</v>
      </c>
      <c r="C46" s="11">
        <v>6675</v>
      </c>
      <c r="D46" s="2">
        <v>5212.5</v>
      </c>
      <c r="E46" s="11">
        <v>3866.6666666666665</v>
      </c>
      <c r="F46" s="11">
        <v>6762.5</v>
      </c>
      <c r="G46" s="2">
        <v>5521.4285714285716</v>
      </c>
      <c r="H46" s="11"/>
      <c r="I46" s="11"/>
      <c r="J46" s="2"/>
      <c r="K46" s="2">
        <v>5409.090909090909</v>
      </c>
      <c r="L46" s="2"/>
      <c r="AF46" s="4"/>
    </row>
    <row r="47" spans="1:32" x14ac:dyDescent="0.45">
      <c r="A47" s="8">
        <v>13</v>
      </c>
      <c r="B47" s="11">
        <v>3750</v>
      </c>
      <c r="C47" s="11">
        <v>6650</v>
      </c>
      <c r="D47" s="2">
        <v>5200</v>
      </c>
      <c r="E47" s="11">
        <v>3750</v>
      </c>
      <c r="F47" s="11">
        <v>6650</v>
      </c>
      <c r="G47" s="2">
        <v>5407.1428571428569</v>
      </c>
      <c r="H47" s="11"/>
      <c r="I47" s="11"/>
      <c r="J47" s="2"/>
      <c r="K47" s="2">
        <v>5331.818181818182</v>
      </c>
      <c r="L47" s="2"/>
      <c r="AF47" s="4"/>
    </row>
    <row r="48" spans="1:32" x14ac:dyDescent="0.45">
      <c r="A48" s="8">
        <v>14</v>
      </c>
      <c r="B48" s="11">
        <v>3750</v>
      </c>
      <c r="C48" s="11">
        <v>6650</v>
      </c>
      <c r="D48" s="2">
        <v>5200</v>
      </c>
      <c r="E48" s="11">
        <v>3750</v>
      </c>
      <c r="F48" s="11">
        <v>6650</v>
      </c>
      <c r="G48" s="2">
        <v>5407.1428571428569</v>
      </c>
      <c r="H48" s="11"/>
      <c r="I48" s="11"/>
      <c r="J48" s="2"/>
      <c r="K48" s="2">
        <v>5331.818181818182</v>
      </c>
      <c r="L48" s="2"/>
      <c r="AF48" s="4"/>
    </row>
    <row r="49" spans="1:32" x14ac:dyDescent="0.45">
      <c r="A49" s="8">
        <v>15</v>
      </c>
      <c r="B49" s="11">
        <v>3650</v>
      </c>
      <c r="C49" s="11">
        <v>6900</v>
      </c>
      <c r="D49" s="2">
        <v>5275</v>
      </c>
      <c r="E49" s="11">
        <v>3650</v>
      </c>
      <c r="F49" s="11">
        <v>6650</v>
      </c>
      <c r="G49" s="2">
        <v>5150</v>
      </c>
      <c r="H49" s="11"/>
      <c r="I49" s="11"/>
      <c r="J49" s="2"/>
      <c r="K49" s="2">
        <v>5212.5</v>
      </c>
      <c r="L49" s="2"/>
      <c r="AF49" s="4"/>
    </row>
    <row r="50" spans="1:32" x14ac:dyDescent="0.45">
      <c r="A50" s="8">
        <v>16</v>
      </c>
      <c r="B50" s="11">
        <v>3750</v>
      </c>
      <c r="C50" s="11">
        <v>6650</v>
      </c>
      <c r="D50" s="2">
        <v>5683.333333333333</v>
      </c>
      <c r="E50" s="11">
        <v>3750</v>
      </c>
      <c r="F50" s="11">
        <v>6650</v>
      </c>
      <c r="G50" s="2">
        <v>5407.1428571428569</v>
      </c>
      <c r="H50" s="11"/>
      <c r="I50" s="11"/>
      <c r="J50" s="2"/>
      <c r="K50" s="2">
        <v>5490</v>
      </c>
      <c r="L50" s="2"/>
      <c r="AF50" s="4"/>
    </row>
    <row r="51" spans="1:32" x14ac:dyDescent="0.45">
      <c r="A51" s="7">
        <v>45296</v>
      </c>
      <c r="B51" s="11">
        <v>3689.4736842105262</v>
      </c>
      <c r="C51" s="11">
        <v>6700</v>
      </c>
      <c r="D51" s="2">
        <v>5154.0540540540542</v>
      </c>
      <c r="E51" s="11">
        <v>3720.6896551724139</v>
      </c>
      <c r="F51" s="11">
        <v>6686.363636363636</v>
      </c>
      <c r="G51" s="2">
        <v>5000</v>
      </c>
      <c r="H51" s="11"/>
      <c r="I51" s="11"/>
      <c r="J51" s="2"/>
      <c r="K51" s="2">
        <v>5064.772727272727</v>
      </c>
      <c r="L51" s="2"/>
    </row>
    <row r="52" spans="1:32" x14ac:dyDescent="0.45">
      <c r="A52" s="8">
        <v>7</v>
      </c>
      <c r="B52" s="11">
        <v>3650</v>
      </c>
      <c r="C52" s="11">
        <v>6650</v>
      </c>
      <c r="D52" s="2">
        <v>5150</v>
      </c>
      <c r="E52" s="11">
        <v>3650</v>
      </c>
      <c r="F52" s="11">
        <v>6650</v>
      </c>
      <c r="G52" s="2">
        <v>5150</v>
      </c>
      <c r="H52" s="11"/>
      <c r="I52" s="11"/>
      <c r="J52" s="2"/>
      <c r="K52" s="2">
        <v>5150</v>
      </c>
      <c r="L52" s="2"/>
      <c r="AF52" s="4"/>
    </row>
    <row r="53" spans="1:32" x14ac:dyDescent="0.45">
      <c r="A53" s="8">
        <v>8</v>
      </c>
      <c r="B53" s="11">
        <v>3400</v>
      </c>
      <c r="C53" s="11"/>
      <c r="D53" s="2">
        <v>3400</v>
      </c>
      <c r="E53" s="11">
        <v>3450</v>
      </c>
      <c r="F53" s="11"/>
      <c r="G53" s="2">
        <v>3450</v>
      </c>
      <c r="H53" s="11"/>
      <c r="I53" s="11"/>
      <c r="J53" s="2"/>
      <c r="K53" s="2">
        <v>3430</v>
      </c>
      <c r="L53" s="2"/>
      <c r="AF53" s="4"/>
    </row>
    <row r="54" spans="1:32" x14ac:dyDescent="0.45">
      <c r="A54" s="8">
        <v>9</v>
      </c>
      <c r="B54" s="11">
        <v>3600</v>
      </c>
      <c r="C54" s="11">
        <v>6650</v>
      </c>
      <c r="D54" s="2">
        <v>5125</v>
      </c>
      <c r="E54" s="11">
        <v>3550</v>
      </c>
      <c r="F54" s="11">
        <v>6650</v>
      </c>
      <c r="G54" s="2">
        <v>5100</v>
      </c>
      <c r="H54" s="11"/>
      <c r="I54" s="11"/>
      <c r="J54" s="2"/>
      <c r="K54" s="2">
        <v>5110</v>
      </c>
      <c r="L54" s="2"/>
      <c r="AF54" s="4"/>
    </row>
    <row r="55" spans="1:32" x14ac:dyDescent="0.45">
      <c r="A55" s="8">
        <v>10</v>
      </c>
      <c r="B55" s="11">
        <v>3900</v>
      </c>
      <c r="C55" s="11">
        <v>6800</v>
      </c>
      <c r="D55" s="2">
        <v>5350</v>
      </c>
      <c r="E55" s="11">
        <v>3900</v>
      </c>
      <c r="F55" s="11">
        <v>6800</v>
      </c>
      <c r="G55" s="2">
        <v>5350</v>
      </c>
      <c r="H55" s="11"/>
      <c r="I55" s="11"/>
      <c r="J55" s="2"/>
      <c r="K55" s="2">
        <v>5350</v>
      </c>
      <c r="L55" s="2"/>
      <c r="AF55" s="4"/>
    </row>
    <row r="56" spans="1:32" x14ac:dyDescent="0.45">
      <c r="A56" s="8">
        <v>11</v>
      </c>
      <c r="B56" s="11">
        <v>3750</v>
      </c>
      <c r="C56" s="11">
        <v>6650</v>
      </c>
      <c r="D56" s="2">
        <v>5200</v>
      </c>
      <c r="E56" s="11">
        <v>3750</v>
      </c>
      <c r="F56" s="11"/>
      <c r="G56" s="2">
        <v>3750</v>
      </c>
      <c r="H56" s="11"/>
      <c r="I56" s="11"/>
      <c r="J56" s="2"/>
      <c r="K56" s="2">
        <v>4578.5714285714284</v>
      </c>
      <c r="L56" s="2"/>
      <c r="AF56" s="4"/>
    </row>
    <row r="57" spans="1:32" x14ac:dyDescent="0.45">
      <c r="A57" s="8">
        <v>12</v>
      </c>
      <c r="B57" s="11">
        <v>3750</v>
      </c>
      <c r="C57" s="11">
        <v>6700</v>
      </c>
      <c r="D57" s="2">
        <v>5225</v>
      </c>
      <c r="E57" s="11">
        <v>3950</v>
      </c>
      <c r="F57" s="11">
        <v>6766.666666666667</v>
      </c>
      <c r="G57" s="2">
        <v>5358.333333333333</v>
      </c>
      <c r="H57" s="11"/>
      <c r="I57" s="11"/>
      <c r="J57" s="2"/>
      <c r="K57" s="2">
        <v>5305</v>
      </c>
      <c r="L57" s="2"/>
      <c r="AF57" s="4"/>
    </row>
    <row r="58" spans="1:32" x14ac:dyDescent="0.45">
      <c r="A58" s="8">
        <v>13</v>
      </c>
      <c r="B58" s="11">
        <v>3625</v>
      </c>
      <c r="C58" s="11">
        <v>6650</v>
      </c>
      <c r="D58" s="2">
        <v>5137.5</v>
      </c>
      <c r="E58" s="11">
        <v>3750</v>
      </c>
      <c r="F58" s="11">
        <v>6650</v>
      </c>
      <c r="G58" s="2">
        <v>5200</v>
      </c>
      <c r="H58" s="11"/>
      <c r="I58" s="11"/>
      <c r="J58" s="2"/>
      <c r="K58" s="2">
        <v>5175</v>
      </c>
      <c r="L58" s="2"/>
      <c r="AF58" s="4"/>
    </row>
    <row r="59" spans="1:32" x14ac:dyDescent="0.45">
      <c r="A59" s="8">
        <v>14</v>
      </c>
      <c r="B59" s="11">
        <v>3750</v>
      </c>
      <c r="C59" s="11">
        <v>6650</v>
      </c>
      <c r="D59" s="2">
        <v>5200</v>
      </c>
      <c r="E59" s="11">
        <v>3750</v>
      </c>
      <c r="F59" s="11">
        <v>6650</v>
      </c>
      <c r="G59" s="2">
        <v>5200</v>
      </c>
      <c r="H59" s="11"/>
      <c r="I59" s="11"/>
      <c r="J59" s="2"/>
      <c r="K59" s="2">
        <v>5200</v>
      </c>
      <c r="L59" s="2"/>
      <c r="AF59" s="4"/>
    </row>
    <row r="60" spans="1:32" x14ac:dyDescent="0.45">
      <c r="A60" s="8">
        <v>15</v>
      </c>
      <c r="B60" s="11">
        <v>3750</v>
      </c>
      <c r="C60" s="11">
        <v>6900</v>
      </c>
      <c r="D60" s="2">
        <v>5325</v>
      </c>
      <c r="E60" s="11">
        <v>3700</v>
      </c>
      <c r="F60" s="11">
        <v>6650</v>
      </c>
      <c r="G60" s="2">
        <v>4683.333333333333</v>
      </c>
      <c r="H60" s="11"/>
      <c r="I60" s="11"/>
      <c r="J60" s="2"/>
      <c r="K60" s="2">
        <v>5050</v>
      </c>
      <c r="L60" s="2"/>
      <c r="AF60" s="4"/>
    </row>
    <row r="61" spans="1:32" x14ac:dyDescent="0.45">
      <c r="A61" s="8">
        <v>16</v>
      </c>
      <c r="B61" s="11">
        <v>3750</v>
      </c>
      <c r="C61" s="11">
        <v>6650</v>
      </c>
      <c r="D61" s="2">
        <v>5683.333333333333</v>
      </c>
      <c r="E61" s="11">
        <v>3750</v>
      </c>
      <c r="F61" s="11">
        <v>6650</v>
      </c>
      <c r="G61" s="2">
        <v>5200</v>
      </c>
      <c r="H61" s="11"/>
      <c r="I61" s="11"/>
      <c r="J61" s="2"/>
      <c r="K61" s="2">
        <v>5361.1111111111113</v>
      </c>
      <c r="L61" s="2"/>
      <c r="AF61" s="4"/>
    </row>
    <row r="62" spans="1:32" x14ac:dyDescent="0.45">
      <c r="A62" s="7">
        <v>45297</v>
      </c>
      <c r="B62" s="11">
        <v>3688</v>
      </c>
      <c r="C62" s="11">
        <v>6672.2222222222226</v>
      </c>
      <c r="D62" s="2">
        <v>5101.5789473684208</v>
      </c>
      <c r="E62" s="11">
        <v>3706.1224489795918</v>
      </c>
      <c r="F62" s="11">
        <v>6663.636363636364</v>
      </c>
      <c r="G62" s="2">
        <v>4622.5352112676055</v>
      </c>
      <c r="H62" s="11">
        <v>4384.6153846153848</v>
      </c>
      <c r="I62" s="11"/>
      <c r="J62" s="2">
        <v>4384.6153846153848</v>
      </c>
      <c r="K62" s="2">
        <v>4680.8737864077666</v>
      </c>
      <c r="L62" s="2"/>
    </row>
    <row r="63" spans="1:32" x14ac:dyDescent="0.45">
      <c r="A63" s="8">
        <v>7</v>
      </c>
      <c r="B63" s="11">
        <v>3650</v>
      </c>
      <c r="C63" s="11">
        <v>6650</v>
      </c>
      <c r="D63" s="2">
        <v>5150</v>
      </c>
      <c r="E63" s="11">
        <v>3630</v>
      </c>
      <c r="F63" s="11">
        <v>6650</v>
      </c>
      <c r="G63" s="2">
        <v>4762.5</v>
      </c>
      <c r="H63" s="11">
        <v>4200</v>
      </c>
      <c r="I63" s="11"/>
      <c r="J63" s="2">
        <v>4200</v>
      </c>
      <c r="K63" s="2">
        <v>4626.666666666667</v>
      </c>
      <c r="L63" s="2"/>
    </row>
    <row r="64" spans="1:32" x14ac:dyDescent="0.45">
      <c r="A64" s="8">
        <v>8</v>
      </c>
      <c r="B64" s="11">
        <v>3380</v>
      </c>
      <c r="C64" s="11"/>
      <c r="D64" s="2">
        <v>3380</v>
      </c>
      <c r="E64" s="11">
        <v>3290</v>
      </c>
      <c r="F64" s="11"/>
      <c r="G64" s="2">
        <v>3290</v>
      </c>
      <c r="H64" s="11"/>
      <c r="I64" s="11"/>
      <c r="J64" s="2"/>
      <c r="K64" s="2">
        <v>3305</v>
      </c>
      <c r="L64" s="2"/>
    </row>
    <row r="65" spans="1:12" x14ac:dyDescent="0.45">
      <c r="A65" s="8">
        <v>9</v>
      </c>
      <c r="B65" s="11">
        <v>3600</v>
      </c>
      <c r="C65" s="11">
        <v>6650</v>
      </c>
      <c r="D65" s="2">
        <v>5125</v>
      </c>
      <c r="E65" s="11">
        <v>3630</v>
      </c>
      <c r="F65" s="11">
        <v>6650</v>
      </c>
      <c r="G65" s="2">
        <v>4762.5</v>
      </c>
      <c r="H65" s="11"/>
      <c r="I65" s="11"/>
      <c r="J65" s="2"/>
      <c r="K65" s="2">
        <v>4835</v>
      </c>
      <c r="L65" s="2"/>
    </row>
    <row r="66" spans="1:12" x14ac:dyDescent="0.45">
      <c r="A66" s="8">
        <v>10</v>
      </c>
      <c r="B66" s="11">
        <v>3900</v>
      </c>
      <c r="C66" s="11">
        <v>6800</v>
      </c>
      <c r="D66" s="2">
        <v>5350</v>
      </c>
      <c r="E66" s="11">
        <v>3920</v>
      </c>
      <c r="F66" s="11">
        <v>6800</v>
      </c>
      <c r="G66" s="2">
        <v>4742.8571428571431</v>
      </c>
      <c r="H66" s="11">
        <v>4500</v>
      </c>
      <c r="I66" s="11"/>
      <c r="J66" s="2">
        <v>4500</v>
      </c>
      <c r="K66" s="2">
        <v>4700</v>
      </c>
      <c r="L66" s="2"/>
    </row>
    <row r="67" spans="1:12" x14ac:dyDescent="0.45">
      <c r="A67" s="8">
        <v>11</v>
      </c>
      <c r="B67" s="11">
        <v>3750</v>
      </c>
      <c r="C67" s="11">
        <v>6650</v>
      </c>
      <c r="D67" s="2">
        <v>5200</v>
      </c>
      <c r="E67" s="11">
        <v>3730</v>
      </c>
      <c r="F67" s="11"/>
      <c r="G67" s="2">
        <v>3730</v>
      </c>
      <c r="H67" s="11"/>
      <c r="I67" s="11"/>
      <c r="J67" s="2"/>
      <c r="K67" s="2">
        <v>4150</v>
      </c>
      <c r="L67" s="2"/>
    </row>
    <row r="68" spans="1:12" x14ac:dyDescent="0.45">
      <c r="A68" s="8">
        <v>12</v>
      </c>
      <c r="B68" s="11">
        <v>3750</v>
      </c>
      <c r="C68" s="11">
        <v>6700</v>
      </c>
      <c r="D68" s="2">
        <v>5225</v>
      </c>
      <c r="E68" s="11">
        <v>3870</v>
      </c>
      <c r="F68" s="11">
        <v>6850</v>
      </c>
      <c r="G68" s="2">
        <v>4987.5</v>
      </c>
      <c r="H68" s="11"/>
      <c r="I68" s="11"/>
      <c r="J68" s="2"/>
      <c r="K68" s="2">
        <v>5035</v>
      </c>
      <c r="L68" s="2"/>
    </row>
    <row r="69" spans="1:12" x14ac:dyDescent="0.45">
      <c r="A69" s="8">
        <v>13</v>
      </c>
      <c r="B69" s="11">
        <v>3500</v>
      </c>
      <c r="C69" s="11">
        <v>6400</v>
      </c>
      <c r="D69" s="2">
        <v>4950</v>
      </c>
      <c r="E69" s="11">
        <v>3730</v>
      </c>
      <c r="F69" s="11">
        <v>6450</v>
      </c>
      <c r="G69" s="2">
        <v>4750</v>
      </c>
      <c r="H69" s="11"/>
      <c r="I69" s="11"/>
      <c r="J69" s="2"/>
      <c r="K69" s="2">
        <v>4790</v>
      </c>
      <c r="L69" s="2"/>
    </row>
    <row r="70" spans="1:12" x14ac:dyDescent="0.45">
      <c r="A70" s="8">
        <v>14</v>
      </c>
      <c r="B70" s="11">
        <v>3750</v>
      </c>
      <c r="C70" s="11">
        <v>6650</v>
      </c>
      <c r="D70" s="2">
        <v>5200</v>
      </c>
      <c r="E70" s="11">
        <v>3730</v>
      </c>
      <c r="F70" s="11">
        <v>6650</v>
      </c>
      <c r="G70" s="2">
        <v>4825</v>
      </c>
      <c r="H70" s="11"/>
      <c r="I70" s="11"/>
      <c r="J70" s="2"/>
      <c r="K70" s="2">
        <v>4900</v>
      </c>
      <c r="L70" s="2"/>
    </row>
    <row r="71" spans="1:12" x14ac:dyDescent="0.45">
      <c r="A71" s="8">
        <v>15</v>
      </c>
      <c r="B71" s="11">
        <v>3850</v>
      </c>
      <c r="C71" s="11">
        <v>6900</v>
      </c>
      <c r="D71" s="2">
        <v>5375</v>
      </c>
      <c r="E71" s="11">
        <v>3825</v>
      </c>
      <c r="F71" s="11">
        <v>6650</v>
      </c>
      <c r="G71" s="2">
        <v>4766.666666666667</v>
      </c>
      <c r="H71" s="11"/>
      <c r="I71" s="11"/>
      <c r="J71" s="2"/>
      <c r="K71" s="2">
        <v>4918.75</v>
      </c>
      <c r="L71" s="2"/>
    </row>
    <row r="72" spans="1:12" x14ac:dyDescent="0.45">
      <c r="A72" s="8">
        <v>16</v>
      </c>
      <c r="B72" s="11">
        <v>3750</v>
      </c>
      <c r="C72" s="11">
        <v>6650</v>
      </c>
      <c r="D72" s="2">
        <v>5200</v>
      </c>
      <c r="E72" s="11">
        <v>3730</v>
      </c>
      <c r="F72" s="11">
        <v>6650</v>
      </c>
      <c r="G72" s="2">
        <v>4825</v>
      </c>
      <c r="H72" s="11"/>
      <c r="I72" s="11"/>
      <c r="J72" s="2"/>
      <c r="K72" s="2">
        <v>4900</v>
      </c>
      <c r="L72" s="2"/>
    </row>
    <row r="73" spans="1:12" x14ac:dyDescent="0.45">
      <c r="A73" s="7">
        <v>45298</v>
      </c>
      <c r="B73" s="11">
        <v>3723</v>
      </c>
      <c r="C73" s="11">
        <v>6588.0952380952385</v>
      </c>
      <c r="D73" s="2">
        <v>5190.4878048780483</v>
      </c>
      <c r="E73" s="11">
        <v>3756.4102564102564</v>
      </c>
      <c r="F73" s="11">
        <v>6461.8421052631575</v>
      </c>
      <c r="G73" s="2">
        <v>5091.5584415584417</v>
      </c>
      <c r="H73" s="11">
        <v>4700</v>
      </c>
      <c r="I73" s="11"/>
      <c r="J73" s="2">
        <v>4700</v>
      </c>
      <c r="K73" s="2">
        <v>5122.3529411764703</v>
      </c>
      <c r="L73" s="2"/>
    </row>
    <row r="74" spans="1:12" x14ac:dyDescent="0.45">
      <c r="A74" s="8">
        <v>7</v>
      </c>
      <c r="B74" s="11">
        <v>3650</v>
      </c>
      <c r="C74" s="11">
        <v>6650</v>
      </c>
      <c r="D74" s="2">
        <v>5150</v>
      </c>
      <c r="E74" s="11">
        <v>3650</v>
      </c>
      <c r="F74" s="11">
        <v>6650</v>
      </c>
      <c r="G74" s="2">
        <v>5316.666666666667</v>
      </c>
      <c r="H74" s="11"/>
      <c r="I74" s="11"/>
      <c r="J74" s="2"/>
      <c r="K74" s="2">
        <v>5265.3846153846152</v>
      </c>
      <c r="L74" s="2"/>
    </row>
    <row r="75" spans="1:12" x14ac:dyDescent="0.45">
      <c r="A75" s="8">
        <v>8</v>
      </c>
      <c r="B75" s="11">
        <v>3380</v>
      </c>
      <c r="C75" s="11">
        <v>5700</v>
      </c>
      <c r="D75" s="2">
        <v>4540</v>
      </c>
      <c r="E75" s="11">
        <v>3375</v>
      </c>
      <c r="F75" s="11">
        <v>5350</v>
      </c>
      <c r="G75" s="2">
        <v>4472.2222222222226</v>
      </c>
      <c r="H75" s="11"/>
      <c r="I75" s="11"/>
      <c r="J75" s="2"/>
      <c r="K75" s="2">
        <v>4493.0769230769229</v>
      </c>
      <c r="L75" s="2"/>
    </row>
    <row r="76" spans="1:12" x14ac:dyDescent="0.45">
      <c r="A76" s="8">
        <v>9</v>
      </c>
      <c r="B76" s="11">
        <v>3825</v>
      </c>
      <c r="C76" s="11">
        <v>6650</v>
      </c>
      <c r="D76" s="2">
        <v>5237.5</v>
      </c>
      <c r="E76" s="11">
        <v>3825</v>
      </c>
      <c r="F76" s="11">
        <v>6650</v>
      </c>
      <c r="G76" s="2">
        <v>5394.4444444444443</v>
      </c>
      <c r="H76" s="11"/>
      <c r="I76" s="11"/>
      <c r="J76" s="2"/>
      <c r="K76" s="2">
        <v>5346.1538461538457</v>
      </c>
      <c r="L76" s="2"/>
    </row>
    <row r="77" spans="1:12" x14ac:dyDescent="0.45">
      <c r="A77" s="8">
        <v>10</v>
      </c>
      <c r="B77" s="11">
        <v>3900</v>
      </c>
      <c r="C77" s="11">
        <v>6800</v>
      </c>
      <c r="D77" s="2">
        <v>5640</v>
      </c>
      <c r="E77" s="11">
        <v>3950</v>
      </c>
      <c r="F77" s="11">
        <v>6800</v>
      </c>
      <c r="G77" s="2">
        <v>4520</v>
      </c>
      <c r="H77" s="11">
        <v>4700</v>
      </c>
      <c r="I77" s="11"/>
      <c r="J77" s="2">
        <v>4700</v>
      </c>
      <c r="K77" s="2">
        <v>5045.454545454545</v>
      </c>
      <c r="L77" s="2"/>
    </row>
    <row r="78" spans="1:12" x14ac:dyDescent="0.45">
      <c r="A78" s="8">
        <v>11</v>
      </c>
      <c r="B78" s="11">
        <v>3875</v>
      </c>
      <c r="C78" s="11">
        <v>6650</v>
      </c>
      <c r="D78" s="2">
        <v>5262.5</v>
      </c>
      <c r="E78" s="11">
        <v>3850</v>
      </c>
      <c r="F78" s="11">
        <v>6600</v>
      </c>
      <c r="G78" s="2">
        <v>4400</v>
      </c>
      <c r="H78" s="11"/>
      <c r="I78" s="11"/>
      <c r="J78" s="2"/>
      <c r="K78" s="2">
        <v>4783.333333333333</v>
      </c>
      <c r="L78" s="2"/>
    </row>
    <row r="79" spans="1:12" x14ac:dyDescent="0.45">
      <c r="A79" s="8">
        <v>12</v>
      </c>
      <c r="B79" s="11">
        <v>3750</v>
      </c>
      <c r="C79" s="11">
        <v>6725</v>
      </c>
      <c r="D79" s="2">
        <v>5237.5</v>
      </c>
      <c r="E79" s="11">
        <v>3912.5</v>
      </c>
      <c r="F79" s="11">
        <v>6775</v>
      </c>
      <c r="G79" s="2">
        <v>5343.75</v>
      </c>
      <c r="H79" s="11"/>
      <c r="I79" s="11"/>
      <c r="J79" s="2"/>
      <c r="K79" s="2">
        <v>5308.333333333333</v>
      </c>
      <c r="L79" s="2"/>
    </row>
    <row r="80" spans="1:12" x14ac:dyDescent="0.45">
      <c r="A80" s="8">
        <v>13</v>
      </c>
      <c r="B80" s="11">
        <v>3500</v>
      </c>
      <c r="C80" s="11">
        <v>6400</v>
      </c>
      <c r="D80" s="2">
        <v>4950</v>
      </c>
      <c r="E80" s="11">
        <v>3750</v>
      </c>
      <c r="F80" s="11">
        <v>6400</v>
      </c>
      <c r="G80" s="2">
        <v>5222.2222222222226</v>
      </c>
      <c r="H80" s="11"/>
      <c r="I80" s="11"/>
      <c r="J80" s="2"/>
      <c r="K80" s="2">
        <v>5138.4615384615381</v>
      </c>
      <c r="L80" s="2"/>
    </row>
    <row r="81" spans="1:12" x14ac:dyDescent="0.45">
      <c r="A81" s="8">
        <v>14</v>
      </c>
      <c r="B81" s="11">
        <v>3750</v>
      </c>
      <c r="C81" s="11">
        <v>6650</v>
      </c>
      <c r="D81" s="2">
        <v>5200</v>
      </c>
      <c r="E81" s="11">
        <v>3750</v>
      </c>
      <c r="F81" s="11">
        <v>6650</v>
      </c>
      <c r="G81" s="2">
        <v>5361.1111111111113</v>
      </c>
      <c r="H81" s="11"/>
      <c r="I81" s="11"/>
      <c r="J81" s="2"/>
      <c r="K81" s="2">
        <v>5311.5384615384619</v>
      </c>
      <c r="L81" s="2"/>
    </row>
    <row r="82" spans="1:12" x14ac:dyDescent="0.45">
      <c r="A82" s="8">
        <v>15</v>
      </c>
      <c r="B82" s="11">
        <v>3850</v>
      </c>
      <c r="C82" s="11">
        <v>6900</v>
      </c>
      <c r="D82" s="2">
        <v>5375</v>
      </c>
      <c r="E82" s="11">
        <v>3750</v>
      </c>
      <c r="F82" s="11">
        <v>6650</v>
      </c>
      <c r="G82" s="2">
        <v>4910</v>
      </c>
      <c r="H82" s="11"/>
      <c r="I82" s="11"/>
      <c r="J82" s="2"/>
      <c r="K82" s="2">
        <v>5116.666666666667</v>
      </c>
      <c r="L82" s="2"/>
    </row>
    <row r="83" spans="1:12" x14ac:dyDescent="0.45">
      <c r="A83" s="8">
        <v>16</v>
      </c>
      <c r="B83" s="11">
        <v>3750</v>
      </c>
      <c r="C83" s="11">
        <v>6650</v>
      </c>
      <c r="D83" s="2">
        <v>5200</v>
      </c>
      <c r="E83" s="11">
        <v>3750</v>
      </c>
      <c r="F83" s="11">
        <v>6650</v>
      </c>
      <c r="G83" s="2">
        <v>5361.1111111111113</v>
      </c>
      <c r="H83" s="11"/>
      <c r="I83" s="11"/>
      <c r="J83" s="2"/>
      <c r="K83" s="2">
        <v>5311.5384615384619</v>
      </c>
      <c r="L83" s="2"/>
    </row>
    <row r="84" spans="1:12" x14ac:dyDescent="0.45">
      <c r="A84" s="7">
        <v>45299</v>
      </c>
      <c r="B84" s="11">
        <v>3781</v>
      </c>
      <c r="C84" s="11">
        <v>6584.2105263157891</v>
      </c>
      <c r="D84" s="2">
        <v>5146.666666666667</v>
      </c>
      <c r="E84" s="11">
        <v>3786.1111111111113</v>
      </c>
      <c r="F84" s="11">
        <v>6445.2380952380954</v>
      </c>
      <c r="G84" s="2">
        <v>4949.479166666667</v>
      </c>
      <c r="H84" s="11"/>
      <c r="I84" s="11"/>
      <c r="J84" s="2"/>
      <c r="K84" s="2">
        <v>5037.8735632183907</v>
      </c>
      <c r="L84" s="2"/>
    </row>
    <row r="85" spans="1:12" x14ac:dyDescent="0.45">
      <c r="A85" s="8">
        <v>7</v>
      </c>
      <c r="B85" s="11">
        <v>3650</v>
      </c>
      <c r="C85" s="11">
        <v>6650</v>
      </c>
      <c r="D85" s="2">
        <v>5150</v>
      </c>
      <c r="E85" s="11">
        <v>3650</v>
      </c>
      <c r="F85" s="11">
        <v>6650</v>
      </c>
      <c r="G85" s="2">
        <v>5150</v>
      </c>
      <c r="H85" s="11"/>
      <c r="I85" s="11"/>
      <c r="J85" s="2"/>
      <c r="K85" s="2">
        <v>5150</v>
      </c>
      <c r="L85" s="2"/>
    </row>
    <row r="86" spans="1:12" x14ac:dyDescent="0.45">
      <c r="A86" s="8">
        <v>8</v>
      </c>
      <c r="B86" s="11">
        <v>3380</v>
      </c>
      <c r="C86" s="11">
        <v>5700</v>
      </c>
      <c r="D86" s="2">
        <v>4540</v>
      </c>
      <c r="E86" s="11">
        <v>3500</v>
      </c>
      <c r="F86" s="11">
        <v>5350</v>
      </c>
      <c r="G86" s="2">
        <v>4425</v>
      </c>
      <c r="H86" s="11"/>
      <c r="I86" s="11"/>
      <c r="J86" s="2"/>
      <c r="K86" s="2">
        <v>4471</v>
      </c>
      <c r="L86" s="2"/>
    </row>
    <row r="87" spans="1:12" x14ac:dyDescent="0.45">
      <c r="A87" s="8">
        <v>9</v>
      </c>
      <c r="B87" s="11">
        <v>3980</v>
      </c>
      <c r="C87" s="11">
        <v>6650</v>
      </c>
      <c r="D87" s="2">
        <v>5315</v>
      </c>
      <c r="E87" s="11">
        <v>3875</v>
      </c>
      <c r="F87" s="11">
        <v>6650</v>
      </c>
      <c r="G87" s="2">
        <v>4985</v>
      </c>
      <c r="H87" s="11"/>
      <c r="I87" s="11"/>
      <c r="J87" s="2"/>
      <c r="K87" s="2">
        <v>5131.666666666667</v>
      </c>
      <c r="L87" s="2"/>
    </row>
    <row r="88" spans="1:12" x14ac:dyDescent="0.45">
      <c r="A88" s="8">
        <v>10</v>
      </c>
      <c r="B88" s="11">
        <v>4200</v>
      </c>
      <c r="C88" s="11">
        <v>7100</v>
      </c>
      <c r="D88" s="2">
        <v>5166.666666666667</v>
      </c>
      <c r="E88" s="11">
        <v>3950</v>
      </c>
      <c r="F88" s="11"/>
      <c r="G88" s="2">
        <v>3950</v>
      </c>
      <c r="H88" s="11"/>
      <c r="I88" s="11"/>
      <c r="J88" s="2"/>
      <c r="K88" s="2">
        <v>4862.5</v>
      </c>
      <c r="L88" s="2"/>
    </row>
    <row r="89" spans="1:12" x14ac:dyDescent="0.45">
      <c r="A89" s="8">
        <v>11</v>
      </c>
      <c r="B89" s="11">
        <v>4000</v>
      </c>
      <c r="C89" s="11">
        <v>6650</v>
      </c>
      <c r="D89" s="2">
        <v>5325</v>
      </c>
      <c r="E89" s="11">
        <v>3983.3333333333335</v>
      </c>
      <c r="F89" s="11"/>
      <c r="G89" s="2">
        <v>3983.3333333333335</v>
      </c>
      <c r="H89" s="11"/>
      <c r="I89" s="11"/>
      <c r="J89" s="2"/>
      <c r="K89" s="2">
        <v>4750</v>
      </c>
      <c r="L89" s="2"/>
    </row>
    <row r="90" spans="1:12" x14ac:dyDescent="0.45">
      <c r="A90" s="8">
        <v>12</v>
      </c>
      <c r="B90" s="11">
        <v>3800</v>
      </c>
      <c r="C90" s="11">
        <v>6750</v>
      </c>
      <c r="D90" s="2">
        <v>5275</v>
      </c>
      <c r="E90" s="11">
        <v>3933.3333333333335</v>
      </c>
      <c r="F90" s="11">
        <v>6766.666666666667</v>
      </c>
      <c r="G90" s="2">
        <v>5350</v>
      </c>
      <c r="H90" s="11"/>
      <c r="I90" s="11"/>
      <c r="J90" s="2"/>
      <c r="K90" s="2">
        <v>5320</v>
      </c>
      <c r="L90" s="2"/>
    </row>
    <row r="91" spans="1:12" x14ac:dyDescent="0.45">
      <c r="A91" s="8">
        <v>13</v>
      </c>
      <c r="B91" s="11">
        <v>3500</v>
      </c>
      <c r="C91" s="11">
        <v>6400</v>
      </c>
      <c r="D91" s="2">
        <v>4950</v>
      </c>
      <c r="E91" s="11">
        <v>3750</v>
      </c>
      <c r="F91" s="11">
        <v>6400</v>
      </c>
      <c r="G91" s="2">
        <v>5075</v>
      </c>
      <c r="H91" s="11"/>
      <c r="I91" s="11"/>
      <c r="J91" s="2"/>
      <c r="K91" s="2">
        <v>5025</v>
      </c>
      <c r="L91" s="2"/>
    </row>
    <row r="92" spans="1:12" x14ac:dyDescent="0.45">
      <c r="A92" s="8">
        <v>14</v>
      </c>
      <c r="B92" s="11">
        <v>3750</v>
      </c>
      <c r="C92" s="11">
        <v>6650</v>
      </c>
      <c r="D92" s="2">
        <v>5200</v>
      </c>
      <c r="E92" s="11">
        <v>3750</v>
      </c>
      <c r="F92" s="11">
        <v>6650</v>
      </c>
      <c r="G92" s="2">
        <v>4910</v>
      </c>
      <c r="H92" s="11"/>
      <c r="I92" s="11"/>
      <c r="J92" s="2"/>
      <c r="K92" s="2">
        <v>5038.8888888888887</v>
      </c>
      <c r="L92" s="2"/>
    </row>
    <row r="93" spans="1:12" x14ac:dyDescent="0.45">
      <c r="A93" s="8">
        <v>15</v>
      </c>
      <c r="B93" s="11">
        <v>3800</v>
      </c>
      <c r="C93" s="11">
        <v>6900</v>
      </c>
      <c r="D93" s="2">
        <v>5350</v>
      </c>
      <c r="E93" s="11">
        <v>3850</v>
      </c>
      <c r="F93" s="11">
        <v>6650</v>
      </c>
      <c r="G93" s="2">
        <v>5250</v>
      </c>
      <c r="H93" s="11"/>
      <c r="I93" s="11"/>
      <c r="J93" s="2"/>
      <c r="K93" s="2">
        <v>5300</v>
      </c>
      <c r="L93" s="2"/>
    </row>
    <row r="94" spans="1:12" x14ac:dyDescent="0.45">
      <c r="A94" s="8">
        <v>16</v>
      </c>
      <c r="B94" s="11">
        <v>3750</v>
      </c>
      <c r="C94" s="11">
        <v>6650</v>
      </c>
      <c r="D94" s="2">
        <v>5200</v>
      </c>
      <c r="E94" s="11">
        <v>3750</v>
      </c>
      <c r="F94" s="11">
        <v>6650</v>
      </c>
      <c r="G94" s="2">
        <v>5200</v>
      </c>
      <c r="H94" s="11"/>
      <c r="I94" s="11"/>
      <c r="J94" s="2"/>
      <c r="K94" s="2">
        <v>5200</v>
      </c>
      <c r="L94" s="2"/>
    </row>
    <row r="95" spans="1:12" x14ac:dyDescent="0.45">
      <c r="A95" s="7">
        <v>45300</v>
      </c>
      <c r="B95" s="11">
        <v>3816</v>
      </c>
      <c r="C95" s="11">
        <v>6550</v>
      </c>
      <c r="D95" s="2">
        <v>5183</v>
      </c>
      <c r="E95" s="11">
        <v>3745.2777777777778</v>
      </c>
      <c r="F95" s="11">
        <v>6491.666666666667</v>
      </c>
      <c r="G95" s="2">
        <v>4843.833333333333</v>
      </c>
      <c r="H95" s="11">
        <v>4350</v>
      </c>
      <c r="I95" s="11"/>
      <c r="J95" s="2">
        <v>4350</v>
      </c>
      <c r="K95" s="2">
        <v>4901.0714285714284</v>
      </c>
      <c r="L95" s="2"/>
    </row>
    <row r="96" spans="1:12" x14ac:dyDescent="0.45">
      <c r="A96" s="8">
        <v>7</v>
      </c>
      <c r="B96" s="11">
        <v>3750</v>
      </c>
      <c r="C96" s="11">
        <v>6650</v>
      </c>
      <c r="D96" s="2">
        <v>5200</v>
      </c>
      <c r="E96" s="11">
        <v>3650</v>
      </c>
      <c r="F96" s="11">
        <v>6650</v>
      </c>
      <c r="G96" s="2">
        <v>4935.7142857142853</v>
      </c>
      <c r="H96" s="11">
        <v>4350</v>
      </c>
      <c r="I96" s="11"/>
      <c r="J96" s="2">
        <v>4350</v>
      </c>
      <c r="K96" s="2">
        <v>4796.1538461538457</v>
      </c>
      <c r="L96" s="2"/>
    </row>
    <row r="97" spans="1:12" x14ac:dyDescent="0.45">
      <c r="A97" s="8">
        <v>8</v>
      </c>
      <c r="B97" s="11">
        <v>3380</v>
      </c>
      <c r="C97" s="11">
        <v>5700</v>
      </c>
      <c r="D97" s="2">
        <v>4540</v>
      </c>
      <c r="E97" s="11">
        <v>3395</v>
      </c>
      <c r="F97" s="11">
        <v>5450</v>
      </c>
      <c r="G97" s="2">
        <v>4275.7142857142853</v>
      </c>
      <c r="H97" s="11"/>
      <c r="I97" s="11"/>
      <c r="J97" s="2"/>
      <c r="K97" s="2">
        <v>4334.4444444444443</v>
      </c>
      <c r="L97" s="2"/>
    </row>
    <row r="98" spans="1:12" x14ac:dyDescent="0.45">
      <c r="A98" s="8">
        <v>9</v>
      </c>
      <c r="B98" s="11">
        <v>3980</v>
      </c>
      <c r="C98" s="11">
        <v>6650</v>
      </c>
      <c r="D98" s="2">
        <v>5315</v>
      </c>
      <c r="E98" s="11">
        <v>3762.5</v>
      </c>
      <c r="F98" s="11">
        <v>6650</v>
      </c>
      <c r="G98" s="2">
        <v>5000</v>
      </c>
      <c r="H98" s="11"/>
      <c r="I98" s="11"/>
      <c r="J98" s="2"/>
      <c r="K98" s="2">
        <v>5070</v>
      </c>
      <c r="L98" s="2"/>
    </row>
    <row r="99" spans="1:12" x14ac:dyDescent="0.45">
      <c r="A99" s="8">
        <v>10</v>
      </c>
      <c r="B99" s="11">
        <v>4200</v>
      </c>
      <c r="C99" s="11">
        <v>6500</v>
      </c>
      <c r="D99" s="2">
        <v>5350</v>
      </c>
      <c r="E99" s="2"/>
      <c r="F99" s="2"/>
      <c r="G99" s="2"/>
      <c r="H99" s="11"/>
      <c r="I99" s="11"/>
      <c r="J99" s="2"/>
      <c r="K99" s="2">
        <v>5350</v>
      </c>
      <c r="L99" s="2"/>
    </row>
    <row r="100" spans="1:12" x14ac:dyDescent="0.45">
      <c r="A100" s="8">
        <v>11</v>
      </c>
      <c r="B100" s="11">
        <v>4200</v>
      </c>
      <c r="C100" s="11">
        <v>6650</v>
      </c>
      <c r="D100" s="2">
        <v>5425</v>
      </c>
      <c r="E100" s="2">
        <v>4050</v>
      </c>
      <c r="F100" s="2"/>
      <c r="G100" s="2">
        <v>4050</v>
      </c>
      <c r="H100" s="11"/>
      <c r="I100" s="11"/>
      <c r="J100" s="2"/>
      <c r="K100" s="2">
        <v>4508.333333333333</v>
      </c>
      <c r="L100" s="2"/>
    </row>
    <row r="101" spans="1:12" x14ac:dyDescent="0.45">
      <c r="A101" s="8">
        <v>12</v>
      </c>
      <c r="B101" s="11">
        <v>3800</v>
      </c>
      <c r="C101" s="11">
        <v>6750</v>
      </c>
      <c r="D101" s="2">
        <v>5275</v>
      </c>
      <c r="E101" s="2">
        <v>3875</v>
      </c>
      <c r="F101" s="2">
        <v>6833.333333333333</v>
      </c>
      <c r="G101" s="2">
        <v>5142.8571428571431</v>
      </c>
      <c r="H101" s="11"/>
      <c r="I101" s="11"/>
      <c r="J101" s="2"/>
      <c r="K101" s="2">
        <v>5172.2222222222226</v>
      </c>
      <c r="L101" s="2"/>
    </row>
    <row r="102" spans="1:12" x14ac:dyDescent="0.45">
      <c r="A102" s="8">
        <v>13</v>
      </c>
      <c r="B102" s="11">
        <v>3500</v>
      </c>
      <c r="C102" s="11">
        <v>6400</v>
      </c>
      <c r="D102" s="2">
        <v>4950</v>
      </c>
      <c r="E102" s="2">
        <v>3725</v>
      </c>
      <c r="F102" s="2">
        <v>6400</v>
      </c>
      <c r="G102" s="2">
        <v>4871.4285714285716</v>
      </c>
      <c r="H102" s="11"/>
      <c r="I102" s="11"/>
      <c r="J102" s="2"/>
      <c r="K102" s="2">
        <v>4888.8888888888887</v>
      </c>
      <c r="L102" s="2"/>
    </row>
    <row r="103" spans="1:12" x14ac:dyDescent="0.45">
      <c r="A103" s="8">
        <v>14</v>
      </c>
      <c r="B103" s="11">
        <v>3750</v>
      </c>
      <c r="C103" s="11">
        <v>6650</v>
      </c>
      <c r="D103" s="2">
        <v>5200</v>
      </c>
      <c r="E103" s="2">
        <v>3725</v>
      </c>
      <c r="F103" s="2">
        <v>6650</v>
      </c>
      <c r="G103" s="2">
        <v>4978.5714285714284</v>
      </c>
      <c r="H103" s="11"/>
      <c r="I103" s="11"/>
      <c r="J103" s="2"/>
      <c r="K103" s="2">
        <v>5027.7777777777774</v>
      </c>
      <c r="L103" s="2"/>
    </row>
    <row r="104" spans="1:12" x14ac:dyDescent="0.45">
      <c r="A104" s="8">
        <v>15</v>
      </c>
      <c r="B104" s="11">
        <v>3850</v>
      </c>
      <c r="C104" s="11">
        <v>6900</v>
      </c>
      <c r="D104" s="2">
        <v>5375</v>
      </c>
      <c r="E104" s="2">
        <v>3800</v>
      </c>
      <c r="F104" s="2">
        <v>6650</v>
      </c>
      <c r="G104" s="2">
        <v>5021.4285714285716</v>
      </c>
      <c r="H104" s="11"/>
      <c r="I104" s="11"/>
      <c r="J104" s="2"/>
      <c r="K104" s="2">
        <v>5100</v>
      </c>
      <c r="L104" s="2"/>
    </row>
    <row r="105" spans="1:12" x14ac:dyDescent="0.45">
      <c r="A105" s="8">
        <v>16</v>
      </c>
      <c r="B105" s="11">
        <v>3750</v>
      </c>
      <c r="C105" s="11">
        <v>6650</v>
      </c>
      <c r="D105" s="2">
        <v>5200</v>
      </c>
      <c r="E105" s="2">
        <v>3725</v>
      </c>
      <c r="F105" s="2">
        <v>6650</v>
      </c>
      <c r="G105" s="2">
        <v>4978.5714285714284</v>
      </c>
      <c r="H105" s="11"/>
      <c r="I105" s="11"/>
      <c r="J105" s="2"/>
      <c r="K105" s="2">
        <v>5027.7777777777774</v>
      </c>
      <c r="L105" s="2"/>
    </row>
    <row r="106" spans="1:12" x14ac:dyDescent="0.45">
      <c r="A106" s="7">
        <v>45301</v>
      </c>
      <c r="B106" s="11">
        <v>3794.4444444444443</v>
      </c>
      <c r="C106" s="11">
        <v>6550</v>
      </c>
      <c r="D106" s="2">
        <v>5172.2222222222226</v>
      </c>
      <c r="E106" s="2">
        <v>3789.0243902439024</v>
      </c>
      <c r="F106" s="2">
        <v>6456.25</v>
      </c>
      <c r="G106" s="2">
        <v>4958.2191780821922</v>
      </c>
      <c r="H106" s="11"/>
      <c r="I106" s="11"/>
      <c r="J106" s="2"/>
      <c r="K106" s="2">
        <v>5000.5494505494507</v>
      </c>
      <c r="L106" s="2"/>
    </row>
    <row r="107" spans="1:12" x14ac:dyDescent="0.45">
      <c r="A107" s="8">
        <v>7</v>
      </c>
      <c r="B107" s="11">
        <v>3750</v>
      </c>
      <c r="C107" s="11">
        <v>6650</v>
      </c>
      <c r="D107" s="2">
        <v>5200</v>
      </c>
      <c r="E107" s="2">
        <v>3650</v>
      </c>
      <c r="F107" s="2">
        <v>6650</v>
      </c>
      <c r="G107" s="2">
        <v>4983.333333333333</v>
      </c>
      <c r="H107" s="11"/>
      <c r="I107" s="11"/>
      <c r="J107" s="2"/>
      <c r="K107" s="2">
        <v>5022.727272727273</v>
      </c>
      <c r="L107" s="2"/>
    </row>
    <row r="108" spans="1:12" x14ac:dyDescent="0.45">
      <c r="A108" s="8">
        <v>8</v>
      </c>
      <c r="B108" s="11">
        <v>3800</v>
      </c>
      <c r="C108" s="11">
        <v>5700</v>
      </c>
      <c r="D108" s="2">
        <v>4750</v>
      </c>
      <c r="E108" s="2">
        <v>3680</v>
      </c>
      <c r="F108" s="2">
        <v>5450</v>
      </c>
      <c r="G108" s="2">
        <v>4466.666666666667</v>
      </c>
      <c r="H108" s="11"/>
      <c r="I108" s="11"/>
      <c r="J108" s="2"/>
      <c r="K108" s="2">
        <v>4518.181818181818</v>
      </c>
      <c r="L108" s="2"/>
    </row>
    <row r="109" spans="1:12" x14ac:dyDescent="0.45">
      <c r="A109" s="8">
        <v>9</v>
      </c>
      <c r="B109" s="11">
        <v>3750</v>
      </c>
      <c r="C109" s="11">
        <v>6650</v>
      </c>
      <c r="D109" s="2">
        <v>5200</v>
      </c>
      <c r="E109" s="2">
        <v>3810</v>
      </c>
      <c r="F109" s="2">
        <v>6675</v>
      </c>
      <c r="G109" s="2">
        <v>4628.5714285714284</v>
      </c>
      <c r="H109" s="11"/>
      <c r="I109" s="11"/>
      <c r="J109" s="2"/>
      <c r="K109" s="2">
        <v>4755.5555555555557</v>
      </c>
      <c r="L109" s="2"/>
    </row>
    <row r="110" spans="1:12" x14ac:dyDescent="0.45">
      <c r="A110" s="8">
        <v>10</v>
      </c>
      <c r="B110" s="11">
        <v>4200</v>
      </c>
      <c r="C110" s="11">
        <v>6700</v>
      </c>
      <c r="D110" s="2">
        <v>5450</v>
      </c>
      <c r="E110" s="2"/>
      <c r="F110" s="2">
        <v>6600</v>
      </c>
      <c r="G110" s="2">
        <v>6600</v>
      </c>
      <c r="H110" s="11"/>
      <c r="I110" s="11"/>
      <c r="J110" s="2"/>
      <c r="K110" s="2">
        <v>6025</v>
      </c>
      <c r="L110" s="2"/>
    </row>
    <row r="111" spans="1:12" x14ac:dyDescent="0.45">
      <c r="A111" s="8">
        <v>11</v>
      </c>
      <c r="B111" s="51"/>
      <c r="C111" s="51"/>
      <c r="D111" s="51"/>
      <c r="E111" s="51">
        <v>4050</v>
      </c>
      <c r="F111" s="51"/>
      <c r="G111" s="51">
        <v>4050</v>
      </c>
      <c r="H111" s="11"/>
      <c r="I111" s="11"/>
      <c r="J111" s="51"/>
      <c r="K111" s="2">
        <v>4050</v>
      </c>
      <c r="L111" s="2"/>
    </row>
    <row r="112" spans="1:12" x14ac:dyDescent="0.45">
      <c r="A112" s="8">
        <v>12</v>
      </c>
      <c r="B112" s="51">
        <v>3800</v>
      </c>
      <c r="C112" s="51">
        <v>6750</v>
      </c>
      <c r="D112" s="51">
        <v>5275</v>
      </c>
      <c r="E112" s="51">
        <v>4000</v>
      </c>
      <c r="F112" s="51">
        <v>6766.666666666667</v>
      </c>
      <c r="G112" s="51">
        <v>5037.5</v>
      </c>
      <c r="H112" s="11"/>
      <c r="I112" s="11"/>
      <c r="J112" s="51"/>
      <c r="K112" s="2">
        <v>5085</v>
      </c>
      <c r="L112" s="2"/>
    </row>
    <row r="113" spans="1:12" x14ac:dyDescent="0.45">
      <c r="A113" s="8">
        <v>13</v>
      </c>
      <c r="B113" s="51">
        <v>3500</v>
      </c>
      <c r="C113" s="51">
        <v>6400</v>
      </c>
      <c r="D113" s="51">
        <v>4950</v>
      </c>
      <c r="E113" s="51">
        <v>3750</v>
      </c>
      <c r="F113" s="51">
        <v>6400</v>
      </c>
      <c r="G113" s="51">
        <v>4927.7777777777774</v>
      </c>
      <c r="H113" s="11"/>
      <c r="I113" s="11"/>
      <c r="J113" s="51"/>
      <c r="K113" s="2">
        <v>4931.818181818182</v>
      </c>
      <c r="L113" s="2"/>
    </row>
    <row r="114" spans="1:12" x14ac:dyDescent="0.45">
      <c r="A114" s="8">
        <v>14</v>
      </c>
      <c r="B114" s="51">
        <v>3750</v>
      </c>
      <c r="C114" s="51">
        <v>6650</v>
      </c>
      <c r="D114" s="51">
        <v>5200</v>
      </c>
      <c r="E114" s="51">
        <v>3750</v>
      </c>
      <c r="F114" s="51">
        <v>6650</v>
      </c>
      <c r="G114" s="51">
        <v>5038.8888888888887</v>
      </c>
      <c r="H114" s="11"/>
      <c r="I114" s="11"/>
      <c r="J114" s="51"/>
      <c r="K114" s="2">
        <v>5068.181818181818</v>
      </c>
      <c r="L114" s="2"/>
    </row>
    <row r="115" spans="1:12" x14ac:dyDescent="0.45">
      <c r="A115" s="8">
        <v>15</v>
      </c>
      <c r="B115" s="51">
        <v>3850</v>
      </c>
      <c r="C115" s="51">
        <v>6800</v>
      </c>
      <c r="D115" s="51">
        <v>5325</v>
      </c>
      <c r="E115" s="51">
        <v>3750</v>
      </c>
      <c r="F115" s="51">
        <v>6500</v>
      </c>
      <c r="G115" s="51">
        <v>5321.4285714285716</v>
      </c>
      <c r="H115" s="11"/>
      <c r="I115" s="11"/>
      <c r="J115" s="51"/>
      <c r="K115" s="2">
        <v>5322.2222222222226</v>
      </c>
      <c r="L115" s="2"/>
    </row>
    <row r="116" spans="1:12" x14ac:dyDescent="0.45">
      <c r="A116" s="8">
        <v>16</v>
      </c>
      <c r="B116" s="51">
        <v>3750</v>
      </c>
      <c r="C116" s="51">
        <v>6650</v>
      </c>
      <c r="D116" s="51">
        <v>5200</v>
      </c>
      <c r="E116" s="51">
        <v>3750</v>
      </c>
      <c r="F116" s="51">
        <v>6630</v>
      </c>
      <c r="G116" s="51">
        <v>5190</v>
      </c>
      <c r="H116" s="11"/>
      <c r="I116" s="11"/>
      <c r="J116" s="51"/>
      <c r="K116" s="2">
        <v>5191.666666666667</v>
      </c>
      <c r="L116" s="2"/>
    </row>
    <row r="117" spans="1:12" x14ac:dyDescent="0.45">
      <c r="A117" s="7">
        <v>45302</v>
      </c>
      <c r="B117" s="51">
        <v>3783.3333333333335</v>
      </c>
      <c r="C117" s="51">
        <v>6467.5</v>
      </c>
      <c r="D117" s="51">
        <v>5196.0526315789475</v>
      </c>
      <c r="E117" s="51">
        <v>3850</v>
      </c>
      <c r="F117" s="51">
        <v>6406.25</v>
      </c>
      <c r="G117" s="51">
        <v>5310.7142857142853</v>
      </c>
      <c r="H117" s="11"/>
      <c r="I117" s="11"/>
      <c r="J117" s="51"/>
      <c r="K117" s="2">
        <v>5256.25</v>
      </c>
      <c r="L117" s="2"/>
    </row>
    <row r="118" spans="1:12" x14ac:dyDescent="0.45">
      <c r="A118" s="8">
        <v>7</v>
      </c>
      <c r="B118" s="51">
        <v>3800</v>
      </c>
      <c r="C118" s="51">
        <v>6675</v>
      </c>
      <c r="D118" s="51">
        <v>5237.5</v>
      </c>
      <c r="E118" s="51">
        <v>3850</v>
      </c>
      <c r="F118" s="51">
        <v>6683.333333333333</v>
      </c>
      <c r="G118" s="51">
        <v>5550</v>
      </c>
      <c r="H118" s="11"/>
      <c r="I118" s="11"/>
      <c r="J118" s="51"/>
      <c r="K118" s="2">
        <v>5411.1111111111113</v>
      </c>
      <c r="L118" s="2"/>
    </row>
    <row r="119" spans="1:12" x14ac:dyDescent="0.45">
      <c r="A119" s="8">
        <v>8</v>
      </c>
      <c r="B119" s="51">
        <v>3800</v>
      </c>
      <c r="C119" s="51">
        <v>5700</v>
      </c>
      <c r="D119" s="51">
        <v>4750</v>
      </c>
      <c r="E119" s="51">
        <v>3800</v>
      </c>
      <c r="F119" s="51">
        <v>5450</v>
      </c>
      <c r="G119" s="51">
        <v>4790</v>
      </c>
      <c r="H119" s="11"/>
      <c r="I119" s="11"/>
      <c r="J119" s="51"/>
      <c r="K119" s="2">
        <v>4772.2222222222226</v>
      </c>
      <c r="L119" s="2"/>
    </row>
    <row r="120" spans="1:12" x14ac:dyDescent="0.45">
      <c r="A120" s="8">
        <v>9</v>
      </c>
      <c r="B120" s="51">
        <v>3750</v>
      </c>
      <c r="C120" s="51">
        <v>6650</v>
      </c>
      <c r="D120" s="51">
        <v>5200</v>
      </c>
      <c r="E120" s="51">
        <v>3900</v>
      </c>
      <c r="F120" s="51">
        <v>6700</v>
      </c>
      <c r="G120" s="51">
        <v>5300</v>
      </c>
      <c r="H120" s="11"/>
      <c r="I120" s="11"/>
      <c r="J120" s="51"/>
      <c r="K120" s="2">
        <v>5250</v>
      </c>
      <c r="L120" s="2"/>
    </row>
    <row r="121" spans="1:12" x14ac:dyDescent="0.45">
      <c r="A121" s="8">
        <v>10</v>
      </c>
      <c r="B121" s="51">
        <v>4200</v>
      </c>
      <c r="C121" s="51">
        <v>6700</v>
      </c>
      <c r="D121" s="51">
        <v>5450</v>
      </c>
      <c r="E121" s="51"/>
      <c r="F121" s="51">
        <v>6600</v>
      </c>
      <c r="G121" s="51">
        <v>6600</v>
      </c>
      <c r="H121" s="11"/>
      <c r="I121" s="11"/>
      <c r="J121" s="51"/>
      <c r="K121" s="2">
        <v>5833.333333333333</v>
      </c>
      <c r="L121" s="2"/>
    </row>
    <row r="122" spans="1:12" x14ac:dyDescent="0.45">
      <c r="A122" s="8">
        <v>11</v>
      </c>
      <c r="B122" s="51"/>
      <c r="C122" s="51">
        <v>6550</v>
      </c>
      <c r="D122" s="51">
        <v>6550</v>
      </c>
      <c r="E122" s="51">
        <v>4150</v>
      </c>
      <c r="F122" s="51"/>
      <c r="G122" s="51">
        <v>4150</v>
      </c>
      <c r="H122" s="11"/>
      <c r="I122" s="11"/>
      <c r="J122" s="51"/>
      <c r="K122" s="2">
        <v>5350</v>
      </c>
      <c r="L122" s="2"/>
    </row>
    <row r="123" spans="1:12" x14ac:dyDescent="0.45">
      <c r="A123" s="8">
        <v>12</v>
      </c>
      <c r="B123" s="51">
        <v>3750</v>
      </c>
      <c r="C123" s="51">
        <v>6750</v>
      </c>
      <c r="D123" s="51">
        <v>5250</v>
      </c>
      <c r="E123" s="51">
        <v>4000</v>
      </c>
      <c r="F123" s="51">
        <v>6833.333333333333</v>
      </c>
      <c r="G123" s="51">
        <v>5700</v>
      </c>
      <c r="H123" s="11"/>
      <c r="I123" s="11"/>
      <c r="J123" s="51"/>
      <c r="K123" s="2">
        <v>5500</v>
      </c>
      <c r="L123" s="2"/>
    </row>
    <row r="124" spans="1:12" x14ac:dyDescent="0.45">
      <c r="A124" s="8">
        <v>13</v>
      </c>
      <c r="B124" s="51">
        <v>3500</v>
      </c>
      <c r="C124" s="51">
        <v>6350</v>
      </c>
      <c r="D124" s="51">
        <v>4925</v>
      </c>
      <c r="E124" s="51">
        <v>3600</v>
      </c>
      <c r="F124" s="51">
        <v>6333.333333333333</v>
      </c>
      <c r="G124" s="51">
        <v>5240</v>
      </c>
      <c r="H124" s="11"/>
      <c r="I124" s="11"/>
      <c r="J124" s="51"/>
      <c r="K124" s="2">
        <v>5100</v>
      </c>
      <c r="L124" s="2"/>
    </row>
    <row r="125" spans="1:12" x14ac:dyDescent="0.45">
      <c r="A125" s="8">
        <v>14</v>
      </c>
      <c r="B125" s="51">
        <v>3750</v>
      </c>
      <c r="C125" s="51">
        <v>6650</v>
      </c>
      <c r="D125" s="51">
        <v>5200</v>
      </c>
      <c r="E125" s="51">
        <v>3750</v>
      </c>
      <c r="F125" s="51">
        <v>6650</v>
      </c>
      <c r="G125" s="51">
        <v>5200</v>
      </c>
      <c r="H125" s="11"/>
      <c r="I125" s="11"/>
      <c r="J125" s="51"/>
      <c r="K125" s="2">
        <v>5200</v>
      </c>
      <c r="L125" s="2"/>
    </row>
    <row r="126" spans="1:12" x14ac:dyDescent="0.45">
      <c r="A126" s="8">
        <v>15</v>
      </c>
      <c r="B126" s="51">
        <v>3750</v>
      </c>
      <c r="C126" s="51">
        <v>6000</v>
      </c>
      <c r="D126" s="51">
        <v>4875</v>
      </c>
      <c r="E126" s="51">
        <v>3850</v>
      </c>
      <c r="F126" s="51">
        <v>6000</v>
      </c>
      <c r="G126" s="51">
        <v>5140</v>
      </c>
      <c r="H126" s="11"/>
      <c r="I126" s="11"/>
      <c r="J126" s="51"/>
      <c r="K126" s="2">
        <v>5022.2222222222226</v>
      </c>
      <c r="L126" s="2"/>
    </row>
    <row r="127" spans="1:12" x14ac:dyDescent="0.45">
      <c r="A127" s="8">
        <v>16</v>
      </c>
      <c r="B127" s="51">
        <v>3750</v>
      </c>
      <c r="C127" s="51">
        <v>6650</v>
      </c>
      <c r="D127" s="51">
        <v>5200</v>
      </c>
      <c r="E127" s="51">
        <v>3750</v>
      </c>
      <c r="F127" s="51">
        <v>6650</v>
      </c>
      <c r="G127" s="51">
        <v>5490</v>
      </c>
      <c r="H127" s="11"/>
      <c r="I127" s="11"/>
      <c r="J127" s="51"/>
      <c r="K127" s="2">
        <v>5361.1111111111113</v>
      </c>
      <c r="L127" s="2"/>
    </row>
    <row r="128" spans="1:12" x14ac:dyDescent="0.45">
      <c r="A128" s="7">
        <v>45303</v>
      </c>
      <c r="B128" s="51">
        <v>3821.0526315789475</v>
      </c>
      <c r="C128" s="51">
        <v>6452.7777777777774</v>
      </c>
      <c r="D128" s="51">
        <v>5101.3513513513517</v>
      </c>
      <c r="E128" s="51">
        <v>3782.8571428571427</v>
      </c>
      <c r="F128" s="51">
        <v>6393.5897435897432</v>
      </c>
      <c r="G128" s="51">
        <v>5158.7837837837842</v>
      </c>
      <c r="H128" s="11"/>
      <c r="I128" s="11"/>
      <c r="J128" s="51"/>
      <c r="K128" s="2">
        <v>5139.6396396396394</v>
      </c>
      <c r="L128" s="2"/>
    </row>
    <row r="129" spans="1:12" x14ac:dyDescent="0.45">
      <c r="A129" s="8">
        <v>7</v>
      </c>
      <c r="B129" s="51">
        <v>3800</v>
      </c>
      <c r="C129" s="51">
        <v>6700</v>
      </c>
      <c r="D129" s="51">
        <v>5250</v>
      </c>
      <c r="E129" s="51">
        <v>3850</v>
      </c>
      <c r="F129" s="51">
        <v>6700</v>
      </c>
      <c r="G129" s="51">
        <v>5433.333333333333</v>
      </c>
      <c r="H129" s="11"/>
      <c r="I129" s="11"/>
      <c r="J129" s="51"/>
      <c r="K129" s="2">
        <v>5376.9230769230771</v>
      </c>
      <c r="L129" s="2"/>
    </row>
    <row r="130" spans="1:12" x14ac:dyDescent="0.45">
      <c r="A130" s="8">
        <v>8</v>
      </c>
      <c r="B130" s="51">
        <v>3800</v>
      </c>
      <c r="C130" s="51">
        <v>5700</v>
      </c>
      <c r="D130" s="51">
        <v>4750</v>
      </c>
      <c r="E130" s="51">
        <v>3800</v>
      </c>
      <c r="F130" s="51">
        <v>5450</v>
      </c>
      <c r="G130" s="51">
        <v>4716.666666666667</v>
      </c>
      <c r="H130" s="11"/>
      <c r="I130" s="11"/>
      <c r="J130" s="51"/>
      <c r="K130" s="2">
        <v>4726.9230769230771</v>
      </c>
      <c r="L130" s="2"/>
    </row>
    <row r="131" spans="1:12" x14ac:dyDescent="0.45">
      <c r="A131" s="8">
        <v>9</v>
      </c>
      <c r="B131" s="51">
        <v>3750</v>
      </c>
      <c r="C131" s="51">
        <v>6650</v>
      </c>
      <c r="D131" s="51">
        <v>5200</v>
      </c>
      <c r="E131" s="51">
        <v>3787.5</v>
      </c>
      <c r="F131" s="51">
        <v>6700</v>
      </c>
      <c r="G131" s="51">
        <v>5035.7142857142853</v>
      </c>
      <c r="H131" s="11"/>
      <c r="I131" s="11"/>
      <c r="J131" s="51"/>
      <c r="K131" s="2">
        <v>5095.454545454545</v>
      </c>
      <c r="L131" s="2"/>
    </row>
    <row r="132" spans="1:12" x14ac:dyDescent="0.45">
      <c r="A132" s="8">
        <v>10</v>
      </c>
      <c r="B132" s="51">
        <v>4200</v>
      </c>
      <c r="C132" s="51">
        <v>6700</v>
      </c>
      <c r="D132" s="51">
        <v>5033.333333333333</v>
      </c>
      <c r="E132" s="51"/>
      <c r="F132" s="51">
        <v>6600</v>
      </c>
      <c r="G132" s="51">
        <v>6600</v>
      </c>
      <c r="H132" s="11"/>
      <c r="I132" s="11"/>
      <c r="J132" s="51"/>
      <c r="K132" s="2">
        <v>5425</v>
      </c>
      <c r="L132" s="2"/>
    </row>
    <row r="133" spans="1:12" x14ac:dyDescent="0.45">
      <c r="A133" s="8">
        <v>11</v>
      </c>
      <c r="B133" s="51">
        <v>4200</v>
      </c>
      <c r="C133" s="51">
        <v>6650</v>
      </c>
      <c r="D133" s="51">
        <v>5425</v>
      </c>
      <c r="E133" s="51">
        <v>4116.666666666667</v>
      </c>
      <c r="F133" s="51"/>
      <c r="G133" s="51">
        <v>4116.666666666667</v>
      </c>
      <c r="H133" s="11"/>
      <c r="I133" s="11"/>
      <c r="J133" s="51"/>
      <c r="K133" s="2">
        <v>4640</v>
      </c>
      <c r="L133" s="2"/>
    </row>
    <row r="134" spans="1:12" x14ac:dyDescent="0.45">
      <c r="A134" s="8">
        <v>12</v>
      </c>
      <c r="B134" s="51">
        <v>3800</v>
      </c>
      <c r="C134" s="51">
        <v>6750</v>
      </c>
      <c r="D134" s="51">
        <v>5275</v>
      </c>
      <c r="E134" s="51">
        <v>3925</v>
      </c>
      <c r="F134" s="51">
        <v>6780</v>
      </c>
      <c r="G134" s="51">
        <v>5511.1111111111113</v>
      </c>
      <c r="H134" s="11"/>
      <c r="I134" s="11"/>
      <c r="J134" s="51"/>
      <c r="K134" s="2">
        <v>5438.4615384615381</v>
      </c>
      <c r="L134" s="2"/>
    </row>
    <row r="135" spans="1:12" x14ac:dyDescent="0.45">
      <c r="A135" s="8">
        <v>13</v>
      </c>
      <c r="B135" s="51">
        <v>3500</v>
      </c>
      <c r="C135" s="51">
        <v>6300</v>
      </c>
      <c r="D135" s="51">
        <v>4900</v>
      </c>
      <c r="E135" s="51">
        <v>3600</v>
      </c>
      <c r="F135" s="51">
        <v>6300</v>
      </c>
      <c r="G135" s="51">
        <v>5100</v>
      </c>
      <c r="H135" s="11"/>
      <c r="I135" s="11"/>
      <c r="J135" s="51"/>
      <c r="K135" s="2">
        <v>5038.4615384615381</v>
      </c>
      <c r="L135" s="2"/>
    </row>
    <row r="136" spans="1:12" x14ac:dyDescent="0.45">
      <c r="A136" s="8">
        <v>14</v>
      </c>
      <c r="B136" s="51">
        <v>3750</v>
      </c>
      <c r="C136" s="51">
        <v>6650</v>
      </c>
      <c r="D136" s="51">
        <v>5200</v>
      </c>
      <c r="E136" s="51">
        <v>3750</v>
      </c>
      <c r="F136" s="51">
        <v>6650</v>
      </c>
      <c r="G136" s="51">
        <v>5361.1111111111113</v>
      </c>
      <c r="H136" s="11"/>
      <c r="I136" s="11"/>
      <c r="J136" s="51"/>
      <c r="K136" s="2">
        <v>5311.5384615384619</v>
      </c>
      <c r="L136" s="2"/>
    </row>
    <row r="137" spans="1:12" x14ac:dyDescent="0.45">
      <c r="A137" s="8">
        <v>15</v>
      </c>
      <c r="B137" s="51">
        <v>3850</v>
      </c>
      <c r="C137" s="51">
        <v>6000</v>
      </c>
      <c r="D137" s="51">
        <v>4925</v>
      </c>
      <c r="E137" s="51">
        <v>3550</v>
      </c>
      <c r="F137" s="51">
        <v>6000</v>
      </c>
      <c r="G137" s="51">
        <v>4911.1111111111113</v>
      </c>
      <c r="H137" s="11"/>
      <c r="I137" s="11"/>
      <c r="J137" s="51"/>
      <c r="K137" s="2">
        <v>4915.3846153846152</v>
      </c>
      <c r="L137" s="2"/>
    </row>
    <row r="138" spans="1:12" x14ac:dyDescent="0.45">
      <c r="A138" s="8">
        <v>16</v>
      </c>
      <c r="B138" s="51">
        <v>3750</v>
      </c>
      <c r="C138" s="51">
        <v>6650</v>
      </c>
      <c r="D138" s="51">
        <v>5200</v>
      </c>
      <c r="E138" s="51">
        <v>3750</v>
      </c>
      <c r="F138" s="51">
        <v>6650</v>
      </c>
      <c r="G138" s="51">
        <v>5361.1111111111113</v>
      </c>
      <c r="H138" s="11"/>
      <c r="I138" s="11"/>
      <c r="J138" s="51"/>
      <c r="K138" s="2">
        <v>5311.5384615384619</v>
      </c>
      <c r="L138" s="2"/>
    </row>
    <row r="139" spans="1:12" x14ac:dyDescent="0.45">
      <c r="A139" s="7">
        <v>45304</v>
      </c>
      <c r="B139" s="51">
        <v>3860</v>
      </c>
      <c r="C139" s="51">
        <v>6511.1111111111113</v>
      </c>
      <c r="D139" s="51">
        <v>5115.7894736842109</v>
      </c>
      <c r="E139" s="51">
        <v>3750</v>
      </c>
      <c r="F139" s="51">
        <v>6432.1428571428569</v>
      </c>
      <c r="G139" s="51">
        <v>4501</v>
      </c>
      <c r="H139" s="11">
        <v>4500</v>
      </c>
      <c r="I139" s="11">
        <v>7500</v>
      </c>
      <c r="J139" s="51">
        <v>6300</v>
      </c>
      <c r="K139" s="2">
        <v>4780.405405405405</v>
      </c>
      <c r="L139" s="2"/>
    </row>
    <row r="140" spans="1:12" x14ac:dyDescent="0.45">
      <c r="A140" s="8">
        <v>7</v>
      </c>
      <c r="B140" s="51">
        <v>3800</v>
      </c>
      <c r="C140" s="51">
        <v>6850</v>
      </c>
      <c r="D140" s="51">
        <v>5325</v>
      </c>
      <c r="E140" s="51">
        <v>3837.5</v>
      </c>
      <c r="F140" s="51">
        <v>6850</v>
      </c>
      <c r="G140" s="51">
        <v>4841.666666666667</v>
      </c>
      <c r="H140" s="11">
        <v>4500</v>
      </c>
      <c r="I140" s="11">
        <v>7500</v>
      </c>
      <c r="J140" s="51">
        <v>6300</v>
      </c>
      <c r="K140" s="2">
        <v>5476.9230769230771</v>
      </c>
      <c r="L140" s="2"/>
    </row>
    <row r="141" spans="1:12" x14ac:dyDescent="0.45">
      <c r="A141" s="8">
        <v>8</v>
      </c>
      <c r="B141" s="51">
        <v>3800</v>
      </c>
      <c r="C141" s="51">
        <v>6200</v>
      </c>
      <c r="D141" s="51">
        <v>5000</v>
      </c>
      <c r="E141" s="51">
        <v>3775</v>
      </c>
      <c r="F141" s="51">
        <v>5800</v>
      </c>
      <c r="G141" s="51">
        <v>4450</v>
      </c>
      <c r="H141" s="11"/>
      <c r="I141" s="11"/>
      <c r="J141" s="51"/>
      <c r="K141" s="2">
        <v>4587.5</v>
      </c>
      <c r="L141" s="2"/>
    </row>
    <row r="142" spans="1:12" x14ac:dyDescent="0.45">
      <c r="A142" s="8">
        <v>9</v>
      </c>
      <c r="B142" s="51">
        <v>3750</v>
      </c>
      <c r="C142" s="51">
        <v>6650</v>
      </c>
      <c r="D142" s="51">
        <v>5200</v>
      </c>
      <c r="E142" s="51">
        <v>3762.5</v>
      </c>
      <c r="F142" s="51">
        <v>6650</v>
      </c>
      <c r="G142" s="51">
        <v>4340</v>
      </c>
      <c r="H142" s="11"/>
      <c r="I142" s="11"/>
      <c r="J142" s="51"/>
      <c r="K142" s="2">
        <v>4585.7142857142853</v>
      </c>
      <c r="L142" s="2"/>
    </row>
    <row r="143" spans="1:12" x14ac:dyDescent="0.45">
      <c r="A143" s="8">
        <v>10</v>
      </c>
      <c r="B143" s="51">
        <v>4100</v>
      </c>
      <c r="C143" s="51"/>
      <c r="D143" s="51">
        <v>4100</v>
      </c>
      <c r="E143" s="51">
        <v>4050</v>
      </c>
      <c r="F143" s="51"/>
      <c r="G143" s="51">
        <v>4050</v>
      </c>
      <c r="H143" s="11"/>
      <c r="I143" s="11"/>
      <c r="J143" s="51"/>
      <c r="K143" s="2">
        <v>4066.6666666666665</v>
      </c>
      <c r="L143" s="2"/>
    </row>
    <row r="144" spans="1:12" x14ac:dyDescent="0.45">
      <c r="A144" s="8">
        <v>11</v>
      </c>
      <c r="B144" s="51">
        <v>4200</v>
      </c>
      <c r="C144" s="51">
        <v>6550</v>
      </c>
      <c r="D144" s="51">
        <v>5375</v>
      </c>
      <c r="E144" s="51">
        <v>4100</v>
      </c>
      <c r="F144" s="51"/>
      <c r="G144" s="51">
        <v>4100</v>
      </c>
      <c r="H144" s="11"/>
      <c r="I144" s="11"/>
      <c r="J144" s="51"/>
      <c r="K144" s="2">
        <v>4737.5</v>
      </c>
      <c r="L144" s="2"/>
    </row>
    <row r="145" spans="1:12" x14ac:dyDescent="0.45">
      <c r="A145" s="8">
        <v>12</v>
      </c>
      <c r="B145" s="51">
        <v>3800</v>
      </c>
      <c r="C145" s="51">
        <v>6750</v>
      </c>
      <c r="D145" s="51">
        <v>5275</v>
      </c>
      <c r="E145" s="51">
        <v>3925</v>
      </c>
      <c r="F145" s="51">
        <v>6900</v>
      </c>
      <c r="G145" s="51">
        <v>4520</v>
      </c>
      <c r="H145" s="11"/>
      <c r="I145" s="11"/>
      <c r="J145" s="51"/>
      <c r="K145" s="2">
        <v>4735.7142857142853</v>
      </c>
      <c r="L145" s="2"/>
    </row>
    <row r="146" spans="1:12" x14ac:dyDescent="0.45">
      <c r="A146" s="8">
        <v>13</v>
      </c>
      <c r="B146" s="51">
        <v>3500</v>
      </c>
      <c r="C146" s="51">
        <v>6300</v>
      </c>
      <c r="D146" s="51">
        <v>4900</v>
      </c>
      <c r="E146" s="51">
        <v>3575</v>
      </c>
      <c r="F146" s="51">
        <v>6300</v>
      </c>
      <c r="G146" s="51">
        <v>4483.333333333333</v>
      </c>
      <c r="H146" s="11"/>
      <c r="I146" s="11"/>
      <c r="J146" s="51"/>
      <c r="K146" s="2">
        <v>4587.5</v>
      </c>
      <c r="L146" s="2"/>
    </row>
    <row r="147" spans="1:12" x14ac:dyDescent="0.45">
      <c r="A147" s="8">
        <v>14</v>
      </c>
      <c r="B147" s="51">
        <v>3750</v>
      </c>
      <c r="C147" s="51">
        <v>6650</v>
      </c>
      <c r="D147" s="51">
        <v>5200</v>
      </c>
      <c r="E147" s="51">
        <v>3725</v>
      </c>
      <c r="F147" s="51">
        <v>6650</v>
      </c>
      <c r="G147" s="51">
        <v>4700</v>
      </c>
      <c r="H147" s="11"/>
      <c r="I147" s="11"/>
      <c r="J147" s="51"/>
      <c r="K147" s="2">
        <v>4825</v>
      </c>
      <c r="L147" s="2"/>
    </row>
    <row r="148" spans="1:12" x14ac:dyDescent="0.45">
      <c r="A148" s="8">
        <v>15</v>
      </c>
      <c r="B148" s="51">
        <v>4150</v>
      </c>
      <c r="C148" s="51">
        <v>6000</v>
      </c>
      <c r="D148" s="51">
        <v>5075</v>
      </c>
      <c r="E148" s="51">
        <v>3350</v>
      </c>
      <c r="F148" s="51">
        <v>6000</v>
      </c>
      <c r="G148" s="51">
        <v>4233.333333333333</v>
      </c>
      <c r="H148" s="11"/>
      <c r="I148" s="11"/>
      <c r="J148" s="51"/>
      <c r="K148" s="2">
        <v>4443.75</v>
      </c>
      <c r="L148" s="2"/>
    </row>
    <row r="149" spans="1:12" x14ac:dyDescent="0.45">
      <c r="A149" s="8">
        <v>16</v>
      </c>
      <c r="B149" s="51">
        <v>3750</v>
      </c>
      <c r="C149" s="51">
        <v>6650</v>
      </c>
      <c r="D149" s="51">
        <v>5200</v>
      </c>
      <c r="E149" s="51">
        <v>3725</v>
      </c>
      <c r="F149" s="51">
        <v>6650</v>
      </c>
      <c r="G149" s="51">
        <v>4700</v>
      </c>
      <c r="H149" s="11"/>
      <c r="I149" s="11"/>
      <c r="J149" s="51"/>
      <c r="K149" s="2">
        <v>4825</v>
      </c>
      <c r="L149" s="2"/>
    </row>
    <row r="150" spans="1:12" x14ac:dyDescent="0.45">
      <c r="A150" s="7">
        <v>45305</v>
      </c>
      <c r="B150" s="51">
        <v>3853</v>
      </c>
      <c r="C150" s="51">
        <v>6511.1111111111113</v>
      </c>
      <c r="D150" s="51">
        <v>5112.105263157895</v>
      </c>
      <c r="E150" s="51">
        <v>3785</v>
      </c>
      <c r="F150" s="51">
        <v>6395</v>
      </c>
      <c r="G150" s="51">
        <v>4829</v>
      </c>
      <c r="H150" s="11">
        <v>4650</v>
      </c>
      <c r="I150" s="11"/>
      <c r="J150" s="51">
        <v>4650</v>
      </c>
      <c r="K150" s="2">
        <v>4926.145833333333</v>
      </c>
      <c r="L150" s="2"/>
    </row>
    <row r="151" spans="1:12" x14ac:dyDescent="0.45">
      <c r="A151" s="8">
        <v>7</v>
      </c>
      <c r="B151" s="51">
        <v>3800</v>
      </c>
      <c r="C151" s="51">
        <v>6850</v>
      </c>
      <c r="D151" s="51">
        <v>5325</v>
      </c>
      <c r="E151" s="51">
        <v>3883.3333333333335</v>
      </c>
      <c r="F151" s="51">
        <v>6850</v>
      </c>
      <c r="G151" s="51">
        <v>5070</v>
      </c>
      <c r="H151" s="11">
        <v>4650</v>
      </c>
      <c r="I151" s="11"/>
      <c r="J151" s="51">
        <v>4650</v>
      </c>
      <c r="K151" s="2">
        <v>4932.3529411764703</v>
      </c>
      <c r="L151" s="2"/>
    </row>
    <row r="152" spans="1:12" x14ac:dyDescent="0.45">
      <c r="A152" s="8">
        <v>8</v>
      </c>
      <c r="B152" s="51">
        <v>3800</v>
      </c>
      <c r="C152" s="51">
        <v>6200</v>
      </c>
      <c r="D152" s="51">
        <v>5000</v>
      </c>
      <c r="E152" s="51">
        <v>3800</v>
      </c>
      <c r="F152" s="51">
        <v>5800</v>
      </c>
      <c r="G152" s="51">
        <v>4800</v>
      </c>
      <c r="H152" s="11"/>
      <c r="I152" s="11"/>
      <c r="J152" s="51"/>
      <c r="K152" s="2">
        <v>4880</v>
      </c>
      <c r="L152" s="2"/>
    </row>
    <row r="153" spans="1:12" x14ac:dyDescent="0.45">
      <c r="A153" s="8">
        <v>9</v>
      </c>
      <c r="B153" s="51">
        <v>3730</v>
      </c>
      <c r="C153" s="51">
        <v>6650</v>
      </c>
      <c r="D153" s="51">
        <v>5190</v>
      </c>
      <c r="E153" s="51">
        <v>3833.3333333333335</v>
      </c>
      <c r="F153" s="51">
        <v>6575</v>
      </c>
      <c r="G153" s="51">
        <v>4930</v>
      </c>
      <c r="H153" s="11"/>
      <c r="I153" s="11"/>
      <c r="J153" s="51"/>
      <c r="K153" s="2">
        <v>5045.5555555555557</v>
      </c>
      <c r="L153" s="2"/>
    </row>
    <row r="154" spans="1:12" x14ac:dyDescent="0.45">
      <c r="A154" s="8">
        <v>10</v>
      </c>
      <c r="B154" s="51">
        <v>4100</v>
      </c>
      <c r="C154" s="51"/>
      <c r="D154" s="51">
        <v>4100</v>
      </c>
      <c r="E154" s="51">
        <v>4025</v>
      </c>
      <c r="F154" s="51"/>
      <c r="G154" s="51">
        <v>4025</v>
      </c>
      <c r="H154" s="11"/>
      <c r="I154" s="11"/>
      <c r="J154" s="51"/>
      <c r="K154" s="2">
        <v>4050</v>
      </c>
      <c r="L154" s="2"/>
    </row>
    <row r="155" spans="1:12" x14ac:dyDescent="0.45">
      <c r="A155" s="8">
        <v>11</v>
      </c>
      <c r="B155" s="51">
        <v>4200</v>
      </c>
      <c r="C155" s="51">
        <v>6550</v>
      </c>
      <c r="D155" s="51">
        <v>5375</v>
      </c>
      <c r="E155" s="51">
        <v>4125</v>
      </c>
      <c r="F155" s="51"/>
      <c r="G155" s="51">
        <v>4125</v>
      </c>
      <c r="H155" s="11"/>
      <c r="I155" s="11"/>
      <c r="J155" s="51"/>
      <c r="K155" s="2">
        <v>4958.333333333333</v>
      </c>
      <c r="L155" s="2"/>
    </row>
    <row r="156" spans="1:12" x14ac:dyDescent="0.45">
      <c r="A156" s="8">
        <v>12</v>
      </c>
      <c r="B156" s="51">
        <v>3950</v>
      </c>
      <c r="C156" s="51">
        <v>6750</v>
      </c>
      <c r="D156" s="51">
        <v>5350</v>
      </c>
      <c r="E156" s="51">
        <v>3933.3333333333335</v>
      </c>
      <c r="F156" s="51">
        <v>6900</v>
      </c>
      <c r="G156" s="51">
        <v>5120</v>
      </c>
      <c r="H156" s="11"/>
      <c r="I156" s="11"/>
      <c r="J156" s="51"/>
      <c r="K156" s="2">
        <v>5222.2222222222226</v>
      </c>
      <c r="L156" s="2"/>
    </row>
    <row r="157" spans="1:12" x14ac:dyDescent="0.45">
      <c r="A157" s="8">
        <v>13</v>
      </c>
      <c r="B157" s="51">
        <v>3300</v>
      </c>
      <c r="C157" s="51">
        <v>6300</v>
      </c>
      <c r="D157" s="51">
        <v>4800</v>
      </c>
      <c r="E157" s="51">
        <v>3400</v>
      </c>
      <c r="F157" s="51">
        <v>6300</v>
      </c>
      <c r="G157" s="51">
        <v>4560</v>
      </c>
      <c r="H157" s="11"/>
      <c r="I157" s="11"/>
      <c r="J157" s="51"/>
      <c r="K157" s="2">
        <v>4666.666666666667</v>
      </c>
      <c r="L157" s="2"/>
    </row>
    <row r="158" spans="1:12" x14ac:dyDescent="0.45">
      <c r="A158" s="8">
        <v>14</v>
      </c>
      <c r="B158" s="51">
        <v>3750</v>
      </c>
      <c r="C158" s="51">
        <v>6650</v>
      </c>
      <c r="D158" s="51">
        <v>5200</v>
      </c>
      <c r="E158" s="51">
        <v>3750</v>
      </c>
      <c r="F158" s="51">
        <v>6650</v>
      </c>
      <c r="G158" s="51">
        <v>4910</v>
      </c>
      <c r="H158" s="11"/>
      <c r="I158" s="11"/>
      <c r="J158" s="51"/>
      <c r="K158" s="2">
        <v>5038.8888888888887</v>
      </c>
      <c r="L158" s="2"/>
    </row>
    <row r="159" spans="1:12" x14ac:dyDescent="0.45">
      <c r="A159" s="8">
        <v>15</v>
      </c>
      <c r="B159" s="51">
        <v>4150</v>
      </c>
      <c r="C159" s="51">
        <v>6000</v>
      </c>
      <c r="D159" s="51">
        <v>5075</v>
      </c>
      <c r="E159" s="51">
        <v>3383.3333333333335</v>
      </c>
      <c r="F159" s="51">
        <v>6000</v>
      </c>
      <c r="G159" s="51">
        <v>4878.5714285714284</v>
      </c>
      <c r="H159" s="11"/>
      <c r="I159" s="11"/>
      <c r="J159" s="51"/>
      <c r="K159" s="2">
        <v>4950</v>
      </c>
      <c r="L159" s="2"/>
    </row>
    <row r="160" spans="1:12" x14ac:dyDescent="0.45">
      <c r="A160" s="8">
        <v>16</v>
      </c>
      <c r="B160" s="51">
        <v>3750</v>
      </c>
      <c r="C160" s="51">
        <v>6650</v>
      </c>
      <c r="D160" s="51">
        <v>5200</v>
      </c>
      <c r="E160" s="51">
        <v>3750</v>
      </c>
      <c r="F160" s="51">
        <v>6650</v>
      </c>
      <c r="G160" s="51">
        <v>5200</v>
      </c>
      <c r="H160" s="11"/>
      <c r="I160" s="11"/>
      <c r="J160" s="51"/>
      <c r="K160" s="2">
        <v>5200</v>
      </c>
      <c r="L160" s="2"/>
    </row>
    <row r="161" spans="1:12" x14ac:dyDescent="0.45">
      <c r="A161" s="7">
        <v>45306</v>
      </c>
      <c r="B161" s="51">
        <v>3823.8</v>
      </c>
      <c r="C161" s="51">
        <v>6560</v>
      </c>
      <c r="D161" s="51">
        <v>4996.4571428571426</v>
      </c>
      <c r="E161" s="51">
        <v>3770.4791666666665</v>
      </c>
      <c r="F161" s="51">
        <v>6603.09375</v>
      </c>
      <c r="G161" s="51">
        <v>4903.5249999999996</v>
      </c>
      <c r="H161" s="11"/>
      <c r="I161" s="11"/>
      <c r="J161" s="51"/>
      <c r="K161" s="2">
        <v>4931.8086956521738</v>
      </c>
      <c r="L161" s="2"/>
    </row>
    <row r="162" spans="1:12" x14ac:dyDescent="0.45">
      <c r="A162" s="8">
        <v>7</v>
      </c>
      <c r="B162" s="51">
        <v>3800</v>
      </c>
      <c r="C162" s="51">
        <v>6850</v>
      </c>
      <c r="D162" s="51">
        <v>5325</v>
      </c>
      <c r="E162" s="51">
        <v>3950</v>
      </c>
      <c r="F162" s="51">
        <v>6850</v>
      </c>
      <c r="G162" s="51">
        <v>5400</v>
      </c>
      <c r="H162" s="11"/>
      <c r="I162" s="11"/>
      <c r="J162" s="51"/>
      <c r="K162" s="2">
        <v>5378.5714285714284</v>
      </c>
      <c r="L162" s="2"/>
    </row>
    <row r="163" spans="1:12" x14ac:dyDescent="0.45">
      <c r="A163" s="8">
        <v>8</v>
      </c>
      <c r="B163" s="51">
        <v>3889</v>
      </c>
      <c r="C163" s="51">
        <v>6000</v>
      </c>
      <c r="D163" s="51">
        <v>4592.666666666667</v>
      </c>
      <c r="E163" s="51">
        <v>3930.25</v>
      </c>
      <c r="F163" s="51"/>
      <c r="G163" s="51">
        <v>3930.25</v>
      </c>
      <c r="H163" s="11"/>
      <c r="I163" s="11"/>
      <c r="J163" s="51"/>
      <c r="K163" s="2">
        <v>4214.1428571428569</v>
      </c>
      <c r="L163" s="2"/>
    </row>
    <row r="164" spans="1:12" x14ac:dyDescent="0.45">
      <c r="A164" s="8">
        <v>9</v>
      </c>
      <c r="B164" s="51">
        <v>3799</v>
      </c>
      <c r="C164" s="51"/>
      <c r="D164" s="51">
        <v>3799</v>
      </c>
      <c r="E164" s="51">
        <v>3722.4</v>
      </c>
      <c r="F164" s="51">
        <v>6699</v>
      </c>
      <c r="G164" s="51">
        <v>4218.5</v>
      </c>
      <c r="H164" s="11"/>
      <c r="I164" s="11"/>
      <c r="J164" s="51"/>
      <c r="K164" s="2">
        <v>4113.625</v>
      </c>
      <c r="L164" s="2"/>
    </row>
    <row r="165" spans="1:12" x14ac:dyDescent="0.45">
      <c r="A165" s="8">
        <v>10</v>
      </c>
      <c r="B165" s="51">
        <v>4100</v>
      </c>
      <c r="C165" s="51"/>
      <c r="D165" s="51">
        <v>4100</v>
      </c>
      <c r="E165" s="51">
        <v>4020</v>
      </c>
      <c r="F165" s="51"/>
      <c r="G165" s="51">
        <v>4020</v>
      </c>
      <c r="H165" s="11"/>
      <c r="I165" s="11"/>
      <c r="J165" s="51"/>
      <c r="K165" s="2">
        <v>4042.8571428571427</v>
      </c>
      <c r="L165" s="2"/>
    </row>
    <row r="166" spans="1:12" x14ac:dyDescent="0.45">
      <c r="A166" s="8">
        <v>11</v>
      </c>
      <c r="B166" s="51">
        <v>4000</v>
      </c>
      <c r="C166" s="51">
        <v>6800</v>
      </c>
      <c r="D166" s="51">
        <v>5400</v>
      </c>
      <c r="E166" s="51">
        <v>4000</v>
      </c>
      <c r="F166" s="51"/>
      <c r="G166" s="51">
        <v>4000</v>
      </c>
      <c r="H166" s="11"/>
      <c r="I166" s="11"/>
      <c r="J166" s="51"/>
      <c r="K166" s="2">
        <v>4800</v>
      </c>
      <c r="L166" s="2"/>
    </row>
    <row r="167" spans="1:12" x14ac:dyDescent="0.45">
      <c r="A167" s="8">
        <v>12</v>
      </c>
      <c r="B167" s="51">
        <v>3800</v>
      </c>
      <c r="C167" s="51">
        <v>6750</v>
      </c>
      <c r="D167" s="51">
        <v>5275</v>
      </c>
      <c r="E167" s="51">
        <v>3908.3333333333335</v>
      </c>
      <c r="F167" s="51">
        <v>6766.666666666667</v>
      </c>
      <c r="G167" s="51">
        <v>5337.5</v>
      </c>
      <c r="H167" s="11"/>
      <c r="I167" s="11"/>
      <c r="J167" s="51"/>
      <c r="K167" s="2">
        <v>5321.875</v>
      </c>
      <c r="L167" s="2"/>
    </row>
    <row r="168" spans="1:12" x14ac:dyDescent="0.45">
      <c r="A168" s="8">
        <v>13</v>
      </c>
      <c r="B168" s="51">
        <v>3300</v>
      </c>
      <c r="C168" s="51">
        <v>6300</v>
      </c>
      <c r="D168" s="51">
        <v>4800</v>
      </c>
      <c r="E168" s="51">
        <v>3400</v>
      </c>
      <c r="F168" s="51">
        <v>6300</v>
      </c>
      <c r="G168" s="51">
        <v>4850</v>
      </c>
      <c r="H168" s="11"/>
      <c r="I168" s="11"/>
      <c r="J168" s="51"/>
      <c r="K168" s="2">
        <v>4835.7142857142853</v>
      </c>
      <c r="L168" s="2"/>
    </row>
    <row r="169" spans="1:12" x14ac:dyDescent="0.45">
      <c r="A169" s="8">
        <v>14</v>
      </c>
      <c r="B169" s="51">
        <v>3750</v>
      </c>
      <c r="C169" s="51">
        <v>6650</v>
      </c>
      <c r="D169" s="51">
        <v>5200</v>
      </c>
      <c r="E169" s="51">
        <v>3750</v>
      </c>
      <c r="F169" s="51">
        <v>6650</v>
      </c>
      <c r="G169" s="51">
        <v>5200</v>
      </c>
      <c r="H169" s="11"/>
      <c r="I169" s="11"/>
      <c r="J169" s="51"/>
      <c r="K169" s="2">
        <v>5200</v>
      </c>
      <c r="L169" s="2"/>
    </row>
    <row r="170" spans="1:12" x14ac:dyDescent="0.45">
      <c r="A170" s="8">
        <v>15</v>
      </c>
      <c r="B170" s="51">
        <v>4050</v>
      </c>
      <c r="C170" s="51">
        <v>6200</v>
      </c>
      <c r="D170" s="51">
        <v>5125</v>
      </c>
      <c r="E170" s="51">
        <v>3370</v>
      </c>
      <c r="F170" s="51">
        <v>6350</v>
      </c>
      <c r="G170" s="51">
        <v>4860</v>
      </c>
      <c r="H170" s="11"/>
      <c r="I170" s="11"/>
      <c r="J170" s="51"/>
      <c r="K170" s="2">
        <v>4935.7142857142853</v>
      </c>
      <c r="L170" s="2"/>
    </row>
    <row r="171" spans="1:12" x14ac:dyDescent="0.45">
      <c r="A171" s="8">
        <v>16</v>
      </c>
      <c r="B171" s="51">
        <v>3750</v>
      </c>
      <c r="C171" s="51">
        <v>6650</v>
      </c>
      <c r="D171" s="51">
        <v>5200</v>
      </c>
      <c r="E171" s="51">
        <v>3750</v>
      </c>
      <c r="F171" s="51">
        <v>6650</v>
      </c>
      <c r="G171" s="51">
        <v>5200</v>
      </c>
      <c r="H171" s="11"/>
      <c r="I171" s="11"/>
      <c r="J171" s="51"/>
      <c r="K171" s="2">
        <v>5200</v>
      </c>
      <c r="L171" s="2"/>
    </row>
    <row r="172" spans="1:12" x14ac:dyDescent="0.45">
      <c r="A172" s="7">
        <v>45307</v>
      </c>
      <c r="B172" s="51">
        <v>3823.8</v>
      </c>
      <c r="C172" s="51">
        <v>6521</v>
      </c>
      <c r="D172" s="51">
        <v>5101.4210526315792</v>
      </c>
      <c r="E172" s="51">
        <v>3814.5806451612902</v>
      </c>
      <c r="F172" s="51">
        <v>6560</v>
      </c>
      <c r="G172" s="51">
        <v>4195.8888888888887</v>
      </c>
      <c r="H172" s="11">
        <v>4400</v>
      </c>
      <c r="I172" s="11">
        <v>7500</v>
      </c>
      <c r="J172" s="51">
        <v>5728.5714285714284</v>
      </c>
      <c r="K172" s="2">
        <v>4646.4354838709678</v>
      </c>
      <c r="L172" s="2"/>
    </row>
    <row r="173" spans="1:12" x14ac:dyDescent="0.45">
      <c r="A173" s="8">
        <v>7</v>
      </c>
      <c r="B173" s="51">
        <v>3800</v>
      </c>
      <c r="C173" s="51">
        <v>6850</v>
      </c>
      <c r="D173" s="51">
        <v>5325</v>
      </c>
      <c r="E173" s="51">
        <v>3950</v>
      </c>
      <c r="F173" s="51">
        <v>6850</v>
      </c>
      <c r="G173" s="51">
        <v>4675</v>
      </c>
      <c r="H173" s="11">
        <v>4650</v>
      </c>
      <c r="I173" s="11">
        <v>7500</v>
      </c>
      <c r="J173" s="51">
        <v>6360</v>
      </c>
      <c r="K173" s="2">
        <v>5559.090909090909</v>
      </c>
      <c r="L173" s="2"/>
    </row>
    <row r="174" spans="1:12" x14ac:dyDescent="0.45">
      <c r="A174" s="8">
        <v>8</v>
      </c>
      <c r="B174" s="51">
        <v>3889</v>
      </c>
      <c r="C174" s="51">
        <v>6000</v>
      </c>
      <c r="D174" s="51">
        <v>4944.5</v>
      </c>
      <c r="E174" s="51">
        <v>4185</v>
      </c>
      <c r="F174" s="51"/>
      <c r="G174" s="51">
        <v>4185</v>
      </c>
      <c r="H174" s="11"/>
      <c r="I174" s="11"/>
      <c r="J174" s="51"/>
      <c r="K174" s="2">
        <v>4488.8</v>
      </c>
      <c r="L174" s="2"/>
    </row>
    <row r="175" spans="1:12" x14ac:dyDescent="0.45">
      <c r="A175" s="8">
        <v>9</v>
      </c>
      <c r="B175" s="51">
        <v>3799</v>
      </c>
      <c r="C175" s="51">
        <v>6489</v>
      </c>
      <c r="D175" s="51">
        <v>5144</v>
      </c>
      <c r="E175" s="51">
        <v>3799</v>
      </c>
      <c r="F175" s="51"/>
      <c r="G175" s="51">
        <v>3799</v>
      </c>
      <c r="H175" s="11"/>
      <c r="I175" s="11"/>
      <c r="J175" s="51"/>
      <c r="K175" s="2">
        <v>4337</v>
      </c>
      <c r="L175" s="2"/>
    </row>
    <row r="176" spans="1:12" x14ac:dyDescent="0.45">
      <c r="A176" s="8">
        <v>10</v>
      </c>
      <c r="B176" s="51">
        <v>4100</v>
      </c>
      <c r="C176" s="51"/>
      <c r="D176" s="51">
        <v>4100</v>
      </c>
      <c r="E176" s="51">
        <v>4133.333333333333</v>
      </c>
      <c r="F176" s="51"/>
      <c r="G176" s="51">
        <v>4133.333333333333</v>
      </c>
      <c r="H176" s="11"/>
      <c r="I176" s="11"/>
      <c r="J176" s="51"/>
      <c r="K176" s="2">
        <v>4125</v>
      </c>
      <c r="L176" s="2"/>
    </row>
    <row r="177" spans="1:12" x14ac:dyDescent="0.45">
      <c r="A177" s="8">
        <v>11</v>
      </c>
      <c r="B177" s="51">
        <v>4000</v>
      </c>
      <c r="C177" s="51">
        <v>6800</v>
      </c>
      <c r="D177" s="51">
        <v>5400</v>
      </c>
      <c r="E177" s="51">
        <v>4000</v>
      </c>
      <c r="F177" s="51"/>
      <c r="G177" s="51">
        <v>4000</v>
      </c>
      <c r="H177" s="11"/>
      <c r="I177" s="11"/>
      <c r="J177" s="51"/>
      <c r="K177" s="2">
        <v>4560</v>
      </c>
      <c r="L177" s="2"/>
    </row>
    <row r="178" spans="1:12" x14ac:dyDescent="0.45">
      <c r="A178" s="8">
        <v>12</v>
      </c>
      <c r="B178" s="51">
        <v>3800</v>
      </c>
      <c r="C178" s="51">
        <v>6750</v>
      </c>
      <c r="D178" s="51">
        <v>5275</v>
      </c>
      <c r="E178" s="51">
        <v>3800</v>
      </c>
      <c r="F178" s="51"/>
      <c r="G178" s="51">
        <v>3800</v>
      </c>
      <c r="H178" s="11"/>
      <c r="I178" s="11"/>
      <c r="J178" s="51"/>
      <c r="K178" s="2">
        <v>4291.666666666667</v>
      </c>
      <c r="L178" s="2"/>
    </row>
    <row r="179" spans="1:12" x14ac:dyDescent="0.45">
      <c r="A179" s="8">
        <v>13</v>
      </c>
      <c r="B179" s="51">
        <v>3300</v>
      </c>
      <c r="C179" s="51">
        <v>6300</v>
      </c>
      <c r="D179" s="51">
        <v>4800</v>
      </c>
      <c r="E179" s="51">
        <v>3400</v>
      </c>
      <c r="F179" s="51">
        <v>6300</v>
      </c>
      <c r="G179" s="51">
        <v>4125</v>
      </c>
      <c r="H179" s="11"/>
      <c r="I179" s="11"/>
      <c r="J179" s="51"/>
      <c r="K179" s="2">
        <v>4350</v>
      </c>
      <c r="L179" s="2"/>
    </row>
    <row r="180" spans="1:12" x14ac:dyDescent="0.45">
      <c r="A180" s="8">
        <v>14</v>
      </c>
      <c r="B180" s="51">
        <v>3750</v>
      </c>
      <c r="C180" s="51">
        <v>6650</v>
      </c>
      <c r="D180" s="51">
        <v>5200</v>
      </c>
      <c r="E180" s="51">
        <v>3750</v>
      </c>
      <c r="F180" s="51">
        <v>6650</v>
      </c>
      <c r="G180" s="51">
        <v>4475</v>
      </c>
      <c r="H180" s="11"/>
      <c r="I180" s="11"/>
      <c r="J180" s="51"/>
      <c r="K180" s="2">
        <v>4716.666666666667</v>
      </c>
      <c r="L180" s="2"/>
    </row>
    <row r="181" spans="1:12" x14ac:dyDescent="0.45">
      <c r="A181" s="8">
        <v>15</v>
      </c>
      <c r="B181" s="51">
        <v>4050</v>
      </c>
      <c r="C181" s="51">
        <v>6200</v>
      </c>
      <c r="D181" s="51">
        <v>5125</v>
      </c>
      <c r="E181" s="51">
        <v>3383.3333333333335</v>
      </c>
      <c r="F181" s="51">
        <v>6350</v>
      </c>
      <c r="G181" s="51">
        <v>4125</v>
      </c>
      <c r="H181" s="11">
        <v>4150</v>
      </c>
      <c r="I181" s="11"/>
      <c r="J181" s="51">
        <v>4150</v>
      </c>
      <c r="K181" s="2">
        <v>4381.25</v>
      </c>
      <c r="L181" s="2"/>
    </row>
    <row r="182" spans="1:12" x14ac:dyDescent="0.45">
      <c r="A182" s="8">
        <v>16</v>
      </c>
      <c r="B182" s="51">
        <v>3750</v>
      </c>
      <c r="C182" s="51">
        <v>6650</v>
      </c>
      <c r="D182" s="51">
        <v>5200</v>
      </c>
      <c r="E182" s="51">
        <v>3750</v>
      </c>
      <c r="F182" s="51">
        <v>6650</v>
      </c>
      <c r="G182" s="51">
        <v>4475</v>
      </c>
      <c r="H182" s="11"/>
      <c r="I182" s="11"/>
      <c r="J182" s="51"/>
      <c r="K182" s="2">
        <v>4716.666666666667</v>
      </c>
      <c r="L182" s="2"/>
    </row>
    <row r="183" spans="1:12" x14ac:dyDescent="0.45">
      <c r="A183" s="7">
        <v>45308</v>
      </c>
      <c r="B183" s="51">
        <v>3793.1111111111113</v>
      </c>
      <c r="C183" s="51">
        <v>6621.4285714285716</v>
      </c>
      <c r="D183" s="51">
        <v>5030.5</v>
      </c>
      <c r="E183" s="51">
        <v>3742</v>
      </c>
      <c r="F183" s="51">
        <v>6558.0625</v>
      </c>
      <c r="G183" s="51">
        <v>5048</v>
      </c>
      <c r="H183" s="11"/>
      <c r="I183" s="11"/>
      <c r="J183" s="51"/>
      <c r="K183" s="2">
        <v>5044.7058823529414</v>
      </c>
      <c r="L183" s="2"/>
    </row>
    <row r="184" spans="1:12" x14ac:dyDescent="0.45">
      <c r="A184" s="8">
        <v>7</v>
      </c>
      <c r="B184" s="51">
        <v>3800</v>
      </c>
      <c r="C184" s="51">
        <v>7000</v>
      </c>
      <c r="D184" s="51">
        <v>5400</v>
      </c>
      <c r="E184" s="51">
        <v>3937.5</v>
      </c>
      <c r="F184" s="51">
        <v>6890</v>
      </c>
      <c r="G184" s="51">
        <v>5577.7777777777774</v>
      </c>
      <c r="H184" s="11"/>
      <c r="I184" s="11"/>
      <c r="J184" s="51"/>
      <c r="K184" s="2">
        <v>5545.454545454545</v>
      </c>
      <c r="L184" s="2"/>
    </row>
    <row r="185" spans="1:12" x14ac:dyDescent="0.45">
      <c r="A185" s="8">
        <v>8</v>
      </c>
      <c r="B185" s="51">
        <v>3889</v>
      </c>
      <c r="C185" s="51"/>
      <c r="D185" s="51">
        <v>3889</v>
      </c>
      <c r="E185" s="51">
        <v>4010.5</v>
      </c>
      <c r="F185" s="51">
        <v>6379.5</v>
      </c>
      <c r="G185" s="51">
        <v>4800.166666666667</v>
      </c>
      <c r="H185" s="11"/>
      <c r="I185" s="11"/>
      <c r="J185" s="51"/>
      <c r="K185" s="2">
        <v>4670</v>
      </c>
      <c r="L185" s="2"/>
    </row>
    <row r="186" spans="1:12" x14ac:dyDescent="0.45">
      <c r="A186" s="8">
        <v>9</v>
      </c>
      <c r="B186" s="51">
        <v>3799</v>
      </c>
      <c r="C186" s="51"/>
      <c r="D186" s="51">
        <v>3799</v>
      </c>
      <c r="E186" s="51">
        <v>3715.5</v>
      </c>
      <c r="F186" s="51">
        <v>6699</v>
      </c>
      <c r="G186" s="51">
        <v>4312.2</v>
      </c>
      <c r="H186" s="11"/>
      <c r="I186" s="11"/>
      <c r="J186" s="51"/>
      <c r="K186" s="2">
        <v>4226.666666666667</v>
      </c>
      <c r="L186" s="2"/>
    </row>
    <row r="187" spans="1:12" x14ac:dyDescent="0.45">
      <c r="A187" s="8">
        <v>10</v>
      </c>
      <c r="B187" s="51"/>
      <c r="C187" s="51"/>
      <c r="D187" s="51"/>
      <c r="E187" s="51">
        <v>4200</v>
      </c>
      <c r="F187" s="51"/>
      <c r="G187" s="51">
        <v>4200</v>
      </c>
      <c r="H187" s="11"/>
      <c r="I187" s="11"/>
      <c r="J187" s="51"/>
      <c r="K187" s="2">
        <v>4200</v>
      </c>
      <c r="L187" s="2"/>
    </row>
    <row r="188" spans="1:12" x14ac:dyDescent="0.45">
      <c r="A188" s="8">
        <v>11</v>
      </c>
      <c r="B188" s="51">
        <v>4000</v>
      </c>
      <c r="C188" s="51">
        <v>6800</v>
      </c>
      <c r="D188" s="51">
        <v>5400</v>
      </c>
      <c r="E188" s="51">
        <v>3950</v>
      </c>
      <c r="F188" s="51"/>
      <c r="G188" s="51">
        <v>3950</v>
      </c>
      <c r="H188" s="11"/>
      <c r="I188" s="11"/>
      <c r="J188" s="51"/>
      <c r="K188" s="2">
        <v>4433.333333333333</v>
      </c>
      <c r="L188" s="2"/>
    </row>
    <row r="189" spans="1:12" x14ac:dyDescent="0.45">
      <c r="A189" s="8">
        <v>12</v>
      </c>
      <c r="B189" s="51">
        <v>3800</v>
      </c>
      <c r="C189" s="51">
        <v>6750</v>
      </c>
      <c r="D189" s="51">
        <v>5275</v>
      </c>
      <c r="E189" s="51">
        <v>3775</v>
      </c>
      <c r="F189" s="51">
        <v>6700</v>
      </c>
      <c r="G189" s="51">
        <v>5400</v>
      </c>
      <c r="H189" s="11"/>
      <c r="I189" s="11"/>
      <c r="J189" s="51"/>
      <c r="K189" s="2">
        <v>5377.272727272727</v>
      </c>
      <c r="L189" s="2"/>
    </row>
    <row r="190" spans="1:12" x14ac:dyDescent="0.45">
      <c r="A190" s="8">
        <v>13</v>
      </c>
      <c r="B190" s="51">
        <v>3300</v>
      </c>
      <c r="C190" s="51">
        <v>6300</v>
      </c>
      <c r="D190" s="51">
        <v>4800</v>
      </c>
      <c r="E190" s="51">
        <v>3375</v>
      </c>
      <c r="F190" s="51">
        <v>6300</v>
      </c>
      <c r="G190" s="51">
        <v>5130</v>
      </c>
      <c r="H190" s="11"/>
      <c r="I190" s="11"/>
      <c r="J190" s="51"/>
      <c r="K190" s="2">
        <v>5075</v>
      </c>
      <c r="L190" s="2"/>
    </row>
    <row r="191" spans="1:12" x14ac:dyDescent="0.45">
      <c r="A191" s="8">
        <v>14</v>
      </c>
      <c r="B191" s="51">
        <v>3750</v>
      </c>
      <c r="C191" s="51">
        <v>6650</v>
      </c>
      <c r="D191" s="51">
        <v>5200</v>
      </c>
      <c r="E191" s="51">
        <v>3725</v>
      </c>
      <c r="F191" s="51">
        <v>6650</v>
      </c>
      <c r="G191" s="51">
        <v>4700</v>
      </c>
      <c r="H191" s="11"/>
      <c r="I191" s="11"/>
      <c r="J191" s="51"/>
      <c r="K191" s="2">
        <v>4825</v>
      </c>
      <c r="L191" s="2"/>
    </row>
    <row r="192" spans="1:12" x14ac:dyDescent="0.45">
      <c r="A192" s="8">
        <v>15</v>
      </c>
      <c r="B192" s="51">
        <v>4050</v>
      </c>
      <c r="C192" s="51">
        <v>6200</v>
      </c>
      <c r="D192" s="51">
        <v>5125</v>
      </c>
      <c r="E192" s="51">
        <v>3350</v>
      </c>
      <c r="F192" s="51">
        <v>6350</v>
      </c>
      <c r="G192" s="51">
        <v>5150</v>
      </c>
      <c r="H192" s="11"/>
      <c r="I192" s="11"/>
      <c r="J192" s="51"/>
      <c r="K192" s="2">
        <v>5145.833333333333</v>
      </c>
      <c r="L192" s="2"/>
    </row>
    <row r="193" spans="1:12" x14ac:dyDescent="0.45">
      <c r="A193" s="8">
        <v>16</v>
      </c>
      <c r="B193" s="51">
        <v>3750</v>
      </c>
      <c r="C193" s="51">
        <v>6650</v>
      </c>
      <c r="D193" s="51">
        <v>5200</v>
      </c>
      <c r="E193" s="51">
        <v>3725</v>
      </c>
      <c r="F193" s="51">
        <v>6650</v>
      </c>
      <c r="G193" s="51">
        <v>5350</v>
      </c>
      <c r="H193" s="11"/>
      <c r="I193" s="11"/>
      <c r="J193" s="51"/>
      <c r="K193" s="2">
        <v>5322.727272727273</v>
      </c>
      <c r="L193" s="2"/>
    </row>
    <row r="194" spans="1:12" x14ac:dyDescent="0.45">
      <c r="A194" s="7">
        <v>45309</v>
      </c>
      <c r="B194" s="51">
        <v>3788.8</v>
      </c>
      <c r="C194" s="51">
        <v>6487.666666666667</v>
      </c>
      <c r="D194" s="51">
        <v>5067.2105263157891</v>
      </c>
      <c r="E194" s="51">
        <v>3773.5641025641025</v>
      </c>
      <c r="F194" s="51">
        <v>6500</v>
      </c>
      <c r="G194" s="51">
        <v>4188.45652173913</v>
      </c>
      <c r="H194" s="11">
        <v>4442.8571428571431</v>
      </c>
      <c r="I194" s="11"/>
      <c r="J194" s="51">
        <v>4442.8571428571431</v>
      </c>
      <c r="K194" s="2">
        <v>4565.5408163265311</v>
      </c>
      <c r="L194" s="2"/>
    </row>
    <row r="195" spans="1:12" x14ac:dyDescent="0.45">
      <c r="A195" s="8">
        <v>7</v>
      </c>
      <c r="B195" s="51">
        <v>3800</v>
      </c>
      <c r="C195" s="51">
        <v>7000</v>
      </c>
      <c r="D195" s="51">
        <v>5400</v>
      </c>
      <c r="E195" s="51">
        <v>3950</v>
      </c>
      <c r="F195" s="51">
        <v>7050</v>
      </c>
      <c r="G195" s="51">
        <v>4570</v>
      </c>
      <c r="H195" s="11">
        <v>4650</v>
      </c>
      <c r="I195" s="11"/>
      <c r="J195" s="51">
        <v>4650</v>
      </c>
      <c r="K195" s="2">
        <v>4802.9411764705883</v>
      </c>
      <c r="L195" s="2"/>
    </row>
    <row r="196" spans="1:12" x14ac:dyDescent="0.45">
      <c r="A196" s="8">
        <v>8</v>
      </c>
      <c r="B196" s="51">
        <v>3889</v>
      </c>
      <c r="C196" s="51">
        <v>6000</v>
      </c>
      <c r="D196" s="51">
        <v>4944.5</v>
      </c>
      <c r="E196" s="51">
        <v>3868</v>
      </c>
      <c r="F196" s="51"/>
      <c r="G196" s="51">
        <v>3868</v>
      </c>
      <c r="H196" s="11"/>
      <c r="I196" s="11"/>
      <c r="J196" s="51"/>
      <c r="K196" s="2">
        <v>4406.25</v>
      </c>
      <c r="L196" s="2"/>
    </row>
    <row r="197" spans="1:12" x14ac:dyDescent="0.45">
      <c r="A197" s="8">
        <v>9</v>
      </c>
      <c r="B197" s="51">
        <v>3799</v>
      </c>
      <c r="C197" s="51">
        <v>6489</v>
      </c>
      <c r="D197" s="51">
        <v>5144</v>
      </c>
      <c r="E197" s="51">
        <v>3799</v>
      </c>
      <c r="F197" s="51"/>
      <c r="G197" s="51">
        <v>3799</v>
      </c>
      <c r="H197" s="11"/>
      <c r="I197" s="11"/>
      <c r="J197" s="51"/>
      <c r="K197" s="2">
        <v>4567.5714285714284</v>
      </c>
      <c r="L197" s="2"/>
    </row>
    <row r="198" spans="1:12" x14ac:dyDescent="0.45">
      <c r="A198" s="8">
        <v>10</v>
      </c>
      <c r="B198" s="51">
        <v>4200</v>
      </c>
      <c r="C198" s="51"/>
      <c r="D198" s="51">
        <v>4200</v>
      </c>
      <c r="E198" s="51">
        <v>4175</v>
      </c>
      <c r="F198" s="51"/>
      <c r="G198" s="51">
        <v>4175</v>
      </c>
      <c r="H198" s="11"/>
      <c r="I198" s="11"/>
      <c r="J198" s="51"/>
      <c r="K198" s="2">
        <v>4183.333333333333</v>
      </c>
      <c r="L198" s="2"/>
    </row>
    <row r="199" spans="1:12" x14ac:dyDescent="0.45">
      <c r="A199" s="8">
        <v>11</v>
      </c>
      <c r="B199" s="51">
        <v>4000</v>
      </c>
      <c r="C199" s="51">
        <v>6550</v>
      </c>
      <c r="D199" s="51">
        <v>5275</v>
      </c>
      <c r="E199" s="51">
        <v>4000</v>
      </c>
      <c r="F199" s="51"/>
      <c r="G199" s="51">
        <v>4000</v>
      </c>
      <c r="H199" s="11"/>
      <c r="I199" s="11"/>
      <c r="J199" s="51"/>
      <c r="K199" s="2">
        <v>4728.5714285714284</v>
      </c>
      <c r="L199" s="2"/>
    </row>
    <row r="200" spans="1:12" x14ac:dyDescent="0.45">
      <c r="A200" s="8">
        <v>12</v>
      </c>
      <c r="B200" s="51">
        <v>3750</v>
      </c>
      <c r="C200" s="51">
        <v>6750</v>
      </c>
      <c r="D200" s="51">
        <v>5250</v>
      </c>
      <c r="E200" s="51">
        <v>3760</v>
      </c>
      <c r="F200" s="51">
        <v>6700</v>
      </c>
      <c r="G200" s="51">
        <v>4250</v>
      </c>
      <c r="H200" s="11"/>
      <c r="I200" s="11"/>
      <c r="J200" s="51"/>
      <c r="K200" s="2">
        <v>4650</v>
      </c>
      <c r="L200" s="2"/>
    </row>
    <row r="201" spans="1:12" x14ac:dyDescent="0.45">
      <c r="A201" s="8">
        <v>13</v>
      </c>
      <c r="B201" s="51">
        <v>3300</v>
      </c>
      <c r="C201" s="51">
        <v>6300</v>
      </c>
      <c r="D201" s="51">
        <v>4800</v>
      </c>
      <c r="E201" s="51">
        <v>3400</v>
      </c>
      <c r="F201" s="51">
        <v>6250</v>
      </c>
      <c r="G201" s="51">
        <v>4350</v>
      </c>
      <c r="H201" s="11"/>
      <c r="I201" s="11"/>
      <c r="J201" s="51"/>
      <c r="K201" s="2">
        <v>4530</v>
      </c>
      <c r="L201" s="2"/>
    </row>
    <row r="202" spans="1:12" x14ac:dyDescent="0.45">
      <c r="A202" s="8">
        <v>14</v>
      </c>
      <c r="B202" s="51">
        <v>3750</v>
      </c>
      <c r="C202" s="51">
        <v>6650</v>
      </c>
      <c r="D202" s="51">
        <v>5200</v>
      </c>
      <c r="E202" s="51">
        <v>3725</v>
      </c>
      <c r="F202" s="51"/>
      <c r="G202" s="51">
        <v>3725</v>
      </c>
      <c r="H202" s="11">
        <v>4200</v>
      </c>
      <c r="I202" s="11"/>
      <c r="J202" s="51">
        <v>4200</v>
      </c>
      <c r="K202" s="2">
        <v>4410</v>
      </c>
      <c r="L202" s="2"/>
    </row>
    <row r="203" spans="1:12" x14ac:dyDescent="0.45">
      <c r="A203" s="8">
        <v>15</v>
      </c>
      <c r="B203" s="51">
        <v>3650</v>
      </c>
      <c r="C203" s="51">
        <v>6300</v>
      </c>
      <c r="D203" s="51">
        <v>4975</v>
      </c>
      <c r="E203" s="51">
        <v>3375</v>
      </c>
      <c r="F203" s="51">
        <v>6300</v>
      </c>
      <c r="G203" s="51">
        <v>4350</v>
      </c>
      <c r="H203" s="11">
        <v>4150</v>
      </c>
      <c r="I203" s="11"/>
      <c r="J203" s="51">
        <v>4150</v>
      </c>
      <c r="K203" s="2">
        <v>4471.4285714285716</v>
      </c>
      <c r="L203" s="2"/>
    </row>
    <row r="204" spans="1:12" x14ac:dyDescent="0.45">
      <c r="A204" s="8">
        <v>16</v>
      </c>
      <c r="B204" s="51">
        <v>3750</v>
      </c>
      <c r="C204" s="51">
        <v>6350</v>
      </c>
      <c r="D204" s="51">
        <v>5050</v>
      </c>
      <c r="E204" s="51">
        <v>3750</v>
      </c>
      <c r="F204" s="51">
        <v>6650</v>
      </c>
      <c r="G204" s="51">
        <v>4330</v>
      </c>
      <c r="H204" s="11"/>
      <c r="I204" s="11"/>
      <c r="J204" s="51"/>
      <c r="K204" s="2">
        <v>4650</v>
      </c>
      <c r="L204" s="2"/>
    </row>
    <row r="205" spans="1:12" x14ac:dyDescent="0.45">
      <c r="A205" s="7">
        <v>45310</v>
      </c>
      <c r="B205" s="51">
        <v>3847.1</v>
      </c>
      <c r="C205" s="51">
        <v>6564.625</v>
      </c>
      <c r="D205" s="51">
        <v>5054.8888888888887</v>
      </c>
      <c r="E205" s="51">
        <v>3790.4324324324325</v>
      </c>
      <c r="F205" s="51">
        <v>6463.7241379310344</v>
      </c>
      <c r="G205" s="51">
        <v>4965.060606060606</v>
      </c>
      <c r="H205" s="11"/>
      <c r="I205" s="11"/>
      <c r="J205" s="51"/>
      <c r="K205" s="2">
        <v>4996.7647058823532</v>
      </c>
      <c r="L205" s="2"/>
    </row>
    <row r="206" spans="1:12" x14ac:dyDescent="0.45">
      <c r="A206" s="8">
        <v>7</v>
      </c>
      <c r="B206" s="51">
        <v>3800</v>
      </c>
      <c r="C206" s="51">
        <v>7000</v>
      </c>
      <c r="D206" s="51">
        <v>5400</v>
      </c>
      <c r="E206" s="51">
        <v>4000</v>
      </c>
      <c r="F206" s="51">
        <v>7050</v>
      </c>
      <c r="G206" s="51">
        <v>5016.666666666667</v>
      </c>
      <c r="H206" s="11"/>
      <c r="I206" s="11"/>
      <c r="J206" s="51"/>
      <c r="K206" s="2">
        <v>5170</v>
      </c>
      <c r="L206" s="2"/>
    </row>
    <row r="207" spans="1:12" x14ac:dyDescent="0.45">
      <c r="A207" s="8">
        <v>8</v>
      </c>
      <c r="B207" s="51">
        <v>4022</v>
      </c>
      <c r="C207" s="51"/>
      <c r="D207" s="51">
        <v>4022</v>
      </c>
      <c r="E207" s="51">
        <v>4100</v>
      </c>
      <c r="F207" s="51"/>
      <c r="G207" s="51">
        <v>4100</v>
      </c>
      <c r="H207" s="11"/>
      <c r="I207" s="11"/>
      <c r="J207" s="51"/>
      <c r="K207" s="2">
        <v>4048</v>
      </c>
      <c r="L207" s="2"/>
    </row>
    <row r="208" spans="1:12" x14ac:dyDescent="0.45">
      <c r="A208" s="8">
        <v>9</v>
      </c>
      <c r="B208" s="51">
        <v>3799</v>
      </c>
      <c r="C208" s="51">
        <v>6642</v>
      </c>
      <c r="D208" s="51">
        <v>5220.5</v>
      </c>
      <c r="E208" s="51">
        <v>3799</v>
      </c>
      <c r="F208" s="51">
        <v>6599</v>
      </c>
      <c r="G208" s="51">
        <v>4732.333333333333</v>
      </c>
      <c r="H208" s="11"/>
      <c r="I208" s="11"/>
      <c r="J208" s="51"/>
      <c r="K208" s="2">
        <v>4927.6000000000004</v>
      </c>
      <c r="L208" s="2"/>
    </row>
    <row r="209" spans="1:12" x14ac:dyDescent="0.45">
      <c r="A209" s="8">
        <v>10</v>
      </c>
      <c r="B209" s="51">
        <v>4200</v>
      </c>
      <c r="C209" s="51"/>
      <c r="D209" s="51">
        <v>4200</v>
      </c>
      <c r="E209" s="51">
        <v>4200</v>
      </c>
      <c r="F209" s="51"/>
      <c r="G209" s="51">
        <v>4200</v>
      </c>
      <c r="H209" s="11"/>
      <c r="I209" s="11"/>
      <c r="J209" s="51"/>
      <c r="K209" s="2">
        <v>4200</v>
      </c>
      <c r="L209" s="2"/>
    </row>
    <row r="210" spans="1:12" x14ac:dyDescent="0.45">
      <c r="A210" s="8">
        <v>11</v>
      </c>
      <c r="B210" s="51">
        <v>4000</v>
      </c>
      <c r="C210" s="51">
        <v>6800</v>
      </c>
      <c r="D210" s="51">
        <v>5400</v>
      </c>
      <c r="E210" s="51">
        <v>3975</v>
      </c>
      <c r="F210" s="51">
        <v>6400</v>
      </c>
      <c r="G210" s="51">
        <v>5014.2857142857147</v>
      </c>
      <c r="H210" s="11"/>
      <c r="I210" s="11"/>
      <c r="J210" s="51"/>
      <c r="K210" s="2">
        <v>5154.545454545455</v>
      </c>
      <c r="L210" s="2"/>
    </row>
    <row r="211" spans="1:12" x14ac:dyDescent="0.45">
      <c r="A211" s="8">
        <v>12</v>
      </c>
      <c r="B211" s="51">
        <v>3800</v>
      </c>
      <c r="C211" s="51">
        <v>6750</v>
      </c>
      <c r="D211" s="51">
        <v>5275</v>
      </c>
      <c r="E211" s="51">
        <v>3800</v>
      </c>
      <c r="F211" s="51">
        <v>6700</v>
      </c>
      <c r="G211" s="51">
        <v>5250</v>
      </c>
      <c r="H211" s="11"/>
      <c r="I211" s="11"/>
      <c r="J211" s="51"/>
      <c r="K211" s="2">
        <v>5258.333333333333</v>
      </c>
      <c r="L211" s="2"/>
    </row>
    <row r="212" spans="1:12" x14ac:dyDescent="0.45">
      <c r="A212" s="8">
        <v>13</v>
      </c>
      <c r="B212" s="51">
        <v>3300</v>
      </c>
      <c r="C212" s="51">
        <v>6300</v>
      </c>
      <c r="D212" s="51">
        <v>4800</v>
      </c>
      <c r="E212" s="51">
        <v>3400</v>
      </c>
      <c r="F212" s="51">
        <v>6300</v>
      </c>
      <c r="G212" s="51">
        <v>5011.1111111111113</v>
      </c>
      <c r="H212" s="11"/>
      <c r="I212" s="11"/>
      <c r="J212" s="51"/>
      <c r="K212" s="2">
        <v>4946.1538461538457</v>
      </c>
      <c r="L212" s="2"/>
    </row>
    <row r="213" spans="1:12" x14ac:dyDescent="0.45">
      <c r="A213" s="8">
        <v>14</v>
      </c>
      <c r="B213" s="51">
        <v>3750</v>
      </c>
      <c r="C213" s="51">
        <v>6650</v>
      </c>
      <c r="D213" s="51">
        <v>5200</v>
      </c>
      <c r="E213" s="51">
        <v>3725</v>
      </c>
      <c r="F213" s="51">
        <v>6650</v>
      </c>
      <c r="G213" s="51">
        <v>5187.5</v>
      </c>
      <c r="H213" s="11"/>
      <c r="I213" s="11"/>
      <c r="J213" s="51"/>
      <c r="K213" s="2">
        <v>5191.666666666667</v>
      </c>
      <c r="L213" s="2"/>
    </row>
    <row r="214" spans="1:12" x14ac:dyDescent="0.45">
      <c r="A214" s="8">
        <v>15</v>
      </c>
      <c r="B214" s="51">
        <v>4050</v>
      </c>
      <c r="C214" s="51">
        <v>6325</v>
      </c>
      <c r="D214" s="51">
        <v>5187.5</v>
      </c>
      <c r="E214" s="51">
        <v>3387.5</v>
      </c>
      <c r="F214" s="51">
        <v>6370</v>
      </c>
      <c r="G214" s="51">
        <v>5044.4444444444443</v>
      </c>
      <c r="H214" s="11"/>
      <c r="I214" s="11"/>
      <c r="J214" s="51"/>
      <c r="K214" s="2">
        <v>5088.4615384615381</v>
      </c>
      <c r="L214" s="2"/>
    </row>
    <row r="215" spans="1:12" x14ac:dyDescent="0.45">
      <c r="A215" s="8">
        <v>16</v>
      </c>
      <c r="B215" s="51">
        <v>3750</v>
      </c>
      <c r="C215" s="51">
        <v>6050</v>
      </c>
      <c r="D215" s="51">
        <v>4900</v>
      </c>
      <c r="E215" s="51">
        <v>3750</v>
      </c>
      <c r="F215" s="51">
        <v>6050</v>
      </c>
      <c r="G215" s="51">
        <v>4900</v>
      </c>
      <c r="H215" s="11"/>
      <c r="I215" s="11"/>
      <c r="J215" s="51"/>
      <c r="K215" s="2">
        <v>4900</v>
      </c>
      <c r="L215" s="2"/>
    </row>
    <row r="216" spans="1:12" x14ac:dyDescent="0.45">
      <c r="A216" s="7">
        <v>45311</v>
      </c>
      <c r="B216" s="51">
        <v>3845.4</v>
      </c>
      <c r="C216" s="51">
        <v>6527.666666666667</v>
      </c>
      <c r="D216" s="51">
        <v>5115.9473684210525</v>
      </c>
      <c r="E216" s="51">
        <v>3757.5769230769229</v>
      </c>
      <c r="F216" s="51">
        <v>6392.6153846153848</v>
      </c>
      <c r="G216" s="51">
        <v>5075.0961538461543</v>
      </c>
      <c r="H216" s="11">
        <v>4175</v>
      </c>
      <c r="I216" s="11"/>
      <c r="J216" s="51">
        <v>4175</v>
      </c>
      <c r="K216" s="2">
        <v>5037.4399999999996</v>
      </c>
      <c r="L216" s="2"/>
    </row>
    <row r="217" spans="1:12" x14ac:dyDescent="0.45">
      <c r="A217" s="8">
        <v>7</v>
      </c>
      <c r="B217" s="51">
        <v>3900</v>
      </c>
      <c r="C217" s="51">
        <v>7000</v>
      </c>
      <c r="D217" s="51">
        <v>5450</v>
      </c>
      <c r="E217" s="51">
        <v>4200</v>
      </c>
      <c r="F217" s="51"/>
      <c r="G217" s="51">
        <v>4200</v>
      </c>
      <c r="H217" s="11"/>
      <c r="I217" s="11"/>
      <c r="J217" s="51"/>
      <c r="K217" s="2">
        <v>5033.333333333333</v>
      </c>
      <c r="L217" s="2"/>
    </row>
    <row r="218" spans="1:12" x14ac:dyDescent="0.45">
      <c r="A218" s="8">
        <v>8</v>
      </c>
      <c r="B218" s="51">
        <v>4155</v>
      </c>
      <c r="C218" s="51">
        <v>6400</v>
      </c>
      <c r="D218" s="51">
        <v>5277.5</v>
      </c>
      <c r="E218" s="51">
        <v>4100</v>
      </c>
      <c r="F218" s="51">
        <v>6379.5</v>
      </c>
      <c r="G218" s="51">
        <v>5619.666666666667</v>
      </c>
      <c r="H218" s="11"/>
      <c r="I218" s="11"/>
      <c r="J218" s="51"/>
      <c r="K218" s="2">
        <v>5482.8</v>
      </c>
      <c r="L218" s="2"/>
    </row>
    <row r="219" spans="1:12" x14ac:dyDescent="0.45">
      <c r="A219" s="8">
        <v>9</v>
      </c>
      <c r="B219" s="51">
        <v>3799</v>
      </c>
      <c r="C219" s="51">
        <v>6699</v>
      </c>
      <c r="D219" s="51">
        <v>5249</v>
      </c>
      <c r="E219" s="51">
        <v>3799</v>
      </c>
      <c r="F219" s="51">
        <v>6699</v>
      </c>
      <c r="G219" s="51">
        <v>4524</v>
      </c>
      <c r="H219" s="11"/>
      <c r="I219" s="11"/>
      <c r="J219" s="51"/>
      <c r="K219" s="2">
        <v>4765.666666666667</v>
      </c>
      <c r="L219" s="2"/>
    </row>
    <row r="220" spans="1:12" x14ac:dyDescent="0.45">
      <c r="A220" s="8">
        <v>10</v>
      </c>
      <c r="B220" s="51">
        <v>4200</v>
      </c>
      <c r="C220" s="51"/>
      <c r="D220" s="51">
        <v>4200</v>
      </c>
      <c r="E220" s="51">
        <v>4200</v>
      </c>
      <c r="F220" s="51"/>
      <c r="G220" s="51">
        <v>4200</v>
      </c>
      <c r="H220" s="11"/>
      <c r="I220" s="11"/>
      <c r="J220" s="51"/>
      <c r="K220" s="2">
        <v>4200</v>
      </c>
      <c r="L220" s="2"/>
    </row>
    <row r="221" spans="1:12" x14ac:dyDescent="0.45">
      <c r="A221" s="8">
        <v>11</v>
      </c>
      <c r="B221" s="51">
        <v>4000</v>
      </c>
      <c r="C221" s="51">
        <v>6800</v>
      </c>
      <c r="D221" s="51">
        <v>5400</v>
      </c>
      <c r="E221" s="51">
        <v>4000</v>
      </c>
      <c r="F221" s="51">
        <v>6400</v>
      </c>
      <c r="G221" s="51">
        <v>5371.4285714285716</v>
      </c>
      <c r="H221" s="11"/>
      <c r="I221" s="11"/>
      <c r="J221" s="51"/>
      <c r="K221" s="2">
        <v>5377.7777777777774</v>
      </c>
      <c r="L221" s="2"/>
    </row>
    <row r="222" spans="1:12" x14ac:dyDescent="0.45">
      <c r="A222" s="8">
        <v>12</v>
      </c>
      <c r="B222" s="51">
        <v>3800</v>
      </c>
      <c r="C222" s="51">
        <v>6800</v>
      </c>
      <c r="D222" s="51">
        <v>5300</v>
      </c>
      <c r="E222" s="51">
        <v>3800</v>
      </c>
      <c r="F222" s="51">
        <v>6750</v>
      </c>
      <c r="G222" s="51">
        <v>5643.75</v>
      </c>
      <c r="H222" s="11"/>
      <c r="I222" s="11"/>
      <c r="J222" s="51"/>
      <c r="K222" s="2">
        <v>5575</v>
      </c>
      <c r="L222" s="2"/>
    </row>
    <row r="223" spans="1:12" x14ac:dyDescent="0.45">
      <c r="A223" s="8">
        <v>13</v>
      </c>
      <c r="B223" s="51">
        <v>3000</v>
      </c>
      <c r="C223" s="51">
        <v>6000</v>
      </c>
      <c r="D223" s="51">
        <v>4500</v>
      </c>
      <c r="E223" s="51">
        <v>3100</v>
      </c>
      <c r="F223" s="51">
        <v>6075</v>
      </c>
      <c r="G223" s="51">
        <v>4800</v>
      </c>
      <c r="H223" s="11"/>
      <c r="I223" s="11"/>
      <c r="J223" s="51"/>
      <c r="K223" s="2">
        <v>4733.333333333333</v>
      </c>
      <c r="L223" s="2"/>
    </row>
    <row r="224" spans="1:12" x14ac:dyDescent="0.45">
      <c r="A224" s="8">
        <v>14</v>
      </c>
      <c r="B224" s="51">
        <v>3750</v>
      </c>
      <c r="C224" s="51">
        <v>6650</v>
      </c>
      <c r="D224" s="51">
        <v>5200</v>
      </c>
      <c r="E224" s="51">
        <v>3750</v>
      </c>
      <c r="F224" s="51">
        <v>6650</v>
      </c>
      <c r="G224" s="51">
        <v>4910</v>
      </c>
      <c r="H224" s="11">
        <v>4200</v>
      </c>
      <c r="I224" s="11"/>
      <c r="J224" s="51">
        <v>4200</v>
      </c>
      <c r="K224" s="2">
        <v>4816.666666666667</v>
      </c>
      <c r="L224" s="2"/>
    </row>
    <row r="225" spans="1:12" x14ac:dyDescent="0.45">
      <c r="A225" s="8">
        <v>15</v>
      </c>
      <c r="B225" s="51">
        <v>4100</v>
      </c>
      <c r="C225" s="51">
        <v>6350</v>
      </c>
      <c r="D225" s="51">
        <v>5225</v>
      </c>
      <c r="E225" s="51">
        <v>3400</v>
      </c>
      <c r="F225" s="51">
        <v>6400</v>
      </c>
      <c r="G225" s="51">
        <v>5114.2857142857147</v>
      </c>
      <c r="H225" s="11">
        <v>4150</v>
      </c>
      <c r="I225" s="11"/>
      <c r="J225" s="51">
        <v>4150</v>
      </c>
      <c r="K225" s="2">
        <v>4959.090909090909</v>
      </c>
      <c r="L225" s="2"/>
    </row>
    <row r="226" spans="1:12" x14ac:dyDescent="0.45">
      <c r="A226" s="8">
        <v>16</v>
      </c>
      <c r="B226" s="51">
        <v>3750</v>
      </c>
      <c r="C226" s="51">
        <v>6050</v>
      </c>
      <c r="D226" s="51">
        <v>4900</v>
      </c>
      <c r="E226" s="51">
        <v>3750</v>
      </c>
      <c r="F226" s="51">
        <v>6050</v>
      </c>
      <c r="G226" s="51">
        <v>5064.2857142857147</v>
      </c>
      <c r="H226" s="11"/>
      <c r="I226" s="11"/>
      <c r="J226" s="51"/>
      <c r="K226" s="2">
        <v>5027.7777777777774</v>
      </c>
      <c r="L226" s="2"/>
    </row>
    <row r="227" spans="1:12" x14ac:dyDescent="0.45">
      <c r="A227" s="7">
        <v>45312</v>
      </c>
      <c r="B227" s="51">
        <v>3806</v>
      </c>
      <c r="C227" s="51">
        <v>6571.2941176470586</v>
      </c>
      <c r="D227" s="51">
        <v>5149.1428571428569</v>
      </c>
      <c r="E227" s="51">
        <v>3719.2903225806454</v>
      </c>
      <c r="F227" s="51">
        <v>6266.666666666667</v>
      </c>
      <c r="G227" s="51">
        <v>4292.45</v>
      </c>
      <c r="H227" s="11"/>
      <c r="I227" s="11"/>
      <c r="J227" s="51"/>
      <c r="K227" s="2">
        <v>4692.24</v>
      </c>
      <c r="L227" s="2"/>
    </row>
    <row r="228" spans="1:12" x14ac:dyDescent="0.45">
      <c r="A228" s="8">
        <v>7</v>
      </c>
      <c r="B228" s="51">
        <v>3900</v>
      </c>
      <c r="C228" s="51">
        <v>7000</v>
      </c>
      <c r="D228" s="51">
        <v>5450</v>
      </c>
      <c r="E228" s="51">
        <v>4200</v>
      </c>
      <c r="F228" s="51"/>
      <c r="G228" s="51">
        <v>4200</v>
      </c>
      <c r="H228" s="11"/>
      <c r="I228" s="11"/>
      <c r="J228" s="51"/>
      <c r="K228" s="2">
        <v>5200</v>
      </c>
      <c r="L228" s="2"/>
    </row>
    <row r="229" spans="1:12" x14ac:dyDescent="0.45">
      <c r="A229" s="8">
        <v>8</v>
      </c>
      <c r="B229" s="51">
        <v>4155</v>
      </c>
      <c r="C229" s="51">
        <v>6964</v>
      </c>
      <c r="D229" s="51">
        <v>5091.333333333333</v>
      </c>
      <c r="E229" s="51">
        <v>4100</v>
      </c>
      <c r="F229" s="51"/>
      <c r="G229" s="51">
        <v>4100</v>
      </c>
      <c r="H229" s="11"/>
      <c r="I229" s="11"/>
      <c r="J229" s="51"/>
      <c r="K229" s="2">
        <v>4843.5</v>
      </c>
      <c r="L229" s="2"/>
    </row>
    <row r="230" spans="1:12" x14ac:dyDescent="0.45">
      <c r="A230" s="8">
        <v>9</v>
      </c>
      <c r="B230" s="51">
        <v>3799</v>
      </c>
      <c r="C230" s="51">
        <v>6699</v>
      </c>
      <c r="D230" s="51">
        <v>5249</v>
      </c>
      <c r="E230" s="51">
        <v>3799</v>
      </c>
      <c r="F230" s="51"/>
      <c r="G230" s="51">
        <v>3799</v>
      </c>
      <c r="H230" s="11"/>
      <c r="I230" s="11"/>
      <c r="J230" s="51"/>
      <c r="K230" s="2">
        <v>4765.666666666667</v>
      </c>
      <c r="L230" s="2"/>
    </row>
    <row r="231" spans="1:12" x14ac:dyDescent="0.45">
      <c r="A231" s="8">
        <v>10</v>
      </c>
      <c r="B231" s="51"/>
      <c r="C231" s="51"/>
      <c r="D231" s="51"/>
      <c r="E231" s="51">
        <v>4200</v>
      </c>
      <c r="F231" s="51"/>
      <c r="G231" s="51">
        <v>4200</v>
      </c>
      <c r="H231" s="11"/>
      <c r="I231" s="11"/>
      <c r="J231" s="51"/>
      <c r="K231" s="2">
        <v>4200</v>
      </c>
      <c r="L231" s="2"/>
    </row>
    <row r="232" spans="1:12" x14ac:dyDescent="0.45">
      <c r="A232" s="8">
        <v>11</v>
      </c>
      <c r="B232" s="51">
        <v>4000</v>
      </c>
      <c r="C232" s="51">
        <v>6800</v>
      </c>
      <c r="D232" s="51">
        <v>5400</v>
      </c>
      <c r="E232" s="51">
        <v>3933.3333333333335</v>
      </c>
      <c r="F232" s="51">
        <v>6400</v>
      </c>
      <c r="G232" s="51">
        <v>4550</v>
      </c>
      <c r="H232" s="11"/>
      <c r="I232" s="11"/>
      <c r="J232" s="51"/>
      <c r="K232" s="2">
        <v>4975</v>
      </c>
      <c r="L232" s="2"/>
    </row>
    <row r="233" spans="1:12" x14ac:dyDescent="0.45">
      <c r="A233" s="8">
        <v>12</v>
      </c>
      <c r="B233" s="51">
        <v>3800</v>
      </c>
      <c r="C233" s="51">
        <v>6800</v>
      </c>
      <c r="D233" s="51">
        <v>5300</v>
      </c>
      <c r="E233" s="51">
        <v>3775</v>
      </c>
      <c r="F233" s="51">
        <v>6750</v>
      </c>
      <c r="G233" s="51">
        <v>4370</v>
      </c>
      <c r="H233" s="11"/>
      <c r="I233" s="11"/>
      <c r="J233" s="51"/>
      <c r="K233" s="2">
        <v>4783.333333333333</v>
      </c>
      <c r="L233" s="2"/>
    </row>
    <row r="234" spans="1:12" x14ac:dyDescent="0.45">
      <c r="A234" s="8">
        <v>13</v>
      </c>
      <c r="B234" s="51">
        <v>3000</v>
      </c>
      <c r="C234" s="51">
        <v>6000</v>
      </c>
      <c r="D234" s="51">
        <v>4500</v>
      </c>
      <c r="E234" s="51">
        <v>3075</v>
      </c>
      <c r="F234" s="51">
        <v>5950</v>
      </c>
      <c r="G234" s="51">
        <v>4033.3333333333335</v>
      </c>
      <c r="H234" s="11"/>
      <c r="I234" s="11"/>
      <c r="J234" s="51"/>
      <c r="K234" s="2">
        <v>4220</v>
      </c>
      <c r="L234" s="2"/>
    </row>
    <row r="235" spans="1:12" x14ac:dyDescent="0.45">
      <c r="A235" s="8">
        <v>14</v>
      </c>
      <c r="B235" s="51">
        <v>3750</v>
      </c>
      <c r="C235" s="51">
        <v>6650</v>
      </c>
      <c r="D235" s="51">
        <v>5200</v>
      </c>
      <c r="E235" s="51">
        <v>3675</v>
      </c>
      <c r="F235" s="51">
        <v>6650</v>
      </c>
      <c r="G235" s="51">
        <v>4270</v>
      </c>
      <c r="H235" s="11"/>
      <c r="I235" s="11"/>
      <c r="J235" s="51"/>
      <c r="K235" s="2">
        <v>4683.333333333333</v>
      </c>
      <c r="L235" s="2"/>
    </row>
    <row r="236" spans="1:12" x14ac:dyDescent="0.45">
      <c r="A236" s="8">
        <v>15</v>
      </c>
      <c r="B236" s="51">
        <v>4100</v>
      </c>
      <c r="C236" s="51">
        <v>6375</v>
      </c>
      <c r="D236" s="51">
        <v>5237.5</v>
      </c>
      <c r="E236" s="51">
        <v>3450</v>
      </c>
      <c r="F236" s="51">
        <v>6350</v>
      </c>
      <c r="G236" s="51">
        <v>4416.666666666667</v>
      </c>
      <c r="H236" s="11"/>
      <c r="I236" s="11"/>
      <c r="J236" s="51"/>
      <c r="K236" s="2">
        <v>4745</v>
      </c>
      <c r="L236" s="2"/>
    </row>
    <row r="237" spans="1:12" x14ac:dyDescent="0.45">
      <c r="A237" s="8">
        <v>16</v>
      </c>
      <c r="B237" s="51">
        <v>3750</v>
      </c>
      <c r="C237" s="51">
        <v>6050</v>
      </c>
      <c r="D237" s="51">
        <v>4900</v>
      </c>
      <c r="E237" s="51">
        <v>3725</v>
      </c>
      <c r="F237" s="51">
        <v>6000</v>
      </c>
      <c r="G237" s="51">
        <v>4483.333333333333</v>
      </c>
      <c r="H237" s="11"/>
      <c r="I237" s="11"/>
      <c r="J237" s="51"/>
      <c r="K237" s="2">
        <v>4650</v>
      </c>
      <c r="L237" s="2"/>
    </row>
    <row r="238" spans="1:12" x14ac:dyDescent="0.45">
      <c r="A238" s="7">
        <v>45313</v>
      </c>
      <c r="B238" s="51">
        <v>3860.1052631578946</v>
      </c>
      <c r="C238" s="51">
        <v>6546.1176470588234</v>
      </c>
      <c r="D238" s="51">
        <v>5128.5</v>
      </c>
      <c r="E238" s="51">
        <v>3769.3333333333335</v>
      </c>
      <c r="F238" s="51">
        <v>6391.971428571429</v>
      </c>
      <c r="G238" s="51">
        <v>5062.1830985915494</v>
      </c>
      <c r="H238" s="11"/>
      <c r="I238" s="11"/>
      <c r="J238" s="51"/>
      <c r="K238" s="2">
        <v>5084.4953271028035</v>
      </c>
      <c r="L238" s="2"/>
    </row>
    <row r="239" spans="1:12" x14ac:dyDescent="0.45">
      <c r="A239" s="8">
        <v>7</v>
      </c>
      <c r="B239" s="51">
        <v>4000</v>
      </c>
      <c r="C239" s="51">
        <v>7100</v>
      </c>
      <c r="D239" s="51">
        <v>5550</v>
      </c>
      <c r="E239" s="51">
        <v>4166.666666666667</v>
      </c>
      <c r="F239" s="51"/>
      <c r="G239" s="51">
        <v>4166.666666666667</v>
      </c>
      <c r="H239" s="11"/>
      <c r="I239" s="11"/>
      <c r="J239" s="51"/>
      <c r="K239" s="2">
        <v>4957.1428571428569</v>
      </c>
      <c r="L239" s="2"/>
    </row>
    <row r="240" spans="1:12" x14ac:dyDescent="0.45">
      <c r="A240" s="8">
        <v>8</v>
      </c>
      <c r="B240" s="51">
        <v>4022</v>
      </c>
      <c r="C240" s="51"/>
      <c r="D240" s="51">
        <v>4022</v>
      </c>
      <c r="E240" s="51">
        <v>4100</v>
      </c>
      <c r="F240" s="51">
        <v>6911</v>
      </c>
      <c r="G240" s="51">
        <v>5505.5</v>
      </c>
      <c r="H240" s="11"/>
      <c r="I240" s="11"/>
      <c r="J240" s="51"/>
      <c r="K240" s="2">
        <v>5011</v>
      </c>
      <c r="L240" s="2"/>
    </row>
    <row r="241" spans="1:12" x14ac:dyDescent="0.45">
      <c r="A241" s="8">
        <v>9</v>
      </c>
      <c r="B241" s="51">
        <v>3799</v>
      </c>
      <c r="C241" s="51">
        <v>6642</v>
      </c>
      <c r="D241" s="51">
        <v>5220.5</v>
      </c>
      <c r="E241" s="51">
        <v>3799</v>
      </c>
      <c r="F241" s="51">
        <v>6632.333333333333</v>
      </c>
      <c r="G241" s="51">
        <v>5013.2857142857147</v>
      </c>
      <c r="H241" s="11"/>
      <c r="I241" s="11"/>
      <c r="J241" s="51"/>
      <c r="K241" s="2">
        <v>5088.636363636364</v>
      </c>
      <c r="L241" s="2"/>
    </row>
    <row r="242" spans="1:12" x14ac:dyDescent="0.45">
      <c r="A242" s="8">
        <v>10</v>
      </c>
      <c r="B242" s="51">
        <v>4300</v>
      </c>
      <c r="C242" s="51">
        <v>6400</v>
      </c>
      <c r="D242" s="51">
        <v>5350</v>
      </c>
      <c r="E242" s="51">
        <v>4200</v>
      </c>
      <c r="F242" s="51">
        <v>6300</v>
      </c>
      <c r="G242" s="51">
        <v>4725</v>
      </c>
      <c r="H242" s="11"/>
      <c r="I242" s="11"/>
      <c r="J242" s="51"/>
      <c r="K242" s="2">
        <v>4933.333333333333</v>
      </c>
      <c r="L242" s="2"/>
    </row>
    <row r="243" spans="1:12" x14ac:dyDescent="0.45">
      <c r="A243" s="8">
        <v>11</v>
      </c>
      <c r="B243" s="51">
        <v>4000</v>
      </c>
      <c r="C243" s="51">
        <v>6800</v>
      </c>
      <c r="D243" s="51">
        <v>5400</v>
      </c>
      <c r="E243" s="51">
        <v>4000</v>
      </c>
      <c r="F243" s="51">
        <v>6400</v>
      </c>
      <c r="G243" s="51">
        <v>5333.333333333333</v>
      </c>
      <c r="H243" s="11"/>
      <c r="I243" s="11"/>
      <c r="J243" s="51"/>
      <c r="K243" s="2">
        <v>5353.8461538461543</v>
      </c>
      <c r="L243" s="2"/>
    </row>
    <row r="244" spans="1:12" x14ac:dyDescent="0.45">
      <c r="A244" s="8">
        <v>12</v>
      </c>
      <c r="B244" s="51">
        <v>3850</v>
      </c>
      <c r="C244" s="51">
        <v>6800</v>
      </c>
      <c r="D244" s="51">
        <v>5325</v>
      </c>
      <c r="E244" s="51">
        <v>3800</v>
      </c>
      <c r="F244" s="51">
        <v>6750</v>
      </c>
      <c r="G244" s="51">
        <v>5438.8888888888887</v>
      </c>
      <c r="H244" s="11"/>
      <c r="I244" s="11"/>
      <c r="J244" s="51"/>
      <c r="K244" s="2">
        <v>5403.8461538461543</v>
      </c>
      <c r="L244" s="2"/>
    </row>
    <row r="245" spans="1:12" x14ac:dyDescent="0.45">
      <c r="A245" s="8">
        <v>13</v>
      </c>
      <c r="B245" s="51">
        <v>3000</v>
      </c>
      <c r="C245" s="51">
        <v>6000</v>
      </c>
      <c r="D245" s="51">
        <v>4500</v>
      </c>
      <c r="E245" s="51">
        <v>3100</v>
      </c>
      <c r="F245" s="51">
        <v>6000</v>
      </c>
      <c r="G245" s="51">
        <v>4840</v>
      </c>
      <c r="H245" s="11"/>
      <c r="I245" s="11"/>
      <c r="J245" s="51"/>
      <c r="K245" s="2">
        <v>4742.8571428571431</v>
      </c>
      <c r="L245" s="2"/>
    </row>
    <row r="246" spans="1:12" x14ac:dyDescent="0.45">
      <c r="A246" s="8">
        <v>14</v>
      </c>
      <c r="B246" s="51">
        <v>4000</v>
      </c>
      <c r="C246" s="51">
        <v>6650</v>
      </c>
      <c r="D246" s="51">
        <v>5325</v>
      </c>
      <c r="E246" s="51">
        <v>3675</v>
      </c>
      <c r="F246" s="51">
        <v>6650</v>
      </c>
      <c r="G246" s="51">
        <v>4666.666666666667</v>
      </c>
      <c r="H246" s="11"/>
      <c r="I246" s="11"/>
      <c r="J246" s="51"/>
      <c r="K246" s="2">
        <v>4930</v>
      </c>
      <c r="L246" s="2"/>
    </row>
    <row r="247" spans="1:12" x14ac:dyDescent="0.45">
      <c r="A247" s="8">
        <v>15</v>
      </c>
      <c r="B247" s="51">
        <v>4100</v>
      </c>
      <c r="C247" s="51">
        <v>6400</v>
      </c>
      <c r="D247" s="51">
        <v>5250</v>
      </c>
      <c r="E247" s="51">
        <v>3475</v>
      </c>
      <c r="F247" s="51">
        <v>6400</v>
      </c>
      <c r="G247" s="51">
        <v>5230</v>
      </c>
      <c r="H247" s="11"/>
      <c r="I247" s="11"/>
      <c r="J247" s="51"/>
      <c r="K247" s="2">
        <v>5235.7142857142853</v>
      </c>
      <c r="L247" s="2"/>
    </row>
    <row r="248" spans="1:12" x14ac:dyDescent="0.45">
      <c r="A248" s="8">
        <v>16</v>
      </c>
      <c r="B248" s="51">
        <v>3750</v>
      </c>
      <c r="C248" s="51">
        <v>6050</v>
      </c>
      <c r="D248" s="51">
        <v>4900</v>
      </c>
      <c r="E248" s="51">
        <v>3750</v>
      </c>
      <c r="F248" s="51">
        <v>6050</v>
      </c>
      <c r="G248" s="51">
        <v>5027.7777777777774</v>
      </c>
      <c r="H248" s="11"/>
      <c r="I248" s="11"/>
      <c r="J248" s="51"/>
      <c r="K248" s="2">
        <v>4988.4615384615381</v>
      </c>
      <c r="L248" s="2"/>
    </row>
    <row r="249" spans="1:12" x14ac:dyDescent="0.45">
      <c r="A249" s="7">
        <v>45314</v>
      </c>
      <c r="B249" s="51">
        <v>3917.1111111111113</v>
      </c>
      <c r="C249" s="51">
        <v>6614.818181818182</v>
      </c>
      <c r="D249" s="51">
        <v>5400.85</v>
      </c>
      <c r="E249" s="51">
        <v>3697.7916666666665</v>
      </c>
      <c r="F249" s="51">
        <v>6336.666666666667</v>
      </c>
      <c r="G249" s="51">
        <v>4828.7380952380954</v>
      </c>
      <c r="H249" s="11"/>
      <c r="I249" s="11"/>
      <c r="J249" s="51"/>
      <c r="K249" s="2">
        <v>5013.2903225806449</v>
      </c>
      <c r="L249" s="2"/>
    </row>
    <row r="250" spans="1:12" x14ac:dyDescent="0.45">
      <c r="A250" s="8">
        <v>7</v>
      </c>
      <c r="B250" s="51">
        <v>4300</v>
      </c>
      <c r="C250" s="51">
        <v>7200</v>
      </c>
      <c r="D250" s="51">
        <v>5750</v>
      </c>
      <c r="E250" s="51">
        <v>4150</v>
      </c>
      <c r="F250" s="51"/>
      <c r="G250" s="51">
        <v>4150</v>
      </c>
      <c r="H250" s="11"/>
      <c r="I250" s="11"/>
      <c r="J250" s="51"/>
      <c r="K250" s="2">
        <v>5216.666666666667</v>
      </c>
      <c r="L250" s="2"/>
    </row>
    <row r="251" spans="1:12" x14ac:dyDescent="0.45">
      <c r="A251" s="8">
        <v>8</v>
      </c>
      <c r="B251" s="51">
        <v>4155</v>
      </c>
      <c r="C251" s="51">
        <v>6964</v>
      </c>
      <c r="D251" s="51">
        <v>5559.5</v>
      </c>
      <c r="E251" s="51"/>
      <c r="F251" s="51">
        <v>6310</v>
      </c>
      <c r="G251" s="51">
        <v>6310</v>
      </c>
      <c r="H251" s="11"/>
      <c r="I251" s="11"/>
      <c r="J251" s="51"/>
      <c r="K251" s="2">
        <v>5809.666666666667</v>
      </c>
      <c r="L251" s="2"/>
    </row>
    <row r="252" spans="1:12" x14ac:dyDescent="0.45">
      <c r="A252" s="8">
        <v>9</v>
      </c>
      <c r="B252" s="51">
        <v>3799</v>
      </c>
      <c r="C252" s="51">
        <v>6699</v>
      </c>
      <c r="D252" s="51">
        <v>5249</v>
      </c>
      <c r="E252" s="51">
        <v>3799</v>
      </c>
      <c r="F252" s="51"/>
      <c r="G252" s="51">
        <v>3799</v>
      </c>
      <c r="H252" s="11"/>
      <c r="I252" s="11"/>
      <c r="J252" s="51"/>
      <c r="K252" s="2">
        <v>4379</v>
      </c>
      <c r="L252" s="2"/>
    </row>
    <row r="253" spans="1:12" x14ac:dyDescent="0.45">
      <c r="A253" s="8">
        <v>10</v>
      </c>
      <c r="B253" s="51"/>
      <c r="C253" s="51">
        <v>6400</v>
      </c>
      <c r="D253" s="51">
        <v>6400</v>
      </c>
      <c r="E253" s="51">
        <v>4200</v>
      </c>
      <c r="F253" s="51">
        <v>6300</v>
      </c>
      <c r="G253" s="51">
        <v>5250</v>
      </c>
      <c r="H253" s="11"/>
      <c r="I253" s="11"/>
      <c r="J253" s="51"/>
      <c r="K253" s="2">
        <v>5633.333333333333</v>
      </c>
      <c r="L253" s="2"/>
    </row>
    <row r="254" spans="1:12" x14ac:dyDescent="0.45">
      <c r="A254" s="8">
        <v>11</v>
      </c>
      <c r="B254" s="51">
        <v>4300</v>
      </c>
      <c r="C254" s="51">
        <v>6800</v>
      </c>
      <c r="D254" s="51">
        <v>5550</v>
      </c>
      <c r="E254" s="51">
        <v>3966.6666666666665</v>
      </c>
      <c r="F254" s="51">
        <v>6400</v>
      </c>
      <c r="G254" s="51">
        <v>5183.333333333333</v>
      </c>
      <c r="H254" s="11"/>
      <c r="I254" s="11"/>
      <c r="J254" s="51"/>
      <c r="K254" s="2">
        <v>5275</v>
      </c>
      <c r="L254" s="2"/>
    </row>
    <row r="255" spans="1:12" x14ac:dyDescent="0.45">
      <c r="A255" s="8">
        <v>12</v>
      </c>
      <c r="B255" s="51">
        <v>3850</v>
      </c>
      <c r="C255" s="51">
        <v>6800</v>
      </c>
      <c r="D255" s="51">
        <v>5816.666666666667</v>
      </c>
      <c r="E255" s="51">
        <v>3800</v>
      </c>
      <c r="F255" s="51">
        <v>6750</v>
      </c>
      <c r="G255" s="51">
        <v>5064.2857142857147</v>
      </c>
      <c r="H255" s="11"/>
      <c r="I255" s="11"/>
      <c r="J255" s="51"/>
      <c r="K255" s="2">
        <v>5290</v>
      </c>
      <c r="L255" s="2"/>
    </row>
    <row r="256" spans="1:12" x14ac:dyDescent="0.45">
      <c r="A256" s="8">
        <v>13</v>
      </c>
      <c r="B256" s="51">
        <v>3000</v>
      </c>
      <c r="C256" s="51">
        <v>6000</v>
      </c>
      <c r="D256" s="51">
        <v>4500</v>
      </c>
      <c r="E256" s="51">
        <v>3100</v>
      </c>
      <c r="F256" s="51">
        <v>6000</v>
      </c>
      <c r="G256" s="51">
        <v>4550</v>
      </c>
      <c r="H256" s="11"/>
      <c r="I256" s="11"/>
      <c r="J256" s="51"/>
      <c r="K256" s="2">
        <v>4537.5</v>
      </c>
      <c r="L256" s="2"/>
    </row>
    <row r="257" spans="1:12" x14ac:dyDescent="0.45">
      <c r="A257" s="8">
        <v>14</v>
      </c>
      <c r="B257" s="51">
        <v>4000</v>
      </c>
      <c r="C257" s="51">
        <v>6650</v>
      </c>
      <c r="D257" s="51">
        <v>5325</v>
      </c>
      <c r="E257" s="51">
        <v>3650</v>
      </c>
      <c r="F257" s="51">
        <v>6650</v>
      </c>
      <c r="G257" s="51">
        <v>4400</v>
      </c>
      <c r="H257" s="11"/>
      <c r="I257" s="11"/>
      <c r="J257" s="51"/>
      <c r="K257" s="2">
        <v>4708.333333333333</v>
      </c>
      <c r="L257" s="2"/>
    </row>
    <row r="258" spans="1:12" x14ac:dyDescent="0.45">
      <c r="A258" s="8">
        <v>15</v>
      </c>
      <c r="B258" s="51">
        <v>4100</v>
      </c>
      <c r="C258" s="51">
        <v>6400</v>
      </c>
      <c r="D258" s="51">
        <v>5250</v>
      </c>
      <c r="E258" s="51">
        <v>3466.6666666666665</v>
      </c>
      <c r="F258" s="51">
        <v>6400</v>
      </c>
      <c r="G258" s="51">
        <v>4933.333333333333</v>
      </c>
      <c r="H258" s="11"/>
      <c r="I258" s="11"/>
      <c r="J258" s="51"/>
      <c r="K258" s="2">
        <v>5012.5</v>
      </c>
      <c r="L258" s="2"/>
    </row>
    <row r="259" spans="1:12" x14ac:dyDescent="0.45">
      <c r="A259" s="8">
        <v>16</v>
      </c>
      <c r="B259" s="51">
        <v>3750</v>
      </c>
      <c r="C259" s="51">
        <v>6050</v>
      </c>
      <c r="D259" s="51">
        <v>4900</v>
      </c>
      <c r="E259" s="51">
        <v>3750</v>
      </c>
      <c r="F259" s="51">
        <v>6050</v>
      </c>
      <c r="G259" s="51">
        <v>4900</v>
      </c>
      <c r="H259" s="11"/>
      <c r="I259" s="11"/>
      <c r="J259" s="51"/>
      <c r="K259" s="2">
        <v>4900</v>
      </c>
      <c r="L259" s="2"/>
    </row>
    <row r="260" spans="1:12" x14ac:dyDescent="0.45">
      <c r="A260" s="7">
        <v>45315</v>
      </c>
      <c r="B260" s="51">
        <v>3911.5555555555557</v>
      </c>
      <c r="C260" s="51">
        <v>6414.25</v>
      </c>
      <c r="D260" s="51">
        <v>5089.2941176470586</v>
      </c>
      <c r="E260" s="51">
        <v>3671.3428571428572</v>
      </c>
      <c r="F260" s="51">
        <v>6329.0476190476193</v>
      </c>
      <c r="G260" s="51">
        <v>4667.9821428571431</v>
      </c>
      <c r="H260" s="11"/>
      <c r="I260" s="11"/>
      <c r="J260" s="51"/>
      <c r="K260" s="2">
        <v>4766.0958904109593</v>
      </c>
      <c r="L260" s="2"/>
    </row>
    <row r="261" spans="1:12" x14ac:dyDescent="0.45">
      <c r="A261" s="8">
        <v>7</v>
      </c>
      <c r="B261" s="51">
        <v>4300</v>
      </c>
      <c r="C261" s="51"/>
      <c r="D261" s="51">
        <v>4300</v>
      </c>
      <c r="E261" s="51"/>
      <c r="F261" s="51"/>
      <c r="G261" s="51"/>
      <c r="H261" s="11"/>
      <c r="I261" s="11"/>
      <c r="J261" s="51"/>
      <c r="K261" s="2">
        <v>4300</v>
      </c>
      <c r="L261" s="2"/>
    </row>
    <row r="262" spans="1:12" x14ac:dyDescent="0.45">
      <c r="A262" s="8">
        <v>8</v>
      </c>
      <c r="B262" s="51">
        <v>4155</v>
      </c>
      <c r="C262" s="51"/>
      <c r="D262" s="51">
        <v>4155</v>
      </c>
      <c r="E262" s="51">
        <v>4100</v>
      </c>
      <c r="F262" s="51"/>
      <c r="G262" s="51">
        <v>4100</v>
      </c>
      <c r="H262" s="11"/>
      <c r="I262" s="11"/>
      <c r="J262" s="51"/>
      <c r="K262" s="2">
        <v>4118.333333333333</v>
      </c>
      <c r="L262" s="2"/>
    </row>
    <row r="263" spans="1:12" x14ac:dyDescent="0.45">
      <c r="A263" s="8">
        <v>9</v>
      </c>
      <c r="B263" s="51">
        <v>3599</v>
      </c>
      <c r="C263" s="51">
        <v>6364</v>
      </c>
      <c r="D263" s="51">
        <v>4981.5</v>
      </c>
      <c r="E263" s="51">
        <v>3665.6666666666665</v>
      </c>
      <c r="F263" s="51">
        <v>6360</v>
      </c>
      <c r="G263" s="51">
        <v>4339.25</v>
      </c>
      <c r="H263" s="11"/>
      <c r="I263" s="11"/>
      <c r="J263" s="51"/>
      <c r="K263" s="2">
        <v>4553.333333333333</v>
      </c>
      <c r="L263" s="2"/>
    </row>
    <row r="264" spans="1:12" x14ac:dyDescent="0.45">
      <c r="A264" s="8">
        <v>10</v>
      </c>
      <c r="B264" s="51"/>
      <c r="C264" s="51">
        <v>6200</v>
      </c>
      <c r="D264" s="51">
        <v>6200</v>
      </c>
      <c r="E264" s="51">
        <v>4200</v>
      </c>
      <c r="F264" s="51">
        <v>6100</v>
      </c>
      <c r="G264" s="51">
        <v>5625</v>
      </c>
      <c r="H264" s="11"/>
      <c r="I264" s="11"/>
      <c r="J264" s="51"/>
      <c r="K264" s="2">
        <v>5740</v>
      </c>
      <c r="L264" s="2"/>
    </row>
    <row r="265" spans="1:12" x14ac:dyDescent="0.45">
      <c r="A265" s="8">
        <v>11</v>
      </c>
      <c r="B265" s="51">
        <v>4300</v>
      </c>
      <c r="C265" s="51">
        <v>6800</v>
      </c>
      <c r="D265" s="51">
        <v>5550</v>
      </c>
      <c r="E265" s="51">
        <v>3975</v>
      </c>
      <c r="F265" s="51">
        <v>6400</v>
      </c>
      <c r="G265" s="51">
        <v>5014.2857142857147</v>
      </c>
      <c r="H265" s="11"/>
      <c r="I265" s="11"/>
      <c r="J265" s="51"/>
      <c r="K265" s="2">
        <v>5133.333333333333</v>
      </c>
      <c r="L265" s="2"/>
    </row>
    <row r="266" spans="1:12" x14ac:dyDescent="0.45">
      <c r="A266" s="8">
        <v>12</v>
      </c>
      <c r="B266" s="51">
        <v>3850</v>
      </c>
      <c r="C266" s="51">
        <v>6800</v>
      </c>
      <c r="D266" s="51">
        <v>5325</v>
      </c>
      <c r="E266" s="51">
        <v>3800</v>
      </c>
      <c r="F266" s="51">
        <v>6750</v>
      </c>
      <c r="G266" s="51">
        <v>4906.25</v>
      </c>
      <c r="H266" s="11"/>
      <c r="I266" s="11"/>
      <c r="J266" s="51"/>
      <c r="K266" s="2">
        <v>4990</v>
      </c>
      <c r="L266" s="2"/>
    </row>
    <row r="267" spans="1:12" x14ac:dyDescent="0.45">
      <c r="A267" s="8">
        <v>13</v>
      </c>
      <c r="B267" s="51">
        <v>3000</v>
      </c>
      <c r="C267" s="51">
        <v>6000</v>
      </c>
      <c r="D267" s="51">
        <v>4500</v>
      </c>
      <c r="E267" s="51">
        <v>3080</v>
      </c>
      <c r="F267" s="51">
        <v>6000</v>
      </c>
      <c r="G267" s="51">
        <v>4175</v>
      </c>
      <c r="H267" s="11"/>
      <c r="I267" s="11"/>
      <c r="J267" s="51"/>
      <c r="K267" s="2">
        <v>4240</v>
      </c>
      <c r="L267" s="2"/>
    </row>
    <row r="268" spans="1:12" x14ac:dyDescent="0.45">
      <c r="A268" s="8">
        <v>14</v>
      </c>
      <c r="B268" s="51">
        <v>4100</v>
      </c>
      <c r="C268" s="51">
        <v>6650</v>
      </c>
      <c r="D268" s="51">
        <v>5375</v>
      </c>
      <c r="E268" s="51">
        <v>3690</v>
      </c>
      <c r="F268" s="51">
        <v>6650</v>
      </c>
      <c r="G268" s="51">
        <v>4535.7142857142853</v>
      </c>
      <c r="H268" s="11"/>
      <c r="I268" s="11"/>
      <c r="J268" s="51"/>
      <c r="K268" s="2">
        <v>4722.2222222222226</v>
      </c>
      <c r="L268" s="2"/>
    </row>
    <row r="269" spans="1:12" x14ac:dyDescent="0.45">
      <c r="A269" s="8">
        <v>15</v>
      </c>
      <c r="B269" s="51">
        <v>4150</v>
      </c>
      <c r="C269" s="51">
        <v>6450</v>
      </c>
      <c r="D269" s="51">
        <v>5300</v>
      </c>
      <c r="E269" s="51">
        <v>3540</v>
      </c>
      <c r="F269" s="51">
        <v>6450</v>
      </c>
      <c r="G269" s="51">
        <v>4631.25</v>
      </c>
      <c r="H269" s="11"/>
      <c r="I269" s="11"/>
      <c r="J269" s="51"/>
      <c r="K269" s="2">
        <v>4765</v>
      </c>
      <c r="L269" s="2"/>
    </row>
    <row r="270" spans="1:12" x14ac:dyDescent="0.45">
      <c r="A270" s="8">
        <v>16</v>
      </c>
      <c r="B270" s="51">
        <v>3750</v>
      </c>
      <c r="C270" s="51">
        <v>6050</v>
      </c>
      <c r="D270" s="51">
        <v>4900</v>
      </c>
      <c r="E270" s="51">
        <v>3730</v>
      </c>
      <c r="F270" s="51">
        <v>6050</v>
      </c>
      <c r="G270" s="51">
        <v>4600</v>
      </c>
      <c r="H270" s="11"/>
      <c r="I270" s="11"/>
      <c r="J270" s="51"/>
      <c r="K270" s="2">
        <v>4660</v>
      </c>
      <c r="L270" s="2"/>
    </row>
    <row r="271" spans="1:12" x14ac:dyDescent="0.45">
      <c r="A271" s="7">
        <v>45316</v>
      </c>
      <c r="B271" s="51">
        <v>3815.4</v>
      </c>
      <c r="C271" s="51">
        <v>6482.3684210526317</v>
      </c>
      <c r="D271" s="51">
        <v>5114.6923076923076</v>
      </c>
      <c r="E271" s="51">
        <v>3691.2608695652175</v>
      </c>
      <c r="F271" s="51">
        <v>6312.2592592592591</v>
      </c>
      <c r="G271" s="51">
        <v>5106.6000000000004</v>
      </c>
      <c r="H271" s="11">
        <v>4500</v>
      </c>
      <c r="I271" s="11">
        <v>6800</v>
      </c>
      <c r="J271" s="51">
        <v>6225</v>
      </c>
      <c r="K271" s="2">
        <v>5158.0967741935483</v>
      </c>
      <c r="L271" s="2"/>
    </row>
    <row r="272" spans="1:12" x14ac:dyDescent="0.45">
      <c r="A272" s="8">
        <v>7</v>
      </c>
      <c r="B272" s="51">
        <v>4200</v>
      </c>
      <c r="C272" s="51">
        <v>7000</v>
      </c>
      <c r="D272" s="51">
        <v>5600</v>
      </c>
      <c r="E272" s="51"/>
      <c r="F272" s="51"/>
      <c r="G272" s="51"/>
      <c r="H272" s="11"/>
      <c r="I272" s="11"/>
      <c r="J272" s="51"/>
      <c r="K272" s="2">
        <v>5600</v>
      </c>
      <c r="L272" s="2"/>
    </row>
    <row r="273" spans="1:12" x14ac:dyDescent="0.45">
      <c r="A273" s="8">
        <v>8</v>
      </c>
      <c r="B273" s="51">
        <v>4155</v>
      </c>
      <c r="C273" s="51">
        <v>6477.5</v>
      </c>
      <c r="D273" s="51">
        <v>5316.25</v>
      </c>
      <c r="E273" s="51"/>
      <c r="F273" s="51">
        <v>6911</v>
      </c>
      <c r="G273" s="51">
        <v>6911</v>
      </c>
      <c r="H273" s="11"/>
      <c r="I273" s="11"/>
      <c r="J273" s="51"/>
      <c r="K273" s="2">
        <v>5635.2</v>
      </c>
      <c r="L273" s="2"/>
    </row>
    <row r="274" spans="1:12" x14ac:dyDescent="0.45">
      <c r="A274" s="8">
        <v>9</v>
      </c>
      <c r="B274" s="51">
        <v>3599</v>
      </c>
      <c r="C274" s="51">
        <v>6255</v>
      </c>
      <c r="D274" s="51">
        <v>4927</v>
      </c>
      <c r="E274" s="51">
        <v>3424.5</v>
      </c>
      <c r="F274" s="51">
        <v>6360</v>
      </c>
      <c r="G274" s="51">
        <v>4892.25</v>
      </c>
      <c r="H274" s="11"/>
      <c r="I274" s="11"/>
      <c r="J274" s="51"/>
      <c r="K274" s="2">
        <v>4909.625</v>
      </c>
      <c r="L274" s="2"/>
    </row>
    <row r="275" spans="1:12" x14ac:dyDescent="0.45">
      <c r="A275" s="8">
        <v>10</v>
      </c>
      <c r="B275" s="51">
        <v>4050</v>
      </c>
      <c r="C275" s="51">
        <v>6100</v>
      </c>
      <c r="D275" s="51">
        <v>5075</v>
      </c>
      <c r="E275" s="51">
        <v>4166.666666666667</v>
      </c>
      <c r="F275" s="51">
        <v>6000</v>
      </c>
      <c r="G275" s="51">
        <v>5214.2857142857147</v>
      </c>
      <c r="H275" s="11"/>
      <c r="I275" s="11"/>
      <c r="J275" s="51"/>
      <c r="K275" s="2">
        <v>5163.636363636364</v>
      </c>
      <c r="L275" s="2"/>
    </row>
    <row r="276" spans="1:12" x14ac:dyDescent="0.45">
      <c r="A276" s="8">
        <v>11</v>
      </c>
      <c r="B276" s="51">
        <v>4000</v>
      </c>
      <c r="C276" s="51">
        <v>6800</v>
      </c>
      <c r="D276" s="51">
        <v>5400</v>
      </c>
      <c r="E276" s="51">
        <v>4000</v>
      </c>
      <c r="F276" s="51">
        <v>6333.333333333333</v>
      </c>
      <c r="G276" s="51">
        <v>5166.666666666667</v>
      </c>
      <c r="H276" s="11"/>
      <c r="I276" s="11"/>
      <c r="J276" s="51"/>
      <c r="K276" s="2">
        <v>5260</v>
      </c>
      <c r="L276" s="2"/>
    </row>
    <row r="277" spans="1:12" x14ac:dyDescent="0.45">
      <c r="A277" s="8">
        <v>12</v>
      </c>
      <c r="B277" s="51">
        <v>3900</v>
      </c>
      <c r="C277" s="51">
        <v>6800</v>
      </c>
      <c r="D277" s="51">
        <v>5350</v>
      </c>
      <c r="E277" s="51">
        <v>3850</v>
      </c>
      <c r="F277" s="51">
        <v>6733.333333333333</v>
      </c>
      <c r="G277" s="51">
        <v>5291.666666666667</v>
      </c>
      <c r="H277" s="11"/>
      <c r="I277" s="11"/>
      <c r="J277" s="51"/>
      <c r="K277" s="2">
        <v>5315</v>
      </c>
      <c r="L277" s="2"/>
    </row>
    <row r="278" spans="1:12" x14ac:dyDescent="0.45">
      <c r="A278" s="8">
        <v>13</v>
      </c>
      <c r="B278" s="51">
        <v>3000</v>
      </c>
      <c r="C278" s="51">
        <v>6000</v>
      </c>
      <c r="D278" s="51">
        <v>4000</v>
      </c>
      <c r="E278" s="51">
        <v>3100</v>
      </c>
      <c r="F278" s="51">
        <v>5975</v>
      </c>
      <c r="G278" s="51">
        <v>4742.8571428571431</v>
      </c>
      <c r="H278" s="11"/>
      <c r="I278" s="11"/>
      <c r="J278" s="51"/>
      <c r="K278" s="2">
        <v>4520</v>
      </c>
      <c r="L278" s="2"/>
    </row>
    <row r="279" spans="1:12" x14ac:dyDescent="0.45">
      <c r="A279" s="8">
        <v>14</v>
      </c>
      <c r="B279" s="51">
        <v>3750</v>
      </c>
      <c r="C279" s="51">
        <v>6650</v>
      </c>
      <c r="D279" s="51">
        <v>5200</v>
      </c>
      <c r="E279" s="51">
        <v>3650</v>
      </c>
      <c r="F279" s="51">
        <v>6650</v>
      </c>
      <c r="G279" s="51">
        <v>5150</v>
      </c>
      <c r="H279" s="11"/>
      <c r="I279" s="11"/>
      <c r="J279" s="51"/>
      <c r="K279" s="2">
        <v>5170</v>
      </c>
      <c r="L279" s="2"/>
    </row>
    <row r="280" spans="1:12" x14ac:dyDescent="0.45">
      <c r="A280" s="8">
        <v>15</v>
      </c>
      <c r="B280" s="51">
        <v>3750</v>
      </c>
      <c r="C280" s="51">
        <v>6450</v>
      </c>
      <c r="D280" s="51">
        <v>5100</v>
      </c>
      <c r="E280" s="51">
        <v>3500</v>
      </c>
      <c r="F280" s="51">
        <v>6425</v>
      </c>
      <c r="G280" s="51">
        <v>5171.4285714285716</v>
      </c>
      <c r="H280" s="11"/>
      <c r="I280" s="11"/>
      <c r="J280" s="51"/>
      <c r="K280" s="2">
        <v>5145.454545454545</v>
      </c>
      <c r="L280" s="2"/>
    </row>
    <row r="281" spans="1:12" x14ac:dyDescent="0.45">
      <c r="A281" s="8">
        <v>16</v>
      </c>
      <c r="B281" s="51">
        <v>3750</v>
      </c>
      <c r="C281" s="51">
        <v>6050</v>
      </c>
      <c r="D281" s="51">
        <v>4900</v>
      </c>
      <c r="E281" s="51">
        <v>3750</v>
      </c>
      <c r="F281" s="51">
        <v>6016.666666666667</v>
      </c>
      <c r="G281" s="51">
        <v>4883.333333333333</v>
      </c>
      <c r="H281" s="11">
        <v>4500</v>
      </c>
      <c r="I281" s="11">
        <v>6800</v>
      </c>
      <c r="J281" s="51">
        <v>6225</v>
      </c>
      <c r="K281" s="2">
        <v>5271.4285714285716</v>
      </c>
      <c r="L281" s="2"/>
    </row>
    <row r="282" spans="1:12" x14ac:dyDescent="0.45">
      <c r="A282" s="7">
        <v>45317</v>
      </c>
      <c r="B282" s="51">
        <v>4086.2727272727275</v>
      </c>
      <c r="C282" s="51">
        <v>6518.25</v>
      </c>
      <c r="D282" s="51">
        <v>5355.130434782609</v>
      </c>
      <c r="E282" s="51">
        <v>3658.3333333333335</v>
      </c>
      <c r="F282" s="51">
        <v>6322.5</v>
      </c>
      <c r="G282" s="51">
        <v>5180.7142857142853</v>
      </c>
      <c r="H282" s="11"/>
      <c r="I282" s="11"/>
      <c r="J282" s="51"/>
      <c r="K282" s="2">
        <v>5231.493670886076</v>
      </c>
      <c r="L282" s="2"/>
    </row>
    <row r="283" spans="1:12" x14ac:dyDescent="0.45">
      <c r="A283" s="8">
        <v>7</v>
      </c>
      <c r="B283" s="51">
        <v>4200</v>
      </c>
      <c r="C283" s="51">
        <v>6900</v>
      </c>
      <c r="D283" s="51">
        <v>5550</v>
      </c>
      <c r="E283" s="51"/>
      <c r="F283" s="51">
        <v>7050</v>
      </c>
      <c r="G283" s="51">
        <v>7050</v>
      </c>
      <c r="H283" s="11"/>
      <c r="I283" s="11"/>
      <c r="J283" s="51"/>
      <c r="K283" s="2">
        <v>6050</v>
      </c>
      <c r="L283" s="2"/>
    </row>
    <row r="284" spans="1:12" x14ac:dyDescent="0.45">
      <c r="A284" s="8">
        <v>8</v>
      </c>
      <c r="B284" s="51"/>
      <c r="C284" s="51">
        <v>6805</v>
      </c>
      <c r="D284" s="51">
        <v>6805</v>
      </c>
      <c r="E284" s="51"/>
      <c r="F284" s="51"/>
      <c r="G284" s="51"/>
      <c r="H284" s="11"/>
      <c r="I284" s="11"/>
      <c r="J284" s="51"/>
      <c r="K284" s="2">
        <v>6805</v>
      </c>
      <c r="L284" s="2"/>
    </row>
    <row r="285" spans="1:12" x14ac:dyDescent="0.45">
      <c r="A285" s="8">
        <v>9</v>
      </c>
      <c r="B285" s="51">
        <v>3599</v>
      </c>
      <c r="C285" s="51">
        <v>6364</v>
      </c>
      <c r="D285" s="51">
        <v>4981.5</v>
      </c>
      <c r="E285" s="51">
        <v>3250</v>
      </c>
      <c r="F285" s="51">
        <v>6170</v>
      </c>
      <c r="G285" s="51">
        <v>3980</v>
      </c>
      <c r="H285" s="11"/>
      <c r="I285" s="11"/>
      <c r="J285" s="51"/>
      <c r="K285" s="2">
        <v>4313.833333333333</v>
      </c>
      <c r="L285" s="2"/>
    </row>
    <row r="286" spans="1:12" x14ac:dyDescent="0.45">
      <c r="A286" s="8">
        <v>10</v>
      </c>
      <c r="B286" s="51">
        <v>4050</v>
      </c>
      <c r="C286" s="51">
        <v>6100</v>
      </c>
      <c r="D286" s="51">
        <v>5075</v>
      </c>
      <c r="E286" s="51">
        <v>4200</v>
      </c>
      <c r="F286" s="51">
        <v>6000</v>
      </c>
      <c r="G286" s="51">
        <v>5228.5714285714284</v>
      </c>
      <c r="H286" s="11"/>
      <c r="I286" s="11"/>
      <c r="J286" s="51"/>
      <c r="K286" s="2">
        <v>5172.727272727273</v>
      </c>
      <c r="L286" s="2"/>
    </row>
    <row r="287" spans="1:12" x14ac:dyDescent="0.45">
      <c r="A287" s="8">
        <v>11</v>
      </c>
      <c r="B287" s="51">
        <v>4300</v>
      </c>
      <c r="C287" s="51">
        <v>6800</v>
      </c>
      <c r="D287" s="51">
        <v>5550</v>
      </c>
      <c r="E287" s="51">
        <v>3966.6666666666665</v>
      </c>
      <c r="F287" s="51">
        <v>6440</v>
      </c>
      <c r="G287" s="51">
        <v>5512.5</v>
      </c>
      <c r="H287" s="11"/>
      <c r="I287" s="11"/>
      <c r="J287" s="51"/>
      <c r="K287" s="2">
        <v>5525</v>
      </c>
      <c r="L287" s="2"/>
    </row>
    <row r="288" spans="1:12" x14ac:dyDescent="0.45">
      <c r="A288" s="8">
        <v>12</v>
      </c>
      <c r="B288" s="51">
        <v>3900</v>
      </c>
      <c r="C288" s="51">
        <v>6800</v>
      </c>
      <c r="D288" s="51">
        <v>5350</v>
      </c>
      <c r="E288" s="51">
        <v>3850</v>
      </c>
      <c r="F288" s="51">
        <v>6750</v>
      </c>
      <c r="G288" s="51">
        <v>5300</v>
      </c>
      <c r="H288" s="11"/>
      <c r="I288" s="11"/>
      <c r="J288" s="51"/>
      <c r="K288" s="2">
        <v>5312.5</v>
      </c>
      <c r="L288" s="2"/>
    </row>
    <row r="289" spans="1:12" x14ac:dyDescent="0.45">
      <c r="A289" s="8">
        <v>13</v>
      </c>
      <c r="B289" s="51"/>
      <c r="C289" s="51"/>
      <c r="D289" s="51"/>
      <c r="E289" s="51">
        <v>3100</v>
      </c>
      <c r="F289" s="51">
        <v>6000</v>
      </c>
      <c r="G289" s="51">
        <v>4912.5</v>
      </c>
      <c r="H289" s="11"/>
      <c r="I289" s="11"/>
      <c r="J289" s="51"/>
      <c r="K289" s="2">
        <v>4912.5</v>
      </c>
      <c r="L289" s="2"/>
    </row>
    <row r="290" spans="1:12" x14ac:dyDescent="0.45">
      <c r="A290" s="8">
        <v>14</v>
      </c>
      <c r="B290" s="51">
        <v>4100</v>
      </c>
      <c r="C290" s="51">
        <v>6650</v>
      </c>
      <c r="D290" s="51">
        <v>4950</v>
      </c>
      <c r="E290" s="51">
        <v>3650</v>
      </c>
      <c r="F290" s="51">
        <v>6650</v>
      </c>
      <c r="G290" s="51">
        <v>5150</v>
      </c>
      <c r="H290" s="11"/>
      <c r="I290" s="11"/>
      <c r="J290" s="51"/>
      <c r="K290" s="2">
        <v>5083.333333333333</v>
      </c>
      <c r="L290" s="2"/>
    </row>
    <row r="291" spans="1:12" x14ac:dyDescent="0.45">
      <c r="A291" s="8">
        <v>15</v>
      </c>
      <c r="B291" s="51">
        <v>4175</v>
      </c>
      <c r="C291" s="51">
        <v>6475</v>
      </c>
      <c r="D291" s="51">
        <v>5325</v>
      </c>
      <c r="E291" s="51">
        <v>3500</v>
      </c>
      <c r="F291" s="51">
        <v>6490</v>
      </c>
      <c r="G291" s="51">
        <v>5368.75</v>
      </c>
      <c r="H291" s="11"/>
      <c r="I291" s="11"/>
      <c r="J291" s="51"/>
      <c r="K291" s="2">
        <v>5354.166666666667</v>
      </c>
      <c r="L291" s="2"/>
    </row>
    <row r="292" spans="1:12" x14ac:dyDescent="0.45">
      <c r="A292" s="8">
        <v>16</v>
      </c>
      <c r="B292" s="51"/>
      <c r="C292" s="51">
        <v>5950</v>
      </c>
      <c r="D292" s="51">
        <v>5950</v>
      </c>
      <c r="E292" s="51">
        <v>3750</v>
      </c>
      <c r="F292" s="51">
        <v>6050</v>
      </c>
      <c r="G292" s="51">
        <v>5187.5</v>
      </c>
      <c r="H292" s="11"/>
      <c r="I292" s="11"/>
      <c r="J292" s="51"/>
      <c r="K292" s="2">
        <v>5272.2222222222226</v>
      </c>
      <c r="L292" s="2"/>
    </row>
    <row r="293" spans="1:12" x14ac:dyDescent="0.45">
      <c r="A293" s="7">
        <v>45318</v>
      </c>
      <c r="B293" s="51">
        <v>4225</v>
      </c>
      <c r="C293" s="51">
        <v>6412.5</v>
      </c>
      <c r="D293" s="51">
        <v>5318.75</v>
      </c>
      <c r="E293" s="51">
        <v>3727.7407407407409</v>
      </c>
      <c r="F293" s="51">
        <v>6283.333333333333</v>
      </c>
      <c r="G293" s="51">
        <v>4192.393939393939</v>
      </c>
      <c r="H293" s="11"/>
      <c r="I293" s="11"/>
      <c r="J293" s="51"/>
      <c r="K293" s="2">
        <v>4412.1707317073169</v>
      </c>
      <c r="L293" s="2"/>
    </row>
    <row r="294" spans="1:12" x14ac:dyDescent="0.45">
      <c r="A294" s="8">
        <v>9</v>
      </c>
      <c r="B294" s="51"/>
      <c r="C294" s="51"/>
      <c r="D294" s="51"/>
      <c r="E294" s="51">
        <v>3374.5</v>
      </c>
      <c r="F294" s="51"/>
      <c r="G294" s="51">
        <v>3374.5</v>
      </c>
      <c r="H294" s="11"/>
      <c r="I294" s="11"/>
      <c r="J294" s="51"/>
      <c r="K294" s="2">
        <v>3374.5</v>
      </c>
      <c r="L294" s="2"/>
    </row>
    <row r="295" spans="1:12" x14ac:dyDescent="0.45">
      <c r="A295" s="8">
        <v>10</v>
      </c>
      <c r="B295" s="51">
        <v>4100</v>
      </c>
      <c r="C295" s="51">
        <v>6100</v>
      </c>
      <c r="D295" s="51">
        <v>5100</v>
      </c>
      <c r="E295" s="51">
        <v>3900</v>
      </c>
      <c r="F295" s="51">
        <v>6000</v>
      </c>
      <c r="G295" s="51">
        <v>4320</v>
      </c>
      <c r="H295" s="11"/>
      <c r="I295" s="11"/>
      <c r="J295" s="51"/>
      <c r="K295" s="2">
        <v>4542.8571428571431</v>
      </c>
      <c r="L295" s="2"/>
    </row>
    <row r="296" spans="1:12" x14ac:dyDescent="0.45">
      <c r="A296" s="8">
        <v>11</v>
      </c>
      <c r="B296" s="51">
        <v>4300</v>
      </c>
      <c r="C296" s="51">
        <v>6800</v>
      </c>
      <c r="D296" s="51">
        <v>5550</v>
      </c>
      <c r="E296" s="51">
        <v>4000</v>
      </c>
      <c r="F296" s="51">
        <v>6500</v>
      </c>
      <c r="G296" s="51">
        <v>4625</v>
      </c>
      <c r="H296" s="11"/>
      <c r="I296" s="11"/>
      <c r="J296" s="51"/>
      <c r="K296" s="2">
        <v>4933.333333333333</v>
      </c>
      <c r="L296" s="2"/>
    </row>
    <row r="297" spans="1:12" x14ac:dyDescent="0.45">
      <c r="A297" s="8">
        <v>12</v>
      </c>
      <c r="B297" s="51"/>
      <c r="C297" s="51"/>
      <c r="D297" s="51"/>
      <c r="E297" s="51">
        <v>3850</v>
      </c>
      <c r="F297" s="51"/>
      <c r="G297" s="51">
        <v>3850</v>
      </c>
      <c r="H297" s="11"/>
      <c r="I297" s="11"/>
      <c r="J297" s="51"/>
      <c r="K297" s="2">
        <v>3850</v>
      </c>
      <c r="L297" s="2"/>
    </row>
    <row r="298" spans="1:12" x14ac:dyDescent="0.45">
      <c r="A298" s="8">
        <v>13</v>
      </c>
      <c r="B298" s="51"/>
      <c r="C298" s="51"/>
      <c r="D298" s="51"/>
      <c r="E298" s="51">
        <v>3100</v>
      </c>
      <c r="F298" s="51">
        <v>6000</v>
      </c>
      <c r="G298" s="51">
        <v>3825</v>
      </c>
      <c r="H298" s="11"/>
      <c r="I298" s="11"/>
      <c r="J298" s="51"/>
      <c r="K298" s="2">
        <v>3825</v>
      </c>
      <c r="L298" s="2"/>
    </row>
    <row r="299" spans="1:12" x14ac:dyDescent="0.45">
      <c r="A299" s="8">
        <v>14</v>
      </c>
      <c r="B299" s="51">
        <v>4100</v>
      </c>
      <c r="C299" s="51"/>
      <c r="D299" s="51">
        <v>4100</v>
      </c>
      <c r="E299" s="51">
        <v>3712.5</v>
      </c>
      <c r="F299" s="51">
        <v>6650</v>
      </c>
      <c r="G299" s="51">
        <v>4300</v>
      </c>
      <c r="H299" s="11"/>
      <c r="I299" s="11"/>
      <c r="J299" s="51"/>
      <c r="K299" s="2">
        <v>4266.666666666667</v>
      </c>
      <c r="L299" s="2"/>
    </row>
    <row r="300" spans="1:12" x14ac:dyDescent="0.45">
      <c r="A300" s="8">
        <v>15</v>
      </c>
      <c r="B300" s="51">
        <v>4400</v>
      </c>
      <c r="C300" s="51">
        <v>6500</v>
      </c>
      <c r="D300" s="51">
        <v>5450</v>
      </c>
      <c r="E300" s="51">
        <v>3900</v>
      </c>
      <c r="F300" s="51">
        <v>6500</v>
      </c>
      <c r="G300" s="51">
        <v>4420</v>
      </c>
      <c r="H300" s="11"/>
      <c r="I300" s="11"/>
      <c r="J300" s="51"/>
      <c r="K300" s="2">
        <v>4714.2857142857147</v>
      </c>
      <c r="L300" s="2"/>
    </row>
    <row r="301" spans="1:12" x14ac:dyDescent="0.45">
      <c r="A301" s="8">
        <v>16</v>
      </c>
      <c r="B301" s="51"/>
      <c r="C301" s="51">
        <v>6250</v>
      </c>
      <c r="D301" s="51">
        <v>6250</v>
      </c>
      <c r="E301" s="51">
        <v>3750</v>
      </c>
      <c r="F301" s="51">
        <v>6050</v>
      </c>
      <c r="G301" s="51">
        <v>4210</v>
      </c>
      <c r="H301" s="11"/>
      <c r="I301" s="11"/>
      <c r="J301" s="51"/>
      <c r="K301" s="2">
        <v>4550</v>
      </c>
      <c r="L301" s="2"/>
    </row>
    <row r="302" spans="1:12" x14ac:dyDescent="0.45">
      <c r="A302" s="7">
        <v>45319</v>
      </c>
      <c r="B302" s="51"/>
      <c r="C302" s="51">
        <v>6475</v>
      </c>
      <c r="D302" s="51">
        <v>6475</v>
      </c>
      <c r="E302" s="51">
        <v>3525</v>
      </c>
      <c r="F302" s="51">
        <v>6283.333333333333</v>
      </c>
      <c r="G302" s="51">
        <v>5593.75</v>
      </c>
      <c r="H302" s="11"/>
      <c r="I302" s="11"/>
      <c r="J302" s="51"/>
      <c r="K302" s="2">
        <v>5691.666666666667</v>
      </c>
      <c r="L302" s="2"/>
    </row>
    <row r="303" spans="1:12" x14ac:dyDescent="0.45">
      <c r="A303" s="8">
        <v>10</v>
      </c>
      <c r="B303" s="51"/>
      <c r="C303" s="51"/>
      <c r="D303" s="51"/>
      <c r="E303" s="51">
        <v>3525</v>
      </c>
      <c r="F303" s="51">
        <v>5600</v>
      </c>
      <c r="G303" s="51">
        <v>4216.666666666667</v>
      </c>
      <c r="H303" s="11"/>
      <c r="I303" s="11"/>
      <c r="J303" s="51"/>
      <c r="K303" s="2">
        <v>4216.666666666667</v>
      </c>
      <c r="L303" s="2"/>
    </row>
    <row r="304" spans="1:12" x14ac:dyDescent="0.45">
      <c r="A304" s="8">
        <v>11</v>
      </c>
      <c r="B304" s="51"/>
      <c r="C304" s="51"/>
      <c r="D304" s="51"/>
      <c r="E304" s="51"/>
      <c r="F304" s="51">
        <v>6500</v>
      </c>
      <c r="G304" s="51">
        <v>6500</v>
      </c>
      <c r="H304" s="11"/>
      <c r="I304" s="11"/>
      <c r="J304" s="51"/>
      <c r="K304" s="2">
        <v>6500</v>
      </c>
      <c r="L304" s="2"/>
    </row>
    <row r="305" spans="1:12" x14ac:dyDescent="0.45">
      <c r="A305" s="8">
        <v>15</v>
      </c>
      <c r="B305" s="51"/>
      <c r="C305" s="51">
        <v>6475</v>
      </c>
      <c r="D305" s="51">
        <v>6475</v>
      </c>
      <c r="E305" s="51"/>
      <c r="F305" s="51">
        <v>6487.5</v>
      </c>
      <c r="G305" s="51">
        <v>6487.5</v>
      </c>
      <c r="H305" s="11"/>
      <c r="I305" s="11"/>
      <c r="J305" s="51"/>
      <c r="K305" s="2">
        <v>6483.333333333333</v>
      </c>
      <c r="L305" s="2"/>
    </row>
    <row r="306" spans="1:12" x14ac:dyDescent="0.45">
      <c r="A306" s="8">
        <v>16</v>
      </c>
      <c r="B306" s="51"/>
      <c r="C306" s="51"/>
      <c r="D306" s="51"/>
      <c r="E306" s="51"/>
      <c r="F306" s="51">
        <v>6250</v>
      </c>
      <c r="G306" s="51">
        <v>6250</v>
      </c>
      <c r="H306" s="11"/>
      <c r="I306" s="11"/>
      <c r="J306" s="51"/>
      <c r="K306" s="2">
        <v>6250</v>
      </c>
      <c r="L306" s="2"/>
    </row>
    <row r="307" spans="1:12" x14ac:dyDescent="0.45">
      <c r="A307" s="7">
        <v>45320</v>
      </c>
      <c r="B307" s="51"/>
      <c r="C307" s="51">
        <v>6450</v>
      </c>
      <c r="D307" s="51">
        <v>6450</v>
      </c>
      <c r="E307" s="51">
        <v>3562.5</v>
      </c>
      <c r="F307" s="51">
        <v>5400</v>
      </c>
      <c r="G307" s="51">
        <v>4583.333333333333</v>
      </c>
      <c r="H307" s="11"/>
      <c r="I307" s="11"/>
      <c r="J307" s="51"/>
      <c r="K307" s="2">
        <v>4770</v>
      </c>
      <c r="L307" s="2"/>
    </row>
    <row r="308" spans="1:12" x14ac:dyDescent="0.45">
      <c r="A308" s="8">
        <v>10</v>
      </c>
      <c r="B308" s="51"/>
      <c r="C308" s="51"/>
      <c r="D308" s="51"/>
      <c r="E308" s="51">
        <v>3562.5</v>
      </c>
      <c r="F308" s="51">
        <v>5400</v>
      </c>
      <c r="G308" s="51">
        <v>4583.333333333333</v>
      </c>
      <c r="H308" s="11"/>
      <c r="I308" s="11"/>
      <c r="J308" s="51"/>
      <c r="K308" s="2">
        <v>4583.333333333333</v>
      </c>
      <c r="L308" s="2"/>
    </row>
    <row r="309" spans="1:12" x14ac:dyDescent="0.45">
      <c r="A309" s="8">
        <v>15</v>
      </c>
      <c r="B309" s="51"/>
      <c r="C309" s="51">
        <v>6450</v>
      </c>
      <c r="D309" s="51">
        <v>6450</v>
      </c>
      <c r="E309" s="51"/>
      <c r="F309" s="51"/>
      <c r="G309" s="51"/>
      <c r="H309" s="11"/>
      <c r="I309" s="11"/>
      <c r="J309" s="51"/>
      <c r="K309" s="2">
        <v>6450</v>
      </c>
      <c r="L309" s="2"/>
    </row>
    <row r="310" spans="1:12" x14ac:dyDescent="0.45">
      <c r="A310" s="7" t="s">
        <v>23</v>
      </c>
      <c r="B310" s="51">
        <v>3803.9923664122139</v>
      </c>
      <c r="C310" s="51">
        <v>6563.5576407506705</v>
      </c>
      <c r="D310" s="51">
        <v>5147.7493472584856</v>
      </c>
      <c r="E310" s="51">
        <v>3744.0593220338983</v>
      </c>
      <c r="F310" s="51">
        <v>6484.6805755395681</v>
      </c>
      <c r="G310" s="51">
        <v>4906.1897498474682</v>
      </c>
      <c r="H310" s="11">
        <v>4412.2807017543855</v>
      </c>
      <c r="I310" s="11">
        <v>7266.666666666667</v>
      </c>
      <c r="J310" s="51">
        <v>4801.515151515152</v>
      </c>
      <c r="K310" s="2">
        <v>4978.2764063132336</v>
      </c>
      <c r="L31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098B7-0E90-4A84-A66D-284BCB73DBE2}">
  <sheetPr codeName="Sheet3">
    <tabColor theme="1"/>
  </sheetPr>
  <dimension ref="A1:T2937"/>
  <sheetViews>
    <sheetView zoomScale="57" zoomScaleNormal="85" workbookViewId="0">
      <selection activeCell="S30" sqref="S30"/>
    </sheetView>
  </sheetViews>
  <sheetFormatPr defaultRowHeight="14.25" x14ac:dyDescent="0.45"/>
  <cols>
    <col min="1" max="1" width="14.19921875" customWidth="1"/>
    <col min="2" max="2" width="17.53125" bestFit="1" customWidth="1"/>
    <col min="4" max="4" width="18.19921875" bestFit="1" customWidth="1"/>
    <col min="5" max="5" width="15.06640625" bestFit="1" customWidth="1"/>
    <col min="6" max="6" width="11.33203125" customWidth="1"/>
    <col min="7" max="7" width="15.46484375" bestFit="1" customWidth="1"/>
    <col min="9" max="9" width="14.1328125" bestFit="1" customWidth="1"/>
    <col min="10" max="10" width="12.06640625" customWidth="1"/>
    <col min="11" max="11" width="14.19921875" customWidth="1"/>
    <col min="12" max="13" width="11.33203125" customWidth="1"/>
    <col min="14" max="15" width="14.19921875" customWidth="1"/>
    <col min="16" max="16" width="14.19921875" style="4" customWidth="1"/>
    <col min="17" max="17" width="13.265625" style="5" customWidth="1"/>
  </cols>
  <sheetData>
    <row r="1" spans="1:20" x14ac:dyDescent="0.4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</v>
      </c>
      <c r="J1" t="s">
        <v>10</v>
      </c>
      <c r="K1" t="s">
        <v>11</v>
      </c>
      <c r="L1" s="12" t="s">
        <v>21</v>
      </c>
      <c r="M1" s="12" t="s">
        <v>42</v>
      </c>
      <c r="N1" s="13" t="s">
        <v>22</v>
      </c>
      <c r="O1" s="14" t="s">
        <v>43</v>
      </c>
      <c r="P1" s="14" t="s">
        <v>48</v>
      </c>
      <c r="Q1"/>
    </row>
    <row r="2" spans="1:20" hidden="1" x14ac:dyDescent="0.45">
      <c r="A2" s="3">
        <v>45292</v>
      </c>
      <c r="B2" t="s">
        <v>12</v>
      </c>
      <c r="C2">
        <v>4</v>
      </c>
      <c r="D2">
        <v>9</v>
      </c>
      <c r="E2" t="s">
        <v>13</v>
      </c>
      <c r="F2">
        <v>1800</v>
      </c>
      <c r="G2">
        <v>105</v>
      </c>
      <c r="H2">
        <v>189000</v>
      </c>
      <c r="I2" s="3">
        <v>45292</v>
      </c>
      <c r="J2">
        <v>72</v>
      </c>
      <c r="K2" s="3">
        <v>45295</v>
      </c>
      <c r="L2" s="4">
        <f>ROUNDDOWN(Table1[[#This Row],[Ordered]],0)</f>
        <v>45292</v>
      </c>
      <c r="M2" s="4">
        <f>Table1[[#This Row],[Date ]]</f>
        <v>45292</v>
      </c>
      <c r="N2" s="5">
        <f>Table1[[#This Row],[Ordered]]-Table1[[#This Row],[Date ]]</f>
        <v>0</v>
      </c>
      <c r="O2">
        <f>Table1[[#This Row],[Company]]</f>
        <v>4</v>
      </c>
      <c r="P2">
        <f>IF(((Table1[[#This Row],[Arrived]]-Table1[[#This Row],[Delivery]])*24-Table1[[#This Row],[Promised]])&lt;0, 0, (Table1[[#This Row],[Arrived]]-Table1[[#This Row],[Delivery]])*24-Table1[[#This Row],[Promised]])</f>
        <v>0</v>
      </c>
      <c r="Q2"/>
    </row>
    <row r="3" spans="1:20" x14ac:dyDescent="0.45">
      <c r="A3" s="3">
        <v>45292.041666666664</v>
      </c>
      <c r="B3" t="s">
        <v>14</v>
      </c>
      <c r="C3">
        <v>13</v>
      </c>
      <c r="D3">
        <v>1002</v>
      </c>
      <c r="E3" t="s">
        <v>16</v>
      </c>
      <c r="F3">
        <v>26</v>
      </c>
      <c r="G3">
        <v>3750</v>
      </c>
      <c r="H3">
        <v>97500</v>
      </c>
      <c r="I3" s="3">
        <v>45292.958333333336</v>
      </c>
      <c r="J3">
        <v>96</v>
      </c>
      <c r="K3" s="3">
        <v>45295.958333333336</v>
      </c>
      <c r="L3" s="4">
        <f>ROUNDDOWN(Table1[[#This Row],[Ordered]],0)</f>
        <v>45292</v>
      </c>
      <c r="M3" s="4">
        <f>Table1[[#This Row],[Date ]]</f>
        <v>45292</v>
      </c>
      <c r="N3" s="5">
        <f>Table1[[#This Row],[Ordered]]-Table1[[#This Row],[Date ]]</f>
        <v>4.1666666664241347E-2</v>
      </c>
      <c r="O3">
        <f>Table1[[#This Row],[Company]]</f>
        <v>13</v>
      </c>
      <c r="P3">
        <f>IF(((Table1[[#This Row],[Arrived]]-Table1[[#This Row],[Delivery]])*24-Table1[[#This Row],[Promised]])&lt;0, 0, (Table1[[#This Row],[Arrived]]-Table1[[#This Row],[Delivery]])*24-Table1[[#This Row],[Promised]])</f>
        <v>0</v>
      </c>
      <c r="Q3" t="str" cm="1">
        <f t="array" ref="Q3:Q4">_xlfn.UNIQUE(E3:E6)</f>
        <v>Bio counter</v>
      </c>
      <c r="T3" t="s">
        <v>14</v>
      </c>
    </row>
    <row r="4" spans="1:20" x14ac:dyDescent="0.45">
      <c r="A4" s="3">
        <v>45292.041666666664</v>
      </c>
      <c r="B4" t="s">
        <v>14</v>
      </c>
      <c r="C4">
        <v>9</v>
      </c>
      <c r="D4">
        <v>1005</v>
      </c>
      <c r="E4" t="s">
        <v>16</v>
      </c>
      <c r="F4">
        <v>30</v>
      </c>
      <c r="G4">
        <v>3750</v>
      </c>
      <c r="H4">
        <v>112500</v>
      </c>
      <c r="I4" s="3">
        <v>45293.041666666664</v>
      </c>
      <c r="J4">
        <v>96</v>
      </c>
      <c r="K4" s="3">
        <v>45296.041666666664</v>
      </c>
      <c r="L4" s="4">
        <f>ROUNDDOWN(Table1[[#This Row],[Ordered]],0)</f>
        <v>45292</v>
      </c>
      <c r="M4" s="4">
        <f>Table1[[#This Row],[Date ]]</f>
        <v>45292</v>
      </c>
      <c r="N4" s="5">
        <f>Table1[[#This Row],[Ordered]]-Table1[[#This Row],[Date ]]</f>
        <v>4.1666666664241347E-2</v>
      </c>
      <c r="O4">
        <f>Table1[[#This Row],[Company]]</f>
        <v>9</v>
      </c>
      <c r="P4">
        <f>IF(((Table1[[#This Row],[Arrived]]-Table1[[#This Row],[Delivery]])*24-Table1[[#This Row],[Promised]])&lt;0, 0, (Table1[[#This Row],[Arrived]]-Table1[[#This Row],[Delivery]])*24-Table1[[#This Row],[Promised]])</f>
        <v>0</v>
      </c>
      <c r="Q4" t="str">
        <v>Bio counter DLX</v>
      </c>
      <c r="T4" t="s">
        <v>0</v>
      </c>
    </row>
    <row r="5" spans="1:20" x14ac:dyDescent="0.45">
      <c r="A5" s="3">
        <v>45292.041666666664</v>
      </c>
      <c r="B5" t="s">
        <v>14</v>
      </c>
      <c r="C5">
        <v>9</v>
      </c>
      <c r="D5">
        <v>1002</v>
      </c>
      <c r="E5" t="s">
        <v>16</v>
      </c>
      <c r="F5">
        <v>26</v>
      </c>
      <c r="G5">
        <v>3750</v>
      </c>
      <c r="H5">
        <v>97500</v>
      </c>
      <c r="I5" s="3">
        <v>45293.041666666664</v>
      </c>
      <c r="J5">
        <v>96</v>
      </c>
      <c r="K5" s="3">
        <v>45296.041666666664</v>
      </c>
      <c r="L5" s="4">
        <f>ROUNDDOWN(Table1[[#This Row],[Ordered]],0)</f>
        <v>45292</v>
      </c>
      <c r="M5" s="4">
        <f>Table1[[#This Row],[Date ]]</f>
        <v>45292</v>
      </c>
      <c r="N5" s="5">
        <f>Table1[[#This Row],[Ordered]]-Table1[[#This Row],[Date ]]</f>
        <v>4.1666666664241347E-2</v>
      </c>
      <c r="O5">
        <f>Table1[[#This Row],[Company]]</f>
        <v>9</v>
      </c>
      <c r="P5">
        <f>IF(((Table1[[#This Row],[Arrived]]-Table1[[#This Row],[Delivery]])*24-Table1[[#This Row],[Promised]])&lt;0, 0, (Table1[[#This Row],[Arrived]]-Table1[[#This Row],[Delivery]])*24-Table1[[#This Row],[Promised]])</f>
        <v>0</v>
      </c>
      <c r="Q5" t="s">
        <v>41</v>
      </c>
      <c r="T5" t="s">
        <v>19</v>
      </c>
    </row>
    <row r="6" spans="1:20" x14ac:dyDescent="0.45">
      <c r="A6" s="3">
        <v>45292.041666666664</v>
      </c>
      <c r="B6" t="s">
        <v>14</v>
      </c>
      <c r="C6">
        <v>11</v>
      </c>
      <c r="D6">
        <v>1006</v>
      </c>
      <c r="E6" t="s">
        <v>15</v>
      </c>
      <c r="F6">
        <v>8</v>
      </c>
      <c r="G6">
        <v>6650</v>
      </c>
      <c r="H6">
        <v>53200</v>
      </c>
      <c r="I6" s="3">
        <v>45292.708333333336</v>
      </c>
      <c r="J6">
        <v>96</v>
      </c>
      <c r="K6" s="3">
        <v>45295.708333333336</v>
      </c>
      <c r="L6" s="4">
        <f>ROUNDDOWN(Table1[[#This Row],[Ordered]],0)</f>
        <v>45292</v>
      </c>
      <c r="M6" s="4">
        <f>Table1[[#This Row],[Date ]]</f>
        <v>45292</v>
      </c>
      <c r="N6" s="5">
        <f>Table1[[#This Row],[Ordered]]-Table1[[#This Row],[Date ]]</f>
        <v>4.1666666664241347E-2</v>
      </c>
      <c r="O6">
        <f>Table1[[#This Row],[Company]]</f>
        <v>11</v>
      </c>
      <c r="P6">
        <f>IF(((Table1[[#This Row],[Arrived]]-Table1[[#This Row],[Delivery]])*24-Table1[[#This Row],[Promised]])&lt;0, 0, (Table1[[#This Row],[Arrived]]-Table1[[#This Row],[Delivery]])*24-Table1[[#This Row],[Promised]])</f>
        <v>0</v>
      </c>
      <c r="Q6"/>
    </row>
    <row r="7" spans="1:20" x14ac:dyDescent="0.45">
      <c r="A7" s="3">
        <v>45292.041666666664</v>
      </c>
      <c r="B7" t="s">
        <v>14</v>
      </c>
      <c r="C7">
        <v>10</v>
      </c>
      <c r="D7">
        <v>1001</v>
      </c>
      <c r="E7" t="s">
        <v>16</v>
      </c>
      <c r="F7">
        <v>30</v>
      </c>
      <c r="G7">
        <v>3750</v>
      </c>
      <c r="H7">
        <v>112500</v>
      </c>
      <c r="I7" s="3">
        <v>45292.041666666664</v>
      </c>
      <c r="J7">
        <v>96</v>
      </c>
      <c r="K7" s="3">
        <v>45295.041666666664</v>
      </c>
      <c r="L7" s="4">
        <f>ROUNDDOWN(Table1[[#This Row],[Ordered]],0)</f>
        <v>45292</v>
      </c>
      <c r="M7" s="4">
        <f>Table1[[#This Row],[Date ]]</f>
        <v>45292</v>
      </c>
      <c r="N7" s="5">
        <f>Table1[[#This Row],[Ordered]]-Table1[[#This Row],[Date ]]</f>
        <v>4.1666666664241347E-2</v>
      </c>
      <c r="O7">
        <f>Table1[[#This Row],[Company]]</f>
        <v>10</v>
      </c>
      <c r="P7">
        <f>IF(((Table1[[#This Row],[Arrived]]-Table1[[#This Row],[Delivery]])*24-Table1[[#This Row],[Promised]])&lt;0, 0, (Table1[[#This Row],[Arrived]]-Table1[[#This Row],[Delivery]])*24-Table1[[#This Row],[Promised]])</f>
        <v>0</v>
      </c>
      <c r="Q7"/>
    </row>
    <row r="8" spans="1:20" x14ac:dyDescent="0.45">
      <c r="A8" s="3">
        <v>45292.041666666664</v>
      </c>
      <c r="B8" t="s">
        <v>14</v>
      </c>
      <c r="C8">
        <v>8</v>
      </c>
      <c r="D8">
        <v>1002</v>
      </c>
      <c r="E8" t="s">
        <v>16</v>
      </c>
      <c r="F8">
        <v>26</v>
      </c>
      <c r="G8">
        <v>3750</v>
      </c>
      <c r="H8">
        <v>97500</v>
      </c>
      <c r="I8" s="3">
        <v>45292.958333333336</v>
      </c>
      <c r="J8">
        <v>96</v>
      </c>
      <c r="K8" s="3">
        <v>45295.958333333336</v>
      </c>
      <c r="L8" s="4">
        <f>ROUNDDOWN(Table1[[#This Row],[Ordered]],0)</f>
        <v>45292</v>
      </c>
      <c r="M8" s="4">
        <f>Table1[[#This Row],[Date ]]</f>
        <v>45292</v>
      </c>
      <c r="N8" s="5">
        <f>Table1[[#This Row],[Ordered]]-Table1[[#This Row],[Date ]]</f>
        <v>4.1666666664241347E-2</v>
      </c>
      <c r="O8">
        <f>Table1[[#This Row],[Company]]</f>
        <v>8</v>
      </c>
      <c r="P8">
        <f>IF(((Table1[[#This Row],[Arrived]]-Table1[[#This Row],[Delivery]])*24-Table1[[#This Row],[Promised]])&lt;0, 0, (Table1[[#This Row],[Arrived]]-Table1[[#This Row],[Delivery]])*24-Table1[[#This Row],[Promised]])</f>
        <v>0</v>
      </c>
      <c r="Q8"/>
    </row>
    <row r="9" spans="1:20" x14ac:dyDescent="0.45">
      <c r="A9" s="3">
        <v>45292.041666666664</v>
      </c>
      <c r="B9" t="s">
        <v>14</v>
      </c>
      <c r="C9">
        <v>9</v>
      </c>
      <c r="D9">
        <v>1006</v>
      </c>
      <c r="E9" t="s">
        <v>16</v>
      </c>
      <c r="F9">
        <v>30</v>
      </c>
      <c r="G9">
        <v>3750</v>
      </c>
      <c r="H9">
        <v>112500</v>
      </c>
      <c r="I9" s="3">
        <v>45293</v>
      </c>
      <c r="J9">
        <v>96</v>
      </c>
      <c r="K9" s="3">
        <v>45296</v>
      </c>
      <c r="L9" s="4">
        <f>ROUNDDOWN(Table1[[#This Row],[Ordered]],0)</f>
        <v>45292</v>
      </c>
      <c r="M9" s="4">
        <f>Table1[[#This Row],[Date ]]</f>
        <v>45292</v>
      </c>
      <c r="N9" s="5">
        <f>Table1[[#This Row],[Ordered]]-Table1[[#This Row],[Date ]]</f>
        <v>4.1666666664241347E-2</v>
      </c>
      <c r="O9">
        <f>Table1[[#This Row],[Company]]</f>
        <v>9</v>
      </c>
      <c r="P9">
        <f>IF(((Table1[[#This Row],[Arrived]]-Table1[[#This Row],[Delivery]])*24-Table1[[#This Row],[Promised]])&lt;0, 0, (Table1[[#This Row],[Arrived]]-Table1[[#This Row],[Delivery]])*24-Table1[[#This Row],[Promised]])</f>
        <v>0</v>
      </c>
      <c r="Q9"/>
    </row>
    <row r="10" spans="1:20" x14ac:dyDescent="0.45">
      <c r="A10" s="3">
        <v>45292.041666666664</v>
      </c>
      <c r="B10" t="s">
        <v>14</v>
      </c>
      <c r="C10">
        <v>9</v>
      </c>
      <c r="D10">
        <v>1005</v>
      </c>
      <c r="E10" t="s">
        <v>15</v>
      </c>
      <c r="F10">
        <v>7</v>
      </c>
      <c r="G10">
        <v>6650</v>
      </c>
      <c r="H10">
        <v>46550</v>
      </c>
      <c r="I10" s="3">
        <v>45293.041666666664</v>
      </c>
      <c r="J10">
        <v>96</v>
      </c>
      <c r="K10" s="3">
        <v>45296.041666666664</v>
      </c>
      <c r="L10" s="4">
        <f>ROUNDDOWN(Table1[[#This Row],[Ordered]],0)</f>
        <v>45292</v>
      </c>
      <c r="M10" s="4">
        <f>Table1[[#This Row],[Date ]]</f>
        <v>45292</v>
      </c>
      <c r="N10" s="5">
        <f>Table1[[#This Row],[Ordered]]-Table1[[#This Row],[Date ]]</f>
        <v>4.1666666664241347E-2</v>
      </c>
      <c r="O10">
        <f>Table1[[#This Row],[Company]]</f>
        <v>9</v>
      </c>
      <c r="P10">
        <f>IF(((Table1[[#This Row],[Arrived]]-Table1[[#This Row],[Delivery]])*24-Table1[[#This Row],[Promised]])&lt;0, 0, (Table1[[#This Row],[Arrived]]-Table1[[#This Row],[Delivery]])*24-Table1[[#This Row],[Promised]])</f>
        <v>0</v>
      </c>
      <c r="Q10"/>
    </row>
    <row r="11" spans="1:20" x14ac:dyDescent="0.45">
      <c r="A11" s="3">
        <v>45292.041666666664</v>
      </c>
      <c r="B11" t="s">
        <v>14</v>
      </c>
      <c r="C11">
        <v>9</v>
      </c>
      <c r="D11">
        <v>1004</v>
      </c>
      <c r="E11" t="s">
        <v>15</v>
      </c>
      <c r="F11">
        <v>5</v>
      </c>
      <c r="G11">
        <v>6650</v>
      </c>
      <c r="H11">
        <v>33250</v>
      </c>
      <c r="I11" s="3">
        <v>45293.041666666664</v>
      </c>
      <c r="J11">
        <v>96</v>
      </c>
      <c r="K11" s="3">
        <v>45296.041666666664</v>
      </c>
      <c r="L11" s="4">
        <f>ROUNDDOWN(Table1[[#This Row],[Ordered]],0)</f>
        <v>45292</v>
      </c>
      <c r="M11" s="4">
        <f>Table1[[#This Row],[Date ]]</f>
        <v>45292</v>
      </c>
      <c r="N11" s="5">
        <f>Table1[[#This Row],[Ordered]]-Table1[[#This Row],[Date ]]</f>
        <v>4.1666666664241347E-2</v>
      </c>
      <c r="O11">
        <f>Table1[[#This Row],[Company]]</f>
        <v>9</v>
      </c>
      <c r="P11">
        <f>IF(((Table1[[#This Row],[Arrived]]-Table1[[#This Row],[Delivery]])*24-Table1[[#This Row],[Promised]])&lt;0, 0, (Table1[[#This Row],[Arrived]]-Table1[[#This Row],[Delivery]])*24-Table1[[#This Row],[Promised]])</f>
        <v>0</v>
      </c>
      <c r="Q11"/>
    </row>
    <row r="12" spans="1:20" x14ac:dyDescent="0.45">
      <c r="A12" s="3">
        <v>45292.041666666664</v>
      </c>
      <c r="B12" t="s">
        <v>14</v>
      </c>
      <c r="C12">
        <v>9</v>
      </c>
      <c r="D12">
        <v>1004</v>
      </c>
      <c r="E12" t="s">
        <v>16</v>
      </c>
      <c r="F12">
        <v>30</v>
      </c>
      <c r="G12">
        <v>3750</v>
      </c>
      <c r="H12">
        <v>112500</v>
      </c>
      <c r="I12" s="3">
        <v>45293.041666666664</v>
      </c>
      <c r="J12">
        <v>96</v>
      </c>
      <c r="K12" s="3">
        <v>45296.166666666664</v>
      </c>
      <c r="L12" s="4">
        <f>ROUNDDOWN(Table1[[#This Row],[Ordered]],0)</f>
        <v>45292</v>
      </c>
      <c r="M12" s="4">
        <f>Table1[[#This Row],[Date ]]</f>
        <v>45292</v>
      </c>
      <c r="N12" s="5">
        <f>Table1[[#This Row],[Ordered]]-Table1[[#This Row],[Date ]]</f>
        <v>4.1666666664241347E-2</v>
      </c>
      <c r="O12">
        <f>Table1[[#This Row],[Company]]</f>
        <v>9</v>
      </c>
      <c r="P12">
        <f>IF(((Table1[[#This Row],[Arrived]]-Table1[[#This Row],[Delivery]])*24-Table1[[#This Row],[Promised]])&lt;0, 0, (Table1[[#This Row],[Arrived]]-Table1[[#This Row],[Delivery]])*24-Table1[[#This Row],[Promised]])</f>
        <v>0</v>
      </c>
      <c r="Q12"/>
    </row>
    <row r="13" spans="1:20" x14ac:dyDescent="0.45">
      <c r="A13" s="3">
        <v>45292.041666666664</v>
      </c>
      <c r="B13" t="s">
        <v>14</v>
      </c>
      <c r="C13">
        <v>15</v>
      </c>
      <c r="D13">
        <v>1002</v>
      </c>
      <c r="E13" t="s">
        <v>16</v>
      </c>
      <c r="F13">
        <v>26</v>
      </c>
      <c r="G13">
        <v>3750</v>
      </c>
      <c r="H13">
        <v>97500</v>
      </c>
      <c r="I13" s="3">
        <v>45292.583333333336</v>
      </c>
      <c r="J13">
        <v>96</v>
      </c>
      <c r="K13" s="3">
        <v>45295.583333333336</v>
      </c>
      <c r="L13" s="4">
        <f>ROUNDDOWN(Table1[[#This Row],[Ordered]],0)</f>
        <v>45292</v>
      </c>
      <c r="M13" s="4">
        <f>Table1[[#This Row],[Date ]]</f>
        <v>45292</v>
      </c>
      <c r="N13" s="5">
        <f>Table1[[#This Row],[Ordered]]-Table1[[#This Row],[Date ]]</f>
        <v>4.1666666664241347E-2</v>
      </c>
      <c r="O13">
        <f>Table1[[#This Row],[Company]]</f>
        <v>15</v>
      </c>
      <c r="P13">
        <f>IF(((Table1[[#This Row],[Arrived]]-Table1[[#This Row],[Delivery]])*24-Table1[[#This Row],[Promised]])&lt;0, 0, (Table1[[#This Row],[Arrived]]-Table1[[#This Row],[Delivery]])*24-Table1[[#This Row],[Promised]])</f>
        <v>0</v>
      </c>
      <c r="Q13"/>
    </row>
    <row r="14" spans="1:20" x14ac:dyDescent="0.45">
      <c r="A14" s="3">
        <v>45292.041666666664</v>
      </c>
      <c r="B14" t="s">
        <v>14</v>
      </c>
      <c r="C14">
        <v>12</v>
      </c>
      <c r="D14">
        <v>1001</v>
      </c>
      <c r="E14" t="s">
        <v>15</v>
      </c>
      <c r="F14">
        <v>3</v>
      </c>
      <c r="G14">
        <v>6650</v>
      </c>
      <c r="H14">
        <v>19950</v>
      </c>
      <c r="I14" s="3">
        <v>45293.291666666664</v>
      </c>
      <c r="J14">
        <v>96</v>
      </c>
      <c r="K14" s="3">
        <v>45295.291666666664</v>
      </c>
      <c r="L14" s="4">
        <f>ROUNDDOWN(Table1[[#This Row],[Ordered]],0)</f>
        <v>45292</v>
      </c>
      <c r="M14" s="4">
        <f>Table1[[#This Row],[Date ]]</f>
        <v>45292</v>
      </c>
      <c r="N14" s="5">
        <f>Table1[[#This Row],[Ordered]]-Table1[[#This Row],[Date ]]</f>
        <v>4.1666666664241347E-2</v>
      </c>
      <c r="O14">
        <f>Table1[[#This Row],[Company]]</f>
        <v>12</v>
      </c>
      <c r="P14">
        <f>IF(((Table1[[#This Row],[Arrived]]-Table1[[#This Row],[Delivery]])*24-Table1[[#This Row],[Promised]])&lt;0, 0, (Table1[[#This Row],[Arrived]]-Table1[[#This Row],[Delivery]])*24-Table1[[#This Row],[Promised]])</f>
        <v>0</v>
      </c>
      <c r="Q14"/>
    </row>
    <row r="15" spans="1:20" x14ac:dyDescent="0.45">
      <c r="A15" s="3">
        <v>45292.041666666664</v>
      </c>
      <c r="B15" t="s">
        <v>14</v>
      </c>
      <c r="C15">
        <v>7</v>
      </c>
      <c r="D15">
        <v>1005</v>
      </c>
      <c r="E15" t="s">
        <v>16</v>
      </c>
      <c r="F15">
        <v>30</v>
      </c>
      <c r="G15">
        <v>3750</v>
      </c>
      <c r="H15">
        <v>112500</v>
      </c>
      <c r="I15" s="3">
        <v>45292.75</v>
      </c>
      <c r="J15">
        <v>96</v>
      </c>
      <c r="K15" s="3">
        <v>45295.75</v>
      </c>
      <c r="L15" s="4">
        <f>ROUNDDOWN(Table1[[#This Row],[Ordered]],0)</f>
        <v>45292</v>
      </c>
      <c r="M15" s="4">
        <f>Table1[[#This Row],[Date ]]</f>
        <v>45292</v>
      </c>
      <c r="N15" s="5">
        <f>Table1[[#This Row],[Ordered]]-Table1[[#This Row],[Date ]]</f>
        <v>4.1666666664241347E-2</v>
      </c>
      <c r="O15">
        <f>Table1[[#This Row],[Company]]</f>
        <v>7</v>
      </c>
      <c r="P15">
        <f>IF(((Table1[[#This Row],[Arrived]]-Table1[[#This Row],[Delivery]])*24-Table1[[#This Row],[Promised]])&lt;0, 0, (Table1[[#This Row],[Arrived]]-Table1[[#This Row],[Delivery]])*24-Table1[[#This Row],[Promised]])</f>
        <v>0</v>
      </c>
      <c r="Q15"/>
    </row>
    <row r="16" spans="1:20" x14ac:dyDescent="0.45">
      <c r="A16" s="3">
        <v>45292.041666666664</v>
      </c>
      <c r="B16" t="s">
        <v>14</v>
      </c>
      <c r="C16">
        <v>11</v>
      </c>
      <c r="D16">
        <v>1005</v>
      </c>
      <c r="E16" t="s">
        <v>15</v>
      </c>
      <c r="F16">
        <v>7</v>
      </c>
      <c r="G16">
        <v>6650</v>
      </c>
      <c r="H16">
        <v>46550</v>
      </c>
      <c r="I16" s="3">
        <v>45292.75</v>
      </c>
      <c r="J16">
        <v>96</v>
      </c>
      <c r="K16" s="3">
        <v>45295.75</v>
      </c>
      <c r="L16" s="4">
        <f>ROUNDDOWN(Table1[[#This Row],[Ordered]],0)</f>
        <v>45292</v>
      </c>
      <c r="M16" s="4">
        <f>Table1[[#This Row],[Date ]]</f>
        <v>45292</v>
      </c>
      <c r="N16" s="5">
        <f>Table1[[#This Row],[Ordered]]-Table1[[#This Row],[Date ]]</f>
        <v>4.1666666664241347E-2</v>
      </c>
      <c r="O16">
        <f>Table1[[#This Row],[Company]]</f>
        <v>11</v>
      </c>
      <c r="P16">
        <f>IF(((Table1[[#This Row],[Arrived]]-Table1[[#This Row],[Delivery]])*24-Table1[[#This Row],[Promised]])&lt;0, 0, (Table1[[#This Row],[Arrived]]-Table1[[#This Row],[Delivery]])*24-Table1[[#This Row],[Promised]])</f>
        <v>0</v>
      </c>
      <c r="Q16"/>
    </row>
    <row r="17" spans="1:17" x14ac:dyDescent="0.45">
      <c r="A17" s="3">
        <v>45292.041666666664</v>
      </c>
      <c r="B17" t="s">
        <v>14</v>
      </c>
      <c r="C17">
        <v>7</v>
      </c>
      <c r="D17">
        <v>1004</v>
      </c>
      <c r="E17" t="s">
        <v>15</v>
      </c>
      <c r="F17">
        <v>5</v>
      </c>
      <c r="G17">
        <v>6650</v>
      </c>
      <c r="H17">
        <v>33250</v>
      </c>
      <c r="I17" s="3">
        <v>45292.75</v>
      </c>
      <c r="J17">
        <v>96</v>
      </c>
      <c r="K17" s="3">
        <v>45295.75</v>
      </c>
      <c r="L17" s="4">
        <f>ROUNDDOWN(Table1[[#This Row],[Ordered]],0)</f>
        <v>45292</v>
      </c>
      <c r="M17" s="4">
        <f>Table1[[#This Row],[Date ]]</f>
        <v>45292</v>
      </c>
      <c r="N17" s="5">
        <f>Table1[[#This Row],[Ordered]]-Table1[[#This Row],[Date ]]</f>
        <v>4.1666666664241347E-2</v>
      </c>
      <c r="O17">
        <f>Table1[[#This Row],[Company]]</f>
        <v>7</v>
      </c>
      <c r="P17">
        <f>IF(((Table1[[#This Row],[Arrived]]-Table1[[#This Row],[Delivery]])*24-Table1[[#This Row],[Promised]])&lt;0, 0, (Table1[[#This Row],[Arrived]]-Table1[[#This Row],[Delivery]])*24-Table1[[#This Row],[Promised]])</f>
        <v>0</v>
      </c>
      <c r="Q17"/>
    </row>
    <row r="18" spans="1:17" x14ac:dyDescent="0.45">
      <c r="A18" s="3">
        <v>45292.041666666664</v>
      </c>
      <c r="B18" t="s">
        <v>14</v>
      </c>
      <c r="C18">
        <v>7</v>
      </c>
      <c r="D18">
        <v>1004</v>
      </c>
      <c r="E18" t="s">
        <v>16</v>
      </c>
      <c r="F18">
        <v>30</v>
      </c>
      <c r="G18">
        <v>3750</v>
      </c>
      <c r="H18">
        <v>112500</v>
      </c>
      <c r="I18" s="3">
        <v>45292.791666666664</v>
      </c>
      <c r="J18">
        <v>96</v>
      </c>
      <c r="K18" s="3">
        <v>45295.791666666664</v>
      </c>
      <c r="L18" s="4">
        <f>ROUNDDOWN(Table1[[#This Row],[Ordered]],0)</f>
        <v>45292</v>
      </c>
      <c r="M18" s="4">
        <f>Table1[[#This Row],[Date ]]</f>
        <v>45292</v>
      </c>
      <c r="N18" s="5">
        <f>Table1[[#This Row],[Ordered]]-Table1[[#This Row],[Date ]]</f>
        <v>4.1666666664241347E-2</v>
      </c>
      <c r="O18">
        <f>Table1[[#This Row],[Company]]</f>
        <v>7</v>
      </c>
      <c r="P18">
        <f>IF(((Table1[[#This Row],[Arrived]]-Table1[[#This Row],[Delivery]])*24-Table1[[#This Row],[Promised]])&lt;0, 0, (Table1[[#This Row],[Arrived]]-Table1[[#This Row],[Delivery]])*24-Table1[[#This Row],[Promised]])</f>
        <v>0</v>
      </c>
      <c r="Q18"/>
    </row>
    <row r="19" spans="1:17" x14ac:dyDescent="0.45">
      <c r="A19" s="3">
        <v>45292.041666666664</v>
      </c>
      <c r="B19" t="s">
        <v>14</v>
      </c>
      <c r="C19">
        <v>12</v>
      </c>
      <c r="D19">
        <v>1005</v>
      </c>
      <c r="E19" t="s">
        <v>15</v>
      </c>
      <c r="F19">
        <v>7</v>
      </c>
      <c r="G19">
        <v>6650</v>
      </c>
      <c r="H19">
        <v>46550</v>
      </c>
      <c r="I19" s="3">
        <v>45292.291666666664</v>
      </c>
      <c r="J19">
        <v>96</v>
      </c>
      <c r="K19" s="3">
        <v>45295.291666666664</v>
      </c>
      <c r="L19" s="4">
        <f>ROUNDDOWN(Table1[[#This Row],[Ordered]],0)</f>
        <v>45292</v>
      </c>
      <c r="M19" s="4">
        <f>Table1[[#This Row],[Date ]]</f>
        <v>45292</v>
      </c>
      <c r="N19" s="5">
        <f>Table1[[#This Row],[Ordered]]-Table1[[#This Row],[Date ]]</f>
        <v>4.1666666664241347E-2</v>
      </c>
      <c r="O19">
        <f>Table1[[#This Row],[Company]]</f>
        <v>12</v>
      </c>
      <c r="P19">
        <f>IF(((Table1[[#This Row],[Arrived]]-Table1[[#This Row],[Delivery]])*24-Table1[[#This Row],[Promised]])&lt;0, 0, (Table1[[#This Row],[Arrived]]-Table1[[#This Row],[Delivery]])*24-Table1[[#This Row],[Promised]])</f>
        <v>0</v>
      </c>
      <c r="Q19"/>
    </row>
    <row r="20" spans="1:17" x14ac:dyDescent="0.45">
      <c r="A20" s="3">
        <v>45292.041666666664</v>
      </c>
      <c r="B20" t="s">
        <v>14</v>
      </c>
      <c r="C20">
        <v>14</v>
      </c>
      <c r="D20">
        <v>1001</v>
      </c>
      <c r="E20" t="s">
        <v>16</v>
      </c>
      <c r="F20">
        <v>30</v>
      </c>
      <c r="G20">
        <v>3750</v>
      </c>
      <c r="H20">
        <v>112500</v>
      </c>
      <c r="I20" s="3">
        <v>45292.291666666664</v>
      </c>
      <c r="J20">
        <v>96</v>
      </c>
      <c r="K20" s="3">
        <v>45295.291666666664</v>
      </c>
      <c r="L20" s="4">
        <f>ROUNDDOWN(Table1[[#This Row],[Ordered]],0)</f>
        <v>45292</v>
      </c>
      <c r="M20" s="4">
        <f>Table1[[#This Row],[Date ]]</f>
        <v>45292</v>
      </c>
      <c r="N20" s="5">
        <f>Table1[[#This Row],[Ordered]]-Table1[[#This Row],[Date ]]</f>
        <v>4.1666666664241347E-2</v>
      </c>
      <c r="O20">
        <f>Table1[[#This Row],[Company]]</f>
        <v>14</v>
      </c>
      <c r="P20">
        <f>IF(((Table1[[#This Row],[Arrived]]-Table1[[#This Row],[Delivery]])*24-Table1[[#This Row],[Promised]])&lt;0, 0, (Table1[[#This Row],[Arrived]]-Table1[[#This Row],[Delivery]])*24-Table1[[#This Row],[Promised]])</f>
        <v>0</v>
      </c>
      <c r="Q20"/>
    </row>
    <row r="21" spans="1:17" x14ac:dyDescent="0.45">
      <c r="A21" s="3">
        <v>45292.041666666664</v>
      </c>
      <c r="B21" t="s">
        <v>14</v>
      </c>
      <c r="C21">
        <v>12</v>
      </c>
      <c r="D21">
        <v>1004</v>
      </c>
      <c r="E21" t="s">
        <v>16</v>
      </c>
      <c r="F21">
        <v>30</v>
      </c>
      <c r="G21">
        <v>3750</v>
      </c>
      <c r="H21">
        <v>112500</v>
      </c>
      <c r="I21" s="3">
        <v>45292.291666666664</v>
      </c>
      <c r="J21">
        <v>96</v>
      </c>
      <c r="K21" s="3">
        <v>45295.291666666664</v>
      </c>
      <c r="L21" s="4">
        <f>ROUNDDOWN(Table1[[#This Row],[Ordered]],0)</f>
        <v>45292</v>
      </c>
      <c r="M21" s="4">
        <f>Table1[[#This Row],[Date ]]</f>
        <v>45292</v>
      </c>
      <c r="N21" s="5">
        <f>Table1[[#This Row],[Ordered]]-Table1[[#This Row],[Date ]]</f>
        <v>4.1666666664241347E-2</v>
      </c>
      <c r="O21">
        <f>Table1[[#This Row],[Company]]</f>
        <v>12</v>
      </c>
      <c r="P21">
        <f>IF(((Table1[[#This Row],[Arrived]]-Table1[[#This Row],[Delivery]])*24-Table1[[#This Row],[Promised]])&lt;0, 0, (Table1[[#This Row],[Arrived]]-Table1[[#This Row],[Delivery]])*24-Table1[[#This Row],[Promised]])</f>
        <v>0</v>
      </c>
      <c r="Q21"/>
    </row>
    <row r="22" spans="1:17" x14ac:dyDescent="0.45">
      <c r="A22" s="3">
        <v>45292.041666666664</v>
      </c>
      <c r="B22" t="s">
        <v>14</v>
      </c>
      <c r="C22">
        <v>16</v>
      </c>
      <c r="D22">
        <v>1001</v>
      </c>
      <c r="E22" t="s">
        <v>15</v>
      </c>
      <c r="F22">
        <v>3</v>
      </c>
      <c r="G22">
        <v>6650</v>
      </c>
      <c r="H22">
        <v>19950</v>
      </c>
      <c r="I22" s="3">
        <v>45292.291666666664</v>
      </c>
      <c r="J22">
        <v>96</v>
      </c>
      <c r="K22" s="3">
        <v>45295.291666666664</v>
      </c>
      <c r="L22" s="4">
        <f>ROUNDDOWN(Table1[[#This Row],[Ordered]],0)</f>
        <v>45292</v>
      </c>
      <c r="M22" s="4">
        <f>Table1[[#This Row],[Date ]]</f>
        <v>45292</v>
      </c>
      <c r="N22" s="5">
        <f>Table1[[#This Row],[Ordered]]-Table1[[#This Row],[Date ]]</f>
        <v>4.1666666664241347E-2</v>
      </c>
      <c r="O22">
        <f>Table1[[#This Row],[Company]]</f>
        <v>16</v>
      </c>
      <c r="P22">
        <f>IF(((Table1[[#This Row],[Arrived]]-Table1[[#This Row],[Delivery]])*24-Table1[[#This Row],[Promised]])&lt;0, 0, (Table1[[#This Row],[Arrived]]-Table1[[#This Row],[Delivery]])*24-Table1[[#This Row],[Promised]])</f>
        <v>0</v>
      </c>
      <c r="Q22"/>
    </row>
    <row r="23" spans="1:17" x14ac:dyDescent="0.45">
      <c r="A23" s="3">
        <v>45292.041666666664</v>
      </c>
      <c r="B23" t="s">
        <v>14</v>
      </c>
      <c r="C23">
        <v>16</v>
      </c>
      <c r="D23">
        <v>1005</v>
      </c>
      <c r="E23" t="s">
        <v>15</v>
      </c>
      <c r="F23">
        <v>7</v>
      </c>
      <c r="G23">
        <v>6650</v>
      </c>
      <c r="H23">
        <v>46550</v>
      </c>
      <c r="I23" s="3">
        <v>45292.125</v>
      </c>
      <c r="J23">
        <v>96</v>
      </c>
      <c r="K23" s="3">
        <v>45295.125</v>
      </c>
      <c r="L23" s="4">
        <f>ROUNDDOWN(Table1[[#This Row],[Ordered]],0)</f>
        <v>45292</v>
      </c>
      <c r="M23" s="4">
        <f>Table1[[#This Row],[Date ]]</f>
        <v>45292</v>
      </c>
      <c r="N23" s="5">
        <f>Table1[[#This Row],[Ordered]]-Table1[[#This Row],[Date ]]</f>
        <v>4.1666666664241347E-2</v>
      </c>
      <c r="O23">
        <f>Table1[[#This Row],[Company]]</f>
        <v>16</v>
      </c>
      <c r="P23">
        <f>IF(((Table1[[#This Row],[Arrived]]-Table1[[#This Row],[Delivery]])*24-Table1[[#This Row],[Promised]])&lt;0, 0, (Table1[[#This Row],[Arrived]]-Table1[[#This Row],[Delivery]])*24-Table1[[#This Row],[Promised]])</f>
        <v>0</v>
      </c>
      <c r="Q23"/>
    </row>
    <row r="24" spans="1:17" x14ac:dyDescent="0.45">
      <c r="A24" s="3">
        <v>45292.041666666664</v>
      </c>
      <c r="B24" t="s">
        <v>14</v>
      </c>
      <c r="C24">
        <v>10</v>
      </c>
      <c r="D24">
        <v>1004</v>
      </c>
      <c r="E24" t="s">
        <v>15</v>
      </c>
      <c r="F24">
        <v>5</v>
      </c>
      <c r="G24">
        <v>6650</v>
      </c>
      <c r="H24">
        <v>33250</v>
      </c>
      <c r="I24" s="3">
        <v>45292.083333333336</v>
      </c>
      <c r="J24">
        <v>96</v>
      </c>
      <c r="K24" s="3">
        <v>45295.083333333336</v>
      </c>
      <c r="L24" s="4">
        <f>ROUNDDOWN(Table1[[#This Row],[Ordered]],0)</f>
        <v>45292</v>
      </c>
      <c r="M24" s="4">
        <f>Table1[[#This Row],[Date ]]</f>
        <v>45292</v>
      </c>
      <c r="N24" s="5">
        <f>Table1[[#This Row],[Ordered]]-Table1[[#This Row],[Date ]]</f>
        <v>4.1666666664241347E-2</v>
      </c>
      <c r="O24">
        <f>Table1[[#This Row],[Company]]</f>
        <v>10</v>
      </c>
      <c r="P24">
        <f>IF(((Table1[[#This Row],[Arrived]]-Table1[[#This Row],[Delivery]])*24-Table1[[#This Row],[Promised]])&lt;0, 0, (Table1[[#This Row],[Arrived]]-Table1[[#This Row],[Delivery]])*24-Table1[[#This Row],[Promised]])</f>
        <v>0</v>
      </c>
      <c r="Q24"/>
    </row>
    <row r="25" spans="1:17" x14ac:dyDescent="0.45">
      <c r="A25" s="3">
        <v>45292.041666666664</v>
      </c>
      <c r="B25" t="s">
        <v>14</v>
      </c>
      <c r="C25">
        <v>10</v>
      </c>
      <c r="D25">
        <v>1005</v>
      </c>
      <c r="E25" t="s">
        <v>16</v>
      </c>
      <c r="F25">
        <v>30</v>
      </c>
      <c r="G25">
        <v>3750</v>
      </c>
      <c r="H25">
        <v>112500</v>
      </c>
      <c r="I25" s="3">
        <v>45292.083333333336</v>
      </c>
      <c r="J25">
        <v>96</v>
      </c>
      <c r="K25" s="3">
        <v>45295.083333333336</v>
      </c>
      <c r="L25" s="4">
        <f>ROUNDDOWN(Table1[[#This Row],[Ordered]],0)</f>
        <v>45292</v>
      </c>
      <c r="M25" s="4">
        <f>Table1[[#This Row],[Date ]]</f>
        <v>45292</v>
      </c>
      <c r="N25" s="5">
        <f>Table1[[#This Row],[Ordered]]-Table1[[#This Row],[Date ]]</f>
        <v>4.1666666664241347E-2</v>
      </c>
      <c r="O25">
        <f>Table1[[#This Row],[Company]]</f>
        <v>10</v>
      </c>
      <c r="P25">
        <f>IF(((Table1[[#This Row],[Arrived]]-Table1[[#This Row],[Delivery]])*24-Table1[[#This Row],[Promised]])&lt;0, 0, (Table1[[#This Row],[Arrived]]-Table1[[#This Row],[Delivery]])*24-Table1[[#This Row],[Promised]])</f>
        <v>0</v>
      </c>
      <c r="Q25"/>
    </row>
    <row r="26" spans="1:17" x14ac:dyDescent="0.45">
      <c r="A26" s="3">
        <v>45292.041666666664</v>
      </c>
      <c r="B26" t="s">
        <v>14</v>
      </c>
      <c r="C26">
        <v>10</v>
      </c>
      <c r="D26">
        <v>1006</v>
      </c>
      <c r="E26" t="s">
        <v>16</v>
      </c>
      <c r="F26">
        <v>30</v>
      </c>
      <c r="G26">
        <v>3750</v>
      </c>
      <c r="H26">
        <v>112500</v>
      </c>
      <c r="I26" s="3">
        <v>45292.083333333336</v>
      </c>
      <c r="J26">
        <v>96</v>
      </c>
      <c r="K26" s="3">
        <v>45295.083333333336</v>
      </c>
      <c r="L26" s="4">
        <f>ROUNDDOWN(Table1[[#This Row],[Ordered]],0)</f>
        <v>45292</v>
      </c>
      <c r="M26" s="4">
        <f>Table1[[#This Row],[Date ]]</f>
        <v>45292</v>
      </c>
      <c r="N26" s="5">
        <f>Table1[[#This Row],[Ordered]]-Table1[[#This Row],[Date ]]</f>
        <v>4.1666666664241347E-2</v>
      </c>
      <c r="O26">
        <f>Table1[[#This Row],[Company]]</f>
        <v>10</v>
      </c>
      <c r="P26">
        <f>IF(((Table1[[#This Row],[Arrived]]-Table1[[#This Row],[Delivery]])*24-Table1[[#This Row],[Promised]])&lt;0, 0, (Table1[[#This Row],[Arrived]]-Table1[[#This Row],[Delivery]])*24-Table1[[#This Row],[Promised]])</f>
        <v>0</v>
      </c>
      <c r="Q26"/>
    </row>
    <row r="27" spans="1:17" x14ac:dyDescent="0.45">
      <c r="A27" s="3">
        <v>45292.041666666664</v>
      </c>
      <c r="B27" t="s">
        <v>14</v>
      </c>
      <c r="C27">
        <v>13</v>
      </c>
      <c r="D27">
        <v>1006</v>
      </c>
      <c r="E27" t="s">
        <v>15</v>
      </c>
      <c r="F27">
        <v>8</v>
      </c>
      <c r="G27">
        <v>6650</v>
      </c>
      <c r="H27">
        <v>53200</v>
      </c>
      <c r="I27" s="3">
        <v>45292.083333333336</v>
      </c>
      <c r="J27">
        <v>96</v>
      </c>
      <c r="K27" s="3">
        <v>45295.166666666664</v>
      </c>
      <c r="L27" s="4">
        <f>ROUNDDOWN(Table1[[#This Row],[Ordered]],0)</f>
        <v>45292</v>
      </c>
      <c r="M27" s="4">
        <f>Table1[[#This Row],[Date ]]</f>
        <v>45292</v>
      </c>
      <c r="N27" s="5">
        <f>Table1[[#This Row],[Ordered]]-Table1[[#This Row],[Date ]]</f>
        <v>4.1666666664241347E-2</v>
      </c>
      <c r="O27">
        <f>Table1[[#This Row],[Company]]</f>
        <v>13</v>
      </c>
      <c r="P27">
        <f>IF(((Table1[[#This Row],[Arrived]]-Table1[[#This Row],[Delivery]])*24-Table1[[#This Row],[Promised]])&lt;0, 0, (Table1[[#This Row],[Arrived]]-Table1[[#This Row],[Delivery]])*24-Table1[[#This Row],[Promised]])</f>
        <v>0</v>
      </c>
      <c r="Q27"/>
    </row>
    <row r="28" spans="1:17" x14ac:dyDescent="0.45">
      <c r="A28" s="3">
        <v>45292.041666666664</v>
      </c>
      <c r="B28" t="s">
        <v>14</v>
      </c>
      <c r="C28">
        <v>13</v>
      </c>
      <c r="D28">
        <v>1001</v>
      </c>
      <c r="E28" t="s">
        <v>16</v>
      </c>
      <c r="F28">
        <v>30</v>
      </c>
      <c r="G28">
        <v>3750</v>
      </c>
      <c r="H28">
        <v>112500</v>
      </c>
      <c r="I28" s="3">
        <v>45292.041666666664</v>
      </c>
      <c r="J28">
        <v>96</v>
      </c>
      <c r="K28" s="3">
        <v>45295.041666666664</v>
      </c>
      <c r="L28" s="4">
        <f>ROUNDDOWN(Table1[[#This Row],[Ordered]],0)</f>
        <v>45292</v>
      </c>
      <c r="M28" s="4">
        <f>Table1[[#This Row],[Date ]]</f>
        <v>45292</v>
      </c>
      <c r="N28" s="5">
        <f>Table1[[#This Row],[Ordered]]-Table1[[#This Row],[Date ]]</f>
        <v>4.1666666664241347E-2</v>
      </c>
      <c r="O28">
        <f>Table1[[#This Row],[Company]]</f>
        <v>13</v>
      </c>
      <c r="P28">
        <f>IF(((Table1[[#This Row],[Arrived]]-Table1[[#This Row],[Delivery]])*24-Table1[[#This Row],[Promised]])&lt;0, 0, (Table1[[#This Row],[Arrived]]-Table1[[#This Row],[Delivery]])*24-Table1[[#This Row],[Promised]])</f>
        <v>0</v>
      </c>
      <c r="Q28"/>
    </row>
    <row r="29" spans="1:17" x14ac:dyDescent="0.45">
      <c r="A29" s="3">
        <v>45292.041666666664</v>
      </c>
      <c r="B29" t="s">
        <v>14</v>
      </c>
      <c r="C29">
        <v>7</v>
      </c>
      <c r="D29">
        <v>1002</v>
      </c>
      <c r="E29" t="s">
        <v>15</v>
      </c>
      <c r="F29">
        <v>4</v>
      </c>
      <c r="G29">
        <v>6650</v>
      </c>
      <c r="H29">
        <v>26600</v>
      </c>
      <c r="I29" s="3">
        <v>45292.791666666664</v>
      </c>
      <c r="J29">
        <v>96</v>
      </c>
      <c r="K29" s="3">
        <v>45295.791666666664</v>
      </c>
      <c r="L29" s="4">
        <f>ROUNDDOWN(Table1[[#This Row],[Ordered]],0)</f>
        <v>45292</v>
      </c>
      <c r="M29" s="4">
        <f>Table1[[#This Row],[Date ]]</f>
        <v>45292</v>
      </c>
      <c r="N29" s="5">
        <f>Table1[[#This Row],[Ordered]]-Table1[[#This Row],[Date ]]</f>
        <v>4.1666666664241347E-2</v>
      </c>
      <c r="O29">
        <f>Table1[[#This Row],[Company]]</f>
        <v>7</v>
      </c>
      <c r="P29">
        <f>IF(((Table1[[#This Row],[Arrived]]-Table1[[#This Row],[Delivery]])*24-Table1[[#This Row],[Promised]])&lt;0, 0, (Table1[[#This Row],[Arrived]]-Table1[[#This Row],[Delivery]])*24-Table1[[#This Row],[Promised]])</f>
        <v>0</v>
      </c>
      <c r="Q29"/>
    </row>
    <row r="30" spans="1:17" x14ac:dyDescent="0.45">
      <c r="A30" s="3">
        <v>45292.041666666664</v>
      </c>
      <c r="B30" t="s">
        <v>14</v>
      </c>
      <c r="C30">
        <v>8</v>
      </c>
      <c r="D30">
        <v>1006</v>
      </c>
      <c r="E30" t="s">
        <v>15</v>
      </c>
      <c r="F30">
        <v>8</v>
      </c>
      <c r="G30">
        <v>6650</v>
      </c>
      <c r="H30">
        <v>53200</v>
      </c>
      <c r="I30" s="3">
        <v>45292.833333333336</v>
      </c>
      <c r="J30">
        <v>96</v>
      </c>
      <c r="K30" s="3">
        <v>45295.833333333336</v>
      </c>
      <c r="L30" s="4">
        <f>ROUNDDOWN(Table1[[#This Row],[Ordered]],0)</f>
        <v>45292</v>
      </c>
      <c r="M30" s="4">
        <f>Table1[[#This Row],[Date ]]</f>
        <v>45292</v>
      </c>
      <c r="N30" s="5">
        <f>Table1[[#This Row],[Ordered]]-Table1[[#This Row],[Date ]]</f>
        <v>4.1666666664241347E-2</v>
      </c>
      <c r="O30">
        <f>Table1[[#This Row],[Company]]</f>
        <v>8</v>
      </c>
      <c r="P30">
        <f>IF(((Table1[[#This Row],[Arrived]]-Table1[[#This Row],[Delivery]])*24-Table1[[#This Row],[Promised]])&lt;0, 0, (Table1[[#This Row],[Arrived]]-Table1[[#This Row],[Delivery]])*24-Table1[[#This Row],[Promised]])</f>
        <v>0</v>
      </c>
      <c r="Q30"/>
    </row>
    <row r="31" spans="1:17" x14ac:dyDescent="0.45">
      <c r="A31" s="3">
        <v>45292.041666666664</v>
      </c>
      <c r="B31" t="s">
        <v>14</v>
      </c>
      <c r="C31">
        <v>11</v>
      </c>
      <c r="D31">
        <v>1002</v>
      </c>
      <c r="E31" t="s">
        <v>15</v>
      </c>
      <c r="F31">
        <v>4</v>
      </c>
      <c r="G31">
        <v>6650</v>
      </c>
      <c r="H31">
        <v>26600</v>
      </c>
      <c r="I31" s="3">
        <v>45292.833333333336</v>
      </c>
      <c r="J31">
        <v>96</v>
      </c>
      <c r="K31" s="3">
        <v>45295.833333333336</v>
      </c>
      <c r="L31" s="4">
        <f>ROUNDDOWN(Table1[[#This Row],[Ordered]],0)</f>
        <v>45292</v>
      </c>
      <c r="M31" s="4">
        <f>Table1[[#This Row],[Date ]]</f>
        <v>45292</v>
      </c>
      <c r="N31" s="5">
        <f>Table1[[#This Row],[Ordered]]-Table1[[#This Row],[Date ]]</f>
        <v>4.1666666664241347E-2</v>
      </c>
      <c r="O31">
        <f>Table1[[#This Row],[Company]]</f>
        <v>11</v>
      </c>
      <c r="P31">
        <f>IF(((Table1[[#This Row],[Arrived]]-Table1[[#This Row],[Delivery]])*24-Table1[[#This Row],[Promised]])&lt;0, 0, (Table1[[#This Row],[Arrived]]-Table1[[#This Row],[Delivery]])*24-Table1[[#This Row],[Promised]])</f>
        <v>0</v>
      </c>
      <c r="Q31"/>
    </row>
    <row r="32" spans="1:17" x14ac:dyDescent="0.45">
      <c r="A32" s="3">
        <v>45292.041666666664</v>
      </c>
      <c r="B32" t="s">
        <v>14</v>
      </c>
      <c r="C32">
        <v>11</v>
      </c>
      <c r="D32">
        <v>1001</v>
      </c>
      <c r="E32" t="s">
        <v>15</v>
      </c>
      <c r="F32">
        <v>3</v>
      </c>
      <c r="G32">
        <v>6650</v>
      </c>
      <c r="H32">
        <v>19950</v>
      </c>
      <c r="I32" s="3">
        <v>45292.833333333336</v>
      </c>
      <c r="J32">
        <v>96</v>
      </c>
      <c r="K32" s="3">
        <v>45295.833333333336</v>
      </c>
      <c r="L32" s="4">
        <f>ROUNDDOWN(Table1[[#This Row],[Ordered]],0)</f>
        <v>45292</v>
      </c>
      <c r="M32" s="4">
        <f>Table1[[#This Row],[Date ]]</f>
        <v>45292</v>
      </c>
      <c r="N32" s="5">
        <f>Table1[[#This Row],[Ordered]]-Table1[[#This Row],[Date ]]</f>
        <v>4.1666666664241347E-2</v>
      </c>
      <c r="O32">
        <f>Table1[[#This Row],[Company]]</f>
        <v>11</v>
      </c>
      <c r="P32">
        <f>IF(((Table1[[#This Row],[Arrived]]-Table1[[#This Row],[Delivery]])*24-Table1[[#This Row],[Promised]])&lt;0, 0, (Table1[[#This Row],[Arrived]]-Table1[[#This Row],[Delivery]])*24-Table1[[#This Row],[Promised]])</f>
        <v>0</v>
      </c>
      <c r="Q32"/>
    </row>
    <row r="33" spans="1:17" x14ac:dyDescent="0.45">
      <c r="A33" s="3">
        <v>45292.041666666664</v>
      </c>
      <c r="B33" t="s">
        <v>14</v>
      </c>
      <c r="C33">
        <v>13</v>
      </c>
      <c r="D33">
        <v>1004</v>
      </c>
      <c r="E33" t="s">
        <v>15</v>
      </c>
      <c r="F33">
        <v>5</v>
      </c>
      <c r="G33">
        <v>6650</v>
      </c>
      <c r="H33">
        <v>33250</v>
      </c>
      <c r="I33" s="3">
        <v>45292.916666666664</v>
      </c>
      <c r="J33">
        <v>96</v>
      </c>
      <c r="K33" s="3">
        <v>45295.916666666664</v>
      </c>
      <c r="L33" s="4">
        <f>ROUNDDOWN(Table1[[#This Row],[Ordered]],0)</f>
        <v>45292</v>
      </c>
      <c r="M33" s="4">
        <f>Table1[[#This Row],[Date ]]</f>
        <v>45292</v>
      </c>
      <c r="N33" s="5">
        <f>Table1[[#This Row],[Ordered]]-Table1[[#This Row],[Date ]]</f>
        <v>4.1666666664241347E-2</v>
      </c>
      <c r="O33">
        <f>Table1[[#This Row],[Company]]</f>
        <v>13</v>
      </c>
      <c r="P33">
        <f>IF(((Table1[[#This Row],[Arrived]]-Table1[[#This Row],[Delivery]])*24-Table1[[#This Row],[Promised]])&lt;0, 0, (Table1[[#This Row],[Arrived]]-Table1[[#This Row],[Delivery]])*24-Table1[[#This Row],[Promised]])</f>
        <v>0</v>
      </c>
      <c r="Q33"/>
    </row>
    <row r="34" spans="1:17" x14ac:dyDescent="0.45">
      <c r="A34" s="3">
        <v>45292.041666666664</v>
      </c>
      <c r="B34" t="s">
        <v>14</v>
      </c>
      <c r="C34">
        <v>13</v>
      </c>
      <c r="D34">
        <v>1004</v>
      </c>
      <c r="E34" t="s">
        <v>16</v>
      </c>
      <c r="F34">
        <v>30</v>
      </c>
      <c r="G34">
        <v>3750</v>
      </c>
      <c r="H34">
        <v>112500</v>
      </c>
      <c r="I34" s="3">
        <v>45292.916666666664</v>
      </c>
      <c r="J34">
        <v>96</v>
      </c>
      <c r="K34" s="3">
        <v>45295.916666666664</v>
      </c>
      <c r="L34" s="4">
        <f>ROUNDDOWN(Table1[[#This Row],[Ordered]],0)</f>
        <v>45292</v>
      </c>
      <c r="M34" s="4">
        <f>Table1[[#This Row],[Date ]]</f>
        <v>45292</v>
      </c>
      <c r="N34" s="5">
        <f>Table1[[#This Row],[Ordered]]-Table1[[#This Row],[Date ]]</f>
        <v>4.1666666664241347E-2</v>
      </c>
      <c r="O34">
        <f>Table1[[#This Row],[Company]]</f>
        <v>13</v>
      </c>
      <c r="P34">
        <f>IF(((Table1[[#This Row],[Arrived]]-Table1[[#This Row],[Delivery]])*24-Table1[[#This Row],[Promised]])&lt;0, 0, (Table1[[#This Row],[Arrived]]-Table1[[#This Row],[Delivery]])*24-Table1[[#This Row],[Promised]])</f>
        <v>0</v>
      </c>
      <c r="Q34"/>
    </row>
    <row r="35" spans="1:17" x14ac:dyDescent="0.45">
      <c r="A35" s="3">
        <v>45292.041666666664</v>
      </c>
      <c r="B35" t="s">
        <v>14</v>
      </c>
      <c r="C35">
        <v>13</v>
      </c>
      <c r="D35">
        <v>1002</v>
      </c>
      <c r="E35" t="s">
        <v>15</v>
      </c>
      <c r="F35">
        <v>4</v>
      </c>
      <c r="G35">
        <v>6650</v>
      </c>
      <c r="H35">
        <v>26600</v>
      </c>
      <c r="I35" s="3">
        <v>45292.958333333336</v>
      </c>
      <c r="J35">
        <v>96</v>
      </c>
      <c r="K35" s="3">
        <v>45296.041666666664</v>
      </c>
      <c r="L35" s="4">
        <f>ROUNDDOWN(Table1[[#This Row],[Ordered]],0)</f>
        <v>45292</v>
      </c>
      <c r="M35" s="4">
        <f>Table1[[#This Row],[Date ]]</f>
        <v>45292</v>
      </c>
      <c r="N35" s="5">
        <f>Table1[[#This Row],[Ordered]]-Table1[[#This Row],[Date ]]</f>
        <v>4.1666666664241347E-2</v>
      </c>
      <c r="O35">
        <f>Table1[[#This Row],[Company]]</f>
        <v>13</v>
      </c>
      <c r="P35">
        <f>IF(((Table1[[#This Row],[Arrived]]-Table1[[#This Row],[Delivery]])*24-Table1[[#This Row],[Promised]])&lt;0, 0, (Table1[[#This Row],[Arrived]]-Table1[[#This Row],[Delivery]])*24-Table1[[#This Row],[Promised]])</f>
        <v>0</v>
      </c>
      <c r="Q35"/>
    </row>
    <row r="36" spans="1:17" x14ac:dyDescent="0.45">
      <c r="A36" s="3">
        <v>45292.041666666664</v>
      </c>
      <c r="B36" t="s">
        <v>14</v>
      </c>
      <c r="C36">
        <v>8</v>
      </c>
      <c r="D36">
        <v>1005</v>
      </c>
      <c r="E36" t="s">
        <v>16</v>
      </c>
      <c r="F36">
        <v>30</v>
      </c>
      <c r="G36">
        <v>3750</v>
      </c>
      <c r="H36">
        <v>112500</v>
      </c>
      <c r="I36" s="3">
        <v>45292.958333333336</v>
      </c>
      <c r="J36">
        <v>96</v>
      </c>
      <c r="K36" s="3">
        <v>45295.958333333336</v>
      </c>
      <c r="L36" s="4">
        <f>ROUNDDOWN(Table1[[#This Row],[Ordered]],0)</f>
        <v>45292</v>
      </c>
      <c r="M36" s="4">
        <f>Table1[[#This Row],[Date ]]</f>
        <v>45292</v>
      </c>
      <c r="N36" s="5">
        <f>Table1[[#This Row],[Ordered]]-Table1[[#This Row],[Date ]]</f>
        <v>4.1666666664241347E-2</v>
      </c>
      <c r="O36">
        <f>Table1[[#This Row],[Company]]</f>
        <v>8</v>
      </c>
      <c r="P36">
        <f>IF(((Table1[[#This Row],[Arrived]]-Table1[[#This Row],[Delivery]])*24-Table1[[#This Row],[Promised]])&lt;0, 0, (Table1[[#This Row],[Arrived]]-Table1[[#This Row],[Delivery]])*24-Table1[[#This Row],[Promised]])</f>
        <v>0</v>
      </c>
      <c r="Q36"/>
    </row>
    <row r="37" spans="1:17" x14ac:dyDescent="0.45">
      <c r="A37" s="3">
        <v>45292.041666666664</v>
      </c>
      <c r="B37" t="s">
        <v>14</v>
      </c>
      <c r="C37">
        <v>8</v>
      </c>
      <c r="D37">
        <v>1003</v>
      </c>
      <c r="E37" t="s">
        <v>16</v>
      </c>
      <c r="F37">
        <v>30</v>
      </c>
      <c r="G37">
        <v>3750</v>
      </c>
      <c r="H37">
        <v>112500</v>
      </c>
      <c r="I37" s="3">
        <v>45292.958333333336</v>
      </c>
      <c r="J37">
        <v>96</v>
      </c>
      <c r="K37" s="3">
        <v>45295.958333333336</v>
      </c>
      <c r="L37" s="4">
        <f>ROUNDDOWN(Table1[[#This Row],[Ordered]],0)</f>
        <v>45292</v>
      </c>
      <c r="M37" s="4">
        <f>Table1[[#This Row],[Date ]]</f>
        <v>45292</v>
      </c>
      <c r="N37" s="5">
        <f>Table1[[#This Row],[Ordered]]-Table1[[#This Row],[Date ]]</f>
        <v>4.1666666664241347E-2</v>
      </c>
      <c r="O37">
        <f>Table1[[#This Row],[Company]]</f>
        <v>8</v>
      </c>
      <c r="P37">
        <f>IF(((Table1[[#This Row],[Arrived]]-Table1[[#This Row],[Delivery]])*24-Table1[[#This Row],[Promised]])&lt;0, 0, (Table1[[#This Row],[Arrived]]-Table1[[#This Row],[Delivery]])*24-Table1[[#This Row],[Promised]])</f>
        <v>0</v>
      </c>
      <c r="Q37"/>
    </row>
    <row r="38" spans="1:17" x14ac:dyDescent="0.45">
      <c r="A38" s="3">
        <v>45292.041666666664</v>
      </c>
      <c r="B38" t="s">
        <v>14</v>
      </c>
      <c r="C38">
        <v>9</v>
      </c>
      <c r="D38">
        <v>1001</v>
      </c>
      <c r="E38" t="s">
        <v>16</v>
      </c>
      <c r="F38">
        <v>30</v>
      </c>
      <c r="G38">
        <v>3750</v>
      </c>
      <c r="H38">
        <v>112500</v>
      </c>
      <c r="I38" s="3">
        <v>45293</v>
      </c>
      <c r="J38">
        <v>96</v>
      </c>
      <c r="K38" s="3">
        <v>45296</v>
      </c>
      <c r="L38" s="4">
        <f>ROUNDDOWN(Table1[[#This Row],[Ordered]],0)</f>
        <v>45292</v>
      </c>
      <c r="M38" s="4">
        <f>Table1[[#This Row],[Date ]]</f>
        <v>45292</v>
      </c>
      <c r="N38" s="5">
        <f>Table1[[#This Row],[Ordered]]-Table1[[#This Row],[Date ]]</f>
        <v>4.1666666664241347E-2</v>
      </c>
      <c r="O38">
        <f>Table1[[#This Row],[Company]]</f>
        <v>9</v>
      </c>
      <c r="P38">
        <f>IF(((Table1[[#This Row],[Arrived]]-Table1[[#This Row],[Delivery]])*24-Table1[[#This Row],[Promised]])&lt;0, 0, (Table1[[#This Row],[Arrived]]-Table1[[#This Row],[Delivery]])*24-Table1[[#This Row],[Promised]])</f>
        <v>0</v>
      </c>
      <c r="Q38"/>
    </row>
    <row r="39" spans="1:17" x14ac:dyDescent="0.45">
      <c r="A39" s="3">
        <v>45292.041666666664</v>
      </c>
      <c r="B39" t="s">
        <v>14</v>
      </c>
      <c r="C39">
        <v>9</v>
      </c>
      <c r="D39">
        <v>1006</v>
      </c>
      <c r="E39" t="s">
        <v>15</v>
      </c>
      <c r="F39">
        <v>8</v>
      </c>
      <c r="G39">
        <v>6650</v>
      </c>
      <c r="H39">
        <v>53200</v>
      </c>
      <c r="I39" s="3">
        <v>45293</v>
      </c>
      <c r="J39">
        <v>96</v>
      </c>
      <c r="K39" s="3">
        <v>45296</v>
      </c>
      <c r="L39" s="4">
        <f>ROUNDDOWN(Table1[[#This Row],[Ordered]],0)</f>
        <v>45292</v>
      </c>
      <c r="M39" s="4">
        <f>Table1[[#This Row],[Date ]]</f>
        <v>45292</v>
      </c>
      <c r="N39" s="5">
        <f>Table1[[#This Row],[Ordered]]-Table1[[#This Row],[Date ]]</f>
        <v>4.1666666664241347E-2</v>
      </c>
      <c r="O39">
        <f>Table1[[#This Row],[Company]]</f>
        <v>9</v>
      </c>
      <c r="P39">
        <f>IF(((Table1[[#This Row],[Arrived]]-Table1[[#This Row],[Delivery]])*24-Table1[[#This Row],[Promised]])&lt;0, 0, (Table1[[#This Row],[Arrived]]-Table1[[#This Row],[Delivery]])*24-Table1[[#This Row],[Promised]])</f>
        <v>0</v>
      </c>
      <c r="Q39"/>
    </row>
    <row r="40" spans="1:17" x14ac:dyDescent="0.45">
      <c r="A40" s="3">
        <v>45292.041666666664</v>
      </c>
      <c r="B40" t="s">
        <v>14</v>
      </c>
      <c r="C40">
        <v>12</v>
      </c>
      <c r="D40">
        <v>1002</v>
      </c>
      <c r="E40" t="s">
        <v>15</v>
      </c>
      <c r="F40">
        <v>4</v>
      </c>
      <c r="G40">
        <v>6650</v>
      </c>
      <c r="H40">
        <v>26600</v>
      </c>
      <c r="I40" s="3">
        <v>45293.291666666664</v>
      </c>
      <c r="J40">
        <v>96</v>
      </c>
      <c r="K40" s="3">
        <v>45295.291666666664</v>
      </c>
      <c r="L40" s="4">
        <f>ROUNDDOWN(Table1[[#This Row],[Ordered]],0)</f>
        <v>45292</v>
      </c>
      <c r="M40" s="4">
        <f>Table1[[#This Row],[Date ]]</f>
        <v>45292</v>
      </c>
      <c r="N40" s="5">
        <f>Table1[[#This Row],[Ordered]]-Table1[[#This Row],[Date ]]</f>
        <v>4.1666666664241347E-2</v>
      </c>
      <c r="O40">
        <f>Table1[[#This Row],[Company]]</f>
        <v>12</v>
      </c>
      <c r="P40">
        <f>IF(((Table1[[#This Row],[Arrived]]-Table1[[#This Row],[Delivery]])*24-Table1[[#This Row],[Promised]])&lt;0, 0, (Table1[[#This Row],[Arrived]]-Table1[[#This Row],[Delivery]])*24-Table1[[#This Row],[Promised]])</f>
        <v>0</v>
      </c>
      <c r="Q40"/>
    </row>
    <row r="41" spans="1:17" x14ac:dyDescent="0.45">
      <c r="A41" s="3">
        <v>45292.041666666664</v>
      </c>
      <c r="B41" t="s">
        <v>14</v>
      </c>
      <c r="C41">
        <v>9</v>
      </c>
      <c r="D41">
        <v>1002</v>
      </c>
      <c r="E41" t="s">
        <v>15</v>
      </c>
      <c r="F41">
        <v>4</v>
      </c>
      <c r="G41">
        <v>6650</v>
      </c>
      <c r="H41">
        <v>26600</v>
      </c>
      <c r="I41" s="3">
        <v>45293.041666666664</v>
      </c>
      <c r="J41">
        <v>96</v>
      </c>
      <c r="K41" s="3">
        <v>45296.041666666664</v>
      </c>
      <c r="L41" s="4">
        <f>ROUNDDOWN(Table1[[#This Row],[Ordered]],0)</f>
        <v>45292</v>
      </c>
      <c r="M41" s="4">
        <f>Table1[[#This Row],[Date ]]</f>
        <v>45292</v>
      </c>
      <c r="N41" s="5">
        <f>Table1[[#This Row],[Ordered]]-Table1[[#This Row],[Date ]]</f>
        <v>4.1666666664241347E-2</v>
      </c>
      <c r="O41">
        <f>Table1[[#This Row],[Company]]</f>
        <v>9</v>
      </c>
      <c r="P41">
        <f>IF(((Table1[[#This Row],[Arrived]]-Table1[[#This Row],[Delivery]])*24-Table1[[#This Row],[Promised]])&lt;0, 0, (Table1[[#This Row],[Arrived]]-Table1[[#This Row],[Delivery]])*24-Table1[[#This Row],[Promised]])</f>
        <v>0</v>
      </c>
      <c r="Q41"/>
    </row>
    <row r="42" spans="1:17" x14ac:dyDescent="0.45">
      <c r="A42" s="3">
        <v>45292.041666666664</v>
      </c>
      <c r="B42" t="s">
        <v>14</v>
      </c>
      <c r="C42">
        <v>9</v>
      </c>
      <c r="D42">
        <v>1001</v>
      </c>
      <c r="E42" t="s">
        <v>15</v>
      </c>
      <c r="F42">
        <v>3</v>
      </c>
      <c r="G42">
        <v>6650</v>
      </c>
      <c r="H42">
        <v>19950</v>
      </c>
      <c r="I42" s="3">
        <v>45293.041666666664</v>
      </c>
      <c r="J42">
        <v>96</v>
      </c>
      <c r="K42" s="3">
        <v>45296.041666666664</v>
      </c>
      <c r="L42" s="4">
        <f>ROUNDDOWN(Table1[[#This Row],[Ordered]],0)</f>
        <v>45292</v>
      </c>
      <c r="M42" s="4">
        <f>Table1[[#This Row],[Date ]]</f>
        <v>45292</v>
      </c>
      <c r="N42" s="5">
        <f>Table1[[#This Row],[Ordered]]-Table1[[#This Row],[Date ]]</f>
        <v>4.1666666664241347E-2</v>
      </c>
      <c r="O42">
        <f>Table1[[#This Row],[Company]]</f>
        <v>9</v>
      </c>
      <c r="P42">
        <f>IF(((Table1[[#This Row],[Arrived]]-Table1[[#This Row],[Delivery]])*24-Table1[[#This Row],[Promised]])&lt;0, 0, (Table1[[#This Row],[Arrived]]-Table1[[#This Row],[Delivery]])*24-Table1[[#This Row],[Promised]])</f>
        <v>0</v>
      </c>
      <c r="Q42"/>
    </row>
    <row r="43" spans="1:17" x14ac:dyDescent="0.45">
      <c r="A43" s="3">
        <v>45292.041666666664</v>
      </c>
      <c r="B43" t="s">
        <v>14</v>
      </c>
      <c r="C43">
        <v>7</v>
      </c>
      <c r="D43">
        <v>1002</v>
      </c>
      <c r="E43" t="s">
        <v>16</v>
      </c>
      <c r="F43">
        <v>26</v>
      </c>
      <c r="G43">
        <v>3750</v>
      </c>
      <c r="H43">
        <v>97500</v>
      </c>
      <c r="I43" s="3">
        <v>45292.791666666664</v>
      </c>
      <c r="J43">
        <v>96</v>
      </c>
      <c r="K43" s="3">
        <v>45295.791666666664</v>
      </c>
      <c r="L43" s="4">
        <f>ROUNDDOWN(Table1[[#This Row],[Ordered]],0)</f>
        <v>45292</v>
      </c>
      <c r="M43" s="4">
        <f>Table1[[#This Row],[Date ]]</f>
        <v>45292</v>
      </c>
      <c r="N43" s="5">
        <f>Table1[[#This Row],[Ordered]]-Table1[[#This Row],[Date ]]</f>
        <v>4.1666666664241347E-2</v>
      </c>
      <c r="O43">
        <f>Table1[[#This Row],[Company]]</f>
        <v>7</v>
      </c>
      <c r="P43">
        <f>IF(((Table1[[#This Row],[Arrived]]-Table1[[#This Row],[Delivery]])*24-Table1[[#This Row],[Promised]])&lt;0, 0, (Table1[[#This Row],[Arrived]]-Table1[[#This Row],[Delivery]])*24-Table1[[#This Row],[Promised]])</f>
        <v>0</v>
      </c>
      <c r="Q43"/>
    </row>
    <row r="44" spans="1:17" x14ac:dyDescent="0.45">
      <c r="A44" s="3">
        <v>45292.041666666664</v>
      </c>
      <c r="B44" t="s">
        <v>14</v>
      </c>
      <c r="C44">
        <v>13</v>
      </c>
      <c r="D44">
        <v>1005</v>
      </c>
      <c r="E44" t="s">
        <v>15</v>
      </c>
      <c r="F44">
        <v>7</v>
      </c>
      <c r="G44">
        <v>6650</v>
      </c>
      <c r="H44">
        <v>46550</v>
      </c>
      <c r="I44" s="3">
        <v>45292.916666666664</v>
      </c>
      <c r="J44">
        <v>96</v>
      </c>
      <c r="K44" s="3">
        <v>45295.916666666664</v>
      </c>
      <c r="L44" s="4">
        <f>ROUNDDOWN(Table1[[#This Row],[Ordered]],0)</f>
        <v>45292</v>
      </c>
      <c r="M44" s="4">
        <f>Table1[[#This Row],[Date ]]</f>
        <v>45292</v>
      </c>
      <c r="N44" s="5">
        <f>Table1[[#This Row],[Ordered]]-Table1[[#This Row],[Date ]]</f>
        <v>4.1666666664241347E-2</v>
      </c>
      <c r="O44">
        <f>Table1[[#This Row],[Company]]</f>
        <v>13</v>
      </c>
      <c r="P44">
        <f>IF(((Table1[[#This Row],[Arrived]]-Table1[[#This Row],[Delivery]])*24-Table1[[#This Row],[Promised]])&lt;0, 0, (Table1[[#This Row],[Arrived]]-Table1[[#This Row],[Delivery]])*24-Table1[[#This Row],[Promised]])</f>
        <v>0</v>
      </c>
      <c r="Q44"/>
    </row>
    <row r="45" spans="1:17" x14ac:dyDescent="0.45">
      <c r="A45" s="3">
        <v>45292.041666666664</v>
      </c>
      <c r="B45" t="s">
        <v>14</v>
      </c>
      <c r="C45">
        <v>13</v>
      </c>
      <c r="D45">
        <v>1003</v>
      </c>
      <c r="E45" t="s">
        <v>16</v>
      </c>
      <c r="F45">
        <v>30</v>
      </c>
      <c r="G45">
        <v>3750</v>
      </c>
      <c r="H45">
        <v>112500</v>
      </c>
      <c r="I45" s="3">
        <v>45292.916666666664</v>
      </c>
      <c r="J45">
        <v>96</v>
      </c>
      <c r="K45" s="3">
        <v>45295.916666666664</v>
      </c>
      <c r="L45" s="4">
        <f>ROUNDDOWN(Table1[[#This Row],[Ordered]],0)</f>
        <v>45292</v>
      </c>
      <c r="M45" s="4">
        <f>Table1[[#This Row],[Date ]]</f>
        <v>45292</v>
      </c>
      <c r="N45" s="5">
        <f>Table1[[#This Row],[Ordered]]-Table1[[#This Row],[Date ]]</f>
        <v>4.1666666664241347E-2</v>
      </c>
      <c r="O45">
        <f>Table1[[#This Row],[Company]]</f>
        <v>13</v>
      </c>
      <c r="P45">
        <f>IF(((Table1[[#This Row],[Arrived]]-Table1[[#This Row],[Delivery]])*24-Table1[[#This Row],[Promised]])&lt;0, 0, (Table1[[#This Row],[Arrived]]-Table1[[#This Row],[Delivery]])*24-Table1[[#This Row],[Promised]])</f>
        <v>0</v>
      </c>
      <c r="Q45"/>
    </row>
    <row r="46" spans="1:17" x14ac:dyDescent="0.45">
      <c r="A46" s="3">
        <v>45292.041666666664</v>
      </c>
      <c r="B46" t="s">
        <v>14</v>
      </c>
      <c r="C46">
        <v>13</v>
      </c>
      <c r="D46">
        <v>1001</v>
      </c>
      <c r="E46" t="s">
        <v>15</v>
      </c>
      <c r="F46">
        <v>3</v>
      </c>
      <c r="G46">
        <v>6650</v>
      </c>
      <c r="H46">
        <v>19950</v>
      </c>
      <c r="I46" s="3">
        <v>45292.958333333336</v>
      </c>
      <c r="J46">
        <v>96</v>
      </c>
      <c r="K46" s="3">
        <v>45295.958333333336</v>
      </c>
      <c r="L46" s="4">
        <f>ROUNDDOWN(Table1[[#This Row],[Ordered]],0)</f>
        <v>45292</v>
      </c>
      <c r="M46" s="4">
        <f>Table1[[#This Row],[Date ]]</f>
        <v>45292</v>
      </c>
      <c r="N46" s="5">
        <f>Table1[[#This Row],[Ordered]]-Table1[[#This Row],[Date ]]</f>
        <v>4.1666666664241347E-2</v>
      </c>
      <c r="O46">
        <f>Table1[[#This Row],[Company]]</f>
        <v>13</v>
      </c>
      <c r="P46">
        <f>IF(((Table1[[#This Row],[Arrived]]-Table1[[#This Row],[Delivery]])*24-Table1[[#This Row],[Promised]])&lt;0, 0, (Table1[[#This Row],[Arrived]]-Table1[[#This Row],[Delivery]])*24-Table1[[#This Row],[Promised]])</f>
        <v>0</v>
      </c>
      <c r="Q46"/>
    </row>
    <row r="47" spans="1:17" x14ac:dyDescent="0.45">
      <c r="A47" s="3">
        <v>45292.041666666664</v>
      </c>
      <c r="B47" t="s">
        <v>14</v>
      </c>
      <c r="C47">
        <v>8</v>
      </c>
      <c r="D47">
        <v>1004</v>
      </c>
      <c r="E47" t="s">
        <v>16</v>
      </c>
      <c r="F47">
        <v>30</v>
      </c>
      <c r="G47">
        <v>3750</v>
      </c>
      <c r="H47">
        <v>112500</v>
      </c>
      <c r="I47" s="3">
        <v>45292.958333333336</v>
      </c>
      <c r="J47">
        <v>96</v>
      </c>
      <c r="K47" s="3">
        <v>45295.958333333336</v>
      </c>
      <c r="L47" s="4">
        <f>ROUNDDOWN(Table1[[#This Row],[Ordered]],0)</f>
        <v>45292</v>
      </c>
      <c r="M47" s="4">
        <f>Table1[[#This Row],[Date ]]</f>
        <v>45292</v>
      </c>
      <c r="N47" s="5">
        <f>Table1[[#This Row],[Ordered]]-Table1[[#This Row],[Date ]]</f>
        <v>4.1666666664241347E-2</v>
      </c>
      <c r="O47">
        <f>Table1[[#This Row],[Company]]</f>
        <v>8</v>
      </c>
      <c r="P47">
        <f>IF(((Table1[[#This Row],[Arrived]]-Table1[[#This Row],[Delivery]])*24-Table1[[#This Row],[Promised]])&lt;0, 0, (Table1[[#This Row],[Arrived]]-Table1[[#This Row],[Delivery]])*24-Table1[[#This Row],[Promised]])</f>
        <v>0</v>
      </c>
      <c r="Q47"/>
    </row>
    <row r="48" spans="1:17" x14ac:dyDescent="0.45">
      <c r="A48" s="3">
        <v>45292.041666666664</v>
      </c>
      <c r="B48" t="s">
        <v>14</v>
      </c>
      <c r="C48">
        <v>8</v>
      </c>
      <c r="D48">
        <v>1002</v>
      </c>
      <c r="E48" t="s">
        <v>15</v>
      </c>
      <c r="F48">
        <v>4</v>
      </c>
      <c r="G48">
        <v>6650</v>
      </c>
      <c r="H48">
        <v>26600</v>
      </c>
      <c r="I48" s="3">
        <v>45292.958333333336</v>
      </c>
      <c r="J48">
        <v>96</v>
      </c>
      <c r="K48" s="3">
        <v>45295.958333333336</v>
      </c>
      <c r="L48" s="4">
        <f>ROUNDDOWN(Table1[[#This Row],[Ordered]],0)</f>
        <v>45292</v>
      </c>
      <c r="M48" s="4">
        <f>Table1[[#This Row],[Date ]]</f>
        <v>45292</v>
      </c>
      <c r="N48" s="5">
        <f>Table1[[#This Row],[Ordered]]-Table1[[#This Row],[Date ]]</f>
        <v>4.1666666664241347E-2</v>
      </c>
      <c r="O48">
        <f>Table1[[#This Row],[Company]]</f>
        <v>8</v>
      </c>
      <c r="P48">
        <f>IF(((Table1[[#This Row],[Arrived]]-Table1[[#This Row],[Delivery]])*24-Table1[[#This Row],[Promised]])&lt;0, 0, (Table1[[#This Row],[Arrived]]-Table1[[#This Row],[Delivery]])*24-Table1[[#This Row],[Promised]])</f>
        <v>0</v>
      </c>
      <c r="Q48"/>
    </row>
    <row r="49" spans="1:17" x14ac:dyDescent="0.45">
      <c r="A49" s="3">
        <v>45292.041666666664</v>
      </c>
      <c r="B49" t="s">
        <v>14</v>
      </c>
      <c r="C49">
        <v>8</v>
      </c>
      <c r="D49">
        <v>1001</v>
      </c>
      <c r="E49" t="s">
        <v>15</v>
      </c>
      <c r="F49">
        <v>3</v>
      </c>
      <c r="G49">
        <v>6650</v>
      </c>
      <c r="H49">
        <v>19950</v>
      </c>
      <c r="I49" s="3">
        <v>45292.958333333336</v>
      </c>
      <c r="J49">
        <v>96</v>
      </c>
      <c r="K49" s="3">
        <v>45295.958333333336</v>
      </c>
      <c r="L49" s="4">
        <f>ROUNDDOWN(Table1[[#This Row],[Ordered]],0)</f>
        <v>45292</v>
      </c>
      <c r="M49" s="4">
        <f>Table1[[#This Row],[Date ]]</f>
        <v>45292</v>
      </c>
      <c r="N49" s="5">
        <f>Table1[[#This Row],[Ordered]]-Table1[[#This Row],[Date ]]</f>
        <v>4.1666666664241347E-2</v>
      </c>
      <c r="O49">
        <f>Table1[[#This Row],[Company]]</f>
        <v>8</v>
      </c>
      <c r="P49">
        <f>IF(((Table1[[#This Row],[Arrived]]-Table1[[#This Row],[Delivery]])*24-Table1[[#This Row],[Promised]])&lt;0, 0, (Table1[[#This Row],[Arrived]]-Table1[[#This Row],[Delivery]])*24-Table1[[#This Row],[Promised]])</f>
        <v>0</v>
      </c>
      <c r="Q49"/>
    </row>
    <row r="50" spans="1:17" x14ac:dyDescent="0.45">
      <c r="A50" s="3">
        <v>45292.041666666664</v>
      </c>
      <c r="B50" t="s">
        <v>14</v>
      </c>
      <c r="C50">
        <v>9</v>
      </c>
      <c r="D50">
        <v>1003</v>
      </c>
      <c r="E50" t="s">
        <v>16</v>
      </c>
      <c r="F50">
        <v>30</v>
      </c>
      <c r="G50">
        <v>3750</v>
      </c>
      <c r="H50">
        <v>112500</v>
      </c>
      <c r="I50" s="3">
        <v>45293.041666666664</v>
      </c>
      <c r="J50">
        <v>96</v>
      </c>
      <c r="K50" s="3">
        <v>45296.041666666664</v>
      </c>
      <c r="L50" s="4">
        <f>ROUNDDOWN(Table1[[#This Row],[Ordered]],0)</f>
        <v>45292</v>
      </c>
      <c r="M50" s="4">
        <f>Table1[[#This Row],[Date ]]</f>
        <v>45292</v>
      </c>
      <c r="N50" s="5">
        <f>Table1[[#This Row],[Ordered]]-Table1[[#This Row],[Date ]]</f>
        <v>4.1666666664241347E-2</v>
      </c>
      <c r="O50">
        <f>Table1[[#This Row],[Company]]</f>
        <v>9</v>
      </c>
      <c r="P50">
        <f>IF(((Table1[[#This Row],[Arrived]]-Table1[[#This Row],[Delivery]])*24-Table1[[#This Row],[Promised]])&lt;0, 0, (Table1[[#This Row],[Arrived]]-Table1[[#This Row],[Delivery]])*24-Table1[[#This Row],[Promised]])</f>
        <v>0</v>
      </c>
      <c r="Q50"/>
    </row>
    <row r="51" spans="1:17" x14ac:dyDescent="0.45">
      <c r="A51" s="3">
        <v>45292.041666666664</v>
      </c>
      <c r="B51" t="s">
        <v>14</v>
      </c>
      <c r="C51">
        <v>7</v>
      </c>
      <c r="D51">
        <v>1005</v>
      </c>
      <c r="E51" t="s">
        <v>15</v>
      </c>
      <c r="F51">
        <v>7</v>
      </c>
      <c r="G51">
        <v>6650</v>
      </c>
      <c r="H51">
        <v>46550</v>
      </c>
      <c r="I51" s="3">
        <v>45292.666666666664</v>
      </c>
      <c r="J51">
        <v>96</v>
      </c>
      <c r="K51" s="3">
        <v>45295.666666666664</v>
      </c>
      <c r="L51" s="4">
        <f>ROUNDDOWN(Table1[[#This Row],[Ordered]],0)</f>
        <v>45292</v>
      </c>
      <c r="M51" s="4">
        <f>Table1[[#This Row],[Date ]]</f>
        <v>45292</v>
      </c>
      <c r="N51" s="5">
        <f>Table1[[#This Row],[Ordered]]-Table1[[#This Row],[Date ]]</f>
        <v>4.1666666664241347E-2</v>
      </c>
      <c r="O51">
        <f>Table1[[#This Row],[Company]]</f>
        <v>7</v>
      </c>
      <c r="P51">
        <f>IF(((Table1[[#This Row],[Arrived]]-Table1[[#This Row],[Delivery]])*24-Table1[[#This Row],[Promised]])&lt;0, 0, (Table1[[#This Row],[Arrived]]-Table1[[#This Row],[Delivery]])*24-Table1[[#This Row],[Promised]])</f>
        <v>0</v>
      </c>
      <c r="Q51"/>
    </row>
    <row r="52" spans="1:17" x14ac:dyDescent="0.45">
      <c r="A52" s="3">
        <v>45292.041666666664</v>
      </c>
      <c r="B52" t="s">
        <v>14</v>
      </c>
      <c r="C52">
        <v>15</v>
      </c>
      <c r="D52">
        <v>1004</v>
      </c>
      <c r="E52" t="s">
        <v>15</v>
      </c>
      <c r="F52">
        <v>5</v>
      </c>
      <c r="G52">
        <v>6650</v>
      </c>
      <c r="H52">
        <v>33250</v>
      </c>
      <c r="I52" s="3">
        <v>45292.541666666664</v>
      </c>
      <c r="J52">
        <v>96</v>
      </c>
      <c r="K52" s="3">
        <v>45295.541666666664</v>
      </c>
      <c r="L52" s="4">
        <f>ROUNDDOWN(Table1[[#This Row],[Ordered]],0)</f>
        <v>45292</v>
      </c>
      <c r="M52" s="4">
        <f>Table1[[#This Row],[Date ]]</f>
        <v>45292</v>
      </c>
      <c r="N52" s="5">
        <f>Table1[[#This Row],[Ordered]]-Table1[[#This Row],[Date ]]</f>
        <v>4.1666666664241347E-2</v>
      </c>
      <c r="O52">
        <f>Table1[[#This Row],[Company]]</f>
        <v>15</v>
      </c>
      <c r="P52">
        <f>IF(((Table1[[#This Row],[Arrived]]-Table1[[#This Row],[Delivery]])*24-Table1[[#This Row],[Promised]])&lt;0, 0, (Table1[[#This Row],[Arrived]]-Table1[[#This Row],[Delivery]])*24-Table1[[#This Row],[Promised]])</f>
        <v>0</v>
      </c>
      <c r="Q52"/>
    </row>
    <row r="53" spans="1:17" x14ac:dyDescent="0.45">
      <c r="A53" s="3">
        <v>45292.041666666664</v>
      </c>
      <c r="B53" t="s">
        <v>14</v>
      </c>
      <c r="C53">
        <v>15</v>
      </c>
      <c r="D53">
        <v>1005</v>
      </c>
      <c r="E53" t="s">
        <v>15</v>
      </c>
      <c r="F53">
        <v>7</v>
      </c>
      <c r="G53">
        <v>6650</v>
      </c>
      <c r="H53">
        <v>46550</v>
      </c>
      <c r="I53" s="3">
        <v>45292.541666666664</v>
      </c>
      <c r="J53">
        <v>96</v>
      </c>
      <c r="K53" s="3">
        <v>45295.541666666664</v>
      </c>
      <c r="L53" s="4">
        <f>ROUNDDOWN(Table1[[#This Row],[Ordered]],0)</f>
        <v>45292</v>
      </c>
      <c r="M53" s="4">
        <f>Table1[[#This Row],[Date ]]</f>
        <v>45292</v>
      </c>
      <c r="N53" s="5">
        <f>Table1[[#This Row],[Ordered]]-Table1[[#This Row],[Date ]]</f>
        <v>4.1666666664241347E-2</v>
      </c>
      <c r="O53">
        <f>Table1[[#This Row],[Company]]</f>
        <v>15</v>
      </c>
      <c r="P53">
        <f>IF(((Table1[[#This Row],[Arrived]]-Table1[[#This Row],[Delivery]])*24-Table1[[#This Row],[Promised]])&lt;0, 0, (Table1[[#This Row],[Arrived]]-Table1[[#This Row],[Delivery]])*24-Table1[[#This Row],[Promised]])</f>
        <v>0</v>
      </c>
      <c r="Q53"/>
    </row>
    <row r="54" spans="1:17" x14ac:dyDescent="0.45">
      <c r="A54" s="3">
        <v>45292.041666666664</v>
      </c>
      <c r="B54" t="s">
        <v>14</v>
      </c>
      <c r="C54">
        <v>14</v>
      </c>
      <c r="D54">
        <v>1001</v>
      </c>
      <c r="E54" t="s">
        <v>15</v>
      </c>
      <c r="F54">
        <v>3</v>
      </c>
      <c r="G54">
        <v>6650</v>
      </c>
      <c r="H54">
        <v>19950</v>
      </c>
      <c r="I54" s="3">
        <v>45292.458333333336</v>
      </c>
      <c r="J54">
        <v>96</v>
      </c>
      <c r="K54" s="3">
        <v>45295.458333333336</v>
      </c>
      <c r="L54" s="4">
        <f>ROUNDDOWN(Table1[[#This Row],[Ordered]],0)</f>
        <v>45292</v>
      </c>
      <c r="M54" s="4">
        <f>Table1[[#This Row],[Date ]]</f>
        <v>45292</v>
      </c>
      <c r="N54" s="5">
        <f>Table1[[#This Row],[Ordered]]-Table1[[#This Row],[Date ]]</f>
        <v>4.1666666664241347E-2</v>
      </c>
      <c r="O54">
        <f>Table1[[#This Row],[Company]]</f>
        <v>14</v>
      </c>
      <c r="P54">
        <f>IF(((Table1[[#This Row],[Arrived]]-Table1[[#This Row],[Delivery]])*24-Table1[[#This Row],[Promised]])&lt;0, 0, (Table1[[#This Row],[Arrived]]-Table1[[#This Row],[Delivery]])*24-Table1[[#This Row],[Promised]])</f>
        <v>0</v>
      </c>
      <c r="Q54"/>
    </row>
    <row r="55" spans="1:17" x14ac:dyDescent="0.45">
      <c r="A55" s="3">
        <v>45292.041666666664</v>
      </c>
      <c r="B55" t="s">
        <v>14</v>
      </c>
      <c r="C55">
        <v>14</v>
      </c>
      <c r="D55">
        <v>1004</v>
      </c>
      <c r="E55" t="s">
        <v>16</v>
      </c>
      <c r="F55">
        <v>30</v>
      </c>
      <c r="G55">
        <v>3750</v>
      </c>
      <c r="H55">
        <v>112500</v>
      </c>
      <c r="I55" s="3">
        <v>45292.416666666664</v>
      </c>
      <c r="J55">
        <v>96</v>
      </c>
      <c r="K55" s="3">
        <v>45295.5</v>
      </c>
      <c r="L55" s="4">
        <f>ROUNDDOWN(Table1[[#This Row],[Ordered]],0)</f>
        <v>45292</v>
      </c>
      <c r="M55" s="4">
        <f>Table1[[#This Row],[Date ]]</f>
        <v>45292</v>
      </c>
      <c r="N55" s="5">
        <f>Table1[[#This Row],[Ordered]]-Table1[[#This Row],[Date ]]</f>
        <v>4.1666666664241347E-2</v>
      </c>
      <c r="O55">
        <f>Table1[[#This Row],[Company]]</f>
        <v>14</v>
      </c>
      <c r="P55">
        <f>IF(((Table1[[#This Row],[Arrived]]-Table1[[#This Row],[Delivery]])*24-Table1[[#This Row],[Promised]])&lt;0, 0, (Table1[[#This Row],[Arrived]]-Table1[[#This Row],[Delivery]])*24-Table1[[#This Row],[Promised]])</f>
        <v>0</v>
      </c>
      <c r="Q55"/>
    </row>
    <row r="56" spans="1:17" x14ac:dyDescent="0.45">
      <c r="A56" s="3">
        <v>45292.041666666664</v>
      </c>
      <c r="B56" t="s">
        <v>14</v>
      </c>
      <c r="C56">
        <v>11</v>
      </c>
      <c r="D56">
        <v>1006</v>
      </c>
      <c r="E56" t="s">
        <v>16</v>
      </c>
      <c r="F56">
        <v>30</v>
      </c>
      <c r="G56">
        <v>3750</v>
      </c>
      <c r="H56">
        <v>112500</v>
      </c>
      <c r="I56" s="3">
        <v>45292.416666666664</v>
      </c>
      <c r="J56">
        <v>96</v>
      </c>
      <c r="K56" s="3">
        <v>45295.416666666664</v>
      </c>
      <c r="L56" s="4">
        <f>ROUNDDOWN(Table1[[#This Row],[Ordered]],0)</f>
        <v>45292</v>
      </c>
      <c r="M56" s="4">
        <f>Table1[[#This Row],[Date ]]</f>
        <v>45292</v>
      </c>
      <c r="N56" s="5">
        <f>Table1[[#This Row],[Ordered]]-Table1[[#This Row],[Date ]]</f>
        <v>4.1666666664241347E-2</v>
      </c>
      <c r="O56">
        <f>Table1[[#This Row],[Company]]</f>
        <v>11</v>
      </c>
      <c r="P56">
        <f>IF(((Table1[[#This Row],[Arrived]]-Table1[[#This Row],[Delivery]])*24-Table1[[#This Row],[Promised]])&lt;0, 0, (Table1[[#This Row],[Arrived]]-Table1[[#This Row],[Delivery]])*24-Table1[[#This Row],[Promised]])</f>
        <v>0</v>
      </c>
      <c r="Q56"/>
    </row>
    <row r="57" spans="1:17" x14ac:dyDescent="0.45">
      <c r="A57" s="3">
        <v>45292.041666666664</v>
      </c>
      <c r="B57" t="s">
        <v>14</v>
      </c>
      <c r="C57">
        <v>12</v>
      </c>
      <c r="D57">
        <v>1006</v>
      </c>
      <c r="E57" t="s">
        <v>15</v>
      </c>
      <c r="F57">
        <v>8</v>
      </c>
      <c r="G57">
        <v>6650</v>
      </c>
      <c r="H57">
        <v>53200</v>
      </c>
      <c r="I57" s="3">
        <v>45292.375</v>
      </c>
      <c r="J57">
        <v>96</v>
      </c>
      <c r="K57" s="3">
        <v>45295.375</v>
      </c>
      <c r="L57" s="4">
        <f>ROUNDDOWN(Table1[[#This Row],[Ordered]],0)</f>
        <v>45292</v>
      </c>
      <c r="M57" s="4">
        <f>Table1[[#This Row],[Date ]]</f>
        <v>45292</v>
      </c>
      <c r="N57" s="5">
        <f>Table1[[#This Row],[Ordered]]-Table1[[#This Row],[Date ]]</f>
        <v>4.1666666664241347E-2</v>
      </c>
      <c r="O57">
        <f>Table1[[#This Row],[Company]]</f>
        <v>12</v>
      </c>
      <c r="P57">
        <f>IF(((Table1[[#This Row],[Arrived]]-Table1[[#This Row],[Delivery]])*24-Table1[[#This Row],[Promised]])&lt;0, 0, (Table1[[#This Row],[Arrived]]-Table1[[#This Row],[Delivery]])*24-Table1[[#This Row],[Promised]])</f>
        <v>0</v>
      </c>
      <c r="Q57"/>
    </row>
    <row r="58" spans="1:17" x14ac:dyDescent="0.45">
      <c r="A58" s="3">
        <v>45292.041666666664</v>
      </c>
      <c r="B58" t="s">
        <v>14</v>
      </c>
      <c r="C58">
        <v>14</v>
      </c>
      <c r="D58">
        <v>1004</v>
      </c>
      <c r="E58" t="s">
        <v>15</v>
      </c>
      <c r="F58">
        <v>5</v>
      </c>
      <c r="G58">
        <v>6650</v>
      </c>
      <c r="H58">
        <v>33250</v>
      </c>
      <c r="I58" s="3">
        <v>45292.375</v>
      </c>
      <c r="J58">
        <v>96</v>
      </c>
      <c r="K58" s="3">
        <v>45295.375</v>
      </c>
      <c r="L58" s="4">
        <f>ROUNDDOWN(Table1[[#This Row],[Ordered]],0)</f>
        <v>45292</v>
      </c>
      <c r="M58" s="4">
        <f>Table1[[#This Row],[Date ]]</f>
        <v>45292</v>
      </c>
      <c r="N58" s="5">
        <f>Table1[[#This Row],[Ordered]]-Table1[[#This Row],[Date ]]</f>
        <v>4.1666666664241347E-2</v>
      </c>
      <c r="O58">
        <f>Table1[[#This Row],[Company]]</f>
        <v>14</v>
      </c>
      <c r="P58">
        <f>IF(((Table1[[#This Row],[Arrived]]-Table1[[#This Row],[Delivery]])*24-Table1[[#This Row],[Promised]])&lt;0, 0, (Table1[[#This Row],[Arrived]]-Table1[[#This Row],[Delivery]])*24-Table1[[#This Row],[Promised]])</f>
        <v>0</v>
      </c>
      <c r="Q58"/>
    </row>
    <row r="59" spans="1:17" x14ac:dyDescent="0.45">
      <c r="A59" s="3">
        <v>45292.041666666664</v>
      </c>
      <c r="B59" t="s">
        <v>14</v>
      </c>
      <c r="C59">
        <v>11</v>
      </c>
      <c r="D59">
        <v>1003</v>
      </c>
      <c r="E59" t="s">
        <v>16</v>
      </c>
      <c r="F59">
        <v>30</v>
      </c>
      <c r="G59">
        <v>3750</v>
      </c>
      <c r="H59">
        <v>112500</v>
      </c>
      <c r="I59" s="3">
        <v>45292.375</v>
      </c>
      <c r="J59">
        <v>96</v>
      </c>
      <c r="K59" s="3">
        <v>45295.375</v>
      </c>
      <c r="L59" s="4">
        <f>ROUNDDOWN(Table1[[#This Row],[Ordered]],0)</f>
        <v>45292</v>
      </c>
      <c r="M59" s="4">
        <f>Table1[[#This Row],[Date ]]</f>
        <v>45292</v>
      </c>
      <c r="N59" s="5">
        <f>Table1[[#This Row],[Ordered]]-Table1[[#This Row],[Date ]]</f>
        <v>4.1666666664241347E-2</v>
      </c>
      <c r="O59">
        <f>Table1[[#This Row],[Company]]</f>
        <v>11</v>
      </c>
      <c r="P59">
        <f>IF(((Table1[[#This Row],[Arrived]]-Table1[[#This Row],[Delivery]])*24-Table1[[#This Row],[Promised]])&lt;0, 0, (Table1[[#This Row],[Arrived]]-Table1[[#This Row],[Delivery]])*24-Table1[[#This Row],[Promised]])</f>
        <v>0</v>
      </c>
      <c r="Q59"/>
    </row>
    <row r="60" spans="1:17" x14ac:dyDescent="0.45">
      <c r="A60" s="3">
        <v>45292.041666666664</v>
      </c>
      <c r="B60" t="s">
        <v>14</v>
      </c>
      <c r="C60">
        <v>11</v>
      </c>
      <c r="D60">
        <v>1001</v>
      </c>
      <c r="E60" t="s">
        <v>16</v>
      </c>
      <c r="F60">
        <v>30</v>
      </c>
      <c r="G60">
        <v>3750</v>
      </c>
      <c r="H60">
        <v>112500</v>
      </c>
      <c r="I60" s="3">
        <v>45292.375</v>
      </c>
      <c r="J60">
        <v>96</v>
      </c>
      <c r="K60" s="3">
        <v>45295.375</v>
      </c>
      <c r="L60" s="4">
        <f>ROUNDDOWN(Table1[[#This Row],[Ordered]],0)</f>
        <v>45292</v>
      </c>
      <c r="M60" s="4">
        <f>Table1[[#This Row],[Date ]]</f>
        <v>45292</v>
      </c>
      <c r="N60" s="5">
        <f>Table1[[#This Row],[Ordered]]-Table1[[#This Row],[Date ]]</f>
        <v>4.1666666664241347E-2</v>
      </c>
      <c r="O60">
        <f>Table1[[#This Row],[Company]]</f>
        <v>11</v>
      </c>
      <c r="P60">
        <f>IF(((Table1[[#This Row],[Arrived]]-Table1[[#This Row],[Delivery]])*24-Table1[[#This Row],[Promised]])&lt;0, 0, (Table1[[#This Row],[Arrived]]-Table1[[#This Row],[Delivery]])*24-Table1[[#This Row],[Promised]])</f>
        <v>0</v>
      </c>
      <c r="Q60"/>
    </row>
    <row r="61" spans="1:17" x14ac:dyDescent="0.45">
      <c r="A61" s="3">
        <v>45292.041666666664</v>
      </c>
      <c r="B61" t="s">
        <v>14</v>
      </c>
      <c r="C61">
        <v>12</v>
      </c>
      <c r="D61">
        <v>1004</v>
      </c>
      <c r="E61" t="s">
        <v>15</v>
      </c>
      <c r="F61">
        <v>5</v>
      </c>
      <c r="G61">
        <v>6650</v>
      </c>
      <c r="H61">
        <v>33250</v>
      </c>
      <c r="I61" s="3">
        <v>45292.375</v>
      </c>
      <c r="J61">
        <v>96</v>
      </c>
      <c r="K61" s="3">
        <v>45295.375</v>
      </c>
      <c r="L61" s="4">
        <f>ROUNDDOWN(Table1[[#This Row],[Ordered]],0)</f>
        <v>45292</v>
      </c>
      <c r="M61" s="4">
        <f>Table1[[#This Row],[Date ]]</f>
        <v>45292</v>
      </c>
      <c r="N61" s="5">
        <f>Table1[[#This Row],[Ordered]]-Table1[[#This Row],[Date ]]</f>
        <v>4.1666666664241347E-2</v>
      </c>
      <c r="O61">
        <f>Table1[[#This Row],[Company]]</f>
        <v>12</v>
      </c>
      <c r="P61">
        <f>IF(((Table1[[#This Row],[Arrived]]-Table1[[#This Row],[Delivery]])*24-Table1[[#This Row],[Promised]])&lt;0, 0, (Table1[[#This Row],[Arrived]]-Table1[[#This Row],[Delivery]])*24-Table1[[#This Row],[Promised]])</f>
        <v>0</v>
      </c>
      <c r="Q61"/>
    </row>
    <row r="62" spans="1:17" x14ac:dyDescent="0.45">
      <c r="A62" s="3">
        <v>45292.041666666664</v>
      </c>
      <c r="B62" t="s">
        <v>14</v>
      </c>
      <c r="C62">
        <v>16</v>
      </c>
      <c r="D62">
        <v>1002</v>
      </c>
      <c r="E62" t="s">
        <v>16</v>
      </c>
      <c r="F62">
        <v>26</v>
      </c>
      <c r="G62">
        <v>3750</v>
      </c>
      <c r="H62">
        <v>97500</v>
      </c>
      <c r="I62" s="3">
        <v>45292.375</v>
      </c>
      <c r="J62">
        <v>96</v>
      </c>
      <c r="K62" s="3">
        <v>45295.375</v>
      </c>
      <c r="L62" s="4">
        <f>ROUNDDOWN(Table1[[#This Row],[Ordered]],0)</f>
        <v>45292</v>
      </c>
      <c r="M62" s="4">
        <f>Table1[[#This Row],[Date ]]</f>
        <v>45292</v>
      </c>
      <c r="N62" s="5">
        <f>Table1[[#This Row],[Ordered]]-Table1[[#This Row],[Date ]]</f>
        <v>4.1666666664241347E-2</v>
      </c>
      <c r="O62">
        <f>Table1[[#This Row],[Company]]</f>
        <v>16</v>
      </c>
      <c r="P62">
        <f>IF(((Table1[[#This Row],[Arrived]]-Table1[[#This Row],[Delivery]])*24-Table1[[#This Row],[Promised]])&lt;0, 0, (Table1[[#This Row],[Arrived]]-Table1[[#This Row],[Delivery]])*24-Table1[[#This Row],[Promised]])</f>
        <v>0</v>
      </c>
      <c r="Q62"/>
    </row>
    <row r="63" spans="1:17" x14ac:dyDescent="0.45">
      <c r="A63" s="3">
        <v>45292.041666666664</v>
      </c>
      <c r="B63" t="s">
        <v>14</v>
      </c>
      <c r="C63">
        <v>15</v>
      </c>
      <c r="D63">
        <v>1006</v>
      </c>
      <c r="E63" t="s">
        <v>15</v>
      </c>
      <c r="F63">
        <v>8</v>
      </c>
      <c r="G63">
        <v>6650</v>
      </c>
      <c r="H63">
        <v>53200</v>
      </c>
      <c r="I63" s="3">
        <v>45292.5</v>
      </c>
      <c r="J63">
        <v>96</v>
      </c>
      <c r="K63" s="3">
        <v>45295.5</v>
      </c>
      <c r="L63" s="4">
        <f>ROUNDDOWN(Table1[[#This Row],[Ordered]],0)</f>
        <v>45292</v>
      </c>
      <c r="M63" s="4">
        <f>Table1[[#This Row],[Date ]]</f>
        <v>45292</v>
      </c>
      <c r="N63" s="5">
        <f>Table1[[#This Row],[Ordered]]-Table1[[#This Row],[Date ]]</f>
        <v>4.1666666664241347E-2</v>
      </c>
      <c r="O63">
        <f>Table1[[#This Row],[Company]]</f>
        <v>15</v>
      </c>
      <c r="P63">
        <f>IF(((Table1[[#This Row],[Arrived]]-Table1[[#This Row],[Delivery]])*24-Table1[[#This Row],[Promised]])&lt;0, 0, (Table1[[#This Row],[Arrived]]-Table1[[#This Row],[Delivery]])*24-Table1[[#This Row],[Promised]])</f>
        <v>0</v>
      </c>
      <c r="Q63"/>
    </row>
    <row r="64" spans="1:17" x14ac:dyDescent="0.45">
      <c r="A64" s="3">
        <v>45292.041666666664</v>
      </c>
      <c r="B64" t="s">
        <v>14</v>
      </c>
      <c r="C64">
        <v>14</v>
      </c>
      <c r="D64">
        <v>1002</v>
      </c>
      <c r="E64" t="s">
        <v>16</v>
      </c>
      <c r="F64">
        <v>26</v>
      </c>
      <c r="G64">
        <v>3750</v>
      </c>
      <c r="H64">
        <v>97500</v>
      </c>
      <c r="I64" s="3">
        <v>45292.458333333336</v>
      </c>
      <c r="J64">
        <v>96</v>
      </c>
      <c r="K64" s="3">
        <v>45295.458333333336</v>
      </c>
      <c r="L64" s="4">
        <f>ROUNDDOWN(Table1[[#This Row],[Ordered]],0)</f>
        <v>45292</v>
      </c>
      <c r="M64" s="4">
        <f>Table1[[#This Row],[Date ]]</f>
        <v>45292</v>
      </c>
      <c r="N64" s="5">
        <f>Table1[[#This Row],[Ordered]]-Table1[[#This Row],[Date ]]</f>
        <v>4.1666666664241347E-2</v>
      </c>
      <c r="O64">
        <f>Table1[[#This Row],[Company]]</f>
        <v>14</v>
      </c>
      <c r="P64">
        <f>IF(((Table1[[#This Row],[Arrived]]-Table1[[#This Row],[Delivery]])*24-Table1[[#This Row],[Promised]])&lt;0, 0, (Table1[[#This Row],[Arrived]]-Table1[[#This Row],[Delivery]])*24-Table1[[#This Row],[Promised]])</f>
        <v>0</v>
      </c>
      <c r="Q64"/>
    </row>
    <row r="65" spans="1:17" x14ac:dyDescent="0.45">
      <c r="A65" s="3">
        <v>45292.041666666664</v>
      </c>
      <c r="B65" t="s">
        <v>14</v>
      </c>
      <c r="C65">
        <v>11</v>
      </c>
      <c r="D65">
        <v>1005</v>
      </c>
      <c r="E65" t="s">
        <v>16</v>
      </c>
      <c r="F65">
        <v>30</v>
      </c>
      <c r="G65">
        <v>3750</v>
      </c>
      <c r="H65">
        <v>112500</v>
      </c>
      <c r="I65" s="3">
        <v>45292.416666666664</v>
      </c>
      <c r="J65">
        <v>96</v>
      </c>
      <c r="K65" s="3">
        <v>45295.416666666664</v>
      </c>
      <c r="L65" s="4">
        <f>ROUNDDOWN(Table1[[#This Row],[Ordered]],0)</f>
        <v>45292</v>
      </c>
      <c r="M65" s="4">
        <f>Table1[[#This Row],[Date ]]</f>
        <v>45292</v>
      </c>
      <c r="N65" s="5">
        <f>Table1[[#This Row],[Ordered]]-Table1[[#This Row],[Date ]]</f>
        <v>4.1666666664241347E-2</v>
      </c>
      <c r="O65">
        <f>Table1[[#This Row],[Company]]</f>
        <v>11</v>
      </c>
      <c r="P65">
        <f>IF(((Table1[[#This Row],[Arrived]]-Table1[[#This Row],[Delivery]])*24-Table1[[#This Row],[Promised]])&lt;0, 0, (Table1[[#This Row],[Arrived]]-Table1[[#This Row],[Delivery]])*24-Table1[[#This Row],[Promised]])</f>
        <v>0</v>
      </c>
      <c r="Q65"/>
    </row>
    <row r="66" spans="1:17" x14ac:dyDescent="0.45">
      <c r="A66" s="3">
        <v>45292.041666666664</v>
      </c>
      <c r="B66" t="s">
        <v>14</v>
      </c>
      <c r="C66">
        <v>10</v>
      </c>
      <c r="D66">
        <v>1002</v>
      </c>
      <c r="E66" t="s">
        <v>16</v>
      </c>
      <c r="F66">
        <v>26</v>
      </c>
      <c r="G66">
        <v>3750</v>
      </c>
      <c r="H66">
        <v>97500</v>
      </c>
      <c r="I66" s="3">
        <v>45292.416666666664</v>
      </c>
      <c r="J66">
        <v>96</v>
      </c>
      <c r="K66" s="3">
        <v>45295.416666666664</v>
      </c>
      <c r="L66" s="4">
        <f>ROUNDDOWN(Table1[[#This Row],[Ordered]],0)</f>
        <v>45292</v>
      </c>
      <c r="M66" s="4">
        <f>Table1[[#This Row],[Date ]]</f>
        <v>45292</v>
      </c>
      <c r="N66" s="5">
        <f>Table1[[#This Row],[Ordered]]-Table1[[#This Row],[Date ]]</f>
        <v>4.1666666664241347E-2</v>
      </c>
      <c r="O66">
        <f>Table1[[#This Row],[Company]]</f>
        <v>10</v>
      </c>
      <c r="P66">
        <f>IF(((Table1[[#This Row],[Arrived]]-Table1[[#This Row],[Delivery]])*24-Table1[[#This Row],[Promised]])&lt;0, 0, (Table1[[#This Row],[Arrived]]-Table1[[#This Row],[Delivery]])*24-Table1[[#This Row],[Promised]])</f>
        <v>0</v>
      </c>
      <c r="Q66"/>
    </row>
    <row r="67" spans="1:17" x14ac:dyDescent="0.45">
      <c r="A67" s="3">
        <v>45292.041666666664</v>
      </c>
      <c r="B67" t="s">
        <v>14</v>
      </c>
      <c r="C67">
        <v>12</v>
      </c>
      <c r="D67">
        <v>1001</v>
      </c>
      <c r="E67" t="s">
        <v>16</v>
      </c>
      <c r="F67">
        <v>30</v>
      </c>
      <c r="G67">
        <v>3750</v>
      </c>
      <c r="H67">
        <v>112500</v>
      </c>
      <c r="I67" s="3">
        <v>45292.416666666664</v>
      </c>
      <c r="J67">
        <v>96</v>
      </c>
      <c r="K67" s="3">
        <v>45295.416666666664</v>
      </c>
      <c r="L67" s="4">
        <f>ROUNDDOWN(Table1[[#This Row],[Ordered]],0)</f>
        <v>45292</v>
      </c>
      <c r="M67" s="4">
        <f>Table1[[#This Row],[Date ]]</f>
        <v>45292</v>
      </c>
      <c r="N67" s="5">
        <f>Table1[[#This Row],[Ordered]]-Table1[[#This Row],[Date ]]</f>
        <v>4.1666666664241347E-2</v>
      </c>
      <c r="O67">
        <f>Table1[[#This Row],[Company]]</f>
        <v>12</v>
      </c>
      <c r="P67">
        <f>IF(((Table1[[#This Row],[Arrived]]-Table1[[#This Row],[Delivery]])*24-Table1[[#This Row],[Promised]])&lt;0, 0, (Table1[[#This Row],[Arrived]]-Table1[[#This Row],[Delivery]])*24-Table1[[#This Row],[Promised]])</f>
        <v>0</v>
      </c>
      <c r="Q67"/>
    </row>
    <row r="68" spans="1:17" x14ac:dyDescent="0.45">
      <c r="A68" s="3">
        <v>45292.041666666664</v>
      </c>
      <c r="B68" t="s">
        <v>14</v>
      </c>
      <c r="C68">
        <v>14</v>
      </c>
      <c r="D68">
        <v>1005</v>
      </c>
      <c r="E68" t="s">
        <v>16</v>
      </c>
      <c r="F68">
        <v>30</v>
      </c>
      <c r="G68">
        <v>3750</v>
      </c>
      <c r="H68">
        <v>112500</v>
      </c>
      <c r="I68" s="3">
        <v>45292.375</v>
      </c>
      <c r="J68">
        <v>96</v>
      </c>
      <c r="K68" s="3">
        <v>45295.375</v>
      </c>
      <c r="L68" s="4">
        <f>ROUNDDOWN(Table1[[#This Row],[Ordered]],0)</f>
        <v>45292</v>
      </c>
      <c r="M68" s="4">
        <f>Table1[[#This Row],[Date ]]</f>
        <v>45292</v>
      </c>
      <c r="N68" s="5">
        <f>Table1[[#This Row],[Ordered]]-Table1[[#This Row],[Date ]]</f>
        <v>4.1666666664241347E-2</v>
      </c>
      <c r="O68">
        <f>Table1[[#This Row],[Company]]</f>
        <v>14</v>
      </c>
      <c r="P68">
        <f>IF(((Table1[[#This Row],[Arrived]]-Table1[[#This Row],[Delivery]])*24-Table1[[#This Row],[Promised]])&lt;0, 0, (Table1[[#This Row],[Arrived]]-Table1[[#This Row],[Delivery]])*24-Table1[[#This Row],[Promised]])</f>
        <v>0</v>
      </c>
      <c r="Q68"/>
    </row>
    <row r="69" spans="1:17" x14ac:dyDescent="0.45">
      <c r="A69" s="3">
        <v>45292.041666666664</v>
      </c>
      <c r="B69" t="s">
        <v>14</v>
      </c>
      <c r="C69">
        <v>14</v>
      </c>
      <c r="D69">
        <v>1006</v>
      </c>
      <c r="E69" t="s">
        <v>16</v>
      </c>
      <c r="F69">
        <v>30</v>
      </c>
      <c r="G69">
        <v>3750</v>
      </c>
      <c r="H69">
        <v>112500</v>
      </c>
      <c r="I69" s="3">
        <v>45292.375</v>
      </c>
      <c r="J69">
        <v>96</v>
      </c>
      <c r="K69" s="3">
        <v>45295.375</v>
      </c>
      <c r="L69" s="4">
        <f>ROUNDDOWN(Table1[[#This Row],[Ordered]],0)</f>
        <v>45292</v>
      </c>
      <c r="M69" s="4">
        <f>Table1[[#This Row],[Date ]]</f>
        <v>45292</v>
      </c>
      <c r="N69" s="5">
        <f>Table1[[#This Row],[Ordered]]-Table1[[#This Row],[Date ]]</f>
        <v>4.1666666664241347E-2</v>
      </c>
      <c r="O69">
        <f>Table1[[#This Row],[Company]]</f>
        <v>14</v>
      </c>
      <c r="P69">
        <f>IF(((Table1[[#This Row],[Arrived]]-Table1[[#This Row],[Delivery]])*24-Table1[[#This Row],[Promised]])&lt;0, 0, (Table1[[#This Row],[Arrived]]-Table1[[#This Row],[Delivery]])*24-Table1[[#This Row],[Promised]])</f>
        <v>0</v>
      </c>
      <c r="Q69"/>
    </row>
    <row r="70" spans="1:17" x14ac:dyDescent="0.45">
      <c r="A70" s="3">
        <v>45292.041666666664</v>
      </c>
      <c r="B70" t="s">
        <v>14</v>
      </c>
      <c r="C70">
        <v>14</v>
      </c>
      <c r="D70">
        <v>1006</v>
      </c>
      <c r="E70" t="s">
        <v>15</v>
      </c>
      <c r="F70">
        <v>8</v>
      </c>
      <c r="G70">
        <v>6650</v>
      </c>
      <c r="H70">
        <v>53200</v>
      </c>
      <c r="I70" s="3">
        <v>45292.333333333336</v>
      </c>
      <c r="J70">
        <v>96</v>
      </c>
      <c r="K70" s="3">
        <v>45295.333333333336</v>
      </c>
      <c r="L70" s="4">
        <f>ROUNDDOWN(Table1[[#This Row],[Ordered]],0)</f>
        <v>45292</v>
      </c>
      <c r="M70" s="4">
        <f>Table1[[#This Row],[Date ]]</f>
        <v>45292</v>
      </c>
      <c r="N70" s="5">
        <f>Table1[[#This Row],[Ordered]]-Table1[[#This Row],[Date ]]</f>
        <v>4.1666666664241347E-2</v>
      </c>
      <c r="O70">
        <f>Table1[[#This Row],[Company]]</f>
        <v>14</v>
      </c>
      <c r="P70">
        <f>IF(((Table1[[#This Row],[Arrived]]-Table1[[#This Row],[Delivery]])*24-Table1[[#This Row],[Promised]])&lt;0, 0, (Table1[[#This Row],[Arrived]]-Table1[[#This Row],[Delivery]])*24-Table1[[#This Row],[Promised]])</f>
        <v>0</v>
      </c>
      <c r="Q70"/>
    </row>
    <row r="71" spans="1:17" x14ac:dyDescent="0.45">
      <c r="A71" s="3">
        <v>45292.041666666664</v>
      </c>
      <c r="B71" t="s">
        <v>14</v>
      </c>
      <c r="C71">
        <v>15</v>
      </c>
      <c r="D71">
        <v>1004</v>
      </c>
      <c r="E71" t="s">
        <v>16</v>
      </c>
      <c r="F71">
        <v>30</v>
      </c>
      <c r="G71">
        <v>3750</v>
      </c>
      <c r="H71">
        <v>112500</v>
      </c>
      <c r="I71" s="3">
        <v>45292.541666666664</v>
      </c>
      <c r="J71">
        <v>96</v>
      </c>
      <c r="K71" s="3">
        <v>45295.541666666664</v>
      </c>
      <c r="L71" s="4">
        <f>ROUNDDOWN(Table1[[#This Row],[Ordered]],0)</f>
        <v>45292</v>
      </c>
      <c r="M71" s="4">
        <f>Table1[[#This Row],[Date ]]</f>
        <v>45292</v>
      </c>
      <c r="N71" s="5">
        <f>Table1[[#This Row],[Ordered]]-Table1[[#This Row],[Date ]]</f>
        <v>4.1666666664241347E-2</v>
      </c>
      <c r="O71">
        <f>Table1[[#This Row],[Company]]</f>
        <v>15</v>
      </c>
      <c r="P71">
        <f>IF(((Table1[[#This Row],[Arrived]]-Table1[[#This Row],[Delivery]])*24-Table1[[#This Row],[Promised]])&lt;0, 0, (Table1[[#This Row],[Arrived]]-Table1[[#This Row],[Delivery]])*24-Table1[[#This Row],[Promised]])</f>
        <v>0</v>
      </c>
      <c r="Q71"/>
    </row>
    <row r="72" spans="1:17" x14ac:dyDescent="0.45">
      <c r="A72" s="3">
        <v>45292.041666666664</v>
      </c>
      <c r="B72" t="s">
        <v>14</v>
      </c>
      <c r="C72">
        <v>7</v>
      </c>
      <c r="D72">
        <v>1006</v>
      </c>
      <c r="E72" t="s">
        <v>16</v>
      </c>
      <c r="F72">
        <v>30</v>
      </c>
      <c r="G72">
        <v>3750</v>
      </c>
      <c r="H72">
        <v>112500</v>
      </c>
      <c r="I72" s="3">
        <v>45292.541666666664</v>
      </c>
      <c r="J72">
        <v>96</v>
      </c>
      <c r="K72" s="3">
        <v>45295.541666666664</v>
      </c>
      <c r="L72" s="4">
        <f>ROUNDDOWN(Table1[[#This Row],[Ordered]],0)</f>
        <v>45292</v>
      </c>
      <c r="M72" s="4">
        <f>Table1[[#This Row],[Date ]]</f>
        <v>45292</v>
      </c>
      <c r="N72" s="5">
        <f>Table1[[#This Row],[Ordered]]-Table1[[#This Row],[Date ]]</f>
        <v>4.1666666664241347E-2</v>
      </c>
      <c r="O72">
        <f>Table1[[#This Row],[Company]]</f>
        <v>7</v>
      </c>
      <c r="P72">
        <f>IF(((Table1[[#This Row],[Arrived]]-Table1[[#This Row],[Delivery]])*24-Table1[[#This Row],[Promised]])&lt;0, 0, (Table1[[#This Row],[Arrived]]-Table1[[#This Row],[Delivery]])*24-Table1[[#This Row],[Promised]])</f>
        <v>0</v>
      </c>
      <c r="Q72"/>
    </row>
    <row r="73" spans="1:17" x14ac:dyDescent="0.45">
      <c r="A73" s="3">
        <v>45292.041666666664</v>
      </c>
      <c r="B73" t="s">
        <v>14</v>
      </c>
      <c r="C73">
        <v>8</v>
      </c>
      <c r="D73">
        <v>1005</v>
      </c>
      <c r="E73" t="s">
        <v>15</v>
      </c>
      <c r="F73">
        <v>7</v>
      </c>
      <c r="G73">
        <v>6650</v>
      </c>
      <c r="H73">
        <v>46550</v>
      </c>
      <c r="I73" s="3">
        <v>45292.958333333336</v>
      </c>
      <c r="J73">
        <v>96</v>
      </c>
      <c r="K73" s="3">
        <v>45295.958333333336</v>
      </c>
      <c r="L73" s="4">
        <f>ROUNDDOWN(Table1[[#This Row],[Ordered]],0)</f>
        <v>45292</v>
      </c>
      <c r="M73" s="4">
        <f>Table1[[#This Row],[Date ]]</f>
        <v>45292</v>
      </c>
      <c r="N73" s="5">
        <f>Table1[[#This Row],[Ordered]]-Table1[[#This Row],[Date ]]</f>
        <v>4.1666666664241347E-2</v>
      </c>
      <c r="O73">
        <f>Table1[[#This Row],[Company]]</f>
        <v>8</v>
      </c>
      <c r="P73">
        <f>IF(((Table1[[#This Row],[Arrived]]-Table1[[#This Row],[Delivery]])*24-Table1[[#This Row],[Promised]])&lt;0, 0, (Table1[[#This Row],[Arrived]]-Table1[[#This Row],[Delivery]])*24-Table1[[#This Row],[Promised]])</f>
        <v>0</v>
      </c>
      <c r="Q73"/>
    </row>
    <row r="74" spans="1:17" x14ac:dyDescent="0.45">
      <c r="A74" s="3">
        <v>45292.041666666664</v>
      </c>
      <c r="B74" t="s">
        <v>14</v>
      </c>
      <c r="C74">
        <v>15</v>
      </c>
      <c r="D74">
        <v>1001</v>
      </c>
      <c r="E74" t="s">
        <v>15</v>
      </c>
      <c r="F74">
        <v>3</v>
      </c>
      <c r="G74">
        <v>6650</v>
      </c>
      <c r="H74">
        <v>19950</v>
      </c>
      <c r="I74" s="3">
        <v>45292.583333333336</v>
      </c>
      <c r="J74">
        <v>96</v>
      </c>
      <c r="K74" s="3">
        <v>45295.583333333336</v>
      </c>
      <c r="L74" s="4">
        <f>ROUNDDOWN(Table1[[#This Row],[Ordered]],0)</f>
        <v>45292</v>
      </c>
      <c r="M74" s="4">
        <f>Table1[[#This Row],[Date ]]</f>
        <v>45292</v>
      </c>
      <c r="N74" s="5">
        <f>Table1[[#This Row],[Ordered]]-Table1[[#This Row],[Date ]]</f>
        <v>4.1666666664241347E-2</v>
      </c>
      <c r="O74">
        <f>Table1[[#This Row],[Company]]</f>
        <v>15</v>
      </c>
      <c r="P74">
        <f>IF(((Table1[[#This Row],[Arrived]]-Table1[[#This Row],[Delivery]])*24-Table1[[#This Row],[Promised]])&lt;0, 0, (Table1[[#This Row],[Arrived]]-Table1[[#This Row],[Delivery]])*24-Table1[[#This Row],[Promised]])</f>
        <v>0</v>
      </c>
      <c r="Q74"/>
    </row>
    <row r="75" spans="1:17" x14ac:dyDescent="0.45">
      <c r="A75" s="3">
        <v>45292.041666666664</v>
      </c>
      <c r="B75" t="s">
        <v>14</v>
      </c>
      <c r="C75">
        <v>15</v>
      </c>
      <c r="D75">
        <v>1002</v>
      </c>
      <c r="E75" t="s">
        <v>15</v>
      </c>
      <c r="F75">
        <v>4</v>
      </c>
      <c r="G75">
        <v>6650</v>
      </c>
      <c r="H75">
        <v>26600</v>
      </c>
      <c r="I75" s="3">
        <v>45292.583333333336</v>
      </c>
      <c r="J75">
        <v>96</v>
      </c>
      <c r="K75" s="3">
        <v>45295.583333333336</v>
      </c>
      <c r="L75" s="4">
        <f>ROUNDDOWN(Table1[[#This Row],[Ordered]],0)</f>
        <v>45292</v>
      </c>
      <c r="M75" s="4">
        <f>Table1[[#This Row],[Date ]]</f>
        <v>45292</v>
      </c>
      <c r="N75" s="5">
        <f>Table1[[#This Row],[Ordered]]-Table1[[#This Row],[Date ]]</f>
        <v>4.1666666664241347E-2</v>
      </c>
      <c r="O75">
        <f>Table1[[#This Row],[Company]]</f>
        <v>15</v>
      </c>
      <c r="P75">
        <f>IF(((Table1[[#This Row],[Arrived]]-Table1[[#This Row],[Delivery]])*24-Table1[[#This Row],[Promised]])&lt;0, 0, (Table1[[#This Row],[Arrived]]-Table1[[#This Row],[Delivery]])*24-Table1[[#This Row],[Promised]])</f>
        <v>0</v>
      </c>
      <c r="Q75"/>
    </row>
    <row r="76" spans="1:17" x14ac:dyDescent="0.45">
      <c r="A76" s="3">
        <v>45292.041666666664</v>
      </c>
      <c r="B76" t="s">
        <v>14</v>
      </c>
      <c r="C76">
        <v>15</v>
      </c>
      <c r="D76">
        <v>1003</v>
      </c>
      <c r="E76" t="s">
        <v>16</v>
      </c>
      <c r="F76">
        <v>30</v>
      </c>
      <c r="G76">
        <v>3750</v>
      </c>
      <c r="H76">
        <v>112500</v>
      </c>
      <c r="I76" s="3">
        <v>45292.583333333336</v>
      </c>
      <c r="J76">
        <v>96</v>
      </c>
      <c r="K76" s="3">
        <v>45295.583333333336</v>
      </c>
      <c r="L76" s="4">
        <f>ROUNDDOWN(Table1[[#This Row],[Ordered]],0)</f>
        <v>45292</v>
      </c>
      <c r="M76" s="4">
        <f>Table1[[#This Row],[Date ]]</f>
        <v>45292</v>
      </c>
      <c r="N76" s="5">
        <f>Table1[[#This Row],[Ordered]]-Table1[[#This Row],[Date ]]</f>
        <v>4.1666666664241347E-2</v>
      </c>
      <c r="O76">
        <f>Table1[[#This Row],[Company]]</f>
        <v>15</v>
      </c>
      <c r="P76">
        <f>IF(((Table1[[#This Row],[Arrived]]-Table1[[#This Row],[Delivery]])*24-Table1[[#This Row],[Promised]])&lt;0, 0, (Table1[[#This Row],[Arrived]]-Table1[[#This Row],[Delivery]])*24-Table1[[#This Row],[Promised]])</f>
        <v>0</v>
      </c>
      <c r="Q76"/>
    </row>
    <row r="77" spans="1:17" x14ac:dyDescent="0.45">
      <c r="A77" s="3">
        <v>45292.041666666664</v>
      </c>
      <c r="B77" t="s">
        <v>14</v>
      </c>
      <c r="C77">
        <v>14</v>
      </c>
      <c r="D77">
        <v>1002</v>
      </c>
      <c r="E77" t="s">
        <v>15</v>
      </c>
      <c r="F77">
        <v>4</v>
      </c>
      <c r="G77">
        <v>6650</v>
      </c>
      <c r="H77">
        <v>26600</v>
      </c>
      <c r="I77" s="3">
        <v>45292.458333333336</v>
      </c>
      <c r="J77">
        <v>96</v>
      </c>
      <c r="K77" s="3">
        <v>45295.458333333336</v>
      </c>
      <c r="L77" s="4">
        <f>ROUNDDOWN(Table1[[#This Row],[Ordered]],0)</f>
        <v>45292</v>
      </c>
      <c r="M77" s="4">
        <f>Table1[[#This Row],[Date ]]</f>
        <v>45292</v>
      </c>
      <c r="N77" s="5">
        <f>Table1[[#This Row],[Ordered]]-Table1[[#This Row],[Date ]]</f>
        <v>4.1666666664241347E-2</v>
      </c>
      <c r="O77">
        <f>Table1[[#This Row],[Company]]</f>
        <v>14</v>
      </c>
      <c r="P77">
        <f>IF(((Table1[[#This Row],[Arrived]]-Table1[[#This Row],[Delivery]])*24-Table1[[#This Row],[Promised]])&lt;0, 0, (Table1[[#This Row],[Arrived]]-Table1[[#This Row],[Delivery]])*24-Table1[[#This Row],[Promised]])</f>
        <v>0</v>
      </c>
      <c r="Q77"/>
    </row>
    <row r="78" spans="1:17" x14ac:dyDescent="0.45">
      <c r="A78" s="3">
        <v>45292.041666666664</v>
      </c>
      <c r="B78" t="s">
        <v>14</v>
      </c>
      <c r="C78">
        <v>7</v>
      </c>
      <c r="D78">
        <v>1001</v>
      </c>
      <c r="E78" t="s">
        <v>16</v>
      </c>
      <c r="F78">
        <v>30</v>
      </c>
      <c r="G78">
        <v>3750</v>
      </c>
      <c r="H78">
        <v>112500</v>
      </c>
      <c r="I78" s="3">
        <v>45292.416666666664</v>
      </c>
      <c r="J78">
        <v>96</v>
      </c>
      <c r="K78" s="3">
        <v>45294.416666666664</v>
      </c>
      <c r="L78" s="4">
        <f>ROUNDDOWN(Table1[[#This Row],[Ordered]],0)</f>
        <v>45292</v>
      </c>
      <c r="M78" s="4">
        <f>Table1[[#This Row],[Date ]]</f>
        <v>45292</v>
      </c>
      <c r="N78" s="5">
        <f>Table1[[#This Row],[Ordered]]-Table1[[#This Row],[Date ]]</f>
        <v>4.1666666664241347E-2</v>
      </c>
      <c r="O78">
        <f>Table1[[#This Row],[Company]]</f>
        <v>7</v>
      </c>
      <c r="P78">
        <f>IF(((Table1[[#This Row],[Arrived]]-Table1[[#This Row],[Delivery]])*24-Table1[[#This Row],[Promised]])&lt;0, 0, (Table1[[#This Row],[Arrived]]-Table1[[#This Row],[Delivery]])*24-Table1[[#This Row],[Promised]])</f>
        <v>0</v>
      </c>
      <c r="Q78"/>
    </row>
    <row r="79" spans="1:17" x14ac:dyDescent="0.45">
      <c r="A79" s="3">
        <v>45292.041666666664</v>
      </c>
      <c r="B79" t="s">
        <v>14</v>
      </c>
      <c r="C79">
        <v>14</v>
      </c>
      <c r="D79">
        <v>1003</v>
      </c>
      <c r="E79" t="s">
        <v>16</v>
      </c>
      <c r="F79">
        <v>30</v>
      </c>
      <c r="G79">
        <v>3750</v>
      </c>
      <c r="H79">
        <v>112500</v>
      </c>
      <c r="I79" s="3">
        <v>45292.416666666664</v>
      </c>
      <c r="J79">
        <v>96</v>
      </c>
      <c r="K79" s="3">
        <v>45295.416666666664</v>
      </c>
      <c r="L79" s="4">
        <f>ROUNDDOWN(Table1[[#This Row],[Ordered]],0)</f>
        <v>45292</v>
      </c>
      <c r="M79" s="4">
        <f>Table1[[#This Row],[Date ]]</f>
        <v>45292</v>
      </c>
      <c r="N79" s="5">
        <f>Table1[[#This Row],[Ordered]]-Table1[[#This Row],[Date ]]</f>
        <v>4.1666666664241347E-2</v>
      </c>
      <c r="O79">
        <f>Table1[[#This Row],[Company]]</f>
        <v>14</v>
      </c>
      <c r="P79">
        <f>IF(((Table1[[#This Row],[Arrived]]-Table1[[#This Row],[Delivery]])*24-Table1[[#This Row],[Promised]])&lt;0, 0, (Table1[[#This Row],[Arrived]]-Table1[[#This Row],[Delivery]])*24-Table1[[#This Row],[Promised]])</f>
        <v>0</v>
      </c>
      <c r="Q79"/>
    </row>
    <row r="80" spans="1:17" x14ac:dyDescent="0.45">
      <c r="A80" s="3">
        <v>45292.041666666664</v>
      </c>
      <c r="B80" t="s">
        <v>14</v>
      </c>
      <c r="C80">
        <v>14</v>
      </c>
      <c r="D80">
        <v>1005</v>
      </c>
      <c r="E80" t="s">
        <v>15</v>
      </c>
      <c r="F80">
        <v>7</v>
      </c>
      <c r="G80">
        <v>6650</v>
      </c>
      <c r="H80">
        <v>46550</v>
      </c>
      <c r="I80" s="3">
        <v>45292.375</v>
      </c>
      <c r="J80">
        <v>96</v>
      </c>
      <c r="K80" s="3">
        <v>45295.375</v>
      </c>
      <c r="L80" s="4">
        <f>ROUNDDOWN(Table1[[#This Row],[Ordered]],0)</f>
        <v>45292</v>
      </c>
      <c r="M80" s="4">
        <f>Table1[[#This Row],[Date ]]</f>
        <v>45292</v>
      </c>
      <c r="N80" s="5">
        <f>Table1[[#This Row],[Ordered]]-Table1[[#This Row],[Date ]]</f>
        <v>4.1666666664241347E-2</v>
      </c>
      <c r="O80">
        <f>Table1[[#This Row],[Company]]</f>
        <v>14</v>
      </c>
      <c r="P80">
        <f>IF(((Table1[[#This Row],[Arrived]]-Table1[[#This Row],[Delivery]])*24-Table1[[#This Row],[Promised]])&lt;0, 0, (Table1[[#This Row],[Arrived]]-Table1[[#This Row],[Delivery]])*24-Table1[[#This Row],[Promised]])</f>
        <v>0</v>
      </c>
      <c r="Q80"/>
    </row>
    <row r="81" spans="1:17" x14ac:dyDescent="0.45">
      <c r="A81" s="3">
        <v>45292.041666666664</v>
      </c>
      <c r="B81" t="s">
        <v>14</v>
      </c>
      <c r="C81">
        <v>11</v>
      </c>
      <c r="D81">
        <v>1004</v>
      </c>
      <c r="E81" t="s">
        <v>16</v>
      </c>
      <c r="F81">
        <v>30</v>
      </c>
      <c r="G81">
        <v>3750</v>
      </c>
      <c r="H81">
        <v>112500</v>
      </c>
      <c r="I81" s="3">
        <v>45292.5</v>
      </c>
      <c r="J81">
        <v>96</v>
      </c>
      <c r="K81" s="3">
        <v>45295.5</v>
      </c>
      <c r="L81" s="4">
        <f>ROUNDDOWN(Table1[[#This Row],[Ordered]],0)</f>
        <v>45292</v>
      </c>
      <c r="M81" s="4">
        <f>Table1[[#This Row],[Date ]]</f>
        <v>45292</v>
      </c>
      <c r="N81" s="5">
        <f>Table1[[#This Row],[Ordered]]-Table1[[#This Row],[Date ]]</f>
        <v>4.1666666664241347E-2</v>
      </c>
      <c r="O81">
        <f>Table1[[#This Row],[Company]]</f>
        <v>11</v>
      </c>
      <c r="P81">
        <f>IF(((Table1[[#This Row],[Arrived]]-Table1[[#This Row],[Delivery]])*24-Table1[[#This Row],[Promised]])&lt;0, 0, (Table1[[#This Row],[Arrived]]-Table1[[#This Row],[Delivery]])*24-Table1[[#This Row],[Promised]])</f>
        <v>0</v>
      </c>
      <c r="Q81"/>
    </row>
    <row r="82" spans="1:17" x14ac:dyDescent="0.45">
      <c r="A82" s="3">
        <v>45292.041666666664</v>
      </c>
      <c r="B82" t="s">
        <v>14</v>
      </c>
      <c r="C82">
        <v>15</v>
      </c>
      <c r="D82">
        <v>1006</v>
      </c>
      <c r="E82" t="s">
        <v>16</v>
      </c>
      <c r="F82">
        <v>30</v>
      </c>
      <c r="G82">
        <v>3750</v>
      </c>
      <c r="H82">
        <v>112500</v>
      </c>
      <c r="I82" s="3">
        <v>45292.5</v>
      </c>
      <c r="J82">
        <v>96</v>
      </c>
      <c r="K82" s="3">
        <v>45295.5</v>
      </c>
      <c r="L82" s="4">
        <f>ROUNDDOWN(Table1[[#This Row],[Ordered]],0)</f>
        <v>45292</v>
      </c>
      <c r="M82" s="4">
        <f>Table1[[#This Row],[Date ]]</f>
        <v>45292</v>
      </c>
      <c r="N82" s="5">
        <f>Table1[[#This Row],[Ordered]]-Table1[[#This Row],[Date ]]</f>
        <v>4.1666666664241347E-2</v>
      </c>
      <c r="O82">
        <f>Table1[[#This Row],[Company]]</f>
        <v>15</v>
      </c>
      <c r="P82">
        <f>IF(((Table1[[#This Row],[Arrived]]-Table1[[#This Row],[Delivery]])*24-Table1[[#This Row],[Promised]])&lt;0, 0, (Table1[[#This Row],[Arrived]]-Table1[[#This Row],[Delivery]])*24-Table1[[#This Row],[Promised]])</f>
        <v>0</v>
      </c>
      <c r="Q82"/>
    </row>
    <row r="83" spans="1:17" x14ac:dyDescent="0.45">
      <c r="A83" s="3">
        <v>45292.041666666664</v>
      </c>
      <c r="B83" t="s">
        <v>14</v>
      </c>
      <c r="C83">
        <v>7</v>
      </c>
      <c r="D83">
        <v>1006</v>
      </c>
      <c r="E83" t="s">
        <v>15</v>
      </c>
      <c r="F83">
        <v>8</v>
      </c>
      <c r="G83">
        <v>6650</v>
      </c>
      <c r="H83">
        <v>53200</v>
      </c>
      <c r="I83" s="3">
        <v>45292.5</v>
      </c>
      <c r="J83">
        <v>96</v>
      </c>
      <c r="K83" s="3">
        <v>45294.5</v>
      </c>
      <c r="L83" s="4">
        <f>ROUNDDOWN(Table1[[#This Row],[Ordered]],0)</f>
        <v>45292</v>
      </c>
      <c r="M83" s="4">
        <f>Table1[[#This Row],[Date ]]</f>
        <v>45292</v>
      </c>
      <c r="N83" s="5">
        <f>Table1[[#This Row],[Ordered]]-Table1[[#This Row],[Date ]]</f>
        <v>4.1666666664241347E-2</v>
      </c>
      <c r="O83">
        <f>Table1[[#This Row],[Company]]</f>
        <v>7</v>
      </c>
      <c r="P83">
        <f>IF(((Table1[[#This Row],[Arrived]]-Table1[[#This Row],[Delivery]])*24-Table1[[#This Row],[Promised]])&lt;0, 0, (Table1[[#This Row],[Arrived]]-Table1[[#This Row],[Delivery]])*24-Table1[[#This Row],[Promised]])</f>
        <v>0</v>
      </c>
      <c r="Q83"/>
    </row>
    <row r="84" spans="1:17" x14ac:dyDescent="0.45">
      <c r="A84" s="3">
        <v>45292.041666666664</v>
      </c>
      <c r="B84" t="s">
        <v>14</v>
      </c>
      <c r="C84">
        <v>15</v>
      </c>
      <c r="D84">
        <v>1005</v>
      </c>
      <c r="E84" t="s">
        <v>16</v>
      </c>
      <c r="F84">
        <v>30</v>
      </c>
      <c r="G84">
        <v>3750</v>
      </c>
      <c r="H84">
        <v>112500</v>
      </c>
      <c r="I84" s="3">
        <v>45292.541666666664</v>
      </c>
      <c r="J84">
        <v>96</v>
      </c>
      <c r="K84" s="3">
        <v>45295.625</v>
      </c>
      <c r="L84" s="4">
        <f>ROUNDDOWN(Table1[[#This Row],[Ordered]],0)</f>
        <v>45292</v>
      </c>
      <c r="M84" s="4">
        <f>Table1[[#This Row],[Date ]]</f>
        <v>45292</v>
      </c>
      <c r="N84" s="5">
        <f>Table1[[#This Row],[Ordered]]-Table1[[#This Row],[Date ]]</f>
        <v>4.1666666664241347E-2</v>
      </c>
      <c r="O84">
        <f>Table1[[#This Row],[Company]]</f>
        <v>15</v>
      </c>
      <c r="P84">
        <f>IF(((Table1[[#This Row],[Arrived]]-Table1[[#This Row],[Delivery]])*24-Table1[[#This Row],[Promised]])&lt;0, 0, (Table1[[#This Row],[Arrived]]-Table1[[#This Row],[Delivery]])*24-Table1[[#This Row],[Promised]])</f>
        <v>0</v>
      </c>
      <c r="Q84"/>
    </row>
    <row r="85" spans="1:17" x14ac:dyDescent="0.45">
      <c r="A85" s="3">
        <v>45292.041666666664</v>
      </c>
      <c r="B85" t="s">
        <v>14</v>
      </c>
      <c r="C85">
        <v>12</v>
      </c>
      <c r="D85">
        <v>1006</v>
      </c>
      <c r="E85" t="s">
        <v>16</v>
      </c>
      <c r="F85">
        <v>30</v>
      </c>
      <c r="G85">
        <v>3750</v>
      </c>
      <c r="H85">
        <v>112500</v>
      </c>
      <c r="I85" s="3">
        <v>45292.333333333336</v>
      </c>
      <c r="J85">
        <v>96</v>
      </c>
      <c r="K85" s="3">
        <v>45295.333333333336</v>
      </c>
      <c r="L85" s="4">
        <f>ROUNDDOWN(Table1[[#This Row],[Ordered]],0)</f>
        <v>45292</v>
      </c>
      <c r="M85" s="4">
        <f>Table1[[#This Row],[Date ]]</f>
        <v>45292</v>
      </c>
      <c r="N85" s="5">
        <f>Table1[[#This Row],[Ordered]]-Table1[[#This Row],[Date ]]</f>
        <v>4.1666666664241347E-2</v>
      </c>
      <c r="O85">
        <f>Table1[[#This Row],[Company]]</f>
        <v>12</v>
      </c>
      <c r="P85">
        <f>IF(((Table1[[#This Row],[Arrived]]-Table1[[#This Row],[Delivery]])*24-Table1[[#This Row],[Promised]])&lt;0, 0, (Table1[[#This Row],[Arrived]]-Table1[[#This Row],[Delivery]])*24-Table1[[#This Row],[Promised]])</f>
        <v>0</v>
      </c>
      <c r="Q85"/>
    </row>
    <row r="86" spans="1:17" x14ac:dyDescent="0.45">
      <c r="A86" s="3">
        <v>45292.041666666664</v>
      </c>
      <c r="B86" t="s">
        <v>14</v>
      </c>
      <c r="C86">
        <v>12</v>
      </c>
      <c r="D86">
        <v>1005</v>
      </c>
      <c r="E86" t="s">
        <v>16</v>
      </c>
      <c r="F86">
        <v>30</v>
      </c>
      <c r="G86">
        <v>3750</v>
      </c>
      <c r="H86">
        <v>112500</v>
      </c>
      <c r="I86" s="3">
        <v>45292.291666666664</v>
      </c>
      <c r="J86">
        <v>96</v>
      </c>
      <c r="K86" s="3">
        <v>45295.333333333336</v>
      </c>
      <c r="L86" s="4">
        <f>ROUNDDOWN(Table1[[#This Row],[Ordered]],0)</f>
        <v>45292</v>
      </c>
      <c r="M86" s="4">
        <f>Table1[[#This Row],[Date ]]</f>
        <v>45292</v>
      </c>
      <c r="N86" s="5">
        <f>Table1[[#This Row],[Ordered]]-Table1[[#This Row],[Date ]]</f>
        <v>4.1666666664241347E-2</v>
      </c>
      <c r="O86">
        <f>Table1[[#This Row],[Company]]</f>
        <v>12</v>
      </c>
      <c r="P86">
        <f>IF(((Table1[[#This Row],[Arrived]]-Table1[[#This Row],[Delivery]])*24-Table1[[#This Row],[Promised]])&lt;0, 0, (Table1[[#This Row],[Arrived]]-Table1[[#This Row],[Delivery]])*24-Table1[[#This Row],[Promised]])</f>
        <v>0</v>
      </c>
      <c r="Q86"/>
    </row>
    <row r="87" spans="1:17" x14ac:dyDescent="0.45">
      <c r="A87" s="3">
        <v>45292.041666666664</v>
      </c>
      <c r="B87" t="s">
        <v>14</v>
      </c>
      <c r="C87">
        <v>11</v>
      </c>
      <c r="D87">
        <v>1002</v>
      </c>
      <c r="E87" t="s">
        <v>16</v>
      </c>
      <c r="F87">
        <v>26</v>
      </c>
      <c r="G87">
        <v>3750</v>
      </c>
      <c r="H87">
        <v>97500</v>
      </c>
      <c r="I87" s="3">
        <v>45292.5</v>
      </c>
      <c r="J87">
        <v>96</v>
      </c>
      <c r="K87" s="3">
        <v>45295.5</v>
      </c>
      <c r="L87" s="4">
        <f>ROUNDDOWN(Table1[[#This Row],[Ordered]],0)</f>
        <v>45292</v>
      </c>
      <c r="M87" s="4">
        <f>Table1[[#This Row],[Date ]]</f>
        <v>45292</v>
      </c>
      <c r="N87" s="5">
        <f>Table1[[#This Row],[Ordered]]-Table1[[#This Row],[Date ]]</f>
        <v>4.1666666664241347E-2</v>
      </c>
      <c r="O87">
        <f>Table1[[#This Row],[Company]]</f>
        <v>11</v>
      </c>
      <c r="P87">
        <f>IF(((Table1[[#This Row],[Arrived]]-Table1[[#This Row],[Delivery]])*24-Table1[[#This Row],[Promised]])&lt;0, 0, (Table1[[#This Row],[Arrived]]-Table1[[#This Row],[Delivery]])*24-Table1[[#This Row],[Promised]])</f>
        <v>0</v>
      </c>
      <c r="Q87"/>
    </row>
    <row r="88" spans="1:17" x14ac:dyDescent="0.45">
      <c r="A88" s="3">
        <v>45292.041666666664</v>
      </c>
      <c r="B88" t="s">
        <v>14</v>
      </c>
      <c r="C88">
        <v>15</v>
      </c>
      <c r="D88">
        <v>1001</v>
      </c>
      <c r="E88" t="s">
        <v>16</v>
      </c>
      <c r="F88">
        <v>30</v>
      </c>
      <c r="G88">
        <v>3750</v>
      </c>
      <c r="H88">
        <v>112500</v>
      </c>
      <c r="I88" s="3">
        <v>45292.291666666664</v>
      </c>
      <c r="J88">
        <v>96</v>
      </c>
      <c r="K88" s="3">
        <v>45295.333333333336</v>
      </c>
      <c r="L88" s="4">
        <f>ROUNDDOWN(Table1[[#This Row],[Ordered]],0)</f>
        <v>45292</v>
      </c>
      <c r="M88" s="4">
        <f>Table1[[#This Row],[Date ]]</f>
        <v>45292</v>
      </c>
      <c r="N88" s="5">
        <f>Table1[[#This Row],[Ordered]]-Table1[[#This Row],[Date ]]</f>
        <v>4.1666666664241347E-2</v>
      </c>
      <c r="O88">
        <f>Table1[[#This Row],[Company]]</f>
        <v>15</v>
      </c>
      <c r="P88">
        <f>IF(((Table1[[#This Row],[Arrived]]-Table1[[#This Row],[Delivery]])*24-Table1[[#This Row],[Promised]])&lt;0, 0, (Table1[[#This Row],[Arrived]]-Table1[[#This Row],[Delivery]])*24-Table1[[#This Row],[Promised]])</f>
        <v>0</v>
      </c>
      <c r="Q88"/>
    </row>
    <row r="89" spans="1:17" x14ac:dyDescent="0.45">
      <c r="A89" s="3">
        <v>45292.041666666664</v>
      </c>
      <c r="B89" t="s">
        <v>14</v>
      </c>
      <c r="C89">
        <v>16</v>
      </c>
      <c r="D89">
        <v>1003</v>
      </c>
      <c r="E89" t="s">
        <v>16</v>
      </c>
      <c r="F89">
        <v>30</v>
      </c>
      <c r="G89">
        <v>3750</v>
      </c>
      <c r="H89">
        <v>112500</v>
      </c>
      <c r="I89" s="3">
        <v>45292.208333333336</v>
      </c>
      <c r="J89">
        <v>96</v>
      </c>
      <c r="K89" s="3">
        <v>45295.208333333336</v>
      </c>
      <c r="L89" s="4">
        <f>ROUNDDOWN(Table1[[#This Row],[Ordered]],0)</f>
        <v>45292</v>
      </c>
      <c r="M89" s="4">
        <f>Table1[[#This Row],[Date ]]</f>
        <v>45292</v>
      </c>
      <c r="N89" s="5">
        <f>Table1[[#This Row],[Ordered]]-Table1[[#This Row],[Date ]]</f>
        <v>4.1666666664241347E-2</v>
      </c>
      <c r="O89">
        <f>Table1[[#This Row],[Company]]</f>
        <v>16</v>
      </c>
      <c r="P89">
        <f>IF(((Table1[[#This Row],[Arrived]]-Table1[[#This Row],[Delivery]])*24-Table1[[#This Row],[Promised]])&lt;0, 0, (Table1[[#This Row],[Arrived]]-Table1[[#This Row],[Delivery]])*24-Table1[[#This Row],[Promised]])</f>
        <v>0</v>
      </c>
      <c r="Q89"/>
    </row>
    <row r="90" spans="1:17" x14ac:dyDescent="0.45">
      <c r="A90" s="3">
        <v>45292.041666666664</v>
      </c>
      <c r="B90" t="s">
        <v>14</v>
      </c>
      <c r="C90">
        <v>10</v>
      </c>
      <c r="D90">
        <v>1001</v>
      </c>
      <c r="E90" t="s">
        <v>15</v>
      </c>
      <c r="F90">
        <v>3</v>
      </c>
      <c r="G90">
        <v>6650</v>
      </c>
      <c r="H90">
        <v>19950</v>
      </c>
      <c r="I90" s="3">
        <v>45292.125</v>
      </c>
      <c r="J90">
        <v>96</v>
      </c>
      <c r="K90" s="3">
        <v>45295.125</v>
      </c>
      <c r="L90" s="4">
        <f>ROUNDDOWN(Table1[[#This Row],[Ordered]],0)</f>
        <v>45292</v>
      </c>
      <c r="M90" s="4">
        <f>Table1[[#This Row],[Date ]]</f>
        <v>45292</v>
      </c>
      <c r="N90" s="5">
        <f>Table1[[#This Row],[Ordered]]-Table1[[#This Row],[Date ]]</f>
        <v>4.1666666664241347E-2</v>
      </c>
      <c r="O90">
        <f>Table1[[#This Row],[Company]]</f>
        <v>10</v>
      </c>
      <c r="P90">
        <f>IF(((Table1[[#This Row],[Arrived]]-Table1[[#This Row],[Delivery]])*24-Table1[[#This Row],[Promised]])&lt;0, 0, (Table1[[#This Row],[Arrived]]-Table1[[#This Row],[Delivery]])*24-Table1[[#This Row],[Promised]])</f>
        <v>0</v>
      </c>
      <c r="Q90"/>
    </row>
    <row r="91" spans="1:17" x14ac:dyDescent="0.45">
      <c r="A91" s="3">
        <v>45292.041666666664</v>
      </c>
      <c r="B91" t="s">
        <v>14</v>
      </c>
      <c r="C91">
        <v>10</v>
      </c>
      <c r="D91">
        <v>1003</v>
      </c>
      <c r="E91" t="s">
        <v>16</v>
      </c>
      <c r="F91">
        <v>30</v>
      </c>
      <c r="G91">
        <v>3750</v>
      </c>
      <c r="H91">
        <v>112500</v>
      </c>
      <c r="I91" s="3">
        <v>45292.083333333336</v>
      </c>
      <c r="J91">
        <v>96</v>
      </c>
      <c r="K91" s="3">
        <v>45295.083333333336</v>
      </c>
      <c r="L91" s="4">
        <f>ROUNDDOWN(Table1[[#This Row],[Ordered]],0)</f>
        <v>45292</v>
      </c>
      <c r="M91" s="4">
        <f>Table1[[#This Row],[Date ]]</f>
        <v>45292</v>
      </c>
      <c r="N91" s="5">
        <f>Table1[[#This Row],[Ordered]]-Table1[[#This Row],[Date ]]</f>
        <v>4.1666666664241347E-2</v>
      </c>
      <c r="O91">
        <f>Table1[[#This Row],[Company]]</f>
        <v>10</v>
      </c>
      <c r="P91">
        <f>IF(((Table1[[#This Row],[Arrived]]-Table1[[#This Row],[Delivery]])*24-Table1[[#This Row],[Promised]])&lt;0, 0, (Table1[[#This Row],[Arrived]]-Table1[[#This Row],[Delivery]])*24-Table1[[#This Row],[Promised]])</f>
        <v>0</v>
      </c>
      <c r="Q91"/>
    </row>
    <row r="92" spans="1:17" x14ac:dyDescent="0.45">
      <c r="A92" s="3">
        <v>45292.041666666664</v>
      </c>
      <c r="B92" t="s">
        <v>14</v>
      </c>
      <c r="C92">
        <v>10</v>
      </c>
      <c r="D92">
        <v>1004</v>
      </c>
      <c r="E92" t="s">
        <v>16</v>
      </c>
      <c r="F92">
        <v>30</v>
      </c>
      <c r="G92">
        <v>3750</v>
      </c>
      <c r="H92">
        <v>112500</v>
      </c>
      <c r="I92" s="3">
        <v>45292.083333333336</v>
      </c>
      <c r="J92">
        <v>96</v>
      </c>
      <c r="K92" s="3">
        <v>45295.083333333336</v>
      </c>
      <c r="L92" s="4">
        <f>ROUNDDOWN(Table1[[#This Row],[Ordered]],0)</f>
        <v>45292</v>
      </c>
      <c r="M92" s="4">
        <f>Table1[[#This Row],[Date ]]</f>
        <v>45292</v>
      </c>
      <c r="N92" s="5">
        <f>Table1[[#This Row],[Ordered]]-Table1[[#This Row],[Date ]]</f>
        <v>4.1666666664241347E-2</v>
      </c>
      <c r="O92">
        <f>Table1[[#This Row],[Company]]</f>
        <v>10</v>
      </c>
      <c r="P92">
        <f>IF(((Table1[[#This Row],[Arrived]]-Table1[[#This Row],[Delivery]])*24-Table1[[#This Row],[Promised]])&lt;0, 0, (Table1[[#This Row],[Arrived]]-Table1[[#This Row],[Delivery]])*24-Table1[[#This Row],[Promised]])</f>
        <v>0</v>
      </c>
      <c r="Q92"/>
    </row>
    <row r="93" spans="1:17" x14ac:dyDescent="0.45">
      <c r="A93" s="3">
        <v>45292.041666666664</v>
      </c>
      <c r="B93" t="s">
        <v>14</v>
      </c>
      <c r="C93">
        <v>16</v>
      </c>
      <c r="D93">
        <v>1006</v>
      </c>
      <c r="E93" t="s">
        <v>15</v>
      </c>
      <c r="F93">
        <v>8</v>
      </c>
      <c r="G93">
        <v>6650</v>
      </c>
      <c r="H93">
        <v>53200</v>
      </c>
      <c r="I93" s="3">
        <v>45292.083333333336</v>
      </c>
      <c r="J93">
        <v>96</v>
      </c>
      <c r="K93" s="3">
        <v>45295.166666666664</v>
      </c>
      <c r="L93" s="4">
        <f>ROUNDDOWN(Table1[[#This Row],[Ordered]],0)</f>
        <v>45292</v>
      </c>
      <c r="M93" s="4">
        <f>Table1[[#This Row],[Date ]]</f>
        <v>45292</v>
      </c>
      <c r="N93" s="5">
        <f>Table1[[#This Row],[Ordered]]-Table1[[#This Row],[Date ]]</f>
        <v>4.1666666664241347E-2</v>
      </c>
      <c r="O93">
        <f>Table1[[#This Row],[Company]]</f>
        <v>16</v>
      </c>
      <c r="P93">
        <f>IF(((Table1[[#This Row],[Arrived]]-Table1[[#This Row],[Delivery]])*24-Table1[[#This Row],[Promised]])&lt;0, 0, (Table1[[#This Row],[Arrived]]-Table1[[#This Row],[Delivery]])*24-Table1[[#This Row],[Promised]])</f>
        <v>0</v>
      </c>
      <c r="Q93"/>
    </row>
    <row r="94" spans="1:17" x14ac:dyDescent="0.45">
      <c r="A94" s="3">
        <v>45292.041666666664</v>
      </c>
      <c r="B94" t="s">
        <v>14</v>
      </c>
      <c r="C94">
        <v>10</v>
      </c>
      <c r="D94">
        <v>1006</v>
      </c>
      <c r="E94" t="s">
        <v>15</v>
      </c>
      <c r="F94">
        <v>8</v>
      </c>
      <c r="G94">
        <v>6650</v>
      </c>
      <c r="H94">
        <v>53200</v>
      </c>
      <c r="I94" s="3">
        <v>45292.083333333336</v>
      </c>
      <c r="J94">
        <v>96</v>
      </c>
      <c r="K94" s="3">
        <v>45295.083333333336</v>
      </c>
      <c r="L94" s="4">
        <f>ROUNDDOWN(Table1[[#This Row],[Ordered]],0)</f>
        <v>45292</v>
      </c>
      <c r="M94" s="4">
        <f>Table1[[#This Row],[Date ]]</f>
        <v>45292</v>
      </c>
      <c r="N94" s="5">
        <f>Table1[[#This Row],[Ordered]]-Table1[[#This Row],[Date ]]</f>
        <v>4.1666666664241347E-2</v>
      </c>
      <c r="O94">
        <f>Table1[[#This Row],[Company]]</f>
        <v>10</v>
      </c>
      <c r="P94">
        <f>IF(((Table1[[#This Row],[Arrived]]-Table1[[#This Row],[Delivery]])*24-Table1[[#This Row],[Promised]])&lt;0, 0, (Table1[[#This Row],[Arrived]]-Table1[[#This Row],[Delivery]])*24-Table1[[#This Row],[Promised]])</f>
        <v>0</v>
      </c>
      <c r="Q94"/>
    </row>
    <row r="95" spans="1:17" x14ac:dyDescent="0.45">
      <c r="A95" s="3">
        <v>45292.041666666664</v>
      </c>
      <c r="B95" t="s">
        <v>14</v>
      </c>
      <c r="C95">
        <v>16</v>
      </c>
      <c r="D95">
        <v>1001</v>
      </c>
      <c r="E95" t="s">
        <v>16</v>
      </c>
      <c r="F95">
        <v>30</v>
      </c>
      <c r="G95">
        <v>3750</v>
      </c>
      <c r="H95">
        <v>112500</v>
      </c>
      <c r="I95" s="3">
        <v>45292.083333333336</v>
      </c>
      <c r="J95">
        <v>96</v>
      </c>
      <c r="K95" s="3">
        <v>45295.083333333336</v>
      </c>
      <c r="L95" s="4">
        <f>ROUNDDOWN(Table1[[#This Row],[Ordered]],0)</f>
        <v>45292</v>
      </c>
      <c r="M95" s="4">
        <f>Table1[[#This Row],[Date ]]</f>
        <v>45292</v>
      </c>
      <c r="N95" s="5">
        <f>Table1[[#This Row],[Ordered]]-Table1[[#This Row],[Date ]]</f>
        <v>4.1666666664241347E-2</v>
      </c>
      <c r="O95">
        <f>Table1[[#This Row],[Company]]</f>
        <v>16</v>
      </c>
      <c r="P95">
        <f>IF(((Table1[[#This Row],[Arrived]]-Table1[[#This Row],[Delivery]])*24-Table1[[#This Row],[Promised]])&lt;0, 0, (Table1[[#This Row],[Arrived]]-Table1[[#This Row],[Delivery]])*24-Table1[[#This Row],[Promised]])</f>
        <v>0</v>
      </c>
      <c r="Q95"/>
    </row>
    <row r="96" spans="1:17" x14ac:dyDescent="0.45">
      <c r="A96" s="3">
        <v>45292.041666666664</v>
      </c>
      <c r="B96" t="s">
        <v>14</v>
      </c>
      <c r="C96">
        <v>13</v>
      </c>
      <c r="D96">
        <v>1006</v>
      </c>
      <c r="E96" t="s">
        <v>16</v>
      </c>
      <c r="F96">
        <v>30</v>
      </c>
      <c r="G96">
        <v>3750</v>
      </c>
      <c r="H96">
        <v>112500</v>
      </c>
      <c r="I96" s="3">
        <v>45292.083333333336</v>
      </c>
      <c r="J96">
        <v>96</v>
      </c>
      <c r="K96" s="3">
        <v>45295.083333333336</v>
      </c>
      <c r="L96" s="4">
        <f>ROUNDDOWN(Table1[[#This Row],[Ordered]],0)</f>
        <v>45292</v>
      </c>
      <c r="M96" s="4">
        <f>Table1[[#This Row],[Date ]]</f>
        <v>45292</v>
      </c>
      <c r="N96" s="5">
        <f>Table1[[#This Row],[Ordered]]-Table1[[#This Row],[Date ]]</f>
        <v>4.1666666664241347E-2</v>
      </c>
      <c r="O96">
        <f>Table1[[#This Row],[Company]]</f>
        <v>13</v>
      </c>
      <c r="P96">
        <f>IF(((Table1[[#This Row],[Arrived]]-Table1[[#This Row],[Delivery]])*24-Table1[[#This Row],[Promised]])&lt;0, 0, (Table1[[#This Row],[Arrived]]-Table1[[#This Row],[Delivery]])*24-Table1[[#This Row],[Promised]])</f>
        <v>0</v>
      </c>
      <c r="Q96"/>
    </row>
    <row r="97" spans="1:17" x14ac:dyDescent="0.45">
      <c r="A97" s="3">
        <v>45292.041666666664</v>
      </c>
      <c r="B97" t="s">
        <v>14</v>
      </c>
      <c r="C97">
        <v>11</v>
      </c>
      <c r="D97">
        <v>1004</v>
      </c>
      <c r="E97" t="s">
        <v>15</v>
      </c>
      <c r="F97">
        <v>5</v>
      </c>
      <c r="G97">
        <v>6650</v>
      </c>
      <c r="H97">
        <v>33250</v>
      </c>
      <c r="I97" s="3">
        <v>45292.75</v>
      </c>
      <c r="J97">
        <v>96</v>
      </c>
      <c r="K97" s="3">
        <v>45295.75</v>
      </c>
      <c r="L97" s="4">
        <f>ROUNDDOWN(Table1[[#This Row],[Ordered]],0)</f>
        <v>45292</v>
      </c>
      <c r="M97" s="4">
        <f>Table1[[#This Row],[Date ]]</f>
        <v>45292</v>
      </c>
      <c r="N97" s="5">
        <f>Table1[[#This Row],[Ordered]]-Table1[[#This Row],[Date ]]</f>
        <v>4.1666666664241347E-2</v>
      </c>
      <c r="O97">
        <f>Table1[[#This Row],[Company]]</f>
        <v>11</v>
      </c>
      <c r="P97">
        <f>IF(((Table1[[#This Row],[Arrived]]-Table1[[#This Row],[Delivery]])*24-Table1[[#This Row],[Promised]])&lt;0, 0, (Table1[[#This Row],[Arrived]]-Table1[[#This Row],[Delivery]])*24-Table1[[#This Row],[Promised]])</f>
        <v>0</v>
      </c>
      <c r="Q97"/>
    </row>
    <row r="98" spans="1:17" x14ac:dyDescent="0.45">
      <c r="A98" s="3">
        <v>45292.041666666664</v>
      </c>
      <c r="B98" t="s">
        <v>14</v>
      </c>
      <c r="C98">
        <v>7</v>
      </c>
      <c r="D98">
        <v>1003</v>
      </c>
      <c r="E98" t="s">
        <v>16</v>
      </c>
      <c r="F98">
        <v>30</v>
      </c>
      <c r="G98">
        <v>3750</v>
      </c>
      <c r="H98">
        <v>112500</v>
      </c>
      <c r="I98" s="3">
        <v>45292.791666666664</v>
      </c>
      <c r="J98">
        <v>96</v>
      </c>
      <c r="K98" s="3">
        <v>45295.958333333336</v>
      </c>
      <c r="L98" s="4">
        <f>ROUNDDOWN(Table1[[#This Row],[Ordered]],0)</f>
        <v>45292</v>
      </c>
      <c r="M98" s="4">
        <f>Table1[[#This Row],[Date ]]</f>
        <v>45292</v>
      </c>
      <c r="N98" s="5">
        <f>Table1[[#This Row],[Ordered]]-Table1[[#This Row],[Date ]]</f>
        <v>4.1666666664241347E-2</v>
      </c>
      <c r="O98">
        <f>Table1[[#This Row],[Company]]</f>
        <v>7</v>
      </c>
      <c r="P98">
        <f>IF(((Table1[[#This Row],[Arrived]]-Table1[[#This Row],[Delivery]])*24-Table1[[#This Row],[Promised]])&lt;0, 0, (Table1[[#This Row],[Arrived]]-Table1[[#This Row],[Delivery]])*24-Table1[[#This Row],[Promised]])</f>
        <v>0</v>
      </c>
      <c r="Q98"/>
    </row>
    <row r="99" spans="1:17" x14ac:dyDescent="0.45">
      <c r="A99" s="3">
        <v>45292.041666666664</v>
      </c>
      <c r="B99" t="s">
        <v>14</v>
      </c>
      <c r="C99">
        <v>8</v>
      </c>
      <c r="D99">
        <v>1001</v>
      </c>
      <c r="E99" t="s">
        <v>16</v>
      </c>
      <c r="F99">
        <v>30</v>
      </c>
      <c r="G99">
        <v>3750</v>
      </c>
      <c r="H99">
        <v>112500</v>
      </c>
      <c r="I99" s="3">
        <v>45292.833333333336</v>
      </c>
      <c r="J99">
        <v>96</v>
      </c>
      <c r="K99" s="3">
        <v>45295.833333333336</v>
      </c>
      <c r="L99" s="4">
        <f>ROUNDDOWN(Table1[[#This Row],[Ordered]],0)</f>
        <v>45292</v>
      </c>
      <c r="M99" s="4">
        <f>Table1[[#This Row],[Date ]]</f>
        <v>45292</v>
      </c>
      <c r="N99" s="5">
        <f>Table1[[#This Row],[Ordered]]-Table1[[#This Row],[Date ]]</f>
        <v>4.1666666664241347E-2</v>
      </c>
      <c r="O99">
        <f>Table1[[#This Row],[Company]]</f>
        <v>8</v>
      </c>
      <c r="P99">
        <f>IF(((Table1[[#This Row],[Arrived]]-Table1[[#This Row],[Delivery]])*24-Table1[[#This Row],[Promised]])&lt;0, 0, (Table1[[#This Row],[Arrived]]-Table1[[#This Row],[Delivery]])*24-Table1[[#This Row],[Promised]])</f>
        <v>0</v>
      </c>
      <c r="Q99"/>
    </row>
    <row r="100" spans="1:17" x14ac:dyDescent="0.45">
      <c r="A100" s="3">
        <v>45292.041666666664</v>
      </c>
      <c r="B100" t="s">
        <v>14</v>
      </c>
      <c r="C100">
        <v>7</v>
      </c>
      <c r="D100">
        <v>1001</v>
      </c>
      <c r="E100" t="s">
        <v>15</v>
      </c>
      <c r="F100">
        <v>3</v>
      </c>
      <c r="G100">
        <v>6650</v>
      </c>
      <c r="H100">
        <v>19950</v>
      </c>
      <c r="I100" s="3">
        <v>45292.833333333336</v>
      </c>
      <c r="J100">
        <v>96</v>
      </c>
      <c r="K100" s="3">
        <v>45295.833333333336</v>
      </c>
      <c r="L100" s="4">
        <f>ROUNDDOWN(Table1[[#This Row],[Ordered]],0)</f>
        <v>45292</v>
      </c>
      <c r="M100" s="4">
        <f>Table1[[#This Row],[Date ]]</f>
        <v>45292</v>
      </c>
      <c r="N100" s="5">
        <f>Table1[[#This Row],[Ordered]]-Table1[[#This Row],[Date ]]</f>
        <v>4.1666666664241347E-2</v>
      </c>
      <c r="O100">
        <f>Table1[[#This Row],[Company]]</f>
        <v>7</v>
      </c>
      <c r="P100">
        <f>IF(((Table1[[#This Row],[Arrived]]-Table1[[#This Row],[Delivery]])*24-Table1[[#This Row],[Promised]])&lt;0, 0, (Table1[[#This Row],[Arrived]]-Table1[[#This Row],[Delivery]])*24-Table1[[#This Row],[Promised]])</f>
        <v>0</v>
      </c>
      <c r="Q100"/>
    </row>
    <row r="101" spans="1:17" x14ac:dyDescent="0.45">
      <c r="A101" s="3">
        <v>45292.041666666664</v>
      </c>
      <c r="B101" t="s">
        <v>14</v>
      </c>
      <c r="C101">
        <v>13</v>
      </c>
      <c r="D101">
        <v>1005</v>
      </c>
      <c r="E101" t="s">
        <v>16</v>
      </c>
      <c r="F101">
        <v>30</v>
      </c>
      <c r="G101">
        <v>3750</v>
      </c>
      <c r="H101">
        <v>112500</v>
      </c>
      <c r="I101" s="3">
        <v>45292.916666666664</v>
      </c>
      <c r="J101">
        <v>96</v>
      </c>
      <c r="K101" s="3">
        <v>45295.916666666664</v>
      </c>
      <c r="L101" s="4">
        <f>ROUNDDOWN(Table1[[#This Row],[Ordered]],0)</f>
        <v>45292</v>
      </c>
      <c r="M101" s="4">
        <f>Table1[[#This Row],[Date ]]</f>
        <v>45292</v>
      </c>
      <c r="N101" s="5">
        <f>Table1[[#This Row],[Ordered]]-Table1[[#This Row],[Date ]]</f>
        <v>4.1666666664241347E-2</v>
      </c>
      <c r="O101">
        <f>Table1[[#This Row],[Company]]</f>
        <v>13</v>
      </c>
      <c r="P101">
        <f>IF(((Table1[[#This Row],[Arrived]]-Table1[[#This Row],[Delivery]])*24-Table1[[#This Row],[Promised]])&lt;0, 0, (Table1[[#This Row],[Arrived]]-Table1[[#This Row],[Delivery]])*24-Table1[[#This Row],[Promised]])</f>
        <v>0</v>
      </c>
      <c r="Q101"/>
    </row>
    <row r="102" spans="1:17" x14ac:dyDescent="0.45">
      <c r="A102" s="3">
        <v>45292.041666666664</v>
      </c>
      <c r="B102" t="s">
        <v>14</v>
      </c>
      <c r="C102">
        <v>8</v>
      </c>
      <c r="D102">
        <v>1006</v>
      </c>
      <c r="E102" t="s">
        <v>16</v>
      </c>
      <c r="F102">
        <v>30</v>
      </c>
      <c r="G102">
        <v>3750</v>
      </c>
      <c r="H102">
        <v>112500</v>
      </c>
      <c r="I102" s="3">
        <v>45292.916666666664</v>
      </c>
      <c r="J102">
        <v>96</v>
      </c>
      <c r="K102" s="3">
        <v>45295.916666666664</v>
      </c>
      <c r="L102" s="4">
        <f>ROUNDDOWN(Table1[[#This Row],[Ordered]],0)</f>
        <v>45292</v>
      </c>
      <c r="M102" s="4">
        <f>Table1[[#This Row],[Date ]]</f>
        <v>45292</v>
      </c>
      <c r="N102" s="5">
        <f>Table1[[#This Row],[Ordered]]-Table1[[#This Row],[Date ]]</f>
        <v>4.1666666664241347E-2</v>
      </c>
      <c r="O102">
        <f>Table1[[#This Row],[Company]]</f>
        <v>8</v>
      </c>
      <c r="P102">
        <f>IF(((Table1[[#This Row],[Arrived]]-Table1[[#This Row],[Delivery]])*24-Table1[[#This Row],[Promised]])&lt;0, 0, (Table1[[#This Row],[Arrived]]-Table1[[#This Row],[Delivery]])*24-Table1[[#This Row],[Promised]])</f>
        <v>0</v>
      </c>
      <c r="Q102"/>
    </row>
    <row r="103" spans="1:17" x14ac:dyDescent="0.45">
      <c r="A103" s="3">
        <v>45292.041666666664</v>
      </c>
      <c r="B103" t="s">
        <v>14</v>
      </c>
      <c r="C103">
        <v>8</v>
      </c>
      <c r="D103">
        <v>1004</v>
      </c>
      <c r="E103" t="s">
        <v>15</v>
      </c>
      <c r="F103">
        <v>5</v>
      </c>
      <c r="G103">
        <v>6650</v>
      </c>
      <c r="H103">
        <v>33250</v>
      </c>
      <c r="I103" s="3">
        <v>45292.958333333336</v>
      </c>
      <c r="J103">
        <v>96</v>
      </c>
      <c r="K103" s="3">
        <v>45295.958333333336</v>
      </c>
      <c r="L103" s="4">
        <f>ROUNDDOWN(Table1[[#This Row],[Ordered]],0)</f>
        <v>45292</v>
      </c>
      <c r="M103" s="4">
        <f>Table1[[#This Row],[Date ]]</f>
        <v>45292</v>
      </c>
      <c r="N103" s="5">
        <f>Table1[[#This Row],[Ordered]]-Table1[[#This Row],[Date ]]</f>
        <v>4.1666666664241347E-2</v>
      </c>
      <c r="O103">
        <f>Table1[[#This Row],[Company]]</f>
        <v>8</v>
      </c>
      <c r="P103">
        <f>IF(((Table1[[#This Row],[Arrived]]-Table1[[#This Row],[Delivery]])*24-Table1[[#This Row],[Promised]])&lt;0, 0, (Table1[[#This Row],[Arrived]]-Table1[[#This Row],[Delivery]])*24-Table1[[#This Row],[Promised]])</f>
        <v>0</v>
      </c>
      <c r="Q103"/>
    </row>
    <row r="104" spans="1:17" x14ac:dyDescent="0.45">
      <c r="A104" s="3">
        <v>45292.041666666664</v>
      </c>
      <c r="B104" t="s">
        <v>14</v>
      </c>
      <c r="C104">
        <v>12</v>
      </c>
      <c r="D104">
        <v>1003</v>
      </c>
      <c r="E104" t="s">
        <v>16</v>
      </c>
      <c r="F104">
        <v>30</v>
      </c>
      <c r="G104">
        <v>3750</v>
      </c>
      <c r="H104">
        <v>112500</v>
      </c>
      <c r="I104" s="3">
        <v>45292.291666666664</v>
      </c>
      <c r="J104">
        <v>96</v>
      </c>
      <c r="K104" s="3">
        <v>45295.291666666664</v>
      </c>
      <c r="L104" s="4">
        <f>ROUNDDOWN(Table1[[#This Row],[Ordered]],0)</f>
        <v>45292</v>
      </c>
      <c r="M104" s="4">
        <f>Table1[[#This Row],[Date ]]</f>
        <v>45292</v>
      </c>
      <c r="N104" s="5">
        <f>Table1[[#This Row],[Ordered]]-Table1[[#This Row],[Date ]]</f>
        <v>4.1666666664241347E-2</v>
      </c>
      <c r="O104">
        <f>Table1[[#This Row],[Company]]</f>
        <v>12</v>
      </c>
      <c r="P104">
        <f>IF(((Table1[[#This Row],[Arrived]]-Table1[[#This Row],[Delivery]])*24-Table1[[#This Row],[Promised]])&lt;0, 0, (Table1[[#This Row],[Arrived]]-Table1[[#This Row],[Delivery]])*24-Table1[[#This Row],[Promised]])</f>
        <v>0</v>
      </c>
      <c r="Q104"/>
    </row>
    <row r="105" spans="1:17" x14ac:dyDescent="0.45">
      <c r="A105" s="3">
        <v>45292.041666666664</v>
      </c>
      <c r="B105" t="s">
        <v>14</v>
      </c>
      <c r="C105">
        <v>12</v>
      </c>
      <c r="D105">
        <v>1002</v>
      </c>
      <c r="E105" t="s">
        <v>16</v>
      </c>
      <c r="F105">
        <v>26</v>
      </c>
      <c r="G105">
        <v>3750</v>
      </c>
      <c r="H105">
        <v>97500</v>
      </c>
      <c r="I105" s="3">
        <v>45292.291666666664</v>
      </c>
      <c r="J105">
        <v>96</v>
      </c>
      <c r="K105" s="3">
        <v>45295.291666666664</v>
      </c>
      <c r="L105" s="4">
        <f>ROUNDDOWN(Table1[[#This Row],[Ordered]],0)</f>
        <v>45292</v>
      </c>
      <c r="M105" s="4">
        <f>Table1[[#This Row],[Date ]]</f>
        <v>45292</v>
      </c>
      <c r="N105" s="5">
        <f>Table1[[#This Row],[Ordered]]-Table1[[#This Row],[Date ]]</f>
        <v>4.1666666664241347E-2</v>
      </c>
      <c r="O105">
        <f>Table1[[#This Row],[Company]]</f>
        <v>12</v>
      </c>
      <c r="P105">
        <f>IF(((Table1[[#This Row],[Arrived]]-Table1[[#This Row],[Delivery]])*24-Table1[[#This Row],[Promised]])&lt;0, 0, (Table1[[#This Row],[Arrived]]-Table1[[#This Row],[Delivery]])*24-Table1[[#This Row],[Promised]])</f>
        <v>0</v>
      </c>
      <c r="Q105"/>
    </row>
    <row r="106" spans="1:17" x14ac:dyDescent="0.45">
      <c r="A106" s="3">
        <v>45292.041666666664</v>
      </c>
      <c r="B106" t="s">
        <v>14</v>
      </c>
      <c r="C106">
        <v>16</v>
      </c>
      <c r="D106">
        <v>1002</v>
      </c>
      <c r="E106" t="s">
        <v>15</v>
      </c>
      <c r="F106">
        <v>4</v>
      </c>
      <c r="G106">
        <v>6650</v>
      </c>
      <c r="H106">
        <v>26600</v>
      </c>
      <c r="I106" s="3">
        <v>45292.208333333336</v>
      </c>
      <c r="J106">
        <v>96</v>
      </c>
      <c r="K106" s="3">
        <v>45295.208333333336</v>
      </c>
      <c r="L106" s="4">
        <f>ROUNDDOWN(Table1[[#This Row],[Ordered]],0)</f>
        <v>45292</v>
      </c>
      <c r="M106" s="4">
        <f>Table1[[#This Row],[Date ]]</f>
        <v>45292</v>
      </c>
      <c r="N106" s="5">
        <f>Table1[[#This Row],[Ordered]]-Table1[[#This Row],[Date ]]</f>
        <v>4.1666666664241347E-2</v>
      </c>
      <c r="O106">
        <f>Table1[[#This Row],[Company]]</f>
        <v>16</v>
      </c>
      <c r="P106">
        <f>IF(((Table1[[#This Row],[Arrived]]-Table1[[#This Row],[Delivery]])*24-Table1[[#This Row],[Promised]])&lt;0, 0, (Table1[[#This Row],[Arrived]]-Table1[[#This Row],[Delivery]])*24-Table1[[#This Row],[Promised]])</f>
        <v>0</v>
      </c>
      <c r="Q106"/>
    </row>
    <row r="107" spans="1:17" x14ac:dyDescent="0.45">
      <c r="A107" s="3">
        <v>45292.041666666664</v>
      </c>
      <c r="B107" t="s">
        <v>14</v>
      </c>
      <c r="C107">
        <v>16</v>
      </c>
      <c r="D107">
        <v>1004</v>
      </c>
      <c r="E107" t="s">
        <v>16</v>
      </c>
      <c r="F107">
        <v>30</v>
      </c>
      <c r="G107">
        <v>3750</v>
      </c>
      <c r="H107">
        <v>112500</v>
      </c>
      <c r="I107" s="3">
        <v>45292.208333333336</v>
      </c>
      <c r="J107">
        <v>96</v>
      </c>
      <c r="K107" s="3">
        <v>45295.208333333336</v>
      </c>
      <c r="L107" s="4">
        <f>ROUNDDOWN(Table1[[#This Row],[Ordered]],0)</f>
        <v>45292</v>
      </c>
      <c r="M107" s="4">
        <f>Table1[[#This Row],[Date ]]</f>
        <v>45292</v>
      </c>
      <c r="N107" s="5">
        <f>Table1[[#This Row],[Ordered]]-Table1[[#This Row],[Date ]]</f>
        <v>4.1666666664241347E-2</v>
      </c>
      <c r="O107">
        <f>Table1[[#This Row],[Company]]</f>
        <v>16</v>
      </c>
      <c r="P107">
        <f>IF(((Table1[[#This Row],[Arrived]]-Table1[[#This Row],[Delivery]])*24-Table1[[#This Row],[Promised]])&lt;0, 0, (Table1[[#This Row],[Arrived]]-Table1[[#This Row],[Delivery]])*24-Table1[[#This Row],[Promised]])</f>
        <v>0</v>
      </c>
      <c r="Q107"/>
    </row>
    <row r="108" spans="1:17" x14ac:dyDescent="0.45">
      <c r="A108" s="3">
        <v>45292.041666666664</v>
      </c>
      <c r="B108" t="s">
        <v>14</v>
      </c>
      <c r="C108">
        <v>16</v>
      </c>
      <c r="D108">
        <v>1004</v>
      </c>
      <c r="E108" t="s">
        <v>15</v>
      </c>
      <c r="F108">
        <v>5</v>
      </c>
      <c r="G108">
        <v>6650</v>
      </c>
      <c r="H108">
        <v>33250</v>
      </c>
      <c r="I108" s="3">
        <v>45292.208333333336</v>
      </c>
      <c r="J108">
        <v>96</v>
      </c>
      <c r="K108" s="3">
        <v>45295.208333333336</v>
      </c>
      <c r="L108" s="4">
        <f>ROUNDDOWN(Table1[[#This Row],[Ordered]],0)</f>
        <v>45292</v>
      </c>
      <c r="M108" s="4">
        <f>Table1[[#This Row],[Date ]]</f>
        <v>45292</v>
      </c>
      <c r="N108" s="5">
        <f>Table1[[#This Row],[Ordered]]-Table1[[#This Row],[Date ]]</f>
        <v>4.1666666664241347E-2</v>
      </c>
      <c r="O108">
        <f>Table1[[#This Row],[Company]]</f>
        <v>16</v>
      </c>
      <c r="P108">
        <f>IF(((Table1[[#This Row],[Arrived]]-Table1[[#This Row],[Delivery]])*24-Table1[[#This Row],[Promised]])&lt;0, 0, (Table1[[#This Row],[Arrived]]-Table1[[#This Row],[Delivery]])*24-Table1[[#This Row],[Promised]])</f>
        <v>0</v>
      </c>
      <c r="Q108"/>
    </row>
    <row r="109" spans="1:17" x14ac:dyDescent="0.45">
      <c r="A109" s="3">
        <v>45292.041666666664</v>
      </c>
      <c r="B109" t="s">
        <v>14</v>
      </c>
      <c r="C109">
        <v>16</v>
      </c>
      <c r="D109">
        <v>1005</v>
      </c>
      <c r="E109" t="s">
        <v>16</v>
      </c>
      <c r="F109">
        <v>30</v>
      </c>
      <c r="G109">
        <v>3750</v>
      </c>
      <c r="H109">
        <v>112500</v>
      </c>
      <c r="I109" s="3">
        <v>45292.166666666664</v>
      </c>
      <c r="J109">
        <v>96</v>
      </c>
      <c r="K109" s="3">
        <v>45295.333333333336</v>
      </c>
      <c r="L109" s="4">
        <f>ROUNDDOWN(Table1[[#This Row],[Ordered]],0)</f>
        <v>45292</v>
      </c>
      <c r="M109" s="4">
        <f>Table1[[#This Row],[Date ]]</f>
        <v>45292</v>
      </c>
      <c r="N109" s="5">
        <f>Table1[[#This Row],[Ordered]]-Table1[[#This Row],[Date ]]</f>
        <v>4.1666666664241347E-2</v>
      </c>
      <c r="O109">
        <f>Table1[[#This Row],[Company]]</f>
        <v>16</v>
      </c>
      <c r="P109">
        <f>IF(((Table1[[#This Row],[Arrived]]-Table1[[#This Row],[Delivery]])*24-Table1[[#This Row],[Promised]])&lt;0, 0, (Table1[[#This Row],[Arrived]]-Table1[[#This Row],[Delivery]])*24-Table1[[#This Row],[Promised]])</f>
        <v>0</v>
      </c>
      <c r="Q109"/>
    </row>
    <row r="110" spans="1:17" x14ac:dyDescent="0.45">
      <c r="A110" s="3">
        <v>45292.041666666664</v>
      </c>
      <c r="B110" t="s">
        <v>14</v>
      </c>
      <c r="C110">
        <v>16</v>
      </c>
      <c r="D110">
        <v>1006</v>
      </c>
      <c r="E110" t="s">
        <v>16</v>
      </c>
      <c r="F110">
        <v>30</v>
      </c>
      <c r="G110">
        <v>3750</v>
      </c>
      <c r="H110">
        <v>112500</v>
      </c>
      <c r="I110" s="3">
        <v>45292.125</v>
      </c>
      <c r="J110">
        <v>96</v>
      </c>
      <c r="K110" s="3">
        <v>45295.25</v>
      </c>
      <c r="L110" s="4">
        <f>ROUNDDOWN(Table1[[#This Row],[Ordered]],0)</f>
        <v>45292</v>
      </c>
      <c r="M110" s="4">
        <f>Table1[[#This Row],[Date ]]</f>
        <v>45292</v>
      </c>
      <c r="N110" s="5">
        <f>Table1[[#This Row],[Ordered]]-Table1[[#This Row],[Date ]]</f>
        <v>4.1666666664241347E-2</v>
      </c>
      <c r="O110">
        <f>Table1[[#This Row],[Company]]</f>
        <v>16</v>
      </c>
      <c r="P110">
        <f>IF(((Table1[[#This Row],[Arrived]]-Table1[[#This Row],[Delivery]])*24-Table1[[#This Row],[Promised]])&lt;0, 0, (Table1[[#This Row],[Arrived]]-Table1[[#This Row],[Delivery]])*24-Table1[[#This Row],[Promised]])</f>
        <v>0</v>
      </c>
      <c r="Q110"/>
    </row>
    <row r="111" spans="1:17" x14ac:dyDescent="0.45">
      <c r="A111" s="3">
        <v>45292.041666666664</v>
      </c>
      <c r="B111" t="s">
        <v>14</v>
      </c>
      <c r="C111">
        <v>10</v>
      </c>
      <c r="D111">
        <v>1002</v>
      </c>
      <c r="E111" t="s">
        <v>15</v>
      </c>
      <c r="F111">
        <v>4</v>
      </c>
      <c r="G111">
        <v>6650</v>
      </c>
      <c r="H111">
        <v>26600</v>
      </c>
      <c r="I111" s="3">
        <v>45292.125</v>
      </c>
      <c r="J111">
        <v>96</v>
      </c>
      <c r="K111" s="3">
        <v>45295.125</v>
      </c>
      <c r="L111" s="4">
        <f>ROUNDDOWN(Table1[[#This Row],[Ordered]],0)</f>
        <v>45292</v>
      </c>
      <c r="M111" s="4">
        <f>Table1[[#This Row],[Date ]]</f>
        <v>45292</v>
      </c>
      <c r="N111" s="5">
        <f>Table1[[#This Row],[Ordered]]-Table1[[#This Row],[Date ]]</f>
        <v>4.1666666664241347E-2</v>
      </c>
      <c r="O111">
        <f>Table1[[#This Row],[Company]]</f>
        <v>10</v>
      </c>
      <c r="P111">
        <f>IF(((Table1[[#This Row],[Arrived]]-Table1[[#This Row],[Delivery]])*24-Table1[[#This Row],[Promised]])&lt;0, 0, (Table1[[#This Row],[Arrived]]-Table1[[#This Row],[Delivery]])*24-Table1[[#This Row],[Promised]])</f>
        <v>0</v>
      </c>
      <c r="Q111"/>
    </row>
    <row r="112" spans="1:17" x14ac:dyDescent="0.45">
      <c r="A112" s="3">
        <v>45292.041666666664</v>
      </c>
      <c r="B112" t="s">
        <v>14</v>
      </c>
      <c r="C112">
        <v>10</v>
      </c>
      <c r="D112">
        <v>1005</v>
      </c>
      <c r="E112" t="s">
        <v>15</v>
      </c>
      <c r="F112">
        <v>7</v>
      </c>
      <c r="G112">
        <v>6650</v>
      </c>
      <c r="H112">
        <v>46550</v>
      </c>
      <c r="I112" s="3">
        <v>45292.083333333336</v>
      </c>
      <c r="J112">
        <v>96</v>
      </c>
      <c r="K112" s="3">
        <v>45295.083333333336</v>
      </c>
      <c r="L112" s="4">
        <f>ROUNDDOWN(Table1[[#This Row],[Ordered]],0)</f>
        <v>45292</v>
      </c>
      <c r="M112" s="4">
        <f>Table1[[#This Row],[Date ]]</f>
        <v>45292</v>
      </c>
      <c r="N112" s="5">
        <f>Table1[[#This Row],[Ordered]]-Table1[[#This Row],[Date ]]</f>
        <v>4.1666666664241347E-2</v>
      </c>
      <c r="O112">
        <f>Table1[[#This Row],[Company]]</f>
        <v>10</v>
      </c>
      <c r="P112">
        <f>IF(((Table1[[#This Row],[Arrived]]-Table1[[#This Row],[Delivery]])*24-Table1[[#This Row],[Promised]])&lt;0, 0, (Table1[[#This Row],[Arrived]]-Table1[[#This Row],[Delivery]])*24-Table1[[#This Row],[Promised]])</f>
        <v>0</v>
      </c>
      <c r="Q112"/>
    </row>
    <row r="113" spans="1:17" x14ac:dyDescent="0.45">
      <c r="A113" s="3">
        <v>45292.333333333336</v>
      </c>
      <c r="B113" t="s">
        <v>0</v>
      </c>
      <c r="C113">
        <v>8</v>
      </c>
      <c r="D113">
        <v>2001</v>
      </c>
      <c r="E113" t="s">
        <v>16</v>
      </c>
      <c r="F113">
        <v>30</v>
      </c>
      <c r="G113">
        <v>3700</v>
      </c>
      <c r="H113">
        <v>111000</v>
      </c>
      <c r="I113" s="3">
        <v>45293.125</v>
      </c>
      <c r="J113">
        <v>132</v>
      </c>
      <c r="K113" s="3">
        <v>45297.625</v>
      </c>
      <c r="L113" s="4">
        <f>ROUNDDOWN(Table1[[#This Row],[Ordered]],0)</f>
        <v>45292</v>
      </c>
      <c r="M113" s="4">
        <f>Table1[[#This Row],[Date ]]</f>
        <v>45292</v>
      </c>
      <c r="N113" s="5">
        <f>Table1[[#This Row],[Ordered]]-Table1[[#This Row],[Date ]]</f>
        <v>0.33333333333575865</v>
      </c>
      <c r="O113">
        <f>Table1[[#This Row],[Company]]</f>
        <v>8</v>
      </c>
      <c r="P113">
        <f>IF(((Table1[[#This Row],[Arrived]]-Table1[[#This Row],[Delivery]])*24-Table1[[#This Row],[Promised]])&lt;0, 0, (Table1[[#This Row],[Arrived]]-Table1[[#This Row],[Delivery]])*24-Table1[[#This Row],[Promised]])</f>
        <v>0</v>
      </c>
      <c r="Q113"/>
    </row>
    <row r="114" spans="1:17" x14ac:dyDescent="0.45">
      <c r="A114" s="3">
        <v>45292.333333333336</v>
      </c>
      <c r="B114" t="s">
        <v>0</v>
      </c>
      <c r="C114">
        <v>16</v>
      </c>
      <c r="D114">
        <v>2001</v>
      </c>
      <c r="E114" t="s">
        <v>16</v>
      </c>
      <c r="F114">
        <v>30</v>
      </c>
      <c r="G114">
        <v>3750</v>
      </c>
      <c r="H114">
        <v>112500</v>
      </c>
      <c r="I114" s="3">
        <v>45292.416666666664</v>
      </c>
      <c r="J114">
        <v>132</v>
      </c>
      <c r="K114" s="3">
        <v>45296.916666666664</v>
      </c>
      <c r="L114" s="4">
        <f>ROUNDDOWN(Table1[[#This Row],[Ordered]],0)</f>
        <v>45292</v>
      </c>
      <c r="M114" s="4">
        <f>Table1[[#This Row],[Date ]]</f>
        <v>45292</v>
      </c>
      <c r="N114" s="5">
        <f>Table1[[#This Row],[Ordered]]-Table1[[#This Row],[Date ]]</f>
        <v>0.33333333333575865</v>
      </c>
      <c r="O114">
        <f>Table1[[#This Row],[Company]]</f>
        <v>16</v>
      </c>
      <c r="P114">
        <f>IF(((Table1[[#This Row],[Arrived]]-Table1[[#This Row],[Delivery]])*24-Table1[[#This Row],[Promised]])&lt;0, 0, (Table1[[#This Row],[Arrived]]-Table1[[#This Row],[Delivery]])*24-Table1[[#This Row],[Promised]])</f>
        <v>0</v>
      </c>
      <c r="Q114"/>
    </row>
    <row r="115" spans="1:17" x14ac:dyDescent="0.45">
      <c r="A115" s="3">
        <v>45292.333333333336</v>
      </c>
      <c r="B115" t="s">
        <v>0</v>
      </c>
      <c r="C115">
        <v>7</v>
      </c>
      <c r="D115">
        <v>2001</v>
      </c>
      <c r="E115" t="s">
        <v>15</v>
      </c>
      <c r="F115">
        <v>15</v>
      </c>
      <c r="G115">
        <v>6650</v>
      </c>
      <c r="H115">
        <v>99750</v>
      </c>
      <c r="I115" s="3">
        <v>45292.875</v>
      </c>
      <c r="J115">
        <v>132</v>
      </c>
      <c r="K115" s="3">
        <v>45297.375</v>
      </c>
      <c r="L115" s="4">
        <f>ROUNDDOWN(Table1[[#This Row],[Ordered]],0)</f>
        <v>45292</v>
      </c>
      <c r="M115" s="4">
        <f>Table1[[#This Row],[Date ]]</f>
        <v>45292</v>
      </c>
      <c r="N115" s="5">
        <f>Table1[[#This Row],[Ordered]]-Table1[[#This Row],[Date ]]</f>
        <v>0.33333333333575865</v>
      </c>
      <c r="O115">
        <f>Table1[[#This Row],[Company]]</f>
        <v>7</v>
      </c>
      <c r="P115">
        <f>IF(((Table1[[#This Row],[Arrived]]-Table1[[#This Row],[Delivery]])*24-Table1[[#This Row],[Promised]])&lt;0, 0, (Table1[[#This Row],[Arrived]]-Table1[[#This Row],[Delivery]])*24-Table1[[#This Row],[Promised]])</f>
        <v>0</v>
      </c>
      <c r="Q115"/>
    </row>
    <row r="116" spans="1:17" x14ac:dyDescent="0.45">
      <c r="A116" s="3">
        <v>45292.333333333336</v>
      </c>
      <c r="B116" t="s">
        <v>0</v>
      </c>
      <c r="C116">
        <v>13</v>
      </c>
      <c r="D116">
        <v>2001</v>
      </c>
      <c r="E116" t="s">
        <v>16</v>
      </c>
      <c r="F116">
        <v>30</v>
      </c>
      <c r="G116">
        <v>3750</v>
      </c>
      <c r="H116">
        <v>112500</v>
      </c>
      <c r="I116" s="3">
        <v>45293.541666666664</v>
      </c>
      <c r="J116">
        <v>132</v>
      </c>
      <c r="K116" s="3">
        <v>45298.041666666664</v>
      </c>
      <c r="L116" s="4">
        <f>ROUNDDOWN(Table1[[#This Row],[Ordered]],0)</f>
        <v>45292</v>
      </c>
      <c r="M116" s="4">
        <f>Table1[[#This Row],[Date ]]</f>
        <v>45292</v>
      </c>
      <c r="N116" s="5">
        <f>Table1[[#This Row],[Ordered]]-Table1[[#This Row],[Date ]]</f>
        <v>0.33333333333575865</v>
      </c>
      <c r="O116">
        <f>Table1[[#This Row],[Company]]</f>
        <v>13</v>
      </c>
      <c r="P116">
        <f>IF(((Table1[[#This Row],[Arrived]]-Table1[[#This Row],[Delivery]])*24-Table1[[#This Row],[Promised]])&lt;0, 0, (Table1[[#This Row],[Arrived]]-Table1[[#This Row],[Delivery]])*24-Table1[[#This Row],[Promised]])</f>
        <v>0</v>
      </c>
      <c r="Q116"/>
    </row>
    <row r="117" spans="1:17" x14ac:dyDescent="0.45">
      <c r="A117" s="3">
        <v>45292.333333333336</v>
      </c>
      <c r="B117" t="s">
        <v>0</v>
      </c>
      <c r="C117">
        <v>9</v>
      </c>
      <c r="D117">
        <v>2001</v>
      </c>
      <c r="E117" t="s">
        <v>15</v>
      </c>
      <c r="F117">
        <v>15</v>
      </c>
      <c r="G117">
        <v>6650</v>
      </c>
      <c r="H117">
        <v>99750</v>
      </c>
      <c r="I117" s="3">
        <v>45294.666666666664</v>
      </c>
      <c r="J117">
        <v>132</v>
      </c>
      <c r="K117" s="3">
        <v>45297.666666666664</v>
      </c>
      <c r="L117" s="4">
        <f>ROUNDDOWN(Table1[[#This Row],[Ordered]],0)</f>
        <v>45292</v>
      </c>
      <c r="M117" s="4">
        <f>Table1[[#This Row],[Date ]]</f>
        <v>45292</v>
      </c>
      <c r="N117" s="5">
        <f>Table1[[#This Row],[Ordered]]-Table1[[#This Row],[Date ]]</f>
        <v>0.33333333333575865</v>
      </c>
      <c r="O117">
        <f>Table1[[#This Row],[Company]]</f>
        <v>9</v>
      </c>
      <c r="P117">
        <f>IF(((Table1[[#This Row],[Arrived]]-Table1[[#This Row],[Delivery]])*24-Table1[[#This Row],[Promised]])&lt;0, 0, (Table1[[#This Row],[Arrived]]-Table1[[#This Row],[Delivery]])*24-Table1[[#This Row],[Promised]])</f>
        <v>0</v>
      </c>
      <c r="Q117"/>
    </row>
    <row r="118" spans="1:17" x14ac:dyDescent="0.45">
      <c r="A118" s="3">
        <v>45292.333333333336</v>
      </c>
      <c r="B118" t="s">
        <v>0</v>
      </c>
      <c r="C118">
        <v>10</v>
      </c>
      <c r="D118">
        <v>2001</v>
      </c>
      <c r="E118" t="s">
        <v>15</v>
      </c>
      <c r="F118">
        <v>15</v>
      </c>
      <c r="G118">
        <v>6650</v>
      </c>
      <c r="H118">
        <v>99750</v>
      </c>
      <c r="I118" s="3">
        <v>45292.333333333336</v>
      </c>
      <c r="J118">
        <v>132</v>
      </c>
      <c r="K118" s="3">
        <v>45296.833333333336</v>
      </c>
      <c r="L118" s="4">
        <f>ROUNDDOWN(Table1[[#This Row],[Ordered]],0)</f>
        <v>45292</v>
      </c>
      <c r="M118" s="4">
        <f>Table1[[#This Row],[Date ]]</f>
        <v>45292</v>
      </c>
      <c r="N118" s="5">
        <f>Table1[[#This Row],[Ordered]]-Table1[[#This Row],[Date ]]</f>
        <v>0.33333333333575865</v>
      </c>
      <c r="O118">
        <f>Table1[[#This Row],[Company]]</f>
        <v>10</v>
      </c>
      <c r="P118">
        <f>IF(((Table1[[#This Row],[Arrived]]-Table1[[#This Row],[Delivery]])*24-Table1[[#This Row],[Promised]])&lt;0, 0, (Table1[[#This Row],[Arrived]]-Table1[[#This Row],[Delivery]])*24-Table1[[#This Row],[Promised]])</f>
        <v>0</v>
      </c>
      <c r="Q118"/>
    </row>
    <row r="119" spans="1:17" x14ac:dyDescent="0.45">
      <c r="A119" s="3">
        <v>45292.333333333336</v>
      </c>
      <c r="B119" t="s">
        <v>0</v>
      </c>
      <c r="C119">
        <v>14</v>
      </c>
      <c r="D119">
        <v>2001</v>
      </c>
      <c r="E119" t="s">
        <v>15</v>
      </c>
      <c r="F119">
        <v>15</v>
      </c>
      <c r="G119">
        <v>6650</v>
      </c>
      <c r="H119">
        <v>99750</v>
      </c>
      <c r="I119" s="3">
        <v>45292.625</v>
      </c>
      <c r="J119">
        <v>132</v>
      </c>
      <c r="K119" s="3">
        <v>45297.125</v>
      </c>
      <c r="L119" s="4">
        <f>ROUNDDOWN(Table1[[#This Row],[Ordered]],0)</f>
        <v>45292</v>
      </c>
      <c r="M119" s="4">
        <f>Table1[[#This Row],[Date ]]</f>
        <v>45292</v>
      </c>
      <c r="N119" s="5">
        <f>Table1[[#This Row],[Ordered]]-Table1[[#This Row],[Date ]]</f>
        <v>0.33333333333575865</v>
      </c>
      <c r="O119">
        <f>Table1[[#This Row],[Company]]</f>
        <v>14</v>
      </c>
      <c r="P119">
        <f>IF(((Table1[[#This Row],[Arrived]]-Table1[[#This Row],[Delivery]])*24-Table1[[#This Row],[Promised]])&lt;0, 0, (Table1[[#This Row],[Arrived]]-Table1[[#This Row],[Delivery]])*24-Table1[[#This Row],[Promised]])</f>
        <v>0</v>
      </c>
      <c r="Q119"/>
    </row>
    <row r="120" spans="1:17" x14ac:dyDescent="0.45">
      <c r="A120" s="3">
        <v>45292.333333333336</v>
      </c>
      <c r="B120" t="s">
        <v>0</v>
      </c>
      <c r="C120">
        <v>7</v>
      </c>
      <c r="D120">
        <v>2001</v>
      </c>
      <c r="E120" t="s">
        <v>16</v>
      </c>
      <c r="F120">
        <v>30</v>
      </c>
      <c r="G120">
        <v>3750</v>
      </c>
      <c r="H120">
        <v>112500</v>
      </c>
      <c r="I120" s="3">
        <v>45292.875</v>
      </c>
      <c r="J120">
        <v>132</v>
      </c>
      <c r="K120" s="3">
        <v>45297.375</v>
      </c>
      <c r="L120" s="4">
        <f>ROUNDDOWN(Table1[[#This Row],[Ordered]],0)</f>
        <v>45292</v>
      </c>
      <c r="M120" s="4">
        <f>Table1[[#This Row],[Date ]]</f>
        <v>45292</v>
      </c>
      <c r="N120" s="5">
        <f>Table1[[#This Row],[Ordered]]-Table1[[#This Row],[Date ]]</f>
        <v>0.33333333333575865</v>
      </c>
      <c r="O120">
        <f>Table1[[#This Row],[Company]]</f>
        <v>7</v>
      </c>
      <c r="P120">
        <f>IF(((Table1[[#This Row],[Arrived]]-Table1[[#This Row],[Delivery]])*24-Table1[[#This Row],[Promised]])&lt;0, 0, (Table1[[#This Row],[Arrived]]-Table1[[#This Row],[Delivery]])*24-Table1[[#This Row],[Promised]])</f>
        <v>0</v>
      </c>
      <c r="Q120"/>
    </row>
    <row r="121" spans="1:17" x14ac:dyDescent="0.45">
      <c r="A121" s="3">
        <v>45292.333333333336</v>
      </c>
      <c r="B121" t="s">
        <v>0</v>
      </c>
      <c r="C121">
        <v>12</v>
      </c>
      <c r="D121">
        <v>2001</v>
      </c>
      <c r="E121" t="s">
        <v>15</v>
      </c>
      <c r="F121">
        <v>15</v>
      </c>
      <c r="G121">
        <v>6650</v>
      </c>
      <c r="H121">
        <v>99750</v>
      </c>
      <c r="I121" s="3">
        <v>45292.458333333336</v>
      </c>
      <c r="J121">
        <v>132</v>
      </c>
      <c r="K121" s="3">
        <v>45296.958333333336</v>
      </c>
      <c r="L121" s="4">
        <f>ROUNDDOWN(Table1[[#This Row],[Ordered]],0)</f>
        <v>45292</v>
      </c>
      <c r="M121" s="4">
        <f>Table1[[#This Row],[Date ]]</f>
        <v>45292</v>
      </c>
      <c r="N121" s="5">
        <f>Table1[[#This Row],[Ordered]]-Table1[[#This Row],[Date ]]</f>
        <v>0.33333333333575865</v>
      </c>
      <c r="O121">
        <f>Table1[[#This Row],[Company]]</f>
        <v>12</v>
      </c>
      <c r="P121">
        <f>IF(((Table1[[#This Row],[Arrived]]-Table1[[#This Row],[Delivery]])*24-Table1[[#This Row],[Promised]])&lt;0, 0, (Table1[[#This Row],[Arrived]]-Table1[[#This Row],[Delivery]])*24-Table1[[#This Row],[Promised]])</f>
        <v>0</v>
      </c>
      <c r="Q121"/>
    </row>
    <row r="122" spans="1:17" x14ac:dyDescent="0.45">
      <c r="A122" s="3">
        <v>45292.333333333336</v>
      </c>
      <c r="B122" t="s">
        <v>0</v>
      </c>
      <c r="C122">
        <v>11</v>
      </c>
      <c r="D122">
        <v>2001</v>
      </c>
      <c r="E122" t="s">
        <v>16</v>
      </c>
      <c r="F122">
        <v>30</v>
      </c>
      <c r="G122">
        <v>3750</v>
      </c>
      <c r="H122">
        <v>112500</v>
      </c>
      <c r="I122" s="3">
        <v>45292.708333333336</v>
      </c>
      <c r="J122">
        <v>132</v>
      </c>
      <c r="K122" s="3">
        <v>45297.208333333336</v>
      </c>
      <c r="L122" s="4">
        <f>ROUNDDOWN(Table1[[#This Row],[Ordered]],0)</f>
        <v>45292</v>
      </c>
      <c r="M122" s="4">
        <f>Table1[[#This Row],[Date ]]</f>
        <v>45292</v>
      </c>
      <c r="N122" s="5">
        <f>Table1[[#This Row],[Ordered]]-Table1[[#This Row],[Date ]]</f>
        <v>0.33333333333575865</v>
      </c>
      <c r="O122">
        <f>Table1[[#This Row],[Company]]</f>
        <v>11</v>
      </c>
      <c r="P122">
        <f>IF(((Table1[[#This Row],[Arrived]]-Table1[[#This Row],[Delivery]])*24-Table1[[#This Row],[Promised]])&lt;0, 0, (Table1[[#This Row],[Arrived]]-Table1[[#This Row],[Delivery]])*24-Table1[[#This Row],[Promised]])</f>
        <v>0</v>
      </c>
      <c r="Q122"/>
    </row>
    <row r="123" spans="1:17" x14ac:dyDescent="0.45">
      <c r="A123" s="3">
        <v>45292.333333333336</v>
      </c>
      <c r="B123" t="s">
        <v>0</v>
      </c>
      <c r="C123">
        <v>9</v>
      </c>
      <c r="D123">
        <v>2001</v>
      </c>
      <c r="E123" t="s">
        <v>16</v>
      </c>
      <c r="F123">
        <v>30</v>
      </c>
      <c r="G123">
        <v>3600</v>
      </c>
      <c r="H123">
        <v>108000</v>
      </c>
      <c r="I123" s="3">
        <v>45293.333333333336</v>
      </c>
      <c r="J123">
        <v>96</v>
      </c>
      <c r="K123" s="3">
        <v>45296.333333333336</v>
      </c>
      <c r="L123" s="4">
        <f>ROUNDDOWN(Table1[[#This Row],[Ordered]],0)</f>
        <v>45292</v>
      </c>
      <c r="M123" s="4">
        <f>Table1[[#This Row],[Date ]]</f>
        <v>45292</v>
      </c>
      <c r="N123" s="5">
        <f>Table1[[#This Row],[Ordered]]-Table1[[#This Row],[Date ]]</f>
        <v>0.33333333333575865</v>
      </c>
      <c r="O123">
        <f>Table1[[#This Row],[Company]]</f>
        <v>9</v>
      </c>
      <c r="P123">
        <f>IF(((Table1[[#This Row],[Arrived]]-Table1[[#This Row],[Delivery]])*24-Table1[[#This Row],[Promised]])&lt;0, 0, (Table1[[#This Row],[Arrived]]-Table1[[#This Row],[Delivery]])*24-Table1[[#This Row],[Promised]])</f>
        <v>0</v>
      </c>
      <c r="Q123"/>
    </row>
    <row r="124" spans="1:17" x14ac:dyDescent="0.45">
      <c r="A124" s="3">
        <v>45292.333333333336</v>
      </c>
      <c r="B124" t="s">
        <v>0</v>
      </c>
      <c r="C124">
        <v>13</v>
      </c>
      <c r="D124">
        <v>2001</v>
      </c>
      <c r="E124" t="s">
        <v>15</v>
      </c>
      <c r="F124">
        <v>15</v>
      </c>
      <c r="G124">
        <v>6650</v>
      </c>
      <c r="H124">
        <v>99750</v>
      </c>
      <c r="I124" s="3">
        <v>45293.541666666664</v>
      </c>
      <c r="J124">
        <v>132</v>
      </c>
      <c r="K124" s="3">
        <v>45298.041666666664</v>
      </c>
      <c r="L124" s="4">
        <f>ROUNDDOWN(Table1[[#This Row],[Ordered]],0)</f>
        <v>45292</v>
      </c>
      <c r="M124" s="4">
        <f>Table1[[#This Row],[Date ]]</f>
        <v>45292</v>
      </c>
      <c r="N124" s="5">
        <f>Table1[[#This Row],[Ordered]]-Table1[[#This Row],[Date ]]</f>
        <v>0.33333333333575865</v>
      </c>
      <c r="O124">
        <f>Table1[[#This Row],[Company]]</f>
        <v>13</v>
      </c>
      <c r="P124">
        <f>IF(((Table1[[#This Row],[Arrived]]-Table1[[#This Row],[Delivery]])*24-Table1[[#This Row],[Promised]])&lt;0, 0, (Table1[[#This Row],[Arrived]]-Table1[[#This Row],[Delivery]])*24-Table1[[#This Row],[Promised]])</f>
        <v>0</v>
      </c>
      <c r="Q124"/>
    </row>
    <row r="125" spans="1:17" x14ac:dyDescent="0.45">
      <c r="A125" s="3">
        <v>45292.333333333336</v>
      </c>
      <c r="B125" t="s">
        <v>0</v>
      </c>
      <c r="C125">
        <v>15</v>
      </c>
      <c r="D125">
        <v>2001</v>
      </c>
      <c r="E125" t="s">
        <v>15</v>
      </c>
      <c r="F125">
        <v>15</v>
      </c>
      <c r="G125">
        <v>6650</v>
      </c>
      <c r="H125">
        <v>99750</v>
      </c>
      <c r="I125" s="3">
        <v>45292.583333333336</v>
      </c>
      <c r="J125">
        <v>132</v>
      </c>
      <c r="K125" s="3">
        <v>45297.083333333336</v>
      </c>
      <c r="L125" s="4">
        <f>ROUNDDOWN(Table1[[#This Row],[Ordered]],0)</f>
        <v>45292</v>
      </c>
      <c r="M125" s="4">
        <f>Table1[[#This Row],[Date ]]</f>
        <v>45292</v>
      </c>
      <c r="N125" s="5">
        <f>Table1[[#This Row],[Ordered]]-Table1[[#This Row],[Date ]]</f>
        <v>0.33333333333575865</v>
      </c>
      <c r="O125">
        <f>Table1[[#This Row],[Company]]</f>
        <v>15</v>
      </c>
      <c r="P125">
        <f>IF(((Table1[[#This Row],[Arrived]]-Table1[[#This Row],[Delivery]])*24-Table1[[#This Row],[Promised]])&lt;0, 0, (Table1[[#This Row],[Arrived]]-Table1[[#This Row],[Delivery]])*24-Table1[[#This Row],[Promised]])</f>
        <v>0</v>
      </c>
      <c r="Q125"/>
    </row>
    <row r="126" spans="1:17" x14ac:dyDescent="0.45">
      <c r="A126" s="3">
        <v>45292.333333333336</v>
      </c>
      <c r="B126" t="s">
        <v>0</v>
      </c>
      <c r="C126">
        <v>14</v>
      </c>
      <c r="D126">
        <v>2001</v>
      </c>
      <c r="E126" t="s">
        <v>16</v>
      </c>
      <c r="F126">
        <v>30</v>
      </c>
      <c r="G126">
        <v>3750</v>
      </c>
      <c r="H126">
        <v>112500</v>
      </c>
      <c r="I126" s="3">
        <v>45292.625</v>
      </c>
      <c r="J126">
        <v>132</v>
      </c>
      <c r="K126" s="3">
        <v>45297.125</v>
      </c>
      <c r="L126" s="4">
        <f>ROUNDDOWN(Table1[[#This Row],[Ordered]],0)</f>
        <v>45292</v>
      </c>
      <c r="M126" s="4">
        <f>Table1[[#This Row],[Date ]]</f>
        <v>45292</v>
      </c>
      <c r="N126" s="5">
        <f>Table1[[#This Row],[Ordered]]-Table1[[#This Row],[Date ]]</f>
        <v>0.33333333333575865</v>
      </c>
      <c r="O126">
        <f>Table1[[#This Row],[Company]]</f>
        <v>14</v>
      </c>
      <c r="P126">
        <f>IF(((Table1[[#This Row],[Arrived]]-Table1[[#This Row],[Delivery]])*24-Table1[[#This Row],[Promised]])&lt;0, 0, (Table1[[#This Row],[Arrived]]-Table1[[#This Row],[Delivery]])*24-Table1[[#This Row],[Promised]])</f>
        <v>0</v>
      </c>
      <c r="Q126"/>
    </row>
    <row r="127" spans="1:17" x14ac:dyDescent="0.45">
      <c r="A127" s="3">
        <v>45292.333333333336</v>
      </c>
      <c r="B127" t="s">
        <v>0</v>
      </c>
      <c r="C127">
        <v>10</v>
      </c>
      <c r="D127">
        <v>2001</v>
      </c>
      <c r="E127" t="s">
        <v>16</v>
      </c>
      <c r="F127">
        <v>30</v>
      </c>
      <c r="G127">
        <v>3750</v>
      </c>
      <c r="H127">
        <v>112500</v>
      </c>
      <c r="I127" s="3">
        <v>45292.583333333336</v>
      </c>
      <c r="J127">
        <v>132</v>
      </c>
      <c r="K127" s="3">
        <v>45297.083333333336</v>
      </c>
      <c r="L127" s="4">
        <f>ROUNDDOWN(Table1[[#This Row],[Ordered]],0)</f>
        <v>45292</v>
      </c>
      <c r="M127" s="4">
        <f>Table1[[#This Row],[Date ]]</f>
        <v>45292</v>
      </c>
      <c r="N127" s="5">
        <f>Table1[[#This Row],[Ordered]]-Table1[[#This Row],[Date ]]</f>
        <v>0.33333333333575865</v>
      </c>
      <c r="O127">
        <f>Table1[[#This Row],[Company]]</f>
        <v>10</v>
      </c>
      <c r="P127">
        <f>IF(((Table1[[#This Row],[Arrived]]-Table1[[#This Row],[Delivery]])*24-Table1[[#This Row],[Promised]])&lt;0, 0, (Table1[[#This Row],[Arrived]]-Table1[[#This Row],[Delivery]])*24-Table1[[#This Row],[Promised]])</f>
        <v>0</v>
      </c>
      <c r="Q127"/>
    </row>
    <row r="128" spans="1:17" x14ac:dyDescent="0.45">
      <c r="A128" s="3">
        <v>45292.333333333336</v>
      </c>
      <c r="B128" t="s">
        <v>0</v>
      </c>
      <c r="C128">
        <v>11</v>
      </c>
      <c r="D128">
        <v>2001</v>
      </c>
      <c r="E128" t="s">
        <v>15</v>
      </c>
      <c r="F128">
        <v>15</v>
      </c>
      <c r="G128">
        <v>6650</v>
      </c>
      <c r="H128">
        <v>99750</v>
      </c>
      <c r="I128" s="3">
        <v>45292.666666666664</v>
      </c>
      <c r="J128">
        <v>132</v>
      </c>
      <c r="K128" s="3">
        <v>45297.166666666664</v>
      </c>
      <c r="L128" s="4">
        <f>ROUNDDOWN(Table1[[#This Row],[Ordered]],0)</f>
        <v>45292</v>
      </c>
      <c r="M128" s="4">
        <f>Table1[[#This Row],[Date ]]</f>
        <v>45292</v>
      </c>
      <c r="N128" s="5">
        <f>Table1[[#This Row],[Ordered]]-Table1[[#This Row],[Date ]]</f>
        <v>0.33333333333575865</v>
      </c>
      <c r="O128">
        <f>Table1[[#This Row],[Company]]</f>
        <v>11</v>
      </c>
      <c r="P128">
        <f>IF(((Table1[[#This Row],[Arrived]]-Table1[[#This Row],[Delivery]])*24-Table1[[#This Row],[Promised]])&lt;0, 0, (Table1[[#This Row],[Arrived]]-Table1[[#This Row],[Delivery]])*24-Table1[[#This Row],[Promised]])</f>
        <v>0</v>
      </c>
      <c r="Q128"/>
    </row>
    <row r="129" spans="1:17" x14ac:dyDescent="0.45">
      <c r="A129" s="3">
        <v>45292.333333333336</v>
      </c>
      <c r="B129" t="s">
        <v>0</v>
      </c>
      <c r="C129">
        <v>15</v>
      </c>
      <c r="D129">
        <v>2001</v>
      </c>
      <c r="E129" t="s">
        <v>16</v>
      </c>
      <c r="F129">
        <v>30</v>
      </c>
      <c r="G129">
        <v>3750</v>
      </c>
      <c r="H129">
        <v>112500</v>
      </c>
      <c r="I129" s="3">
        <v>45292.583333333336</v>
      </c>
      <c r="J129">
        <v>132</v>
      </c>
      <c r="K129" s="3">
        <v>45297.083333333336</v>
      </c>
      <c r="L129" s="4">
        <f>ROUNDDOWN(Table1[[#This Row],[Ordered]],0)</f>
        <v>45292</v>
      </c>
      <c r="M129" s="4">
        <f>Table1[[#This Row],[Date ]]</f>
        <v>45292</v>
      </c>
      <c r="N129" s="5">
        <f>Table1[[#This Row],[Ordered]]-Table1[[#This Row],[Date ]]</f>
        <v>0.33333333333575865</v>
      </c>
      <c r="O129">
        <f>Table1[[#This Row],[Company]]</f>
        <v>15</v>
      </c>
      <c r="P129">
        <f>IF(((Table1[[#This Row],[Arrived]]-Table1[[#This Row],[Delivery]])*24-Table1[[#This Row],[Promised]])&lt;0, 0, (Table1[[#This Row],[Arrived]]-Table1[[#This Row],[Delivery]])*24-Table1[[#This Row],[Promised]])</f>
        <v>0</v>
      </c>
      <c r="Q129"/>
    </row>
    <row r="130" spans="1:17" x14ac:dyDescent="0.45">
      <c r="A130" s="3">
        <v>45292.333333333336</v>
      </c>
      <c r="B130" t="s">
        <v>0</v>
      </c>
      <c r="C130">
        <v>8</v>
      </c>
      <c r="D130">
        <v>2001</v>
      </c>
      <c r="E130" t="s">
        <v>15</v>
      </c>
      <c r="F130">
        <v>15</v>
      </c>
      <c r="G130">
        <v>6650</v>
      </c>
      <c r="H130">
        <v>99750</v>
      </c>
      <c r="I130" s="3">
        <v>45293.125</v>
      </c>
      <c r="J130">
        <v>132</v>
      </c>
      <c r="K130" s="3">
        <v>45297.625</v>
      </c>
      <c r="L130" s="4">
        <f>ROUNDDOWN(Table1[[#This Row],[Ordered]],0)</f>
        <v>45292</v>
      </c>
      <c r="M130" s="4">
        <f>Table1[[#This Row],[Date ]]</f>
        <v>45292</v>
      </c>
      <c r="N130" s="5">
        <f>Table1[[#This Row],[Ordered]]-Table1[[#This Row],[Date ]]</f>
        <v>0.33333333333575865</v>
      </c>
      <c r="O130">
        <f>Table1[[#This Row],[Company]]</f>
        <v>8</v>
      </c>
      <c r="P130">
        <f>IF(((Table1[[#This Row],[Arrived]]-Table1[[#This Row],[Delivery]])*24-Table1[[#This Row],[Promised]])&lt;0, 0, (Table1[[#This Row],[Arrived]]-Table1[[#This Row],[Delivery]])*24-Table1[[#This Row],[Promised]])</f>
        <v>0</v>
      </c>
      <c r="Q130"/>
    </row>
    <row r="131" spans="1:17" x14ac:dyDescent="0.45">
      <c r="A131" s="3">
        <v>45292.333333333336</v>
      </c>
      <c r="B131" t="s">
        <v>0</v>
      </c>
      <c r="C131">
        <v>12</v>
      </c>
      <c r="D131">
        <v>2001</v>
      </c>
      <c r="E131" t="s">
        <v>16</v>
      </c>
      <c r="F131">
        <v>30</v>
      </c>
      <c r="G131">
        <v>3750</v>
      </c>
      <c r="H131">
        <v>112500</v>
      </c>
      <c r="I131" s="3">
        <v>45292.458333333336</v>
      </c>
      <c r="J131">
        <v>132</v>
      </c>
      <c r="K131" s="3">
        <v>45296.958333333336</v>
      </c>
      <c r="L131" s="4">
        <f>ROUNDDOWN(Table1[[#This Row],[Ordered]],0)</f>
        <v>45292</v>
      </c>
      <c r="M131" s="4">
        <f>Table1[[#This Row],[Date ]]</f>
        <v>45292</v>
      </c>
      <c r="N131" s="5">
        <f>Table1[[#This Row],[Ordered]]-Table1[[#This Row],[Date ]]</f>
        <v>0.33333333333575865</v>
      </c>
      <c r="O131">
        <f>Table1[[#This Row],[Company]]</f>
        <v>12</v>
      </c>
      <c r="P131">
        <f>IF(((Table1[[#This Row],[Arrived]]-Table1[[#This Row],[Delivery]])*24-Table1[[#This Row],[Promised]])&lt;0, 0, (Table1[[#This Row],[Arrived]]-Table1[[#This Row],[Delivery]])*24-Table1[[#This Row],[Promised]])</f>
        <v>0</v>
      </c>
      <c r="Q131"/>
    </row>
    <row r="132" spans="1:17" x14ac:dyDescent="0.45">
      <c r="A132" s="3">
        <v>45292.333333333336</v>
      </c>
      <c r="B132" t="s">
        <v>0</v>
      </c>
      <c r="C132">
        <v>16</v>
      </c>
      <c r="D132">
        <v>2001</v>
      </c>
      <c r="E132" t="s">
        <v>15</v>
      </c>
      <c r="F132">
        <v>15</v>
      </c>
      <c r="G132">
        <v>6650</v>
      </c>
      <c r="H132">
        <v>99750</v>
      </c>
      <c r="I132" s="3">
        <v>45292.416666666664</v>
      </c>
      <c r="J132">
        <v>132</v>
      </c>
      <c r="K132" s="3">
        <v>45296.916666666664</v>
      </c>
      <c r="L132" s="4">
        <f>ROUNDDOWN(Table1[[#This Row],[Ordered]],0)</f>
        <v>45292</v>
      </c>
      <c r="M132" s="4">
        <f>Table1[[#This Row],[Date ]]</f>
        <v>45292</v>
      </c>
      <c r="N132" s="5">
        <f>Table1[[#This Row],[Ordered]]-Table1[[#This Row],[Date ]]</f>
        <v>0.33333333333575865</v>
      </c>
      <c r="O132">
        <f>Table1[[#This Row],[Company]]</f>
        <v>16</v>
      </c>
      <c r="P132">
        <f>IF(((Table1[[#This Row],[Arrived]]-Table1[[#This Row],[Delivery]])*24-Table1[[#This Row],[Promised]])&lt;0, 0, (Table1[[#This Row],[Arrived]]-Table1[[#This Row],[Delivery]])*24-Table1[[#This Row],[Promised]])</f>
        <v>0</v>
      </c>
      <c r="Q132"/>
    </row>
    <row r="133" spans="1:17" hidden="1" x14ac:dyDescent="0.45">
      <c r="A133" s="3">
        <v>45292.5</v>
      </c>
      <c r="B133" t="s">
        <v>12</v>
      </c>
      <c r="C133">
        <v>6</v>
      </c>
      <c r="D133">
        <v>15</v>
      </c>
      <c r="E133" t="s">
        <v>17</v>
      </c>
      <c r="F133">
        <v>250</v>
      </c>
      <c r="G133">
        <v>1100</v>
      </c>
      <c r="H133">
        <v>275000</v>
      </c>
      <c r="I133" s="3">
        <v>45292.583333333336</v>
      </c>
      <c r="J133">
        <v>72</v>
      </c>
      <c r="K133" s="3">
        <v>45295.583333333336</v>
      </c>
      <c r="L133" s="4">
        <f>ROUNDDOWN(Table1[[#This Row],[Ordered]],0)</f>
        <v>45292</v>
      </c>
      <c r="M133" s="4">
        <f>Table1[[#This Row],[Date ]]</f>
        <v>45292</v>
      </c>
      <c r="N133" s="5">
        <f>Table1[[#This Row],[Ordered]]-Table1[[#This Row],[Date ]]</f>
        <v>0.5</v>
      </c>
      <c r="O133" s="5">
        <f>Table1[[#This Row],[Company]]</f>
        <v>6</v>
      </c>
      <c r="P133">
        <f>IF(((Table1[[#This Row],[Arrived]]-Table1[[#This Row],[Delivery]])*24-Table1[[#This Row],[Promised]])&lt;0, 0, (Table1[[#This Row],[Arrived]]-Table1[[#This Row],[Delivery]])*24-Table1[[#This Row],[Promised]])</f>
        <v>0</v>
      </c>
      <c r="Q133"/>
    </row>
    <row r="134" spans="1:17" x14ac:dyDescent="0.45">
      <c r="A134" s="3">
        <v>45292.541666666664</v>
      </c>
      <c r="B134" t="s">
        <v>14</v>
      </c>
      <c r="C134">
        <v>7</v>
      </c>
      <c r="D134">
        <v>1007</v>
      </c>
      <c r="E134" t="s">
        <v>16</v>
      </c>
      <c r="F134">
        <v>30</v>
      </c>
      <c r="G134">
        <v>3750</v>
      </c>
      <c r="H134">
        <v>112500</v>
      </c>
      <c r="I134" s="3">
        <v>45292.958333333336</v>
      </c>
      <c r="J134">
        <v>96</v>
      </c>
      <c r="K134" s="3">
        <v>45295.958333333336</v>
      </c>
      <c r="L134" s="4">
        <f>ROUNDDOWN(Table1[[#This Row],[Ordered]],0)</f>
        <v>45292</v>
      </c>
      <c r="M134" s="4">
        <f>Table1[[#This Row],[Date ]]</f>
        <v>45292</v>
      </c>
      <c r="N134" s="5">
        <f>Table1[[#This Row],[Ordered]]-Table1[[#This Row],[Date ]]</f>
        <v>0.54166666666424135</v>
      </c>
      <c r="O134">
        <f>Table1[[#This Row],[Company]]</f>
        <v>7</v>
      </c>
      <c r="P134">
        <f>IF(((Table1[[#This Row],[Arrived]]-Table1[[#This Row],[Delivery]])*24-Table1[[#This Row],[Promised]])&lt;0, 0, (Table1[[#This Row],[Arrived]]-Table1[[#This Row],[Delivery]])*24-Table1[[#This Row],[Promised]])</f>
        <v>0</v>
      </c>
      <c r="Q134"/>
    </row>
    <row r="135" spans="1:17" x14ac:dyDescent="0.45">
      <c r="A135" s="3">
        <v>45292.541666666664</v>
      </c>
      <c r="B135" t="s">
        <v>14</v>
      </c>
      <c r="C135">
        <v>15</v>
      </c>
      <c r="D135">
        <v>1007</v>
      </c>
      <c r="E135" t="s">
        <v>16</v>
      </c>
      <c r="F135">
        <v>30</v>
      </c>
      <c r="G135">
        <v>3750</v>
      </c>
      <c r="H135">
        <v>112500</v>
      </c>
      <c r="I135" s="3">
        <v>45293.041666666664</v>
      </c>
      <c r="J135">
        <v>96</v>
      </c>
      <c r="K135" s="3">
        <v>45296.041666666664</v>
      </c>
      <c r="L135" s="4">
        <f>ROUNDDOWN(Table1[[#This Row],[Ordered]],0)</f>
        <v>45292</v>
      </c>
      <c r="M135" s="4">
        <f>Table1[[#This Row],[Date ]]</f>
        <v>45292</v>
      </c>
      <c r="N135" s="5">
        <f>Table1[[#This Row],[Ordered]]-Table1[[#This Row],[Date ]]</f>
        <v>0.54166666666424135</v>
      </c>
      <c r="O135">
        <f>Table1[[#This Row],[Company]]</f>
        <v>15</v>
      </c>
      <c r="P135">
        <f>IF(((Table1[[#This Row],[Arrived]]-Table1[[#This Row],[Delivery]])*24-Table1[[#This Row],[Promised]])&lt;0, 0, (Table1[[#This Row],[Arrived]]-Table1[[#This Row],[Delivery]])*24-Table1[[#This Row],[Promised]])</f>
        <v>0</v>
      </c>
      <c r="Q135"/>
    </row>
    <row r="136" spans="1:17" x14ac:dyDescent="0.45">
      <c r="A136" s="3">
        <v>45292.541666666664</v>
      </c>
      <c r="B136" t="s">
        <v>14</v>
      </c>
      <c r="C136">
        <v>16</v>
      </c>
      <c r="D136">
        <v>1007</v>
      </c>
      <c r="E136" t="s">
        <v>16</v>
      </c>
      <c r="F136">
        <v>30</v>
      </c>
      <c r="G136">
        <v>3750</v>
      </c>
      <c r="H136">
        <v>112500</v>
      </c>
      <c r="I136" s="3">
        <v>45292.75</v>
      </c>
      <c r="J136">
        <v>96</v>
      </c>
      <c r="K136" s="3">
        <v>45295.75</v>
      </c>
      <c r="L136" s="4">
        <f>ROUNDDOWN(Table1[[#This Row],[Ordered]],0)</f>
        <v>45292</v>
      </c>
      <c r="M136" s="4">
        <f>Table1[[#This Row],[Date ]]</f>
        <v>45292</v>
      </c>
      <c r="N136" s="5">
        <f>Table1[[#This Row],[Ordered]]-Table1[[#This Row],[Date ]]</f>
        <v>0.54166666666424135</v>
      </c>
      <c r="O136">
        <f>Table1[[#This Row],[Company]]</f>
        <v>16</v>
      </c>
      <c r="P136">
        <f>IF(((Table1[[#This Row],[Arrived]]-Table1[[#This Row],[Delivery]])*24-Table1[[#This Row],[Promised]])&lt;0, 0, (Table1[[#This Row],[Arrived]]-Table1[[#This Row],[Delivery]])*24-Table1[[#This Row],[Promised]])</f>
        <v>0</v>
      </c>
      <c r="Q136"/>
    </row>
    <row r="137" spans="1:17" x14ac:dyDescent="0.45">
      <c r="A137" s="3">
        <v>45292.541666666664</v>
      </c>
      <c r="B137" t="s">
        <v>14</v>
      </c>
      <c r="C137">
        <v>14</v>
      </c>
      <c r="D137">
        <v>1007</v>
      </c>
      <c r="E137" t="s">
        <v>16</v>
      </c>
      <c r="F137">
        <v>30</v>
      </c>
      <c r="G137">
        <v>3750</v>
      </c>
      <c r="H137">
        <v>112500</v>
      </c>
      <c r="I137" s="3">
        <v>45292.666666666664</v>
      </c>
      <c r="J137">
        <v>96</v>
      </c>
      <c r="K137" s="3">
        <v>45295.666666666664</v>
      </c>
      <c r="L137" s="4">
        <f>ROUNDDOWN(Table1[[#This Row],[Ordered]],0)</f>
        <v>45292</v>
      </c>
      <c r="M137" s="4">
        <f>Table1[[#This Row],[Date ]]</f>
        <v>45292</v>
      </c>
      <c r="N137" s="5">
        <f>Table1[[#This Row],[Ordered]]-Table1[[#This Row],[Date ]]</f>
        <v>0.54166666666424135</v>
      </c>
      <c r="O137">
        <f>Table1[[#This Row],[Company]]</f>
        <v>14</v>
      </c>
      <c r="P137">
        <f>IF(((Table1[[#This Row],[Arrived]]-Table1[[#This Row],[Delivery]])*24-Table1[[#This Row],[Promised]])&lt;0, 0, (Table1[[#This Row],[Arrived]]-Table1[[#This Row],[Delivery]])*24-Table1[[#This Row],[Promised]])</f>
        <v>0</v>
      </c>
      <c r="Q137"/>
    </row>
    <row r="138" spans="1:17" x14ac:dyDescent="0.45">
      <c r="A138" s="3">
        <v>45292.541666666664</v>
      </c>
      <c r="B138" t="s">
        <v>14</v>
      </c>
      <c r="C138">
        <v>10</v>
      </c>
      <c r="D138">
        <v>1007</v>
      </c>
      <c r="E138" t="s">
        <v>16</v>
      </c>
      <c r="F138">
        <v>30</v>
      </c>
      <c r="G138">
        <v>3750</v>
      </c>
      <c r="H138">
        <v>112500</v>
      </c>
      <c r="I138" s="3">
        <v>45292.583333333336</v>
      </c>
      <c r="J138">
        <v>96</v>
      </c>
      <c r="K138" s="3">
        <v>45295.583333333336</v>
      </c>
      <c r="L138" s="4">
        <f>ROUNDDOWN(Table1[[#This Row],[Ordered]],0)</f>
        <v>45292</v>
      </c>
      <c r="M138" s="4">
        <f>Table1[[#This Row],[Date ]]</f>
        <v>45292</v>
      </c>
      <c r="N138" s="5">
        <f>Table1[[#This Row],[Ordered]]-Table1[[#This Row],[Date ]]</f>
        <v>0.54166666666424135</v>
      </c>
      <c r="O138">
        <f>Table1[[#This Row],[Company]]</f>
        <v>10</v>
      </c>
      <c r="P138">
        <f>IF(((Table1[[#This Row],[Arrived]]-Table1[[#This Row],[Delivery]])*24-Table1[[#This Row],[Promised]])&lt;0, 0, (Table1[[#This Row],[Arrived]]-Table1[[#This Row],[Delivery]])*24-Table1[[#This Row],[Promised]])</f>
        <v>0</v>
      </c>
      <c r="Q138"/>
    </row>
    <row r="139" spans="1:17" x14ac:dyDescent="0.45">
      <c r="A139" s="3">
        <v>45292.541666666664</v>
      </c>
      <c r="B139" t="s">
        <v>14</v>
      </c>
      <c r="C139">
        <v>8</v>
      </c>
      <c r="D139">
        <v>1007</v>
      </c>
      <c r="E139" t="s">
        <v>16</v>
      </c>
      <c r="F139">
        <v>30</v>
      </c>
      <c r="G139">
        <v>3750</v>
      </c>
      <c r="H139">
        <v>112500</v>
      </c>
      <c r="I139" s="3">
        <v>45293.333333333336</v>
      </c>
      <c r="J139">
        <v>96</v>
      </c>
      <c r="K139" s="3">
        <v>45296.333333333336</v>
      </c>
      <c r="L139" s="4">
        <f>ROUNDDOWN(Table1[[#This Row],[Ordered]],0)</f>
        <v>45292</v>
      </c>
      <c r="M139" s="4">
        <f>Table1[[#This Row],[Date ]]</f>
        <v>45292</v>
      </c>
      <c r="N139" s="5">
        <f>Table1[[#This Row],[Ordered]]-Table1[[#This Row],[Date ]]</f>
        <v>0.54166666666424135</v>
      </c>
      <c r="O139">
        <f>Table1[[#This Row],[Company]]</f>
        <v>8</v>
      </c>
      <c r="P139">
        <f>IF(((Table1[[#This Row],[Arrived]]-Table1[[#This Row],[Delivery]])*24-Table1[[#This Row],[Promised]])&lt;0, 0, (Table1[[#This Row],[Arrived]]-Table1[[#This Row],[Delivery]])*24-Table1[[#This Row],[Promised]])</f>
        <v>0</v>
      </c>
      <c r="Q139"/>
    </row>
    <row r="140" spans="1:17" hidden="1" x14ac:dyDescent="0.45">
      <c r="A140" s="3">
        <v>45292.541666666664</v>
      </c>
      <c r="B140" t="s">
        <v>12</v>
      </c>
      <c r="C140">
        <v>6</v>
      </c>
      <c r="D140">
        <v>15</v>
      </c>
      <c r="E140" t="s">
        <v>13</v>
      </c>
      <c r="F140">
        <v>1000</v>
      </c>
      <c r="G140">
        <v>160</v>
      </c>
      <c r="H140">
        <v>160000</v>
      </c>
      <c r="I140" s="3">
        <v>45292.583333333336</v>
      </c>
      <c r="J140">
        <v>72</v>
      </c>
      <c r="K140" s="3">
        <v>45295.583333333336</v>
      </c>
      <c r="L140" s="4">
        <f>ROUNDDOWN(Table1[[#This Row],[Ordered]],0)</f>
        <v>45292</v>
      </c>
      <c r="M140" s="4">
        <f>Table1[[#This Row],[Date ]]</f>
        <v>45292</v>
      </c>
      <c r="N140" s="5">
        <f>Table1[[#This Row],[Ordered]]-Table1[[#This Row],[Date ]]</f>
        <v>0.54166666666424135</v>
      </c>
      <c r="O140">
        <f>Table1[[#This Row],[Company]]</f>
        <v>6</v>
      </c>
      <c r="P140">
        <f>IF(((Table1[[#This Row],[Arrived]]-Table1[[#This Row],[Delivery]])*24-Table1[[#This Row],[Promised]])&lt;0, 0, (Table1[[#This Row],[Arrived]]-Table1[[#This Row],[Delivery]])*24-Table1[[#This Row],[Promised]])</f>
        <v>0</v>
      </c>
      <c r="Q140"/>
    </row>
    <row r="141" spans="1:17" x14ac:dyDescent="0.45">
      <c r="A141" s="3">
        <v>45292.541666666664</v>
      </c>
      <c r="B141" t="s">
        <v>14</v>
      </c>
      <c r="C141">
        <v>9</v>
      </c>
      <c r="D141">
        <v>1007</v>
      </c>
      <c r="E141" t="s">
        <v>16</v>
      </c>
      <c r="F141">
        <v>30</v>
      </c>
      <c r="G141">
        <v>3550</v>
      </c>
      <c r="H141">
        <v>106500</v>
      </c>
      <c r="I141" s="3">
        <v>45293.5</v>
      </c>
      <c r="J141">
        <v>96</v>
      </c>
      <c r="K141" s="3">
        <v>45296.5</v>
      </c>
      <c r="L141" s="4">
        <f>ROUNDDOWN(Table1[[#This Row],[Ordered]],0)</f>
        <v>45292</v>
      </c>
      <c r="M141" s="4">
        <f>Table1[[#This Row],[Date ]]</f>
        <v>45292</v>
      </c>
      <c r="N141" s="5">
        <f>Table1[[#This Row],[Ordered]]-Table1[[#This Row],[Date ]]</f>
        <v>0.54166666666424135</v>
      </c>
      <c r="O141">
        <f>Table1[[#This Row],[Company]]</f>
        <v>9</v>
      </c>
      <c r="P141">
        <f>IF(((Table1[[#This Row],[Arrived]]-Table1[[#This Row],[Delivery]])*24-Table1[[#This Row],[Promised]])&lt;0, 0, (Table1[[#This Row],[Arrived]]-Table1[[#This Row],[Delivery]])*24-Table1[[#This Row],[Promised]])</f>
        <v>0</v>
      </c>
      <c r="Q141"/>
    </row>
    <row r="142" spans="1:17" x14ac:dyDescent="0.45">
      <c r="A142" s="3">
        <v>45292.541666666664</v>
      </c>
      <c r="B142" t="s">
        <v>14</v>
      </c>
      <c r="C142">
        <v>11</v>
      </c>
      <c r="D142">
        <v>1007</v>
      </c>
      <c r="E142" t="s">
        <v>16</v>
      </c>
      <c r="F142">
        <v>30</v>
      </c>
      <c r="G142">
        <v>3750</v>
      </c>
      <c r="H142">
        <v>112500</v>
      </c>
      <c r="I142" s="3">
        <v>45292.833333333336</v>
      </c>
      <c r="J142">
        <v>96</v>
      </c>
      <c r="K142" s="3">
        <v>45295.833333333336</v>
      </c>
      <c r="L142" s="4">
        <f>ROUNDDOWN(Table1[[#This Row],[Ordered]],0)</f>
        <v>45292</v>
      </c>
      <c r="M142" s="4">
        <f>Table1[[#This Row],[Date ]]</f>
        <v>45292</v>
      </c>
      <c r="N142" s="5">
        <f>Table1[[#This Row],[Ordered]]-Table1[[#This Row],[Date ]]</f>
        <v>0.54166666666424135</v>
      </c>
      <c r="O142">
        <f>Table1[[#This Row],[Company]]</f>
        <v>11</v>
      </c>
      <c r="P142">
        <f>IF(((Table1[[#This Row],[Arrived]]-Table1[[#This Row],[Delivery]])*24-Table1[[#This Row],[Promised]])&lt;0, 0, (Table1[[#This Row],[Arrived]]-Table1[[#This Row],[Delivery]])*24-Table1[[#This Row],[Promised]])</f>
        <v>0</v>
      </c>
      <c r="Q142"/>
    </row>
    <row r="143" spans="1:17" x14ac:dyDescent="0.45">
      <c r="A143" s="3">
        <v>45292.541666666664</v>
      </c>
      <c r="B143" t="s">
        <v>14</v>
      </c>
      <c r="C143">
        <v>12</v>
      </c>
      <c r="D143">
        <v>1007</v>
      </c>
      <c r="E143" t="s">
        <v>16</v>
      </c>
      <c r="F143">
        <v>30</v>
      </c>
      <c r="G143">
        <v>3750</v>
      </c>
      <c r="H143">
        <v>112500</v>
      </c>
      <c r="I143" s="3">
        <v>45292.666666666664</v>
      </c>
      <c r="J143">
        <v>96</v>
      </c>
      <c r="K143" s="3">
        <v>45295.666666666664</v>
      </c>
      <c r="L143" s="4">
        <f>ROUNDDOWN(Table1[[#This Row],[Ordered]],0)</f>
        <v>45292</v>
      </c>
      <c r="M143" s="4">
        <f>Table1[[#This Row],[Date ]]</f>
        <v>45292</v>
      </c>
      <c r="N143" s="5">
        <f>Table1[[#This Row],[Ordered]]-Table1[[#This Row],[Date ]]</f>
        <v>0.54166666666424135</v>
      </c>
      <c r="O143">
        <f>Table1[[#This Row],[Company]]</f>
        <v>12</v>
      </c>
      <c r="P143">
        <f>IF(((Table1[[#This Row],[Arrived]]-Table1[[#This Row],[Delivery]])*24-Table1[[#This Row],[Promised]])&lt;0, 0, (Table1[[#This Row],[Arrived]]-Table1[[#This Row],[Delivery]])*24-Table1[[#This Row],[Promised]])</f>
        <v>0</v>
      </c>
      <c r="Q143"/>
    </row>
    <row r="144" spans="1:17" x14ac:dyDescent="0.45">
      <c r="A144" s="3">
        <v>45292.541666666664</v>
      </c>
      <c r="B144" t="s">
        <v>14</v>
      </c>
      <c r="C144">
        <v>13</v>
      </c>
      <c r="D144">
        <v>1007</v>
      </c>
      <c r="E144" t="s">
        <v>16</v>
      </c>
      <c r="F144">
        <v>30</v>
      </c>
      <c r="G144">
        <v>3750</v>
      </c>
      <c r="H144">
        <v>112500</v>
      </c>
      <c r="I144" s="3">
        <v>45292.958333333336</v>
      </c>
      <c r="J144">
        <v>96</v>
      </c>
      <c r="K144" s="3">
        <v>45296.041666666664</v>
      </c>
      <c r="L144" s="4">
        <f>ROUNDDOWN(Table1[[#This Row],[Ordered]],0)</f>
        <v>45292</v>
      </c>
      <c r="M144" s="4">
        <f>Table1[[#This Row],[Date ]]</f>
        <v>45292</v>
      </c>
      <c r="N144" s="5">
        <f>Table1[[#This Row],[Ordered]]-Table1[[#This Row],[Date ]]</f>
        <v>0.54166666666424135</v>
      </c>
      <c r="O144">
        <f>Table1[[#This Row],[Company]]</f>
        <v>13</v>
      </c>
      <c r="P144">
        <f>IF(((Table1[[#This Row],[Arrived]]-Table1[[#This Row],[Delivery]])*24-Table1[[#This Row],[Promised]])&lt;0, 0, (Table1[[#This Row],[Arrived]]-Table1[[#This Row],[Delivery]])*24-Table1[[#This Row],[Promised]])</f>
        <v>0</v>
      </c>
      <c r="Q144"/>
    </row>
    <row r="145" spans="1:17" hidden="1" x14ac:dyDescent="0.45">
      <c r="A145" s="3">
        <v>45292.583333333336</v>
      </c>
      <c r="B145" t="s">
        <v>12</v>
      </c>
      <c r="C145">
        <v>5</v>
      </c>
      <c r="D145">
        <v>13</v>
      </c>
      <c r="E145" t="s">
        <v>17</v>
      </c>
      <c r="F145">
        <v>500</v>
      </c>
      <c r="G145">
        <v>1020</v>
      </c>
      <c r="H145">
        <v>510000</v>
      </c>
      <c r="I145" s="3">
        <v>45292.666666666664</v>
      </c>
      <c r="J145">
        <v>24</v>
      </c>
      <c r="K145" s="3">
        <v>45293.666666666664</v>
      </c>
      <c r="L145" s="4">
        <f>ROUNDDOWN(Table1[[#This Row],[Ordered]],0)</f>
        <v>45292</v>
      </c>
      <c r="M145" s="4">
        <f>Table1[[#This Row],[Date ]]</f>
        <v>45292</v>
      </c>
      <c r="N145" s="5">
        <f>Table1[[#This Row],[Ordered]]-Table1[[#This Row],[Date ]]</f>
        <v>0.58333333333575865</v>
      </c>
      <c r="O145" s="5">
        <f>Table1[[#This Row],[Company]]</f>
        <v>5</v>
      </c>
      <c r="P145">
        <f>IF(((Table1[[#This Row],[Arrived]]-Table1[[#This Row],[Delivery]])*24-Table1[[#This Row],[Promised]])&lt;0, 0, (Table1[[#This Row],[Arrived]]-Table1[[#This Row],[Delivery]])*24-Table1[[#This Row],[Promised]])</f>
        <v>0</v>
      </c>
      <c r="Q145"/>
    </row>
    <row r="146" spans="1:17" x14ac:dyDescent="0.45">
      <c r="A146" s="3">
        <v>45292.625</v>
      </c>
      <c r="B146" t="s">
        <v>14</v>
      </c>
      <c r="C146">
        <v>7</v>
      </c>
      <c r="D146">
        <v>1007</v>
      </c>
      <c r="E146" t="s">
        <v>15</v>
      </c>
      <c r="F146">
        <v>8</v>
      </c>
      <c r="G146">
        <v>6650</v>
      </c>
      <c r="H146">
        <v>53200</v>
      </c>
      <c r="I146" s="3">
        <v>45293.041666666664</v>
      </c>
      <c r="J146">
        <v>96</v>
      </c>
      <c r="K146" s="3">
        <v>45296.041666666664</v>
      </c>
      <c r="L146" s="4">
        <f>ROUNDDOWN(Table1[[#This Row],[Ordered]],0)</f>
        <v>45292</v>
      </c>
      <c r="M146" s="4">
        <f>Table1[[#This Row],[Date ]]</f>
        <v>45292</v>
      </c>
      <c r="N146" s="5">
        <f>Table1[[#This Row],[Ordered]]-Table1[[#This Row],[Date ]]</f>
        <v>0.625</v>
      </c>
      <c r="O146">
        <f>Table1[[#This Row],[Company]]</f>
        <v>7</v>
      </c>
      <c r="P146">
        <f>IF(((Table1[[#This Row],[Arrived]]-Table1[[#This Row],[Delivery]])*24-Table1[[#This Row],[Promised]])&lt;0, 0, (Table1[[#This Row],[Arrived]]-Table1[[#This Row],[Delivery]])*24-Table1[[#This Row],[Promised]])</f>
        <v>0</v>
      </c>
      <c r="Q146"/>
    </row>
    <row r="147" spans="1:17" x14ac:dyDescent="0.45">
      <c r="A147" s="3">
        <v>45292.625</v>
      </c>
      <c r="B147" t="s">
        <v>14</v>
      </c>
      <c r="C147">
        <v>16</v>
      </c>
      <c r="D147">
        <v>1007</v>
      </c>
      <c r="E147" t="s">
        <v>15</v>
      </c>
      <c r="F147">
        <v>8</v>
      </c>
      <c r="G147">
        <v>6650</v>
      </c>
      <c r="H147">
        <v>53200</v>
      </c>
      <c r="I147" s="3">
        <v>45292.75</v>
      </c>
      <c r="J147">
        <v>96</v>
      </c>
      <c r="K147" s="3">
        <v>45295.75</v>
      </c>
      <c r="L147" s="4">
        <f>ROUNDDOWN(Table1[[#This Row],[Ordered]],0)</f>
        <v>45292</v>
      </c>
      <c r="M147" s="4">
        <f>Table1[[#This Row],[Date ]]</f>
        <v>45292</v>
      </c>
      <c r="N147" s="5">
        <f>Table1[[#This Row],[Ordered]]-Table1[[#This Row],[Date ]]</f>
        <v>0.625</v>
      </c>
      <c r="O147">
        <f>Table1[[#This Row],[Company]]</f>
        <v>16</v>
      </c>
      <c r="P147">
        <f>IF(((Table1[[#This Row],[Arrived]]-Table1[[#This Row],[Delivery]])*24-Table1[[#This Row],[Promised]])&lt;0, 0, (Table1[[#This Row],[Arrived]]-Table1[[#This Row],[Delivery]])*24-Table1[[#This Row],[Promised]])</f>
        <v>0</v>
      </c>
      <c r="Q147"/>
    </row>
    <row r="148" spans="1:17" x14ac:dyDescent="0.45">
      <c r="A148" s="3">
        <v>45292.625</v>
      </c>
      <c r="B148" t="s">
        <v>14</v>
      </c>
      <c r="C148">
        <v>10</v>
      </c>
      <c r="D148">
        <v>1007</v>
      </c>
      <c r="E148" t="s">
        <v>15</v>
      </c>
      <c r="F148">
        <v>8</v>
      </c>
      <c r="G148">
        <v>6650</v>
      </c>
      <c r="H148">
        <v>53200</v>
      </c>
      <c r="I148" s="3">
        <v>45292.625</v>
      </c>
      <c r="J148">
        <v>96</v>
      </c>
      <c r="K148" s="3">
        <v>45295.625</v>
      </c>
      <c r="L148" s="4">
        <f>ROUNDDOWN(Table1[[#This Row],[Ordered]],0)</f>
        <v>45292</v>
      </c>
      <c r="M148" s="4">
        <f>Table1[[#This Row],[Date ]]</f>
        <v>45292</v>
      </c>
      <c r="N148" s="5">
        <f>Table1[[#This Row],[Ordered]]-Table1[[#This Row],[Date ]]</f>
        <v>0.625</v>
      </c>
      <c r="O148">
        <f>Table1[[#This Row],[Company]]</f>
        <v>10</v>
      </c>
      <c r="P148">
        <f>IF(((Table1[[#This Row],[Arrived]]-Table1[[#This Row],[Delivery]])*24-Table1[[#This Row],[Promised]])&lt;0, 0, (Table1[[#This Row],[Arrived]]-Table1[[#This Row],[Delivery]])*24-Table1[[#This Row],[Promised]])</f>
        <v>0</v>
      </c>
      <c r="Q148"/>
    </row>
    <row r="149" spans="1:17" x14ac:dyDescent="0.45">
      <c r="A149" s="3">
        <v>45292.625</v>
      </c>
      <c r="B149" t="s">
        <v>14</v>
      </c>
      <c r="C149">
        <v>15</v>
      </c>
      <c r="D149">
        <v>1007</v>
      </c>
      <c r="E149" t="s">
        <v>15</v>
      </c>
      <c r="F149">
        <v>8</v>
      </c>
      <c r="G149">
        <v>6650</v>
      </c>
      <c r="H149">
        <v>53200</v>
      </c>
      <c r="I149" s="3">
        <v>45293.125</v>
      </c>
      <c r="J149">
        <v>96</v>
      </c>
      <c r="K149" s="3">
        <v>45296.125</v>
      </c>
      <c r="L149" s="4">
        <f>ROUNDDOWN(Table1[[#This Row],[Ordered]],0)</f>
        <v>45292</v>
      </c>
      <c r="M149" s="4">
        <f>Table1[[#This Row],[Date ]]</f>
        <v>45292</v>
      </c>
      <c r="N149" s="5">
        <f>Table1[[#This Row],[Ordered]]-Table1[[#This Row],[Date ]]</f>
        <v>0.625</v>
      </c>
      <c r="O149">
        <f>Table1[[#This Row],[Company]]</f>
        <v>15</v>
      </c>
      <c r="P149">
        <f>IF(((Table1[[#This Row],[Arrived]]-Table1[[#This Row],[Delivery]])*24-Table1[[#This Row],[Promised]])&lt;0, 0, (Table1[[#This Row],[Arrived]]-Table1[[#This Row],[Delivery]])*24-Table1[[#This Row],[Promised]])</f>
        <v>0</v>
      </c>
      <c r="Q149"/>
    </row>
    <row r="150" spans="1:17" x14ac:dyDescent="0.45">
      <c r="A150" s="3">
        <v>45292.625</v>
      </c>
      <c r="B150" t="s">
        <v>14</v>
      </c>
      <c r="C150">
        <v>8</v>
      </c>
      <c r="D150">
        <v>1007</v>
      </c>
      <c r="E150" t="s">
        <v>15</v>
      </c>
      <c r="F150">
        <v>8</v>
      </c>
      <c r="G150">
        <v>6650</v>
      </c>
      <c r="H150">
        <v>53200</v>
      </c>
      <c r="I150" s="3">
        <v>45293.458333333336</v>
      </c>
      <c r="J150">
        <v>96</v>
      </c>
      <c r="K150" s="3">
        <v>45296.458333333336</v>
      </c>
      <c r="L150" s="4">
        <f>ROUNDDOWN(Table1[[#This Row],[Ordered]],0)</f>
        <v>45292</v>
      </c>
      <c r="M150" s="4">
        <f>Table1[[#This Row],[Date ]]</f>
        <v>45292</v>
      </c>
      <c r="N150" s="5">
        <f>Table1[[#This Row],[Ordered]]-Table1[[#This Row],[Date ]]</f>
        <v>0.625</v>
      </c>
      <c r="O150">
        <f>Table1[[#This Row],[Company]]</f>
        <v>8</v>
      </c>
      <c r="P150">
        <f>IF(((Table1[[#This Row],[Arrived]]-Table1[[#This Row],[Delivery]])*24-Table1[[#This Row],[Promised]])&lt;0, 0, (Table1[[#This Row],[Arrived]]-Table1[[#This Row],[Delivery]])*24-Table1[[#This Row],[Promised]])</f>
        <v>0</v>
      </c>
      <c r="Q150"/>
    </row>
    <row r="151" spans="1:17" x14ac:dyDescent="0.45">
      <c r="A151" s="3">
        <v>45292.625</v>
      </c>
      <c r="B151" t="s">
        <v>14</v>
      </c>
      <c r="C151">
        <v>11</v>
      </c>
      <c r="D151">
        <v>1007</v>
      </c>
      <c r="E151" t="s">
        <v>15</v>
      </c>
      <c r="F151">
        <v>8</v>
      </c>
      <c r="G151">
        <v>6650</v>
      </c>
      <c r="H151">
        <v>53200</v>
      </c>
      <c r="I151" s="3">
        <v>45292.875</v>
      </c>
      <c r="J151">
        <v>96</v>
      </c>
      <c r="K151" s="3">
        <v>45295.875</v>
      </c>
      <c r="L151" s="4">
        <f>ROUNDDOWN(Table1[[#This Row],[Ordered]],0)</f>
        <v>45292</v>
      </c>
      <c r="M151" s="4">
        <f>Table1[[#This Row],[Date ]]</f>
        <v>45292</v>
      </c>
      <c r="N151" s="5">
        <f>Table1[[#This Row],[Ordered]]-Table1[[#This Row],[Date ]]</f>
        <v>0.625</v>
      </c>
      <c r="O151">
        <f>Table1[[#This Row],[Company]]</f>
        <v>11</v>
      </c>
      <c r="P151">
        <f>IF(((Table1[[#This Row],[Arrived]]-Table1[[#This Row],[Delivery]])*24-Table1[[#This Row],[Promised]])&lt;0, 0, (Table1[[#This Row],[Arrived]]-Table1[[#This Row],[Delivery]])*24-Table1[[#This Row],[Promised]])</f>
        <v>0</v>
      </c>
      <c r="Q151"/>
    </row>
    <row r="152" spans="1:17" x14ac:dyDescent="0.45">
      <c r="A152" s="3">
        <v>45292.625</v>
      </c>
      <c r="B152" t="s">
        <v>14</v>
      </c>
      <c r="C152">
        <v>14</v>
      </c>
      <c r="D152">
        <v>1007</v>
      </c>
      <c r="E152" t="s">
        <v>15</v>
      </c>
      <c r="F152">
        <v>8</v>
      </c>
      <c r="G152">
        <v>6650</v>
      </c>
      <c r="H152">
        <v>53200</v>
      </c>
      <c r="I152" s="3">
        <v>45292.708333333336</v>
      </c>
      <c r="J152">
        <v>96</v>
      </c>
      <c r="K152" s="3">
        <v>45295.708333333336</v>
      </c>
      <c r="L152" s="4">
        <f>ROUNDDOWN(Table1[[#This Row],[Ordered]],0)</f>
        <v>45292</v>
      </c>
      <c r="M152" s="4">
        <f>Table1[[#This Row],[Date ]]</f>
        <v>45292</v>
      </c>
      <c r="N152" s="5">
        <f>Table1[[#This Row],[Ordered]]-Table1[[#This Row],[Date ]]</f>
        <v>0.625</v>
      </c>
      <c r="O152">
        <f>Table1[[#This Row],[Company]]</f>
        <v>14</v>
      </c>
      <c r="P152">
        <f>IF(((Table1[[#This Row],[Arrived]]-Table1[[#This Row],[Delivery]])*24-Table1[[#This Row],[Promised]])&lt;0, 0, (Table1[[#This Row],[Arrived]]-Table1[[#This Row],[Delivery]])*24-Table1[[#This Row],[Promised]])</f>
        <v>0</v>
      </c>
      <c r="Q152"/>
    </row>
    <row r="153" spans="1:17" x14ac:dyDescent="0.45">
      <c r="A153" s="3">
        <v>45292.625</v>
      </c>
      <c r="B153" t="s">
        <v>14</v>
      </c>
      <c r="C153">
        <v>13</v>
      </c>
      <c r="D153">
        <v>1007</v>
      </c>
      <c r="E153" t="s">
        <v>15</v>
      </c>
      <c r="F153">
        <v>8</v>
      </c>
      <c r="G153">
        <v>6650</v>
      </c>
      <c r="H153">
        <v>53200</v>
      </c>
      <c r="I153" s="3">
        <v>45293.5</v>
      </c>
      <c r="J153">
        <v>96</v>
      </c>
      <c r="K153" s="3">
        <v>45296.5</v>
      </c>
      <c r="L153" s="4">
        <f>ROUNDDOWN(Table1[[#This Row],[Ordered]],0)</f>
        <v>45292</v>
      </c>
      <c r="M153" s="4">
        <f>Table1[[#This Row],[Date ]]</f>
        <v>45292</v>
      </c>
      <c r="N153" s="5">
        <f>Table1[[#This Row],[Ordered]]-Table1[[#This Row],[Date ]]</f>
        <v>0.625</v>
      </c>
      <c r="O153">
        <f>Table1[[#This Row],[Company]]</f>
        <v>13</v>
      </c>
      <c r="P153">
        <f>IF(((Table1[[#This Row],[Arrived]]-Table1[[#This Row],[Delivery]])*24-Table1[[#This Row],[Promised]])&lt;0, 0, (Table1[[#This Row],[Arrived]]-Table1[[#This Row],[Delivery]])*24-Table1[[#This Row],[Promised]])</f>
        <v>0</v>
      </c>
      <c r="Q153"/>
    </row>
    <row r="154" spans="1:17" x14ac:dyDescent="0.45">
      <c r="A154" s="3">
        <v>45292.625</v>
      </c>
      <c r="B154" t="s">
        <v>14</v>
      </c>
      <c r="C154">
        <v>9</v>
      </c>
      <c r="D154">
        <v>1007</v>
      </c>
      <c r="E154" t="s">
        <v>15</v>
      </c>
      <c r="F154">
        <v>8</v>
      </c>
      <c r="G154">
        <v>6650</v>
      </c>
      <c r="H154">
        <v>53200</v>
      </c>
      <c r="I154" s="3">
        <v>45293.583333333336</v>
      </c>
      <c r="J154">
        <v>96</v>
      </c>
      <c r="K154" s="3">
        <v>45296.583333333336</v>
      </c>
      <c r="L154" s="4">
        <f>ROUNDDOWN(Table1[[#This Row],[Ordered]],0)</f>
        <v>45292</v>
      </c>
      <c r="M154" s="4">
        <f>Table1[[#This Row],[Date ]]</f>
        <v>45292</v>
      </c>
      <c r="N154" s="5">
        <f>Table1[[#This Row],[Ordered]]-Table1[[#This Row],[Date ]]</f>
        <v>0.625</v>
      </c>
      <c r="O154">
        <f>Table1[[#This Row],[Company]]</f>
        <v>9</v>
      </c>
      <c r="P154">
        <f>IF(((Table1[[#This Row],[Arrived]]-Table1[[#This Row],[Delivery]])*24-Table1[[#This Row],[Promised]])&lt;0, 0, (Table1[[#This Row],[Arrived]]-Table1[[#This Row],[Delivery]])*24-Table1[[#This Row],[Promised]])</f>
        <v>0</v>
      </c>
      <c r="Q154"/>
    </row>
    <row r="155" spans="1:17" x14ac:dyDescent="0.45">
      <c r="A155" s="3">
        <v>45292.625</v>
      </c>
      <c r="B155" t="s">
        <v>14</v>
      </c>
      <c r="C155">
        <v>12</v>
      </c>
      <c r="D155">
        <v>1007</v>
      </c>
      <c r="E155" t="s">
        <v>15</v>
      </c>
      <c r="F155">
        <v>8</v>
      </c>
      <c r="G155">
        <v>6650</v>
      </c>
      <c r="H155">
        <v>53200</v>
      </c>
      <c r="I155" s="3">
        <v>45292.791666666664</v>
      </c>
      <c r="J155">
        <v>96</v>
      </c>
      <c r="K155" s="3">
        <v>45295.791666666664</v>
      </c>
      <c r="L155" s="4">
        <f>ROUNDDOWN(Table1[[#This Row],[Ordered]],0)</f>
        <v>45292</v>
      </c>
      <c r="M155" s="4">
        <f>Table1[[#This Row],[Date ]]</f>
        <v>45292</v>
      </c>
      <c r="N155" s="5">
        <f>Table1[[#This Row],[Ordered]]-Table1[[#This Row],[Date ]]</f>
        <v>0.625</v>
      </c>
      <c r="O155">
        <f>Table1[[#This Row],[Company]]</f>
        <v>12</v>
      </c>
      <c r="P155">
        <f>IF(((Table1[[#This Row],[Arrived]]-Table1[[#This Row],[Delivery]])*24-Table1[[#This Row],[Promised]])&lt;0, 0, (Table1[[#This Row],[Arrived]]-Table1[[#This Row],[Delivery]])*24-Table1[[#This Row],[Promised]])</f>
        <v>0</v>
      </c>
      <c r="Q155"/>
    </row>
    <row r="156" spans="1:17" hidden="1" x14ac:dyDescent="0.45">
      <c r="A156" s="3">
        <v>45292.625</v>
      </c>
      <c r="B156" t="s">
        <v>12</v>
      </c>
      <c r="C156">
        <v>5</v>
      </c>
      <c r="D156">
        <v>13</v>
      </c>
      <c r="E156" t="s">
        <v>13</v>
      </c>
      <c r="F156">
        <v>3000</v>
      </c>
      <c r="G156">
        <v>147</v>
      </c>
      <c r="H156">
        <v>441000</v>
      </c>
      <c r="I156" s="3">
        <v>45292.708333333336</v>
      </c>
      <c r="J156">
        <v>24</v>
      </c>
      <c r="K156" s="3">
        <v>45293.708333333336</v>
      </c>
      <c r="L156" s="4">
        <f>ROUNDDOWN(Table1[[#This Row],[Ordered]],0)</f>
        <v>45292</v>
      </c>
      <c r="M156" s="4">
        <f>Table1[[#This Row],[Date ]]</f>
        <v>45292</v>
      </c>
      <c r="N156" s="5">
        <f>Table1[[#This Row],[Ordered]]-Table1[[#This Row],[Date ]]</f>
        <v>0.625</v>
      </c>
      <c r="O156">
        <f>Table1[[#This Row],[Company]]</f>
        <v>5</v>
      </c>
      <c r="P156">
        <f>IF(((Table1[[#This Row],[Arrived]]-Table1[[#This Row],[Delivery]])*24-Table1[[#This Row],[Promised]])&lt;0, 0, (Table1[[#This Row],[Arrived]]-Table1[[#This Row],[Delivery]])*24-Table1[[#This Row],[Promised]])</f>
        <v>0</v>
      </c>
      <c r="Q156"/>
    </row>
    <row r="157" spans="1:17" x14ac:dyDescent="0.45">
      <c r="A157" s="3">
        <v>45292.666666666664</v>
      </c>
      <c r="B157" t="s">
        <v>14</v>
      </c>
      <c r="C157">
        <v>8</v>
      </c>
      <c r="D157">
        <v>1009</v>
      </c>
      <c r="E157" t="s">
        <v>15</v>
      </c>
      <c r="F157">
        <v>3</v>
      </c>
      <c r="G157">
        <v>6650</v>
      </c>
      <c r="H157">
        <v>19950</v>
      </c>
      <c r="I157" s="3">
        <v>45293.458333333336</v>
      </c>
      <c r="J157">
        <v>96</v>
      </c>
      <c r="K157" s="3">
        <v>45296.458333333336</v>
      </c>
      <c r="L157" s="4">
        <f>ROUNDDOWN(Table1[[#This Row],[Ordered]],0)</f>
        <v>45292</v>
      </c>
      <c r="M157" s="4">
        <f>Table1[[#This Row],[Date ]]</f>
        <v>45292</v>
      </c>
      <c r="N157" s="5">
        <f>Table1[[#This Row],[Ordered]]-Table1[[#This Row],[Date ]]</f>
        <v>0.66666666666424135</v>
      </c>
      <c r="O157">
        <f>Table1[[#This Row],[Company]]</f>
        <v>8</v>
      </c>
      <c r="P157">
        <f>IF(((Table1[[#This Row],[Arrived]]-Table1[[#This Row],[Delivery]])*24-Table1[[#This Row],[Promised]])&lt;0, 0, (Table1[[#This Row],[Arrived]]-Table1[[#This Row],[Delivery]])*24-Table1[[#This Row],[Promised]])</f>
        <v>0</v>
      </c>
      <c r="Q157"/>
    </row>
    <row r="158" spans="1:17" x14ac:dyDescent="0.45">
      <c r="A158" s="3">
        <v>45292.666666666664</v>
      </c>
      <c r="B158" t="s">
        <v>14</v>
      </c>
      <c r="C158">
        <v>10</v>
      </c>
      <c r="D158">
        <v>1009</v>
      </c>
      <c r="E158" t="s">
        <v>15</v>
      </c>
      <c r="F158">
        <v>3</v>
      </c>
      <c r="G158">
        <v>6650</v>
      </c>
      <c r="H158">
        <v>19950</v>
      </c>
      <c r="I158" s="3">
        <v>45292.666666666664</v>
      </c>
      <c r="J158">
        <v>96</v>
      </c>
      <c r="K158" s="3">
        <v>45295.666666666664</v>
      </c>
      <c r="L158" s="4">
        <f>ROUNDDOWN(Table1[[#This Row],[Ordered]],0)</f>
        <v>45292</v>
      </c>
      <c r="M158" s="4">
        <f>Table1[[#This Row],[Date ]]</f>
        <v>45292</v>
      </c>
      <c r="N158" s="5">
        <f>Table1[[#This Row],[Ordered]]-Table1[[#This Row],[Date ]]</f>
        <v>0.66666666666424135</v>
      </c>
      <c r="O158">
        <f>Table1[[#This Row],[Company]]</f>
        <v>10</v>
      </c>
      <c r="P158">
        <f>IF(((Table1[[#This Row],[Arrived]]-Table1[[#This Row],[Delivery]])*24-Table1[[#This Row],[Promised]])&lt;0, 0, (Table1[[#This Row],[Arrived]]-Table1[[#This Row],[Delivery]])*24-Table1[[#This Row],[Promised]])</f>
        <v>0</v>
      </c>
      <c r="Q158"/>
    </row>
    <row r="159" spans="1:17" x14ac:dyDescent="0.45">
      <c r="A159" s="3">
        <v>45292.666666666664</v>
      </c>
      <c r="B159" t="s">
        <v>14</v>
      </c>
      <c r="C159">
        <v>7</v>
      </c>
      <c r="D159">
        <v>1009</v>
      </c>
      <c r="E159" t="s">
        <v>15</v>
      </c>
      <c r="F159">
        <v>3</v>
      </c>
      <c r="G159">
        <v>6650</v>
      </c>
      <c r="H159">
        <v>19950</v>
      </c>
      <c r="I159" s="3">
        <v>45293.083333333336</v>
      </c>
      <c r="J159">
        <v>96</v>
      </c>
      <c r="K159" s="3">
        <v>45296.083333333336</v>
      </c>
      <c r="L159" s="4">
        <f>ROUNDDOWN(Table1[[#This Row],[Ordered]],0)</f>
        <v>45292</v>
      </c>
      <c r="M159" s="4">
        <f>Table1[[#This Row],[Date ]]</f>
        <v>45292</v>
      </c>
      <c r="N159" s="5">
        <f>Table1[[#This Row],[Ordered]]-Table1[[#This Row],[Date ]]</f>
        <v>0.66666666666424135</v>
      </c>
      <c r="O159">
        <f>Table1[[#This Row],[Company]]</f>
        <v>7</v>
      </c>
      <c r="P159">
        <f>IF(((Table1[[#This Row],[Arrived]]-Table1[[#This Row],[Delivery]])*24-Table1[[#This Row],[Promised]])&lt;0, 0, (Table1[[#This Row],[Arrived]]-Table1[[#This Row],[Delivery]])*24-Table1[[#This Row],[Promised]])</f>
        <v>0</v>
      </c>
      <c r="Q159"/>
    </row>
    <row r="160" spans="1:17" x14ac:dyDescent="0.45">
      <c r="A160" s="3">
        <v>45292.666666666664</v>
      </c>
      <c r="B160" t="s">
        <v>14</v>
      </c>
      <c r="C160">
        <v>16</v>
      </c>
      <c r="D160">
        <v>1009</v>
      </c>
      <c r="E160" t="s">
        <v>15</v>
      </c>
      <c r="F160">
        <v>3</v>
      </c>
      <c r="G160">
        <v>6650</v>
      </c>
      <c r="H160">
        <v>19950</v>
      </c>
      <c r="I160" s="3">
        <v>45292.75</v>
      </c>
      <c r="J160">
        <v>96</v>
      </c>
      <c r="K160" s="3">
        <v>45295.75</v>
      </c>
      <c r="L160" s="4">
        <f>ROUNDDOWN(Table1[[#This Row],[Ordered]],0)</f>
        <v>45292</v>
      </c>
      <c r="M160" s="4">
        <f>Table1[[#This Row],[Date ]]</f>
        <v>45292</v>
      </c>
      <c r="N160" s="5">
        <f>Table1[[#This Row],[Ordered]]-Table1[[#This Row],[Date ]]</f>
        <v>0.66666666666424135</v>
      </c>
      <c r="O160">
        <f>Table1[[#This Row],[Company]]</f>
        <v>16</v>
      </c>
      <c r="P160">
        <f>IF(((Table1[[#This Row],[Arrived]]-Table1[[#This Row],[Delivery]])*24-Table1[[#This Row],[Promised]])&lt;0, 0, (Table1[[#This Row],[Arrived]]-Table1[[#This Row],[Delivery]])*24-Table1[[#This Row],[Promised]])</f>
        <v>0</v>
      </c>
      <c r="Q160"/>
    </row>
    <row r="161" spans="1:17" x14ac:dyDescent="0.45">
      <c r="A161" s="3">
        <v>45292.666666666664</v>
      </c>
      <c r="B161" t="s">
        <v>14</v>
      </c>
      <c r="C161">
        <v>14</v>
      </c>
      <c r="D161">
        <v>1009</v>
      </c>
      <c r="E161" t="s">
        <v>15</v>
      </c>
      <c r="F161">
        <v>3</v>
      </c>
      <c r="G161">
        <v>6650</v>
      </c>
      <c r="H161">
        <v>19950</v>
      </c>
      <c r="I161" s="3">
        <v>45292.916666666664</v>
      </c>
      <c r="J161">
        <v>96</v>
      </c>
      <c r="K161" s="3">
        <v>45295.958333333336</v>
      </c>
      <c r="L161" s="4">
        <f>ROUNDDOWN(Table1[[#This Row],[Ordered]],0)</f>
        <v>45292</v>
      </c>
      <c r="M161" s="4">
        <f>Table1[[#This Row],[Date ]]</f>
        <v>45292</v>
      </c>
      <c r="N161" s="5">
        <f>Table1[[#This Row],[Ordered]]-Table1[[#This Row],[Date ]]</f>
        <v>0.66666666666424135</v>
      </c>
      <c r="O161">
        <f>Table1[[#This Row],[Company]]</f>
        <v>14</v>
      </c>
      <c r="P161">
        <f>IF(((Table1[[#This Row],[Arrived]]-Table1[[#This Row],[Delivery]])*24-Table1[[#This Row],[Promised]])&lt;0, 0, (Table1[[#This Row],[Arrived]]-Table1[[#This Row],[Delivery]])*24-Table1[[#This Row],[Promised]])</f>
        <v>0</v>
      </c>
      <c r="Q161"/>
    </row>
    <row r="162" spans="1:17" x14ac:dyDescent="0.45">
      <c r="A162" s="3">
        <v>45292.666666666664</v>
      </c>
      <c r="B162" t="s">
        <v>14</v>
      </c>
      <c r="C162">
        <v>11</v>
      </c>
      <c r="D162">
        <v>1009</v>
      </c>
      <c r="E162" t="s">
        <v>15</v>
      </c>
      <c r="F162">
        <v>3</v>
      </c>
      <c r="G162">
        <v>6650</v>
      </c>
      <c r="H162">
        <v>19950</v>
      </c>
      <c r="I162" s="3">
        <v>45293.083333333336</v>
      </c>
      <c r="J162">
        <v>96</v>
      </c>
      <c r="K162" s="3">
        <v>45296.083333333336</v>
      </c>
      <c r="L162" s="4">
        <f>ROUNDDOWN(Table1[[#This Row],[Ordered]],0)</f>
        <v>45292</v>
      </c>
      <c r="M162" s="4">
        <f>Table1[[#This Row],[Date ]]</f>
        <v>45292</v>
      </c>
      <c r="N162" s="5">
        <f>Table1[[#This Row],[Ordered]]-Table1[[#This Row],[Date ]]</f>
        <v>0.66666666666424135</v>
      </c>
      <c r="O162">
        <f>Table1[[#This Row],[Company]]</f>
        <v>11</v>
      </c>
      <c r="P162">
        <f>IF(((Table1[[#This Row],[Arrived]]-Table1[[#This Row],[Delivery]])*24-Table1[[#This Row],[Promised]])&lt;0, 0, (Table1[[#This Row],[Arrived]]-Table1[[#This Row],[Delivery]])*24-Table1[[#This Row],[Promised]])</f>
        <v>0</v>
      </c>
      <c r="Q162"/>
    </row>
    <row r="163" spans="1:17" x14ac:dyDescent="0.45">
      <c r="A163" s="3">
        <v>45292.666666666664</v>
      </c>
      <c r="B163" t="s">
        <v>14</v>
      </c>
      <c r="C163">
        <v>15</v>
      </c>
      <c r="D163">
        <v>1009</v>
      </c>
      <c r="E163" t="s">
        <v>15</v>
      </c>
      <c r="F163">
        <v>3</v>
      </c>
      <c r="G163">
        <v>6650</v>
      </c>
      <c r="H163">
        <v>19950</v>
      </c>
      <c r="I163" s="3">
        <v>45293.125</v>
      </c>
      <c r="J163">
        <v>96</v>
      </c>
      <c r="K163" s="3">
        <v>45296.125</v>
      </c>
      <c r="L163" s="4">
        <f>ROUNDDOWN(Table1[[#This Row],[Ordered]],0)</f>
        <v>45292</v>
      </c>
      <c r="M163" s="4">
        <f>Table1[[#This Row],[Date ]]</f>
        <v>45292</v>
      </c>
      <c r="N163" s="5">
        <f>Table1[[#This Row],[Ordered]]-Table1[[#This Row],[Date ]]</f>
        <v>0.66666666666424135</v>
      </c>
      <c r="O163">
        <f>Table1[[#This Row],[Company]]</f>
        <v>15</v>
      </c>
      <c r="P163">
        <f>IF(((Table1[[#This Row],[Arrived]]-Table1[[#This Row],[Delivery]])*24-Table1[[#This Row],[Promised]])&lt;0, 0, (Table1[[#This Row],[Arrived]]-Table1[[#This Row],[Delivery]])*24-Table1[[#This Row],[Promised]])</f>
        <v>0</v>
      </c>
      <c r="Q163"/>
    </row>
    <row r="164" spans="1:17" x14ac:dyDescent="0.45">
      <c r="A164" s="3">
        <v>45292.666666666664</v>
      </c>
      <c r="B164" t="s">
        <v>14</v>
      </c>
      <c r="C164">
        <v>13</v>
      </c>
      <c r="D164">
        <v>1009</v>
      </c>
      <c r="E164" t="s">
        <v>15</v>
      </c>
      <c r="F164">
        <v>3</v>
      </c>
      <c r="G164">
        <v>6650</v>
      </c>
      <c r="H164">
        <v>19950</v>
      </c>
      <c r="I164" s="3">
        <v>45293.5</v>
      </c>
      <c r="J164">
        <v>96</v>
      </c>
      <c r="K164" s="3">
        <v>45296.5</v>
      </c>
      <c r="L164" s="4">
        <f>ROUNDDOWN(Table1[[#This Row],[Ordered]],0)</f>
        <v>45292</v>
      </c>
      <c r="M164" s="4">
        <f>Table1[[#This Row],[Date ]]</f>
        <v>45292</v>
      </c>
      <c r="N164" s="5">
        <f>Table1[[#This Row],[Ordered]]-Table1[[#This Row],[Date ]]</f>
        <v>0.66666666666424135</v>
      </c>
      <c r="O164">
        <f>Table1[[#This Row],[Company]]</f>
        <v>13</v>
      </c>
      <c r="P164">
        <f>IF(((Table1[[#This Row],[Arrived]]-Table1[[#This Row],[Delivery]])*24-Table1[[#This Row],[Promised]])&lt;0, 0, (Table1[[#This Row],[Arrived]]-Table1[[#This Row],[Delivery]])*24-Table1[[#This Row],[Promised]])</f>
        <v>0</v>
      </c>
      <c r="Q164"/>
    </row>
    <row r="165" spans="1:17" x14ac:dyDescent="0.45">
      <c r="A165" s="3">
        <v>45292.666666666664</v>
      </c>
      <c r="B165" t="s">
        <v>14</v>
      </c>
      <c r="C165">
        <v>9</v>
      </c>
      <c r="D165">
        <v>1009</v>
      </c>
      <c r="E165" t="s">
        <v>15</v>
      </c>
      <c r="F165">
        <v>3</v>
      </c>
      <c r="G165">
        <v>6650</v>
      </c>
      <c r="H165">
        <v>19950</v>
      </c>
      <c r="I165" s="3">
        <v>45293.583333333336</v>
      </c>
      <c r="J165">
        <v>96</v>
      </c>
      <c r="K165" s="3">
        <v>45296.583333333336</v>
      </c>
      <c r="L165" s="4">
        <f>ROUNDDOWN(Table1[[#This Row],[Ordered]],0)</f>
        <v>45292</v>
      </c>
      <c r="M165" s="4">
        <f>Table1[[#This Row],[Date ]]</f>
        <v>45292</v>
      </c>
      <c r="N165" s="5">
        <f>Table1[[#This Row],[Ordered]]-Table1[[#This Row],[Date ]]</f>
        <v>0.66666666666424135</v>
      </c>
      <c r="O165">
        <f>Table1[[#This Row],[Company]]</f>
        <v>9</v>
      </c>
      <c r="P165">
        <f>IF(((Table1[[#This Row],[Arrived]]-Table1[[#This Row],[Delivery]])*24-Table1[[#This Row],[Promised]])&lt;0, 0, (Table1[[#This Row],[Arrived]]-Table1[[#This Row],[Delivery]])*24-Table1[[#This Row],[Promised]])</f>
        <v>0</v>
      </c>
      <c r="Q165"/>
    </row>
    <row r="166" spans="1:17" x14ac:dyDescent="0.45">
      <c r="A166" s="3">
        <v>45292.666666666664</v>
      </c>
      <c r="B166" t="s">
        <v>14</v>
      </c>
      <c r="C166">
        <v>12</v>
      </c>
      <c r="D166">
        <v>1009</v>
      </c>
      <c r="E166" t="s">
        <v>15</v>
      </c>
      <c r="F166">
        <v>3</v>
      </c>
      <c r="G166">
        <v>6650</v>
      </c>
      <c r="H166">
        <v>19950</v>
      </c>
      <c r="I166" s="3">
        <v>45294</v>
      </c>
      <c r="J166">
        <v>96</v>
      </c>
      <c r="K166" s="3">
        <v>45296</v>
      </c>
      <c r="L166" s="4">
        <f>ROUNDDOWN(Table1[[#This Row],[Ordered]],0)</f>
        <v>45292</v>
      </c>
      <c r="M166" s="4">
        <f>Table1[[#This Row],[Date ]]</f>
        <v>45292</v>
      </c>
      <c r="N166" s="5">
        <f>Table1[[#This Row],[Ordered]]-Table1[[#This Row],[Date ]]</f>
        <v>0.66666666666424135</v>
      </c>
      <c r="O166">
        <f>Table1[[#This Row],[Company]]</f>
        <v>12</v>
      </c>
      <c r="P166">
        <f>IF(((Table1[[#This Row],[Arrived]]-Table1[[#This Row],[Delivery]])*24-Table1[[#This Row],[Promised]])&lt;0, 0, (Table1[[#This Row],[Arrived]]-Table1[[#This Row],[Delivery]])*24-Table1[[#This Row],[Promised]])</f>
        <v>0</v>
      </c>
      <c r="Q166"/>
    </row>
    <row r="167" spans="1:17" hidden="1" x14ac:dyDescent="0.45">
      <c r="A167" s="3">
        <v>45292.708333333336</v>
      </c>
      <c r="B167" t="s">
        <v>12</v>
      </c>
      <c r="C167">
        <v>4</v>
      </c>
      <c r="D167">
        <v>8</v>
      </c>
      <c r="E167" t="s">
        <v>17</v>
      </c>
      <c r="F167">
        <v>400</v>
      </c>
      <c r="G167">
        <v>1350</v>
      </c>
      <c r="H167">
        <v>540000</v>
      </c>
      <c r="I167" s="3">
        <v>45292.75</v>
      </c>
      <c r="J167">
        <v>72</v>
      </c>
      <c r="K167" s="3">
        <v>45295.75</v>
      </c>
      <c r="L167" s="4">
        <f>ROUNDDOWN(Table1[[#This Row],[Ordered]],0)</f>
        <v>45292</v>
      </c>
      <c r="M167" s="4">
        <f>Table1[[#This Row],[Date ]]</f>
        <v>45292</v>
      </c>
      <c r="N167" s="5">
        <f>Table1[[#This Row],[Ordered]]-Table1[[#This Row],[Date ]]</f>
        <v>0.70833333333575865</v>
      </c>
      <c r="O167" s="5">
        <f>Table1[[#This Row],[Company]]</f>
        <v>4</v>
      </c>
      <c r="P167">
        <f>IF(((Table1[[#This Row],[Arrived]]-Table1[[#This Row],[Delivery]])*24-Table1[[#This Row],[Promised]])&lt;0, 0, (Table1[[#This Row],[Arrived]]-Table1[[#This Row],[Delivery]])*24-Table1[[#This Row],[Promised]])</f>
        <v>0</v>
      </c>
      <c r="Q167"/>
    </row>
    <row r="168" spans="1:17" x14ac:dyDescent="0.45">
      <c r="A168" s="3">
        <v>45292.75</v>
      </c>
      <c r="B168" t="s">
        <v>14</v>
      </c>
      <c r="C168">
        <v>12</v>
      </c>
      <c r="D168">
        <v>1009</v>
      </c>
      <c r="E168" t="s">
        <v>16</v>
      </c>
      <c r="F168">
        <v>20</v>
      </c>
      <c r="G168">
        <v>3750</v>
      </c>
      <c r="H168">
        <v>75000</v>
      </c>
      <c r="I168" s="3">
        <v>45292.958333333336</v>
      </c>
      <c r="J168">
        <v>96</v>
      </c>
      <c r="K168" s="3">
        <v>45295.958333333336</v>
      </c>
      <c r="L168" s="4">
        <f>ROUNDDOWN(Table1[[#This Row],[Ordered]],0)</f>
        <v>45292</v>
      </c>
      <c r="M168" s="4">
        <f>Table1[[#This Row],[Date ]]</f>
        <v>45292</v>
      </c>
      <c r="N168" s="5">
        <f>Table1[[#This Row],[Ordered]]-Table1[[#This Row],[Date ]]</f>
        <v>0.75</v>
      </c>
      <c r="O168">
        <f>Table1[[#This Row],[Company]]</f>
        <v>12</v>
      </c>
      <c r="P168">
        <f>IF(((Table1[[#This Row],[Arrived]]-Table1[[#This Row],[Delivery]])*24-Table1[[#This Row],[Promised]])&lt;0, 0, (Table1[[#This Row],[Arrived]]-Table1[[#This Row],[Delivery]])*24-Table1[[#This Row],[Promised]])</f>
        <v>0</v>
      </c>
      <c r="Q168"/>
    </row>
    <row r="169" spans="1:17" x14ac:dyDescent="0.45">
      <c r="A169" s="3">
        <v>45292.75</v>
      </c>
      <c r="B169" t="s">
        <v>14</v>
      </c>
      <c r="C169">
        <v>15</v>
      </c>
      <c r="D169">
        <v>1009</v>
      </c>
      <c r="E169" t="s">
        <v>16</v>
      </c>
      <c r="F169">
        <v>20</v>
      </c>
      <c r="G169">
        <v>3750</v>
      </c>
      <c r="H169">
        <v>75000</v>
      </c>
      <c r="I169" s="3">
        <v>45293.125</v>
      </c>
      <c r="J169">
        <v>96</v>
      </c>
      <c r="K169" s="3">
        <v>45296.125</v>
      </c>
      <c r="L169" s="4">
        <f>ROUNDDOWN(Table1[[#This Row],[Ordered]],0)</f>
        <v>45292</v>
      </c>
      <c r="M169" s="4">
        <f>Table1[[#This Row],[Date ]]</f>
        <v>45292</v>
      </c>
      <c r="N169" s="5">
        <f>Table1[[#This Row],[Ordered]]-Table1[[#This Row],[Date ]]</f>
        <v>0.75</v>
      </c>
      <c r="O169">
        <f>Table1[[#This Row],[Company]]</f>
        <v>15</v>
      </c>
      <c r="P169">
        <f>IF(((Table1[[#This Row],[Arrived]]-Table1[[#This Row],[Delivery]])*24-Table1[[#This Row],[Promised]])&lt;0, 0, (Table1[[#This Row],[Arrived]]-Table1[[#This Row],[Delivery]])*24-Table1[[#This Row],[Promised]])</f>
        <v>0</v>
      </c>
      <c r="Q169"/>
    </row>
    <row r="170" spans="1:17" x14ac:dyDescent="0.45">
      <c r="A170" s="3">
        <v>45292.75</v>
      </c>
      <c r="B170" t="s">
        <v>14</v>
      </c>
      <c r="C170">
        <v>16</v>
      </c>
      <c r="D170">
        <v>1009</v>
      </c>
      <c r="E170" t="s">
        <v>16</v>
      </c>
      <c r="F170">
        <v>20</v>
      </c>
      <c r="G170">
        <v>3750</v>
      </c>
      <c r="H170">
        <v>75000</v>
      </c>
      <c r="I170" s="3">
        <v>45292.75</v>
      </c>
      <c r="J170">
        <v>96</v>
      </c>
      <c r="K170" s="3">
        <v>45295.75</v>
      </c>
      <c r="L170" s="4">
        <f>ROUNDDOWN(Table1[[#This Row],[Ordered]],0)</f>
        <v>45292</v>
      </c>
      <c r="M170" s="4">
        <f>Table1[[#This Row],[Date ]]</f>
        <v>45292</v>
      </c>
      <c r="N170" s="5">
        <f>Table1[[#This Row],[Ordered]]-Table1[[#This Row],[Date ]]</f>
        <v>0.75</v>
      </c>
      <c r="O170">
        <f>Table1[[#This Row],[Company]]</f>
        <v>16</v>
      </c>
      <c r="P170">
        <f>IF(((Table1[[#This Row],[Arrived]]-Table1[[#This Row],[Delivery]])*24-Table1[[#This Row],[Promised]])&lt;0, 0, (Table1[[#This Row],[Arrived]]-Table1[[#This Row],[Delivery]])*24-Table1[[#This Row],[Promised]])</f>
        <v>0</v>
      </c>
      <c r="Q170"/>
    </row>
    <row r="171" spans="1:17" hidden="1" x14ac:dyDescent="0.45">
      <c r="A171" s="3">
        <v>45292.75</v>
      </c>
      <c r="B171" t="s">
        <v>12</v>
      </c>
      <c r="C171">
        <v>4</v>
      </c>
      <c r="D171">
        <v>8</v>
      </c>
      <c r="E171" t="s">
        <v>13</v>
      </c>
      <c r="F171">
        <v>2000</v>
      </c>
      <c r="G171">
        <v>110</v>
      </c>
      <c r="H171">
        <v>220000</v>
      </c>
      <c r="I171" s="3">
        <v>45292.791666666664</v>
      </c>
      <c r="J171">
        <v>72</v>
      </c>
      <c r="K171" s="3">
        <v>45295.791666666664</v>
      </c>
      <c r="L171" s="4">
        <f>ROUNDDOWN(Table1[[#This Row],[Ordered]],0)</f>
        <v>45292</v>
      </c>
      <c r="M171" s="4">
        <f>Table1[[#This Row],[Date ]]</f>
        <v>45292</v>
      </c>
      <c r="N171" s="5">
        <f>Table1[[#This Row],[Ordered]]-Table1[[#This Row],[Date ]]</f>
        <v>0.75</v>
      </c>
      <c r="O171">
        <f>Table1[[#This Row],[Company]]</f>
        <v>4</v>
      </c>
      <c r="P171">
        <f>IF(((Table1[[#This Row],[Arrived]]-Table1[[#This Row],[Delivery]])*24-Table1[[#This Row],[Promised]])&lt;0, 0, (Table1[[#This Row],[Arrived]]-Table1[[#This Row],[Delivery]])*24-Table1[[#This Row],[Promised]])</f>
        <v>0</v>
      </c>
      <c r="Q171"/>
    </row>
    <row r="172" spans="1:17" x14ac:dyDescent="0.45">
      <c r="A172" s="3">
        <v>45292.75</v>
      </c>
      <c r="B172" t="s">
        <v>14</v>
      </c>
      <c r="C172">
        <v>9</v>
      </c>
      <c r="D172">
        <v>1009</v>
      </c>
      <c r="E172" t="s">
        <v>16</v>
      </c>
      <c r="F172">
        <v>20</v>
      </c>
      <c r="G172">
        <v>3550</v>
      </c>
      <c r="H172">
        <v>71000</v>
      </c>
      <c r="I172" s="3">
        <v>45293.666666666664</v>
      </c>
      <c r="J172">
        <v>96</v>
      </c>
      <c r="K172" s="3">
        <v>45296.666666666664</v>
      </c>
      <c r="L172" s="4">
        <f>ROUNDDOWN(Table1[[#This Row],[Ordered]],0)</f>
        <v>45292</v>
      </c>
      <c r="M172" s="4">
        <f>Table1[[#This Row],[Date ]]</f>
        <v>45292</v>
      </c>
      <c r="N172" s="5">
        <f>Table1[[#This Row],[Ordered]]-Table1[[#This Row],[Date ]]</f>
        <v>0.75</v>
      </c>
      <c r="O172">
        <f>Table1[[#This Row],[Company]]</f>
        <v>9</v>
      </c>
      <c r="P172">
        <f>IF(((Table1[[#This Row],[Arrived]]-Table1[[#This Row],[Delivery]])*24-Table1[[#This Row],[Promised]])&lt;0, 0, (Table1[[#This Row],[Arrived]]-Table1[[#This Row],[Delivery]])*24-Table1[[#This Row],[Promised]])</f>
        <v>0</v>
      </c>
      <c r="Q172"/>
    </row>
    <row r="173" spans="1:17" x14ac:dyDescent="0.45">
      <c r="A173" s="3">
        <v>45292.75</v>
      </c>
      <c r="B173" t="s">
        <v>14</v>
      </c>
      <c r="C173">
        <v>8</v>
      </c>
      <c r="D173">
        <v>1009</v>
      </c>
      <c r="E173" t="s">
        <v>16</v>
      </c>
      <c r="F173">
        <v>20</v>
      </c>
      <c r="G173">
        <v>3750</v>
      </c>
      <c r="H173">
        <v>75000</v>
      </c>
      <c r="I173" s="3">
        <v>45293.583333333336</v>
      </c>
      <c r="J173">
        <v>96</v>
      </c>
      <c r="K173" s="3">
        <v>45296.583333333336</v>
      </c>
      <c r="L173" s="4">
        <f>ROUNDDOWN(Table1[[#This Row],[Ordered]],0)</f>
        <v>45292</v>
      </c>
      <c r="M173" s="4">
        <f>Table1[[#This Row],[Date ]]</f>
        <v>45292</v>
      </c>
      <c r="N173" s="5">
        <f>Table1[[#This Row],[Ordered]]-Table1[[#This Row],[Date ]]</f>
        <v>0.75</v>
      </c>
      <c r="O173">
        <f>Table1[[#This Row],[Company]]</f>
        <v>8</v>
      </c>
      <c r="P173">
        <f>IF(((Table1[[#This Row],[Arrived]]-Table1[[#This Row],[Delivery]])*24-Table1[[#This Row],[Promised]])&lt;0, 0, (Table1[[#This Row],[Arrived]]-Table1[[#This Row],[Delivery]])*24-Table1[[#This Row],[Promised]])</f>
        <v>0</v>
      </c>
      <c r="Q173"/>
    </row>
    <row r="174" spans="1:17" x14ac:dyDescent="0.45">
      <c r="A174" s="3">
        <v>45292.75</v>
      </c>
      <c r="B174" t="s">
        <v>14</v>
      </c>
      <c r="C174">
        <v>7</v>
      </c>
      <c r="D174">
        <v>1009</v>
      </c>
      <c r="E174" t="s">
        <v>16</v>
      </c>
      <c r="F174">
        <v>20</v>
      </c>
      <c r="G174">
        <v>3750</v>
      </c>
      <c r="H174">
        <v>75000</v>
      </c>
      <c r="I174" s="3">
        <v>45293.708333333336</v>
      </c>
      <c r="J174">
        <v>96</v>
      </c>
      <c r="K174" s="3">
        <v>45296.708333333336</v>
      </c>
      <c r="L174" s="4">
        <f>ROUNDDOWN(Table1[[#This Row],[Ordered]],0)</f>
        <v>45292</v>
      </c>
      <c r="M174" s="4">
        <f>Table1[[#This Row],[Date ]]</f>
        <v>45292</v>
      </c>
      <c r="N174" s="5">
        <f>Table1[[#This Row],[Ordered]]-Table1[[#This Row],[Date ]]</f>
        <v>0.75</v>
      </c>
      <c r="O174">
        <f>Table1[[#This Row],[Company]]</f>
        <v>7</v>
      </c>
      <c r="P174">
        <f>IF(((Table1[[#This Row],[Arrived]]-Table1[[#This Row],[Delivery]])*24-Table1[[#This Row],[Promised]])&lt;0, 0, (Table1[[#This Row],[Arrived]]-Table1[[#This Row],[Delivery]])*24-Table1[[#This Row],[Promised]])</f>
        <v>0</v>
      </c>
      <c r="Q174"/>
    </row>
    <row r="175" spans="1:17" x14ac:dyDescent="0.45">
      <c r="A175" s="3">
        <v>45292.75</v>
      </c>
      <c r="B175" t="s">
        <v>14</v>
      </c>
      <c r="C175">
        <v>14</v>
      </c>
      <c r="D175">
        <v>1009</v>
      </c>
      <c r="E175" t="s">
        <v>16</v>
      </c>
      <c r="F175">
        <v>20</v>
      </c>
      <c r="G175">
        <v>3750</v>
      </c>
      <c r="H175">
        <v>75000</v>
      </c>
      <c r="I175" s="3">
        <v>45292.916666666664</v>
      </c>
      <c r="J175">
        <v>96</v>
      </c>
      <c r="K175" s="3">
        <v>45295.916666666664</v>
      </c>
      <c r="L175" s="4">
        <f>ROUNDDOWN(Table1[[#This Row],[Ordered]],0)</f>
        <v>45292</v>
      </c>
      <c r="M175" s="4">
        <f>Table1[[#This Row],[Date ]]</f>
        <v>45292</v>
      </c>
      <c r="N175" s="5">
        <f>Table1[[#This Row],[Ordered]]-Table1[[#This Row],[Date ]]</f>
        <v>0.75</v>
      </c>
      <c r="O175">
        <f>Table1[[#This Row],[Company]]</f>
        <v>14</v>
      </c>
      <c r="P175">
        <f>IF(((Table1[[#This Row],[Arrived]]-Table1[[#This Row],[Delivery]])*24-Table1[[#This Row],[Promised]])&lt;0, 0, (Table1[[#This Row],[Arrived]]-Table1[[#This Row],[Delivery]])*24-Table1[[#This Row],[Promised]])</f>
        <v>0</v>
      </c>
      <c r="Q175"/>
    </row>
    <row r="176" spans="1:17" x14ac:dyDescent="0.45">
      <c r="A176" s="3">
        <v>45292.75</v>
      </c>
      <c r="B176" t="s">
        <v>14</v>
      </c>
      <c r="C176">
        <v>13</v>
      </c>
      <c r="D176">
        <v>1009</v>
      </c>
      <c r="E176" t="s">
        <v>16</v>
      </c>
      <c r="F176">
        <v>20</v>
      </c>
      <c r="G176">
        <v>3750</v>
      </c>
      <c r="H176">
        <v>75000</v>
      </c>
      <c r="I176" s="3">
        <v>45293.666666666664</v>
      </c>
      <c r="J176">
        <v>96</v>
      </c>
      <c r="K176" s="3">
        <v>45296.666666666664</v>
      </c>
      <c r="L176" s="4">
        <f>ROUNDDOWN(Table1[[#This Row],[Ordered]],0)</f>
        <v>45292</v>
      </c>
      <c r="M176" s="4">
        <f>Table1[[#This Row],[Date ]]</f>
        <v>45292</v>
      </c>
      <c r="N176" s="5">
        <f>Table1[[#This Row],[Ordered]]-Table1[[#This Row],[Date ]]</f>
        <v>0.75</v>
      </c>
      <c r="O176">
        <f>Table1[[#This Row],[Company]]</f>
        <v>13</v>
      </c>
      <c r="P176">
        <f>IF(((Table1[[#This Row],[Arrived]]-Table1[[#This Row],[Delivery]])*24-Table1[[#This Row],[Promised]])&lt;0, 0, (Table1[[#This Row],[Arrived]]-Table1[[#This Row],[Delivery]])*24-Table1[[#This Row],[Promised]])</f>
        <v>0</v>
      </c>
      <c r="Q176"/>
    </row>
    <row r="177" spans="1:17" x14ac:dyDescent="0.45">
      <c r="A177" s="3">
        <v>45292.75</v>
      </c>
      <c r="B177" t="s">
        <v>14</v>
      </c>
      <c r="C177">
        <v>11</v>
      </c>
      <c r="D177">
        <v>1009</v>
      </c>
      <c r="E177" t="s">
        <v>16</v>
      </c>
      <c r="F177">
        <v>20</v>
      </c>
      <c r="G177">
        <v>3750</v>
      </c>
      <c r="H177">
        <v>75000</v>
      </c>
      <c r="I177" s="3">
        <v>45293.208333333336</v>
      </c>
      <c r="J177">
        <v>96</v>
      </c>
      <c r="K177" s="3">
        <v>45296.208333333336</v>
      </c>
      <c r="L177" s="4">
        <f>ROUNDDOWN(Table1[[#This Row],[Ordered]],0)</f>
        <v>45292</v>
      </c>
      <c r="M177" s="4">
        <f>Table1[[#This Row],[Date ]]</f>
        <v>45292</v>
      </c>
      <c r="N177" s="5">
        <f>Table1[[#This Row],[Ordered]]-Table1[[#This Row],[Date ]]</f>
        <v>0.75</v>
      </c>
      <c r="O177">
        <f>Table1[[#This Row],[Company]]</f>
        <v>11</v>
      </c>
      <c r="P177">
        <f>IF(((Table1[[#This Row],[Arrived]]-Table1[[#This Row],[Delivery]])*24-Table1[[#This Row],[Promised]])&lt;0, 0, (Table1[[#This Row],[Arrived]]-Table1[[#This Row],[Delivery]])*24-Table1[[#This Row],[Promised]])</f>
        <v>0</v>
      </c>
      <c r="Q177"/>
    </row>
    <row r="178" spans="1:17" hidden="1" x14ac:dyDescent="0.45">
      <c r="A178" s="3">
        <v>45292.791666666664</v>
      </c>
      <c r="B178" t="s">
        <v>12</v>
      </c>
      <c r="C178">
        <v>2</v>
      </c>
      <c r="D178">
        <v>9</v>
      </c>
      <c r="E178" t="s">
        <v>17</v>
      </c>
      <c r="F178">
        <v>550</v>
      </c>
      <c r="G178">
        <v>1250</v>
      </c>
      <c r="H178">
        <v>687500</v>
      </c>
      <c r="I178" s="3">
        <v>45293.083333333336</v>
      </c>
      <c r="J178">
        <v>72</v>
      </c>
      <c r="K178" s="3">
        <v>45296.083333333336</v>
      </c>
      <c r="L178" s="4">
        <f>ROUNDDOWN(Table1[[#This Row],[Ordered]],0)</f>
        <v>45292</v>
      </c>
      <c r="M178" s="4">
        <f>Table1[[#This Row],[Date ]]</f>
        <v>45292</v>
      </c>
      <c r="N178" s="5">
        <f>Table1[[#This Row],[Ordered]]-Table1[[#This Row],[Date ]]</f>
        <v>0.79166666666424135</v>
      </c>
      <c r="O178" s="5">
        <f>Table1[[#This Row],[Company]]</f>
        <v>2</v>
      </c>
      <c r="P178">
        <f>IF(((Table1[[#This Row],[Arrived]]-Table1[[#This Row],[Delivery]])*24-Table1[[#This Row],[Promised]])&lt;0, 0, (Table1[[#This Row],[Arrived]]-Table1[[#This Row],[Delivery]])*24-Table1[[#This Row],[Promised]])</f>
        <v>0</v>
      </c>
      <c r="Q178"/>
    </row>
    <row r="179" spans="1:17" x14ac:dyDescent="0.45">
      <c r="A179" s="3">
        <v>45292.833333333336</v>
      </c>
      <c r="B179" t="s">
        <v>0</v>
      </c>
      <c r="C179">
        <v>14</v>
      </c>
      <c r="D179">
        <v>2002</v>
      </c>
      <c r="E179" t="s">
        <v>16</v>
      </c>
      <c r="F179">
        <v>30</v>
      </c>
      <c r="G179">
        <v>3750</v>
      </c>
      <c r="H179">
        <v>112500</v>
      </c>
      <c r="I179" s="3">
        <v>45293.291666666664</v>
      </c>
      <c r="J179">
        <v>132</v>
      </c>
      <c r="K179" s="3">
        <v>45297.916666666664</v>
      </c>
      <c r="L179" s="4">
        <f>ROUNDDOWN(Table1[[#This Row],[Ordered]],0)</f>
        <v>45292</v>
      </c>
      <c r="M179" s="4">
        <f>Table1[[#This Row],[Date ]]</f>
        <v>45292</v>
      </c>
      <c r="N179" s="5">
        <f>Table1[[#This Row],[Ordered]]-Table1[[#This Row],[Date ]]</f>
        <v>0.83333333333575865</v>
      </c>
      <c r="O179">
        <f>Table1[[#This Row],[Company]]</f>
        <v>14</v>
      </c>
      <c r="P179">
        <f>IF(((Table1[[#This Row],[Arrived]]-Table1[[#This Row],[Delivery]])*24-Table1[[#This Row],[Promised]])&lt;0, 0, (Table1[[#This Row],[Arrived]]-Table1[[#This Row],[Delivery]])*24-Table1[[#This Row],[Promised]])</f>
        <v>0</v>
      </c>
      <c r="Q179"/>
    </row>
    <row r="180" spans="1:17" x14ac:dyDescent="0.45">
      <c r="A180" s="3">
        <v>45292.833333333336</v>
      </c>
      <c r="B180" t="s">
        <v>0</v>
      </c>
      <c r="C180">
        <v>8</v>
      </c>
      <c r="D180">
        <v>2002</v>
      </c>
      <c r="E180" t="s">
        <v>16</v>
      </c>
      <c r="F180">
        <v>30</v>
      </c>
      <c r="G180">
        <v>3700</v>
      </c>
      <c r="H180">
        <v>111000</v>
      </c>
      <c r="I180" s="3">
        <v>45293.75</v>
      </c>
      <c r="J180">
        <v>132</v>
      </c>
      <c r="K180" s="3">
        <v>45298.25</v>
      </c>
      <c r="L180" s="4">
        <f>ROUNDDOWN(Table1[[#This Row],[Ordered]],0)</f>
        <v>45292</v>
      </c>
      <c r="M180" s="4">
        <f>Table1[[#This Row],[Date ]]</f>
        <v>45292</v>
      </c>
      <c r="N180" s="5">
        <f>Table1[[#This Row],[Ordered]]-Table1[[#This Row],[Date ]]</f>
        <v>0.83333333333575865</v>
      </c>
      <c r="O180">
        <f>Table1[[#This Row],[Company]]</f>
        <v>8</v>
      </c>
      <c r="P180">
        <f>IF(((Table1[[#This Row],[Arrived]]-Table1[[#This Row],[Delivery]])*24-Table1[[#This Row],[Promised]])&lt;0, 0, (Table1[[#This Row],[Arrived]]-Table1[[#This Row],[Delivery]])*24-Table1[[#This Row],[Promised]])</f>
        <v>0</v>
      </c>
      <c r="Q180"/>
    </row>
    <row r="181" spans="1:17" x14ac:dyDescent="0.45">
      <c r="A181" s="3">
        <v>45292.833333333336</v>
      </c>
      <c r="B181" t="s">
        <v>0</v>
      </c>
      <c r="C181">
        <v>13</v>
      </c>
      <c r="D181">
        <v>2002</v>
      </c>
      <c r="E181" t="s">
        <v>15</v>
      </c>
      <c r="F181">
        <v>14</v>
      </c>
      <c r="G181">
        <v>6650</v>
      </c>
      <c r="H181">
        <v>93100</v>
      </c>
      <c r="I181" s="3">
        <v>45294.041666666664</v>
      </c>
      <c r="J181">
        <v>132</v>
      </c>
      <c r="K181" s="3">
        <v>45298.541666666664</v>
      </c>
      <c r="L181" s="4">
        <f>ROUNDDOWN(Table1[[#This Row],[Ordered]],0)</f>
        <v>45292</v>
      </c>
      <c r="M181" s="4">
        <f>Table1[[#This Row],[Date ]]</f>
        <v>45292</v>
      </c>
      <c r="N181" s="5">
        <f>Table1[[#This Row],[Ordered]]-Table1[[#This Row],[Date ]]</f>
        <v>0.83333333333575865</v>
      </c>
      <c r="O181">
        <f>Table1[[#This Row],[Company]]</f>
        <v>13</v>
      </c>
      <c r="P181">
        <f>IF(((Table1[[#This Row],[Arrived]]-Table1[[#This Row],[Delivery]])*24-Table1[[#This Row],[Promised]])&lt;0, 0, (Table1[[#This Row],[Arrived]]-Table1[[#This Row],[Delivery]])*24-Table1[[#This Row],[Promised]])</f>
        <v>0</v>
      </c>
      <c r="Q181"/>
    </row>
    <row r="182" spans="1:17" x14ac:dyDescent="0.45">
      <c r="A182" s="3">
        <v>45292.833333333336</v>
      </c>
      <c r="B182" t="s">
        <v>0</v>
      </c>
      <c r="C182">
        <v>16</v>
      </c>
      <c r="D182">
        <v>2002</v>
      </c>
      <c r="E182" t="s">
        <v>15</v>
      </c>
      <c r="F182">
        <v>14</v>
      </c>
      <c r="G182">
        <v>6650</v>
      </c>
      <c r="H182">
        <v>93100</v>
      </c>
      <c r="I182" s="3">
        <v>45293</v>
      </c>
      <c r="J182">
        <v>132</v>
      </c>
      <c r="K182" s="3">
        <v>45297.5</v>
      </c>
      <c r="L182" s="4">
        <f>ROUNDDOWN(Table1[[#This Row],[Ordered]],0)</f>
        <v>45292</v>
      </c>
      <c r="M182" s="4">
        <f>Table1[[#This Row],[Date ]]</f>
        <v>45292</v>
      </c>
      <c r="N182" s="5">
        <f>Table1[[#This Row],[Ordered]]-Table1[[#This Row],[Date ]]</f>
        <v>0.83333333333575865</v>
      </c>
      <c r="O182">
        <f>Table1[[#This Row],[Company]]</f>
        <v>16</v>
      </c>
      <c r="P182">
        <f>IF(((Table1[[#This Row],[Arrived]]-Table1[[#This Row],[Delivery]])*24-Table1[[#This Row],[Promised]])&lt;0, 0, (Table1[[#This Row],[Arrived]]-Table1[[#This Row],[Delivery]])*24-Table1[[#This Row],[Promised]])</f>
        <v>0</v>
      </c>
      <c r="Q182"/>
    </row>
    <row r="183" spans="1:17" x14ac:dyDescent="0.45">
      <c r="A183" s="3">
        <v>45292.833333333336</v>
      </c>
      <c r="B183" t="s">
        <v>0</v>
      </c>
      <c r="C183">
        <v>10</v>
      </c>
      <c r="D183">
        <v>2002</v>
      </c>
      <c r="E183" t="s">
        <v>15</v>
      </c>
      <c r="F183">
        <v>14</v>
      </c>
      <c r="G183">
        <v>6800</v>
      </c>
      <c r="H183">
        <v>95200</v>
      </c>
      <c r="I183" s="3">
        <v>45292.916666666664</v>
      </c>
      <c r="J183">
        <v>132</v>
      </c>
      <c r="K183" s="3">
        <v>45297.416666666664</v>
      </c>
      <c r="L183" s="4">
        <f>ROUNDDOWN(Table1[[#This Row],[Ordered]],0)</f>
        <v>45292</v>
      </c>
      <c r="M183" s="4">
        <f>Table1[[#This Row],[Date ]]</f>
        <v>45292</v>
      </c>
      <c r="N183" s="5">
        <f>Table1[[#This Row],[Ordered]]-Table1[[#This Row],[Date ]]</f>
        <v>0.83333333333575865</v>
      </c>
      <c r="O183">
        <f>Table1[[#This Row],[Company]]</f>
        <v>10</v>
      </c>
      <c r="P183">
        <f>IF(((Table1[[#This Row],[Arrived]]-Table1[[#This Row],[Delivery]])*24-Table1[[#This Row],[Promised]])&lt;0, 0, (Table1[[#This Row],[Arrived]]-Table1[[#This Row],[Delivery]])*24-Table1[[#This Row],[Promised]])</f>
        <v>0</v>
      </c>
      <c r="Q183"/>
    </row>
    <row r="184" spans="1:17" x14ac:dyDescent="0.45">
      <c r="A184" s="3">
        <v>45292.833333333336</v>
      </c>
      <c r="B184" t="s">
        <v>0</v>
      </c>
      <c r="C184">
        <v>11</v>
      </c>
      <c r="D184">
        <v>2002</v>
      </c>
      <c r="E184" t="s">
        <v>15</v>
      </c>
      <c r="F184">
        <v>14</v>
      </c>
      <c r="G184">
        <v>6650</v>
      </c>
      <c r="H184">
        <v>93100</v>
      </c>
      <c r="I184" s="3">
        <v>45293.208333333336</v>
      </c>
      <c r="J184">
        <v>132</v>
      </c>
      <c r="K184" s="3">
        <v>45297.875</v>
      </c>
      <c r="L184" s="4">
        <f>ROUNDDOWN(Table1[[#This Row],[Ordered]],0)</f>
        <v>45292</v>
      </c>
      <c r="M184" s="4">
        <f>Table1[[#This Row],[Date ]]</f>
        <v>45292</v>
      </c>
      <c r="N184" s="5">
        <f>Table1[[#This Row],[Ordered]]-Table1[[#This Row],[Date ]]</f>
        <v>0.83333333333575865</v>
      </c>
      <c r="O184">
        <f>Table1[[#This Row],[Company]]</f>
        <v>11</v>
      </c>
      <c r="P184">
        <f>IF(((Table1[[#This Row],[Arrived]]-Table1[[#This Row],[Delivery]])*24-Table1[[#This Row],[Promised]])&lt;0, 0, (Table1[[#This Row],[Arrived]]-Table1[[#This Row],[Delivery]])*24-Table1[[#This Row],[Promised]])</f>
        <v>0</v>
      </c>
      <c r="Q184"/>
    </row>
    <row r="185" spans="1:17" x14ac:dyDescent="0.45">
      <c r="A185" s="3">
        <v>45292.833333333336</v>
      </c>
      <c r="B185" t="s">
        <v>0</v>
      </c>
      <c r="C185">
        <v>14</v>
      </c>
      <c r="D185">
        <v>2002</v>
      </c>
      <c r="E185" t="s">
        <v>15</v>
      </c>
      <c r="F185">
        <v>14</v>
      </c>
      <c r="G185">
        <v>6650</v>
      </c>
      <c r="H185">
        <v>93100</v>
      </c>
      <c r="I185" s="3">
        <v>45293.291666666664</v>
      </c>
      <c r="J185">
        <v>132</v>
      </c>
      <c r="K185" s="3">
        <v>45297.791666666664</v>
      </c>
      <c r="L185" s="4">
        <f>ROUNDDOWN(Table1[[#This Row],[Ordered]],0)</f>
        <v>45292</v>
      </c>
      <c r="M185" s="4">
        <f>Table1[[#This Row],[Date ]]</f>
        <v>45292</v>
      </c>
      <c r="N185" s="5">
        <f>Table1[[#This Row],[Ordered]]-Table1[[#This Row],[Date ]]</f>
        <v>0.83333333333575865</v>
      </c>
      <c r="O185">
        <f>Table1[[#This Row],[Company]]</f>
        <v>14</v>
      </c>
      <c r="P185">
        <f>IF(((Table1[[#This Row],[Arrived]]-Table1[[#This Row],[Delivery]])*24-Table1[[#This Row],[Promised]])&lt;0, 0, (Table1[[#This Row],[Arrived]]-Table1[[#This Row],[Delivery]])*24-Table1[[#This Row],[Promised]])</f>
        <v>0</v>
      </c>
      <c r="Q185"/>
    </row>
    <row r="186" spans="1:17" x14ac:dyDescent="0.45">
      <c r="A186" s="3">
        <v>45292.833333333336</v>
      </c>
      <c r="B186" t="s">
        <v>0</v>
      </c>
      <c r="C186">
        <v>11</v>
      </c>
      <c r="D186">
        <v>2002</v>
      </c>
      <c r="E186" t="s">
        <v>16</v>
      </c>
      <c r="F186">
        <v>30</v>
      </c>
      <c r="G186">
        <v>3750</v>
      </c>
      <c r="H186">
        <v>112500</v>
      </c>
      <c r="I186" s="3">
        <v>45293.291666666664</v>
      </c>
      <c r="J186">
        <v>132</v>
      </c>
      <c r="K186" s="3">
        <v>45297.791666666664</v>
      </c>
      <c r="L186" s="4">
        <f>ROUNDDOWN(Table1[[#This Row],[Ordered]],0)</f>
        <v>45292</v>
      </c>
      <c r="M186" s="4">
        <f>Table1[[#This Row],[Date ]]</f>
        <v>45292</v>
      </c>
      <c r="N186" s="5">
        <f>Table1[[#This Row],[Ordered]]-Table1[[#This Row],[Date ]]</f>
        <v>0.83333333333575865</v>
      </c>
      <c r="O186">
        <f>Table1[[#This Row],[Company]]</f>
        <v>11</v>
      </c>
      <c r="P186">
        <f>IF(((Table1[[#This Row],[Arrived]]-Table1[[#This Row],[Delivery]])*24-Table1[[#This Row],[Promised]])&lt;0, 0, (Table1[[#This Row],[Arrived]]-Table1[[#This Row],[Delivery]])*24-Table1[[#This Row],[Promised]])</f>
        <v>0</v>
      </c>
      <c r="Q186"/>
    </row>
    <row r="187" spans="1:17" x14ac:dyDescent="0.45">
      <c r="A187" s="3">
        <v>45292.833333333336</v>
      </c>
      <c r="B187" t="s">
        <v>0</v>
      </c>
      <c r="C187">
        <v>12</v>
      </c>
      <c r="D187">
        <v>2002</v>
      </c>
      <c r="E187" t="s">
        <v>15</v>
      </c>
      <c r="F187">
        <v>14</v>
      </c>
      <c r="G187">
        <v>6650</v>
      </c>
      <c r="H187">
        <v>93100</v>
      </c>
      <c r="I187" s="3">
        <v>45293.166666666664</v>
      </c>
      <c r="J187">
        <v>120</v>
      </c>
      <c r="K187" s="3">
        <v>45297.833333333336</v>
      </c>
      <c r="L187" s="4">
        <f>ROUNDDOWN(Table1[[#This Row],[Ordered]],0)</f>
        <v>45292</v>
      </c>
      <c r="M187" s="4">
        <f>Table1[[#This Row],[Date ]]</f>
        <v>45292</v>
      </c>
      <c r="N187" s="5">
        <f>Table1[[#This Row],[Ordered]]-Table1[[#This Row],[Date ]]</f>
        <v>0.83333333333575865</v>
      </c>
      <c r="O187">
        <f>Table1[[#This Row],[Company]]</f>
        <v>12</v>
      </c>
      <c r="P187">
        <f>IF(((Table1[[#This Row],[Arrived]]-Table1[[#This Row],[Delivery]])*24-Table1[[#This Row],[Promised]])&lt;0, 0, (Table1[[#This Row],[Arrived]]-Table1[[#This Row],[Delivery]])*24-Table1[[#This Row],[Promised]])</f>
        <v>0</v>
      </c>
      <c r="Q187"/>
    </row>
    <row r="188" spans="1:17" x14ac:dyDescent="0.45">
      <c r="A188" s="3">
        <v>45292.833333333336</v>
      </c>
      <c r="B188" t="s">
        <v>0</v>
      </c>
      <c r="C188">
        <v>16</v>
      </c>
      <c r="D188">
        <v>2002</v>
      </c>
      <c r="E188" t="s">
        <v>16</v>
      </c>
      <c r="F188">
        <v>30</v>
      </c>
      <c r="G188">
        <v>3750</v>
      </c>
      <c r="H188">
        <v>112500</v>
      </c>
      <c r="I188" s="3">
        <v>45293</v>
      </c>
      <c r="J188">
        <v>132</v>
      </c>
      <c r="K188" s="3">
        <v>45297.5</v>
      </c>
      <c r="L188" s="4">
        <f>ROUNDDOWN(Table1[[#This Row],[Ordered]],0)</f>
        <v>45292</v>
      </c>
      <c r="M188" s="4">
        <f>Table1[[#This Row],[Date ]]</f>
        <v>45292</v>
      </c>
      <c r="N188" s="5">
        <f>Table1[[#This Row],[Ordered]]-Table1[[#This Row],[Date ]]</f>
        <v>0.83333333333575865</v>
      </c>
      <c r="O188">
        <f>Table1[[#This Row],[Company]]</f>
        <v>16</v>
      </c>
      <c r="P188">
        <f>IF(((Table1[[#This Row],[Arrived]]-Table1[[#This Row],[Delivery]])*24-Table1[[#This Row],[Promised]])&lt;0, 0, (Table1[[#This Row],[Arrived]]-Table1[[#This Row],[Delivery]])*24-Table1[[#This Row],[Promised]])</f>
        <v>0</v>
      </c>
      <c r="Q188"/>
    </row>
    <row r="189" spans="1:17" x14ac:dyDescent="0.45">
      <c r="A189" s="3">
        <v>45292.833333333336</v>
      </c>
      <c r="B189" t="s">
        <v>0</v>
      </c>
      <c r="C189">
        <v>9</v>
      </c>
      <c r="D189">
        <v>2002</v>
      </c>
      <c r="E189" t="s">
        <v>16</v>
      </c>
      <c r="F189">
        <v>30</v>
      </c>
      <c r="G189">
        <v>3600</v>
      </c>
      <c r="H189">
        <v>108000</v>
      </c>
      <c r="I189" s="3">
        <v>45293.708333333336</v>
      </c>
      <c r="J189">
        <v>96</v>
      </c>
      <c r="K189" s="3">
        <v>45296.708333333336</v>
      </c>
      <c r="L189" s="4">
        <f>ROUNDDOWN(Table1[[#This Row],[Ordered]],0)</f>
        <v>45292</v>
      </c>
      <c r="M189" s="4">
        <f>Table1[[#This Row],[Date ]]</f>
        <v>45292</v>
      </c>
      <c r="N189" s="5">
        <f>Table1[[#This Row],[Ordered]]-Table1[[#This Row],[Date ]]</f>
        <v>0.83333333333575865</v>
      </c>
      <c r="O189">
        <f>Table1[[#This Row],[Company]]</f>
        <v>9</v>
      </c>
      <c r="P189">
        <f>IF(((Table1[[#This Row],[Arrived]]-Table1[[#This Row],[Delivery]])*24-Table1[[#This Row],[Promised]])&lt;0, 0, (Table1[[#This Row],[Arrived]]-Table1[[#This Row],[Delivery]])*24-Table1[[#This Row],[Promised]])</f>
        <v>0</v>
      </c>
      <c r="Q189"/>
    </row>
    <row r="190" spans="1:17" x14ac:dyDescent="0.45">
      <c r="A190" s="3">
        <v>45292.833333333336</v>
      </c>
      <c r="B190" t="s">
        <v>0</v>
      </c>
      <c r="C190">
        <v>12</v>
      </c>
      <c r="D190">
        <v>2002</v>
      </c>
      <c r="E190" t="s">
        <v>16</v>
      </c>
      <c r="F190">
        <v>30</v>
      </c>
      <c r="G190">
        <v>3750</v>
      </c>
      <c r="H190">
        <v>112500</v>
      </c>
      <c r="I190" s="3">
        <v>45293.041666666664</v>
      </c>
      <c r="J190">
        <v>132</v>
      </c>
      <c r="K190" s="3">
        <v>45297.541666666664</v>
      </c>
      <c r="L190" s="4">
        <f>ROUNDDOWN(Table1[[#This Row],[Ordered]],0)</f>
        <v>45292</v>
      </c>
      <c r="M190" s="4">
        <f>Table1[[#This Row],[Date ]]</f>
        <v>45292</v>
      </c>
      <c r="N190" s="5">
        <f>Table1[[#This Row],[Ordered]]-Table1[[#This Row],[Date ]]</f>
        <v>0.83333333333575865</v>
      </c>
      <c r="O190">
        <f>Table1[[#This Row],[Company]]</f>
        <v>12</v>
      </c>
      <c r="P190">
        <f>IF(((Table1[[#This Row],[Arrived]]-Table1[[#This Row],[Delivery]])*24-Table1[[#This Row],[Promised]])&lt;0, 0, (Table1[[#This Row],[Arrived]]-Table1[[#This Row],[Delivery]])*24-Table1[[#This Row],[Promised]])</f>
        <v>0</v>
      </c>
      <c r="Q190"/>
    </row>
    <row r="191" spans="1:17" x14ac:dyDescent="0.45">
      <c r="A191" s="3">
        <v>45292.833333333336</v>
      </c>
      <c r="B191" t="s">
        <v>0</v>
      </c>
      <c r="C191">
        <v>7</v>
      </c>
      <c r="D191">
        <v>2002</v>
      </c>
      <c r="E191" t="s">
        <v>15</v>
      </c>
      <c r="F191">
        <v>14</v>
      </c>
      <c r="G191">
        <v>6650</v>
      </c>
      <c r="H191">
        <v>93100</v>
      </c>
      <c r="I191" s="3">
        <v>45293.708333333336</v>
      </c>
      <c r="J191">
        <v>132</v>
      </c>
      <c r="K191" s="3">
        <v>45298.208333333336</v>
      </c>
      <c r="L191" s="4">
        <f>ROUNDDOWN(Table1[[#This Row],[Ordered]],0)</f>
        <v>45292</v>
      </c>
      <c r="M191" s="4">
        <f>Table1[[#This Row],[Date ]]</f>
        <v>45292</v>
      </c>
      <c r="N191" s="5">
        <f>Table1[[#This Row],[Ordered]]-Table1[[#This Row],[Date ]]</f>
        <v>0.83333333333575865</v>
      </c>
      <c r="O191">
        <f>Table1[[#This Row],[Company]]</f>
        <v>7</v>
      </c>
      <c r="P191">
        <f>IF(((Table1[[#This Row],[Arrived]]-Table1[[#This Row],[Delivery]])*24-Table1[[#This Row],[Promised]])&lt;0, 0, (Table1[[#This Row],[Arrived]]-Table1[[#This Row],[Delivery]])*24-Table1[[#This Row],[Promised]])</f>
        <v>0</v>
      </c>
      <c r="Q191"/>
    </row>
    <row r="192" spans="1:17" x14ac:dyDescent="0.45">
      <c r="A192" s="3">
        <v>45292.833333333336</v>
      </c>
      <c r="B192" t="s">
        <v>0</v>
      </c>
      <c r="C192">
        <v>9</v>
      </c>
      <c r="D192">
        <v>2002</v>
      </c>
      <c r="E192" t="s">
        <v>15</v>
      </c>
      <c r="F192">
        <v>14</v>
      </c>
      <c r="G192">
        <v>6650</v>
      </c>
      <c r="H192">
        <v>93100</v>
      </c>
      <c r="I192" s="3">
        <v>45293.875</v>
      </c>
      <c r="J192">
        <v>132</v>
      </c>
      <c r="K192" s="3">
        <v>45298.375</v>
      </c>
      <c r="L192" s="4">
        <f>ROUNDDOWN(Table1[[#This Row],[Ordered]],0)</f>
        <v>45292</v>
      </c>
      <c r="M192" s="4">
        <f>Table1[[#This Row],[Date ]]</f>
        <v>45292</v>
      </c>
      <c r="N192" s="5">
        <f>Table1[[#This Row],[Ordered]]-Table1[[#This Row],[Date ]]</f>
        <v>0.83333333333575865</v>
      </c>
      <c r="O192">
        <f>Table1[[#This Row],[Company]]</f>
        <v>9</v>
      </c>
      <c r="P192">
        <f>IF(((Table1[[#This Row],[Arrived]]-Table1[[#This Row],[Delivery]])*24-Table1[[#This Row],[Promised]])&lt;0, 0, (Table1[[#This Row],[Arrived]]-Table1[[#This Row],[Delivery]])*24-Table1[[#This Row],[Promised]])</f>
        <v>0</v>
      </c>
      <c r="Q192"/>
    </row>
    <row r="193" spans="1:17" x14ac:dyDescent="0.45">
      <c r="A193" s="3">
        <v>45292.833333333336</v>
      </c>
      <c r="B193" t="s">
        <v>0</v>
      </c>
      <c r="C193">
        <v>15</v>
      </c>
      <c r="D193">
        <v>2002</v>
      </c>
      <c r="E193" t="s">
        <v>15</v>
      </c>
      <c r="F193">
        <v>14</v>
      </c>
      <c r="G193">
        <v>6650</v>
      </c>
      <c r="H193">
        <v>93100</v>
      </c>
      <c r="I193" s="3">
        <v>45293.333333333336</v>
      </c>
      <c r="J193">
        <v>132</v>
      </c>
      <c r="K193" s="3">
        <v>45297.833333333336</v>
      </c>
      <c r="L193" s="4">
        <f>ROUNDDOWN(Table1[[#This Row],[Ordered]],0)</f>
        <v>45292</v>
      </c>
      <c r="M193" s="4">
        <f>Table1[[#This Row],[Date ]]</f>
        <v>45292</v>
      </c>
      <c r="N193" s="5">
        <f>Table1[[#This Row],[Ordered]]-Table1[[#This Row],[Date ]]</f>
        <v>0.83333333333575865</v>
      </c>
      <c r="O193">
        <f>Table1[[#This Row],[Company]]</f>
        <v>15</v>
      </c>
      <c r="P193">
        <f>IF(((Table1[[#This Row],[Arrived]]-Table1[[#This Row],[Delivery]])*24-Table1[[#This Row],[Promised]])&lt;0, 0, (Table1[[#This Row],[Arrived]]-Table1[[#This Row],[Delivery]])*24-Table1[[#This Row],[Promised]])</f>
        <v>0</v>
      </c>
      <c r="Q193"/>
    </row>
    <row r="194" spans="1:17" x14ac:dyDescent="0.45">
      <c r="A194" s="3">
        <v>45292.833333333336</v>
      </c>
      <c r="B194" t="s">
        <v>0</v>
      </c>
      <c r="C194">
        <v>10</v>
      </c>
      <c r="D194">
        <v>2002</v>
      </c>
      <c r="E194" t="s">
        <v>16</v>
      </c>
      <c r="F194">
        <v>50</v>
      </c>
      <c r="G194">
        <v>3650</v>
      </c>
      <c r="H194">
        <v>182500</v>
      </c>
      <c r="I194" s="3">
        <v>45292.916666666664</v>
      </c>
      <c r="J194">
        <v>156</v>
      </c>
      <c r="K194" s="3">
        <v>45297.416666666664</v>
      </c>
      <c r="L194" s="4">
        <f>ROUNDDOWN(Table1[[#This Row],[Ordered]],0)</f>
        <v>45292</v>
      </c>
      <c r="M194" s="4">
        <f>Table1[[#This Row],[Date ]]</f>
        <v>45292</v>
      </c>
      <c r="N194" s="5">
        <f>Table1[[#This Row],[Ordered]]-Table1[[#This Row],[Date ]]</f>
        <v>0.83333333333575865</v>
      </c>
      <c r="O194">
        <f>Table1[[#This Row],[Company]]</f>
        <v>10</v>
      </c>
      <c r="P194">
        <f>IF(((Table1[[#This Row],[Arrived]]-Table1[[#This Row],[Delivery]])*24-Table1[[#This Row],[Promised]])&lt;0, 0, (Table1[[#This Row],[Arrived]]-Table1[[#This Row],[Delivery]])*24-Table1[[#This Row],[Promised]])</f>
        <v>0</v>
      </c>
      <c r="Q194"/>
    </row>
    <row r="195" spans="1:17" x14ac:dyDescent="0.45">
      <c r="A195" s="3">
        <v>45292.833333333336</v>
      </c>
      <c r="B195" t="s">
        <v>0</v>
      </c>
      <c r="C195">
        <v>7</v>
      </c>
      <c r="D195">
        <v>2002</v>
      </c>
      <c r="E195" t="s">
        <v>16</v>
      </c>
      <c r="F195">
        <v>30</v>
      </c>
      <c r="G195">
        <v>3750</v>
      </c>
      <c r="H195">
        <v>112500</v>
      </c>
      <c r="I195" s="3">
        <v>45293.375</v>
      </c>
      <c r="J195">
        <v>132</v>
      </c>
      <c r="K195" s="3">
        <v>45297.875</v>
      </c>
      <c r="L195" s="4">
        <f>ROUNDDOWN(Table1[[#This Row],[Ordered]],0)</f>
        <v>45292</v>
      </c>
      <c r="M195" s="4">
        <f>Table1[[#This Row],[Date ]]</f>
        <v>45292</v>
      </c>
      <c r="N195" s="5">
        <f>Table1[[#This Row],[Ordered]]-Table1[[#This Row],[Date ]]</f>
        <v>0.83333333333575865</v>
      </c>
      <c r="O195">
        <f>Table1[[#This Row],[Company]]</f>
        <v>7</v>
      </c>
      <c r="P195">
        <f>IF(((Table1[[#This Row],[Arrived]]-Table1[[#This Row],[Delivery]])*24-Table1[[#This Row],[Promised]])&lt;0, 0, (Table1[[#This Row],[Arrived]]-Table1[[#This Row],[Delivery]])*24-Table1[[#This Row],[Promised]])</f>
        <v>0</v>
      </c>
      <c r="Q195"/>
    </row>
    <row r="196" spans="1:17" x14ac:dyDescent="0.45">
      <c r="A196" s="3">
        <v>45292.833333333336</v>
      </c>
      <c r="B196" t="s">
        <v>0</v>
      </c>
      <c r="C196">
        <v>13</v>
      </c>
      <c r="D196">
        <v>2002</v>
      </c>
      <c r="E196" t="s">
        <v>16</v>
      </c>
      <c r="F196">
        <v>30</v>
      </c>
      <c r="G196">
        <v>3750</v>
      </c>
      <c r="H196">
        <v>112500</v>
      </c>
      <c r="I196" s="3">
        <v>45294.041666666664</v>
      </c>
      <c r="J196">
        <v>132</v>
      </c>
      <c r="K196" s="3">
        <v>45298.541666666664</v>
      </c>
      <c r="L196" s="4">
        <f>ROUNDDOWN(Table1[[#This Row],[Ordered]],0)</f>
        <v>45292</v>
      </c>
      <c r="M196" s="4">
        <f>Table1[[#This Row],[Date ]]</f>
        <v>45292</v>
      </c>
      <c r="N196" s="5">
        <f>Table1[[#This Row],[Ordered]]-Table1[[#This Row],[Date ]]</f>
        <v>0.83333333333575865</v>
      </c>
      <c r="O196">
        <f>Table1[[#This Row],[Company]]</f>
        <v>13</v>
      </c>
      <c r="P196">
        <f>IF(((Table1[[#This Row],[Arrived]]-Table1[[#This Row],[Delivery]])*24-Table1[[#This Row],[Promised]])&lt;0, 0, (Table1[[#This Row],[Arrived]]-Table1[[#This Row],[Delivery]])*24-Table1[[#This Row],[Promised]])</f>
        <v>0</v>
      </c>
      <c r="Q196"/>
    </row>
    <row r="197" spans="1:17" x14ac:dyDescent="0.45">
      <c r="A197" s="3">
        <v>45292.833333333336</v>
      </c>
      <c r="B197" t="s">
        <v>0</v>
      </c>
      <c r="C197">
        <v>15</v>
      </c>
      <c r="D197">
        <v>2002</v>
      </c>
      <c r="E197" t="s">
        <v>16</v>
      </c>
      <c r="F197">
        <v>30</v>
      </c>
      <c r="G197">
        <v>3750</v>
      </c>
      <c r="H197">
        <v>112500</v>
      </c>
      <c r="I197" s="3">
        <v>45293.375</v>
      </c>
      <c r="J197">
        <v>132</v>
      </c>
      <c r="K197" s="3">
        <v>45297.875</v>
      </c>
      <c r="L197" s="4">
        <f>ROUNDDOWN(Table1[[#This Row],[Ordered]],0)</f>
        <v>45292</v>
      </c>
      <c r="M197" s="4">
        <f>Table1[[#This Row],[Date ]]</f>
        <v>45292</v>
      </c>
      <c r="N197" s="5">
        <f>Table1[[#This Row],[Ordered]]-Table1[[#This Row],[Date ]]</f>
        <v>0.83333333333575865</v>
      </c>
      <c r="O197">
        <f>Table1[[#This Row],[Company]]</f>
        <v>15</v>
      </c>
      <c r="P197">
        <f>IF(((Table1[[#This Row],[Arrived]]-Table1[[#This Row],[Delivery]])*24-Table1[[#This Row],[Promised]])&lt;0, 0, (Table1[[#This Row],[Arrived]]-Table1[[#This Row],[Delivery]])*24-Table1[[#This Row],[Promised]])</f>
        <v>0</v>
      </c>
      <c r="Q197"/>
    </row>
    <row r="198" spans="1:17" x14ac:dyDescent="0.45">
      <c r="A198" s="3">
        <v>45292.833333333336</v>
      </c>
      <c r="B198" t="s">
        <v>0</v>
      </c>
      <c r="C198">
        <v>8</v>
      </c>
      <c r="D198">
        <v>2002</v>
      </c>
      <c r="E198" t="s">
        <v>15</v>
      </c>
      <c r="F198">
        <v>14</v>
      </c>
      <c r="G198">
        <v>6650</v>
      </c>
      <c r="H198">
        <v>93100</v>
      </c>
      <c r="I198" s="3">
        <v>45293.75</v>
      </c>
      <c r="J198">
        <v>132</v>
      </c>
      <c r="K198" s="3">
        <v>45298.25</v>
      </c>
      <c r="L198" s="4">
        <f>ROUNDDOWN(Table1[[#This Row],[Ordered]],0)</f>
        <v>45292</v>
      </c>
      <c r="M198" s="4">
        <f>Table1[[#This Row],[Date ]]</f>
        <v>45292</v>
      </c>
      <c r="N198" s="5">
        <f>Table1[[#This Row],[Ordered]]-Table1[[#This Row],[Date ]]</f>
        <v>0.83333333333575865</v>
      </c>
      <c r="O198">
        <f>Table1[[#This Row],[Company]]</f>
        <v>8</v>
      </c>
      <c r="P198">
        <f>IF(((Table1[[#This Row],[Arrived]]-Table1[[#This Row],[Delivery]])*24-Table1[[#This Row],[Promised]])&lt;0, 0, (Table1[[#This Row],[Arrived]]-Table1[[#This Row],[Delivery]])*24-Table1[[#This Row],[Promised]])</f>
        <v>0</v>
      </c>
      <c r="Q198"/>
    </row>
    <row r="199" spans="1:17" hidden="1" x14ac:dyDescent="0.45">
      <c r="A199" s="3">
        <v>45293.125</v>
      </c>
      <c r="B199" t="s">
        <v>12</v>
      </c>
      <c r="C199">
        <v>6</v>
      </c>
      <c r="D199">
        <v>7</v>
      </c>
      <c r="E199" t="s">
        <v>13</v>
      </c>
      <c r="F199">
        <v>2500</v>
      </c>
      <c r="G199">
        <v>120</v>
      </c>
      <c r="H199">
        <v>300000</v>
      </c>
      <c r="I199" s="3">
        <v>45293.25</v>
      </c>
      <c r="J199">
        <v>72</v>
      </c>
      <c r="K199" s="3">
        <v>45296.25</v>
      </c>
      <c r="L199" s="4">
        <f>ROUNDDOWN(Table1[[#This Row],[Ordered]],0)</f>
        <v>45293</v>
      </c>
      <c r="M199" s="4">
        <f>Table1[[#This Row],[Date ]]</f>
        <v>45293</v>
      </c>
      <c r="N199" s="5">
        <f>Table1[[#This Row],[Ordered]]-Table1[[#This Row],[Date ]]</f>
        <v>0.125</v>
      </c>
      <c r="O199" s="5">
        <f>Table1[[#This Row],[Company]]</f>
        <v>6</v>
      </c>
      <c r="P199">
        <f>IF(((Table1[[#This Row],[Arrived]]-Table1[[#This Row],[Delivery]])*24-Table1[[#This Row],[Promised]])&lt;0, 0, (Table1[[#This Row],[Arrived]]-Table1[[#This Row],[Delivery]])*24-Table1[[#This Row],[Promised]])</f>
        <v>0</v>
      </c>
      <c r="Q199"/>
    </row>
    <row r="200" spans="1:17" hidden="1" x14ac:dyDescent="0.45">
      <c r="A200" s="3">
        <v>45293.166666666664</v>
      </c>
      <c r="B200" t="s">
        <v>12</v>
      </c>
      <c r="C200">
        <v>6</v>
      </c>
      <c r="D200">
        <v>7</v>
      </c>
      <c r="E200" t="s">
        <v>17</v>
      </c>
      <c r="F200">
        <v>300</v>
      </c>
      <c r="G200">
        <v>1200</v>
      </c>
      <c r="H200">
        <v>360000</v>
      </c>
      <c r="I200" s="3">
        <v>45293.208333333336</v>
      </c>
      <c r="J200">
        <v>72</v>
      </c>
      <c r="K200" s="3">
        <v>45296.208333333336</v>
      </c>
      <c r="L200" s="4">
        <f>ROUNDDOWN(Table1[[#This Row],[Ordered]],0)</f>
        <v>45293</v>
      </c>
      <c r="M200" s="4">
        <f>Table1[[#This Row],[Date ]]</f>
        <v>45293</v>
      </c>
      <c r="N200" s="5">
        <f>Table1[[#This Row],[Ordered]]-Table1[[#This Row],[Date ]]</f>
        <v>0.16666666666424135</v>
      </c>
      <c r="O200" s="5">
        <f>Table1[[#This Row],[Company]]</f>
        <v>6</v>
      </c>
      <c r="P200">
        <f>IF(((Table1[[#This Row],[Arrived]]-Table1[[#This Row],[Delivery]])*24-Table1[[#This Row],[Promised]])&lt;0, 0, (Table1[[#This Row],[Arrived]]-Table1[[#This Row],[Delivery]])*24-Table1[[#This Row],[Promised]])</f>
        <v>0</v>
      </c>
      <c r="Q200"/>
    </row>
    <row r="201" spans="1:17" hidden="1" x14ac:dyDescent="0.45">
      <c r="A201" s="3">
        <v>45293.208333333336</v>
      </c>
      <c r="B201" t="s">
        <v>12</v>
      </c>
      <c r="C201">
        <v>6</v>
      </c>
      <c r="D201">
        <v>7</v>
      </c>
      <c r="E201" t="s">
        <v>18</v>
      </c>
      <c r="F201">
        <v>1500</v>
      </c>
      <c r="G201">
        <v>9</v>
      </c>
      <c r="H201">
        <v>13500</v>
      </c>
      <c r="I201" s="3">
        <v>45293.25</v>
      </c>
      <c r="J201">
        <v>72</v>
      </c>
      <c r="K201" s="3">
        <v>45296.25</v>
      </c>
      <c r="L201" s="4">
        <f>ROUNDDOWN(Table1[[#This Row],[Ordered]],0)</f>
        <v>45293</v>
      </c>
      <c r="M201" s="4">
        <f>Table1[[#This Row],[Date ]]</f>
        <v>45293</v>
      </c>
      <c r="N201" s="5">
        <f>Table1[[#This Row],[Ordered]]-Table1[[#This Row],[Date ]]</f>
        <v>0.20833333333575865</v>
      </c>
      <c r="O201" s="5">
        <f>Table1[[#This Row],[Company]]</f>
        <v>6</v>
      </c>
      <c r="P201">
        <f>IF(((Table1[[#This Row],[Arrived]]-Table1[[#This Row],[Delivery]])*24-Table1[[#This Row],[Promised]])&lt;0, 0, (Table1[[#This Row],[Arrived]]-Table1[[#This Row],[Delivery]])*24-Table1[[#This Row],[Promised]])</f>
        <v>0</v>
      </c>
      <c r="Q201"/>
    </row>
    <row r="202" spans="1:17" hidden="1" x14ac:dyDescent="0.45">
      <c r="A202" s="3">
        <v>45293.208333333336</v>
      </c>
      <c r="B202" t="s">
        <v>12</v>
      </c>
      <c r="C202">
        <v>3</v>
      </c>
      <c r="D202">
        <v>13</v>
      </c>
      <c r="E202" t="s">
        <v>13</v>
      </c>
      <c r="F202">
        <v>2000</v>
      </c>
      <c r="G202">
        <v>120</v>
      </c>
      <c r="H202">
        <v>240000</v>
      </c>
      <c r="I202" s="3">
        <v>45293.25</v>
      </c>
      <c r="J202">
        <v>72</v>
      </c>
      <c r="K202" s="3">
        <v>45296.25</v>
      </c>
      <c r="L202" s="4">
        <f>ROUNDDOWN(Table1[[#This Row],[Ordered]],0)</f>
        <v>45293</v>
      </c>
      <c r="M202" s="4">
        <f>Table1[[#This Row],[Date ]]</f>
        <v>45293</v>
      </c>
      <c r="N202" s="5">
        <f>Table1[[#This Row],[Ordered]]-Table1[[#This Row],[Date ]]</f>
        <v>0.20833333333575865</v>
      </c>
      <c r="O202" s="5">
        <f>Table1[[#This Row],[Company]]</f>
        <v>3</v>
      </c>
      <c r="P202">
        <f>IF(((Table1[[#This Row],[Arrived]]-Table1[[#This Row],[Delivery]])*24-Table1[[#This Row],[Promised]])&lt;0, 0, (Table1[[#This Row],[Arrived]]-Table1[[#This Row],[Delivery]])*24-Table1[[#This Row],[Promised]])</f>
        <v>0</v>
      </c>
      <c r="Q202"/>
    </row>
    <row r="203" spans="1:17" x14ac:dyDescent="0.45">
      <c r="A203" s="3">
        <v>45293.25</v>
      </c>
      <c r="B203" t="s">
        <v>14</v>
      </c>
      <c r="C203">
        <v>13</v>
      </c>
      <c r="D203">
        <v>1008</v>
      </c>
      <c r="E203" t="s">
        <v>16</v>
      </c>
      <c r="F203">
        <v>34</v>
      </c>
      <c r="G203">
        <v>3650</v>
      </c>
      <c r="H203">
        <v>124100</v>
      </c>
      <c r="I203" s="3">
        <v>45295</v>
      </c>
      <c r="J203">
        <v>120</v>
      </c>
      <c r="K203" s="3">
        <v>45298</v>
      </c>
      <c r="L203" s="4">
        <f>ROUNDDOWN(Table1[[#This Row],[Ordered]],0)</f>
        <v>45293</v>
      </c>
      <c r="M203" s="4">
        <f>Table1[[#This Row],[Date ]]</f>
        <v>45293</v>
      </c>
      <c r="N203" s="5">
        <f>Table1[[#This Row],[Ordered]]-Table1[[#This Row],[Date ]]</f>
        <v>0.25</v>
      </c>
      <c r="O203">
        <f>Table1[[#This Row],[Company]]</f>
        <v>13</v>
      </c>
      <c r="P203">
        <f>IF(((Table1[[#This Row],[Arrived]]-Table1[[#This Row],[Delivery]])*24-Table1[[#This Row],[Promised]])&lt;0, 0, (Table1[[#This Row],[Arrived]]-Table1[[#This Row],[Delivery]])*24-Table1[[#This Row],[Promised]])</f>
        <v>0</v>
      </c>
      <c r="Q203"/>
    </row>
    <row r="204" spans="1:17" x14ac:dyDescent="0.45">
      <c r="A204" s="3">
        <v>45293.25</v>
      </c>
      <c r="B204" t="s">
        <v>14</v>
      </c>
      <c r="C204">
        <v>11</v>
      </c>
      <c r="D204">
        <v>1008</v>
      </c>
      <c r="E204" t="s">
        <v>16</v>
      </c>
      <c r="F204">
        <v>34</v>
      </c>
      <c r="G204">
        <v>3650</v>
      </c>
      <c r="H204">
        <v>124100</v>
      </c>
      <c r="I204" s="3">
        <v>45294.75</v>
      </c>
      <c r="J204">
        <v>120</v>
      </c>
      <c r="K204" s="3">
        <v>45297.75</v>
      </c>
      <c r="L204" s="4">
        <f>ROUNDDOWN(Table1[[#This Row],[Ordered]],0)</f>
        <v>45293</v>
      </c>
      <c r="M204" s="4">
        <f>Table1[[#This Row],[Date ]]</f>
        <v>45293</v>
      </c>
      <c r="N204" s="5">
        <f>Table1[[#This Row],[Ordered]]-Table1[[#This Row],[Date ]]</f>
        <v>0.25</v>
      </c>
      <c r="O204">
        <f>Table1[[#This Row],[Company]]</f>
        <v>11</v>
      </c>
      <c r="P204">
        <f>IF(((Table1[[#This Row],[Arrived]]-Table1[[#This Row],[Delivery]])*24-Table1[[#This Row],[Promised]])&lt;0, 0, (Table1[[#This Row],[Arrived]]-Table1[[#This Row],[Delivery]])*24-Table1[[#This Row],[Promised]])</f>
        <v>0</v>
      </c>
      <c r="Q204"/>
    </row>
    <row r="205" spans="1:17" x14ac:dyDescent="0.45">
      <c r="A205" s="3">
        <v>45293.25</v>
      </c>
      <c r="B205" t="s">
        <v>14</v>
      </c>
      <c r="C205">
        <v>15</v>
      </c>
      <c r="D205">
        <v>1008</v>
      </c>
      <c r="E205" t="s">
        <v>16</v>
      </c>
      <c r="F205">
        <v>34</v>
      </c>
      <c r="G205">
        <v>3650</v>
      </c>
      <c r="H205">
        <v>124100</v>
      </c>
      <c r="I205" s="3">
        <v>45294.583333333336</v>
      </c>
      <c r="J205">
        <v>120</v>
      </c>
      <c r="K205" s="3">
        <v>45297.583333333336</v>
      </c>
      <c r="L205" s="4">
        <f>ROUNDDOWN(Table1[[#This Row],[Ordered]],0)</f>
        <v>45293</v>
      </c>
      <c r="M205" s="4">
        <f>Table1[[#This Row],[Date ]]</f>
        <v>45293</v>
      </c>
      <c r="N205" s="5">
        <f>Table1[[#This Row],[Ordered]]-Table1[[#This Row],[Date ]]</f>
        <v>0.25</v>
      </c>
      <c r="O205">
        <f>Table1[[#This Row],[Company]]</f>
        <v>15</v>
      </c>
      <c r="P205">
        <f>IF(((Table1[[#This Row],[Arrived]]-Table1[[#This Row],[Delivery]])*24-Table1[[#This Row],[Promised]])&lt;0, 0, (Table1[[#This Row],[Arrived]]-Table1[[#This Row],[Delivery]])*24-Table1[[#This Row],[Promised]])</f>
        <v>0</v>
      </c>
      <c r="Q205"/>
    </row>
    <row r="206" spans="1:17" x14ac:dyDescent="0.45">
      <c r="A206" s="3">
        <v>45293.25</v>
      </c>
      <c r="B206" t="s">
        <v>14</v>
      </c>
      <c r="C206">
        <v>16</v>
      </c>
      <c r="D206">
        <v>1008</v>
      </c>
      <c r="E206" t="s">
        <v>16</v>
      </c>
      <c r="F206">
        <v>34</v>
      </c>
      <c r="G206">
        <v>3650</v>
      </c>
      <c r="H206">
        <v>124100</v>
      </c>
      <c r="I206" s="3">
        <v>45294.291666666664</v>
      </c>
      <c r="J206">
        <v>120</v>
      </c>
      <c r="K206" s="3">
        <v>45297.291666666664</v>
      </c>
      <c r="L206" s="4">
        <f>ROUNDDOWN(Table1[[#This Row],[Ordered]],0)</f>
        <v>45293</v>
      </c>
      <c r="M206" s="4">
        <f>Table1[[#This Row],[Date ]]</f>
        <v>45293</v>
      </c>
      <c r="N206" s="5">
        <f>Table1[[#This Row],[Ordered]]-Table1[[#This Row],[Date ]]</f>
        <v>0.25</v>
      </c>
      <c r="O206">
        <f>Table1[[#This Row],[Company]]</f>
        <v>16</v>
      </c>
      <c r="P206">
        <f>IF(((Table1[[#This Row],[Arrived]]-Table1[[#This Row],[Delivery]])*24-Table1[[#This Row],[Promised]])&lt;0, 0, (Table1[[#This Row],[Arrived]]-Table1[[#This Row],[Delivery]])*24-Table1[[#This Row],[Promised]])</f>
        <v>0</v>
      </c>
      <c r="Q206"/>
    </row>
    <row r="207" spans="1:17" x14ac:dyDescent="0.45">
      <c r="A207" s="3">
        <v>45293.25</v>
      </c>
      <c r="B207" t="s">
        <v>14</v>
      </c>
      <c r="C207">
        <v>14</v>
      </c>
      <c r="D207">
        <v>1008</v>
      </c>
      <c r="E207" t="s">
        <v>16</v>
      </c>
      <c r="F207">
        <v>34</v>
      </c>
      <c r="G207">
        <v>3650</v>
      </c>
      <c r="H207">
        <v>124100</v>
      </c>
      <c r="I207" s="3">
        <v>45294.708333333336</v>
      </c>
      <c r="J207">
        <v>120</v>
      </c>
      <c r="K207" s="3">
        <v>45297.708333333336</v>
      </c>
      <c r="L207" s="4">
        <f>ROUNDDOWN(Table1[[#This Row],[Ordered]],0)</f>
        <v>45293</v>
      </c>
      <c r="M207" s="4">
        <f>Table1[[#This Row],[Date ]]</f>
        <v>45293</v>
      </c>
      <c r="N207" s="5">
        <f>Table1[[#This Row],[Ordered]]-Table1[[#This Row],[Date ]]</f>
        <v>0.25</v>
      </c>
      <c r="O207">
        <f>Table1[[#This Row],[Company]]</f>
        <v>14</v>
      </c>
      <c r="P207">
        <f>IF(((Table1[[#This Row],[Arrived]]-Table1[[#This Row],[Delivery]])*24-Table1[[#This Row],[Promised]])&lt;0, 0, (Table1[[#This Row],[Arrived]]-Table1[[#This Row],[Delivery]])*24-Table1[[#This Row],[Promised]])</f>
        <v>0</v>
      </c>
      <c r="Q207"/>
    </row>
    <row r="208" spans="1:17" hidden="1" x14ac:dyDescent="0.45">
      <c r="A208" s="3">
        <v>45293.25</v>
      </c>
      <c r="B208" t="s">
        <v>12</v>
      </c>
      <c r="C208">
        <v>3</v>
      </c>
      <c r="D208">
        <v>13</v>
      </c>
      <c r="E208" t="s">
        <v>17</v>
      </c>
      <c r="F208">
        <v>300</v>
      </c>
      <c r="G208">
        <v>1200</v>
      </c>
      <c r="H208">
        <v>360000</v>
      </c>
      <c r="I208" s="3">
        <v>45293.291666666664</v>
      </c>
      <c r="J208">
        <v>72</v>
      </c>
      <c r="K208" s="3">
        <v>45296.291666666664</v>
      </c>
      <c r="L208" s="4">
        <f>ROUNDDOWN(Table1[[#This Row],[Ordered]],0)</f>
        <v>45293</v>
      </c>
      <c r="M208" s="4">
        <f>Table1[[#This Row],[Date ]]</f>
        <v>45293</v>
      </c>
      <c r="N208" s="5">
        <f>Table1[[#This Row],[Ordered]]-Table1[[#This Row],[Date ]]</f>
        <v>0.25</v>
      </c>
      <c r="O208">
        <f>Table1[[#This Row],[Company]]</f>
        <v>3</v>
      </c>
      <c r="P208">
        <f>IF(((Table1[[#This Row],[Arrived]]-Table1[[#This Row],[Delivery]])*24-Table1[[#This Row],[Promised]])&lt;0, 0, (Table1[[#This Row],[Arrived]]-Table1[[#This Row],[Delivery]])*24-Table1[[#This Row],[Promised]])</f>
        <v>0</v>
      </c>
      <c r="Q208"/>
    </row>
    <row r="209" spans="1:17" x14ac:dyDescent="0.45">
      <c r="A209" s="3">
        <v>45293.25</v>
      </c>
      <c r="B209" t="s">
        <v>14</v>
      </c>
      <c r="C209">
        <v>10</v>
      </c>
      <c r="D209">
        <v>1008</v>
      </c>
      <c r="E209" t="s">
        <v>16</v>
      </c>
      <c r="F209">
        <v>34</v>
      </c>
      <c r="G209">
        <v>3650</v>
      </c>
      <c r="H209">
        <v>124100</v>
      </c>
      <c r="I209" s="3">
        <v>45293.25</v>
      </c>
      <c r="J209">
        <v>120</v>
      </c>
      <c r="K209" s="3">
        <v>45296.25</v>
      </c>
      <c r="L209" s="4">
        <f>ROUNDDOWN(Table1[[#This Row],[Ordered]],0)</f>
        <v>45293</v>
      </c>
      <c r="M209" s="4">
        <f>Table1[[#This Row],[Date ]]</f>
        <v>45293</v>
      </c>
      <c r="N209" s="5">
        <f>Table1[[#This Row],[Ordered]]-Table1[[#This Row],[Date ]]</f>
        <v>0.25</v>
      </c>
      <c r="O209">
        <f>Table1[[#This Row],[Company]]</f>
        <v>10</v>
      </c>
      <c r="P209">
        <f>IF(((Table1[[#This Row],[Arrived]]-Table1[[#This Row],[Delivery]])*24-Table1[[#This Row],[Promised]])&lt;0, 0, (Table1[[#This Row],[Arrived]]-Table1[[#This Row],[Delivery]])*24-Table1[[#This Row],[Promised]])</f>
        <v>0</v>
      </c>
      <c r="Q209"/>
    </row>
    <row r="210" spans="1:17" x14ac:dyDescent="0.45">
      <c r="A210" s="3">
        <v>45293.25</v>
      </c>
      <c r="B210" t="s">
        <v>14</v>
      </c>
      <c r="C210">
        <v>7</v>
      </c>
      <c r="D210">
        <v>1008</v>
      </c>
      <c r="E210" t="s">
        <v>16</v>
      </c>
      <c r="F210">
        <v>34</v>
      </c>
      <c r="G210">
        <v>3650</v>
      </c>
      <c r="H210">
        <v>124100</v>
      </c>
      <c r="I210" s="3">
        <v>45294.333333333336</v>
      </c>
      <c r="J210">
        <v>120</v>
      </c>
      <c r="K210" s="3">
        <v>45297.333333333336</v>
      </c>
      <c r="L210" s="4">
        <f>ROUNDDOWN(Table1[[#This Row],[Ordered]],0)</f>
        <v>45293</v>
      </c>
      <c r="M210" s="4">
        <f>Table1[[#This Row],[Date ]]</f>
        <v>45293</v>
      </c>
      <c r="N210" s="5">
        <f>Table1[[#This Row],[Ordered]]-Table1[[#This Row],[Date ]]</f>
        <v>0.25</v>
      </c>
      <c r="O210">
        <f>Table1[[#This Row],[Company]]</f>
        <v>7</v>
      </c>
      <c r="P210">
        <f>IF(((Table1[[#This Row],[Arrived]]-Table1[[#This Row],[Delivery]])*24-Table1[[#This Row],[Promised]])&lt;0, 0, (Table1[[#This Row],[Arrived]]-Table1[[#This Row],[Delivery]])*24-Table1[[#This Row],[Promised]])</f>
        <v>0</v>
      </c>
      <c r="Q210"/>
    </row>
    <row r="211" spans="1:17" x14ac:dyDescent="0.45">
      <c r="A211" s="3">
        <v>45293.25</v>
      </c>
      <c r="B211" t="s">
        <v>14</v>
      </c>
      <c r="C211">
        <v>8</v>
      </c>
      <c r="D211">
        <v>1008</v>
      </c>
      <c r="E211" t="s">
        <v>16</v>
      </c>
      <c r="F211">
        <v>34</v>
      </c>
      <c r="G211">
        <v>3650</v>
      </c>
      <c r="H211">
        <v>124100</v>
      </c>
      <c r="I211" s="3">
        <v>45295</v>
      </c>
      <c r="J211">
        <v>120</v>
      </c>
      <c r="K211" s="3">
        <v>45298</v>
      </c>
      <c r="L211" s="4">
        <f>ROUNDDOWN(Table1[[#This Row],[Ordered]],0)</f>
        <v>45293</v>
      </c>
      <c r="M211" s="4">
        <f>Table1[[#This Row],[Date ]]</f>
        <v>45293</v>
      </c>
      <c r="N211" s="5">
        <f>Table1[[#This Row],[Ordered]]-Table1[[#This Row],[Date ]]</f>
        <v>0.25</v>
      </c>
      <c r="O211">
        <f>Table1[[#This Row],[Company]]</f>
        <v>8</v>
      </c>
      <c r="P211">
        <f>IF(((Table1[[#This Row],[Arrived]]-Table1[[#This Row],[Delivery]])*24-Table1[[#This Row],[Promised]])&lt;0, 0, (Table1[[#This Row],[Arrived]]-Table1[[#This Row],[Delivery]])*24-Table1[[#This Row],[Promised]])</f>
        <v>0</v>
      </c>
      <c r="Q211"/>
    </row>
    <row r="212" spans="1:17" x14ac:dyDescent="0.45">
      <c r="A212" s="3">
        <v>45293.25</v>
      </c>
      <c r="B212" t="s">
        <v>14</v>
      </c>
      <c r="C212">
        <v>9</v>
      </c>
      <c r="D212">
        <v>1008</v>
      </c>
      <c r="E212" t="s">
        <v>16</v>
      </c>
      <c r="F212">
        <v>30</v>
      </c>
      <c r="G212">
        <v>3550</v>
      </c>
      <c r="H212">
        <v>106500</v>
      </c>
      <c r="I212" s="3">
        <v>45294.041666666664</v>
      </c>
      <c r="J212">
        <v>96</v>
      </c>
      <c r="K212" s="3">
        <v>45297.208333333336</v>
      </c>
      <c r="L212" s="4">
        <f>ROUNDDOWN(Table1[[#This Row],[Ordered]],0)</f>
        <v>45293</v>
      </c>
      <c r="M212" s="4">
        <f>Table1[[#This Row],[Date ]]</f>
        <v>45293</v>
      </c>
      <c r="N212" s="5">
        <f>Table1[[#This Row],[Ordered]]-Table1[[#This Row],[Date ]]</f>
        <v>0.25</v>
      </c>
      <c r="O212">
        <f>Table1[[#This Row],[Company]]</f>
        <v>9</v>
      </c>
      <c r="P212">
        <f>IF(((Table1[[#This Row],[Arrived]]-Table1[[#This Row],[Delivery]])*24-Table1[[#This Row],[Promised]])&lt;0, 0, (Table1[[#This Row],[Arrived]]-Table1[[#This Row],[Delivery]])*24-Table1[[#This Row],[Promised]])</f>
        <v>0</v>
      </c>
      <c r="Q212"/>
    </row>
    <row r="213" spans="1:17" x14ac:dyDescent="0.45">
      <c r="A213" s="3">
        <v>45293.25</v>
      </c>
      <c r="B213" t="s">
        <v>14</v>
      </c>
      <c r="C213">
        <v>12</v>
      </c>
      <c r="D213">
        <v>1008</v>
      </c>
      <c r="E213" t="s">
        <v>16</v>
      </c>
      <c r="F213">
        <v>34</v>
      </c>
      <c r="G213">
        <v>3650</v>
      </c>
      <c r="H213">
        <v>124100</v>
      </c>
      <c r="I213" s="3">
        <v>45294.416666666664</v>
      </c>
      <c r="J213">
        <v>120</v>
      </c>
      <c r="K213" s="3">
        <v>45297.416666666664</v>
      </c>
      <c r="L213" s="4">
        <f>ROUNDDOWN(Table1[[#This Row],[Ordered]],0)</f>
        <v>45293</v>
      </c>
      <c r="M213" s="4">
        <f>Table1[[#This Row],[Date ]]</f>
        <v>45293</v>
      </c>
      <c r="N213" s="5">
        <f>Table1[[#This Row],[Ordered]]-Table1[[#This Row],[Date ]]</f>
        <v>0.25</v>
      </c>
      <c r="O213">
        <f>Table1[[#This Row],[Company]]</f>
        <v>12</v>
      </c>
      <c r="P213">
        <f>IF(((Table1[[#This Row],[Arrived]]-Table1[[#This Row],[Delivery]])*24-Table1[[#This Row],[Promised]])&lt;0, 0, (Table1[[#This Row],[Arrived]]-Table1[[#This Row],[Delivery]])*24-Table1[[#This Row],[Promised]])</f>
        <v>0</v>
      </c>
      <c r="Q213"/>
    </row>
    <row r="214" spans="1:17" x14ac:dyDescent="0.45">
      <c r="A214" s="3">
        <v>45293.416666666664</v>
      </c>
      <c r="B214" t="s">
        <v>14</v>
      </c>
      <c r="C214">
        <v>8</v>
      </c>
      <c r="D214">
        <v>1008</v>
      </c>
      <c r="E214" t="s">
        <v>15</v>
      </c>
      <c r="F214">
        <v>8</v>
      </c>
      <c r="G214">
        <v>7000</v>
      </c>
      <c r="H214">
        <v>56000</v>
      </c>
      <c r="I214" s="3">
        <v>45294.166666666664</v>
      </c>
      <c r="J214">
        <v>96</v>
      </c>
      <c r="K214" s="3">
        <v>45297.166666666664</v>
      </c>
      <c r="L214" s="4">
        <f>ROUNDDOWN(Table1[[#This Row],[Ordered]],0)</f>
        <v>45293</v>
      </c>
      <c r="M214" s="4">
        <f>Table1[[#This Row],[Date ]]</f>
        <v>45293</v>
      </c>
      <c r="N214" s="5">
        <f>Table1[[#This Row],[Ordered]]-Table1[[#This Row],[Date ]]</f>
        <v>0.41666666666424135</v>
      </c>
      <c r="O214">
        <f>Table1[[#This Row],[Company]]</f>
        <v>8</v>
      </c>
      <c r="P214">
        <f>IF(((Table1[[#This Row],[Arrived]]-Table1[[#This Row],[Delivery]])*24-Table1[[#This Row],[Promised]])&lt;0, 0, (Table1[[#This Row],[Arrived]]-Table1[[#This Row],[Delivery]])*24-Table1[[#This Row],[Promised]])</f>
        <v>0</v>
      </c>
      <c r="Q214"/>
    </row>
    <row r="215" spans="1:17" hidden="1" x14ac:dyDescent="0.45">
      <c r="A215" s="3">
        <v>45293.458333333336</v>
      </c>
      <c r="B215" t="s">
        <v>12</v>
      </c>
      <c r="C215">
        <v>5</v>
      </c>
      <c r="D215">
        <v>15</v>
      </c>
      <c r="E215" t="s">
        <v>13</v>
      </c>
      <c r="F215">
        <v>1000</v>
      </c>
      <c r="G215">
        <v>147</v>
      </c>
      <c r="H215">
        <v>147000</v>
      </c>
      <c r="I215" s="3">
        <v>45293.5</v>
      </c>
      <c r="J215">
        <v>24</v>
      </c>
      <c r="K215" s="3">
        <v>45294.5</v>
      </c>
      <c r="L215" s="4">
        <f>ROUNDDOWN(Table1[[#This Row],[Ordered]],0)</f>
        <v>45293</v>
      </c>
      <c r="M215" s="4">
        <f>Table1[[#This Row],[Date ]]</f>
        <v>45293</v>
      </c>
      <c r="N215" s="5">
        <f>Table1[[#This Row],[Ordered]]-Table1[[#This Row],[Date ]]</f>
        <v>0.45833333333575865</v>
      </c>
      <c r="O215" s="5">
        <f>Table1[[#This Row],[Company]]</f>
        <v>5</v>
      </c>
      <c r="P215">
        <f>IF(((Table1[[#This Row],[Arrived]]-Table1[[#This Row],[Delivery]])*24-Table1[[#This Row],[Promised]])&lt;0, 0, (Table1[[#This Row],[Arrived]]-Table1[[#This Row],[Delivery]])*24-Table1[[#This Row],[Promised]])</f>
        <v>0</v>
      </c>
      <c r="Q215"/>
    </row>
    <row r="216" spans="1:17" hidden="1" x14ac:dyDescent="0.45">
      <c r="A216" s="3">
        <v>45293.5</v>
      </c>
      <c r="B216" t="s">
        <v>12</v>
      </c>
      <c r="C216">
        <v>5</v>
      </c>
      <c r="D216">
        <v>15</v>
      </c>
      <c r="E216" t="s">
        <v>17</v>
      </c>
      <c r="F216">
        <v>250</v>
      </c>
      <c r="G216">
        <v>1020</v>
      </c>
      <c r="H216">
        <v>255000</v>
      </c>
      <c r="I216" s="3">
        <v>45293.541666666664</v>
      </c>
      <c r="J216">
        <v>24</v>
      </c>
      <c r="K216" s="3">
        <v>45294.541666666664</v>
      </c>
      <c r="L216" s="4">
        <f>ROUNDDOWN(Table1[[#This Row],[Ordered]],0)</f>
        <v>45293</v>
      </c>
      <c r="M216" s="4">
        <f>Table1[[#This Row],[Date ]]</f>
        <v>45293</v>
      </c>
      <c r="N216" s="5">
        <f>Table1[[#This Row],[Ordered]]-Table1[[#This Row],[Date ]]</f>
        <v>0.5</v>
      </c>
      <c r="O216" s="5">
        <f>Table1[[#This Row],[Company]]</f>
        <v>5</v>
      </c>
      <c r="P216">
        <f>IF(((Table1[[#This Row],[Arrived]]-Table1[[#This Row],[Delivery]])*24-Table1[[#This Row],[Promised]])&lt;0, 0, (Table1[[#This Row],[Arrived]]-Table1[[#This Row],[Delivery]])*24-Table1[[#This Row],[Promised]])</f>
        <v>0</v>
      </c>
      <c r="Q216"/>
    </row>
    <row r="217" spans="1:17" hidden="1" x14ac:dyDescent="0.45">
      <c r="A217" s="3">
        <v>45293.583333333336</v>
      </c>
      <c r="B217" t="s">
        <v>12</v>
      </c>
      <c r="C217">
        <v>3</v>
      </c>
      <c r="D217">
        <v>12</v>
      </c>
      <c r="E217" t="s">
        <v>17</v>
      </c>
      <c r="F217">
        <v>200</v>
      </c>
      <c r="G217">
        <v>1200</v>
      </c>
      <c r="H217">
        <v>240000</v>
      </c>
      <c r="I217" s="3">
        <v>45293.666666666664</v>
      </c>
      <c r="J217">
        <v>72</v>
      </c>
      <c r="K217" s="3">
        <v>45296.666666666664</v>
      </c>
      <c r="L217" s="4">
        <f>ROUNDDOWN(Table1[[#This Row],[Ordered]],0)</f>
        <v>45293</v>
      </c>
      <c r="M217" s="4">
        <f>Table1[[#This Row],[Date ]]</f>
        <v>45293</v>
      </c>
      <c r="N217" s="5">
        <f>Table1[[#This Row],[Ordered]]-Table1[[#This Row],[Date ]]</f>
        <v>0.58333333333575865</v>
      </c>
      <c r="O217" s="5">
        <f>Table1[[#This Row],[Company]]</f>
        <v>3</v>
      </c>
      <c r="P217">
        <f>IF(((Table1[[#This Row],[Arrived]]-Table1[[#This Row],[Delivery]])*24-Table1[[#This Row],[Promised]])&lt;0, 0, (Table1[[#This Row],[Arrived]]-Table1[[#This Row],[Delivery]])*24-Table1[[#This Row],[Promised]])</f>
        <v>0</v>
      </c>
      <c r="Q217"/>
    </row>
    <row r="218" spans="1:17" hidden="1" x14ac:dyDescent="0.45">
      <c r="A218" s="3">
        <v>45293.583333333336</v>
      </c>
      <c r="B218" t="s">
        <v>12</v>
      </c>
      <c r="C218">
        <v>2</v>
      </c>
      <c r="D218">
        <v>9</v>
      </c>
      <c r="E218" t="s">
        <v>17</v>
      </c>
      <c r="F218">
        <v>250</v>
      </c>
      <c r="G218">
        <v>1250</v>
      </c>
      <c r="H218">
        <v>312500</v>
      </c>
      <c r="I218" s="3">
        <v>45293.583333333336</v>
      </c>
      <c r="J218">
        <v>72</v>
      </c>
      <c r="K218" s="3">
        <v>45296.583333333336</v>
      </c>
      <c r="L218" s="4">
        <f>ROUNDDOWN(Table1[[#This Row],[Ordered]],0)</f>
        <v>45293</v>
      </c>
      <c r="M218" s="4">
        <f>Table1[[#This Row],[Date ]]</f>
        <v>45293</v>
      </c>
      <c r="N218" s="5">
        <f>Table1[[#This Row],[Ordered]]-Table1[[#This Row],[Date ]]</f>
        <v>0.58333333333575865</v>
      </c>
      <c r="O218" s="5">
        <f>Table1[[#This Row],[Company]]</f>
        <v>2</v>
      </c>
      <c r="P218">
        <f>IF(((Table1[[#This Row],[Arrived]]-Table1[[#This Row],[Delivery]])*24-Table1[[#This Row],[Promised]])&lt;0, 0, (Table1[[#This Row],[Arrived]]-Table1[[#This Row],[Delivery]])*24-Table1[[#This Row],[Promised]])</f>
        <v>0</v>
      </c>
      <c r="Q218"/>
    </row>
    <row r="219" spans="1:17" hidden="1" x14ac:dyDescent="0.45">
      <c r="A219" s="3">
        <v>45293.625</v>
      </c>
      <c r="B219" t="s">
        <v>12</v>
      </c>
      <c r="C219">
        <v>3</v>
      </c>
      <c r="D219">
        <v>12</v>
      </c>
      <c r="E219" t="s">
        <v>13</v>
      </c>
      <c r="F219">
        <v>2700</v>
      </c>
      <c r="G219">
        <v>120</v>
      </c>
      <c r="H219">
        <v>324000</v>
      </c>
      <c r="I219" s="3">
        <v>45293.666666666664</v>
      </c>
      <c r="J219">
        <v>72</v>
      </c>
      <c r="K219" s="3">
        <v>45296.666666666664</v>
      </c>
      <c r="L219" s="4">
        <f>ROUNDDOWN(Table1[[#This Row],[Ordered]],0)</f>
        <v>45293</v>
      </c>
      <c r="M219" s="4">
        <f>Table1[[#This Row],[Date ]]</f>
        <v>45293</v>
      </c>
      <c r="N219" s="5">
        <f>Table1[[#This Row],[Ordered]]-Table1[[#This Row],[Date ]]</f>
        <v>0.625</v>
      </c>
      <c r="O219" s="5">
        <f>Table1[[#This Row],[Company]]</f>
        <v>3</v>
      </c>
      <c r="P219">
        <f>IF(((Table1[[#This Row],[Arrived]]-Table1[[#This Row],[Delivery]])*24-Table1[[#This Row],[Promised]])&lt;0, 0, (Table1[[#This Row],[Arrived]]-Table1[[#This Row],[Delivery]])*24-Table1[[#This Row],[Promised]])</f>
        <v>0</v>
      </c>
      <c r="Q219"/>
    </row>
    <row r="220" spans="1:17" x14ac:dyDescent="0.45">
      <c r="A220" s="3">
        <v>45293.666666666664</v>
      </c>
      <c r="B220" t="s">
        <v>0</v>
      </c>
      <c r="C220">
        <v>9</v>
      </c>
      <c r="D220">
        <v>2003</v>
      </c>
      <c r="E220" t="s">
        <v>16</v>
      </c>
      <c r="F220">
        <v>30</v>
      </c>
      <c r="G220">
        <v>3600</v>
      </c>
      <c r="H220">
        <v>108000</v>
      </c>
      <c r="I220" s="3">
        <v>45294.541666666664</v>
      </c>
      <c r="J220">
        <v>96</v>
      </c>
      <c r="K220" s="3">
        <v>45297.541666666664</v>
      </c>
      <c r="L220" s="4">
        <f>ROUNDDOWN(Table1[[#This Row],[Ordered]],0)</f>
        <v>45293</v>
      </c>
      <c r="M220" s="4">
        <f>Table1[[#This Row],[Date ]]</f>
        <v>45293</v>
      </c>
      <c r="N220" s="5">
        <f>Table1[[#This Row],[Ordered]]-Table1[[#This Row],[Date ]]</f>
        <v>0.66666666666424135</v>
      </c>
      <c r="O220">
        <f>Table1[[#This Row],[Company]]</f>
        <v>9</v>
      </c>
      <c r="P220">
        <f>IF(((Table1[[#This Row],[Arrived]]-Table1[[#This Row],[Delivery]])*24-Table1[[#This Row],[Promised]])&lt;0, 0, (Table1[[#This Row],[Arrived]]-Table1[[#This Row],[Delivery]])*24-Table1[[#This Row],[Promised]])</f>
        <v>0</v>
      </c>
      <c r="Q220"/>
    </row>
    <row r="221" spans="1:17" x14ac:dyDescent="0.45">
      <c r="A221" s="3">
        <v>45293.666666666664</v>
      </c>
      <c r="B221" t="s">
        <v>0</v>
      </c>
      <c r="C221">
        <v>11</v>
      </c>
      <c r="D221">
        <v>2003</v>
      </c>
      <c r="E221" t="s">
        <v>16</v>
      </c>
      <c r="F221">
        <v>30</v>
      </c>
      <c r="G221">
        <v>3750</v>
      </c>
      <c r="H221">
        <v>112500</v>
      </c>
      <c r="I221" s="3">
        <v>45294.166666666664</v>
      </c>
      <c r="J221">
        <v>132</v>
      </c>
      <c r="K221" s="3">
        <v>45298.666666666664</v>
      </c>
      <c r="L221" s="4">
        <f>ROUNDDOWN(Table1[[#This Row],[Ordered]],0)</f>
        <v>45293</v>
      </c>
      <c r="M221" s="4">
        <f>Table1[[#This Row],[Date ]]</f>
        <v>45293</v>
      </c>
      <c r="N221" s="5">
        <f>Table1[[#This Row],[Ordered]]-Table1[[#This Row],[Date ]]</f>
        <v>0.66666666666424135</v>
      </c>
      <c r="O221">
        <f>Table1[[#This Row],[Company]]</f>
        <v>11</v>
      </c>
      <c r="P221">
        <f>IF(((Table1[[#This Row],[Arrived]]-Table1[[#This Row],[Delivery]])*24-Table1[[#This Row],[Promised]])&lt;0, 0, (Table1[[#This Row],[Arrived]]-Table1[[#This Row],[Delivery]])*24-Table1[[#This Row],[Promised]])</f>
        <v>0</v>
      </c>
      <c r="Q221"/>
    </row>
    <row r="222" spans="1:17" x14ac:dyDescent="0.45">
      <c r="A222" s="3">
        <v>45293.666666666664</v>
      </c>
      <c r="B222" t="s">
        <v>0</v>
      </c>
      <c r="C222">
        <v>7</v>
      </c>
      <c r="D222">
        <v>2003</v>
      </c>
      <c r="E222" t="s">
        <v>16</v>
      </c>
      <c r="F222">
        <v>30</v>
      </c>
      <c r="G222">
        <v>3750</v>
      </c>
      <c r="H222">
        <v>112500</v>
      </c>
      <c r="I222" s="3">
        <v>45294.25</v>
      </c>
      <c r="J222">
        <v>132</v>
      </c>
      <c r="K222" s="3">
        <v>45298.75</v>
      </c>
      <c r="L222" s="4">
        <f>ROUNDDOWN(Table1[[#This Row],[Ordered]],0)</f>
        <v>45293</v>
      </c>
      <c r="M222" s="4">
        <f>Table1[[#This Row],[Date ]]</f>
        <v>45293</v>
      </c>
      <c r="N222" s="5">
        <f>Table1[[#This Row],[Ordered]]-Table1[[#This Row],[Date ]]</f>
        <v>0.66666666666424135</v>
      </c>
      <c r="O222">
        <f>Table1[[#This Row],[Company]]</f>
        <v>7</v>
      </c>
      <c r="P222">
        <f>IF(((Table1[[#This Row],[Arrived]]-Table1[[#This Row],[Delivery]])*24-Table1[[#This Row],[Promised]])&lt;0, 0, (Table1[[#This Row],[Arrived]]-Table1[[#This Row],[Delivery]])*24-Table1[[#This Row],[Promised]])</f>
        <v>0</v>
      </c>
      <c r="Q222"/>
    </row>
    <row r="223" spans="1:17" x14ac:dyDescent="0.45">
      <c r="A223" s="3">
        <v>45293.666666666664</v>
      </c>
      <c r="B223" t="s">
        <v>0</v>
      </c>
      <c r="C223">
        <v>12</v>
      </c>
      <c r="D223">
        <v>2003</v>
      </c>
      <c r="E223" t="s">
        <v>15</v>
      </c>
      <c r="F223">
        <v>24</v>
      </c>
      <c r="G223">
        <v>6650</v>
      </c>
      <c r="H223">
        <v>159600</v>
      </c>
      <c r="I223" s="3">
        <v>45293.666666666664</v>
      </c>
      <c r="J223">
        <v>120</v>
      </c>
      <c r="K223" s="3">
        <v>45298.166666666664</v>
      </c>
      <c r="L223" s="4">
        <f>ROUNDDOWN(Table1[[#This Row],[Ordered]],0)</f>
        <v>45293</v>
      </c>
      <c r="M223" s="4">
        <f>Table1[[#This Row],[Date ]]</f>
        <v>45293</v>
      </c>
      <c r="N223" s="5">
        <f>Table1[[#This Row],[Ordered]]-Table1[[#This Row],[Date ]]</f>
        <v>0.66666666666424135</v>
      </c>
      <c r="O223">
        <f>Table1[[#This Row],[Company]]</f>
        <v>12</v>
      </c>
      <c r="P223">
        <f>IF(((Table1[[#This Row],[Arrived]]-Table1[[#This Row],[Delivery]])*24-Table1[[#This Row],[Promised]])&lt;0, 0, (Table1[[#This Row],[Arrived]]-Table1[[#This Row],[Delivery]])*24-Table1[[#This Row],[Promised]])</f>
        <v>0</v>
      </c>
      <c r="Q223"/>
    </row>
    <row r="224" spans="1:17" x14ac:dyDescent="0.45">
      <c r="A224" s="3">
        <v>45293.666666666664</v>
      </c>
      <c r="B224" t="s">
        <v>0</v>
      </c>
      <c r="C224">
        <v>12</v>
      </c>
      <c r="D224">
        <v>2003</v>
      </c>
      <c r="E224" t="s">
        <v>16</v>
      </c>
      <c r="F224">
        <v>30</v>
      </c>
      <c r="G224">
        <v>3750</v>
      </c>
      <c r="H224">
        <v>112500</v>
      </c>
      <c r="I224" s="3">
        <v>45293.666666666664</v>
      </c>
      <c r="J224">
        <v>120</v>
      </c>
      <c r="K224" s="3">
        <v>45298.25</v>
      </c>
      <c r="L224" s="4">
        <f>ROUNDDOWN(Table1[[#This Row],[Ordered]],0)</f>
        <v>45293</v>
      </c>
      <c r="M224" s="4">
        <f>Table1[[#This Row],[Date ]]</f>
        <v>45293</v>
      </c>
      <c r="N224" s="5">
        <f>Table1[[#This Row],[Ordered]]-Table1[[#This Row],[Date ]]</f>
        <v>0.66666666666424135</v>
      </c>
      <c r="O224">
        <f>Table1[[#This Row],[Company]]</f>
        <v>12</v>
      </c>
      <c r="P224">
        <f>IF(((Table1[[#This Row],[Arrived]]-Table1[[#This Row],[Delivery]])*24-Table1[[#This Row],[Promised]])&lt;0, 0, (Table1[[#This Row],[Arrived]]-Table1[[#This Row],[Delivery]])*24-Table1[[#This Row],[Promised]])</f>
        <v>0</v>
      </c>
      <c r="Q224"/>
    </row>
    <row r="225" spans="1:17" x14ac:dyDescent="0.45">
      <c r="A225" s="3">
        <v>45293.666666666664</v>
      </c>
      <c r="B225" t="s">
        <v>0</v>
      </c>
      <c r="C225">
        <v>16</v>
      </c>
      <c r="D225">
        <v>2003</v>
      </c>
      <c r="E225" t="s">
        <v>15</v>
      </c>
      <c r="F225">
        <v>24</v>
      </c>
      <c r="G225">
        <v>6650</v>
      </c>
      <c r="H225">
        <v>159600</v>
      </c>
      <c r="I225" s="3">
        <v>45293.708333333336</v>
      </c>
      <c r="J225">
        <v>132</v>
      </c>
      <c r="K225" s="3">
        <v>45298.208333333336</v>
      </c>
      <c r="L225" s="4">
        <f>ROUNDDOWN(Table1[[#This Row],[Ordered]],0)</f>
        <v>45293</v>
      </c>
      <c r="M225" s="4">
        <f>Table1[[#This Row],[Date ]]</f>
        <v>45293</v>
      </c>
      <c r="N225" s="5">
        <f>Table1[[#This Row],[Ordered]]-Table1[[#This Row],[Date ]]</f>
        <v>0.66666666666424135</v>
      </c>
      <c r="O225">
        <f>Table1[[#This Row],[Company]]</f>
        <v>16</v>
      </c>
      <c r="P225">
        <f>IF(((Table1[[#This Row],[Arrived]]-Table1[[#This Row],[Delivery]])*24-Table1[[#This Row],[Promised]])&lt;0, 0, (Table1[[#This Row],[Arrived]]-Table1[[#This Row],[Delivery]])*24-Table1[[#This Row],[Promised]])</f>
        <v>0</v>
      </c>
      <c r="Q225"/>
    </row>
    <row r="226" spans="1:17" x14ac:dyDescent="0.45">
      <c r="A226" s="3">
        <v>45293.666666666664</v>
      </c>
      <c r="B226" t="s">
        <v>0</v>
      </c>
      <c r="C226">
        <v>16</v>
      </c>
      <c r="D226">
        <v>2003</v>
      </c>
      <c r="E226" t="s">
        <v>16</v>
      </c>
      <c r="F226">
        <v>30</v>
      </c>
      <c r="G226">
        <v>3750</v>
      </c>
      <c r="H226">
        <v>112500</v>
      </c>
      <c r="I226" s="3">
        <v>45293.708333333336</v>
      </c>
      <c r="J226">
        <v>132</v>
      </c>
      <c r="K226" s="3">
        <v>45298.208333333336</v>
      </c>
      <c r="L226" s="4">
        <f>ROUNDDOWN(Table1[[#This Row],[Ordered]],0)</f>
        <v>45293</v>
      </c>
      <c r="M226" s="4">
        <f>Table1[[#This Row],[Date ]]</f>
        <v>45293</v>
      </c>
      <c r="N226" s="5">
        <f>Table1[[#This Row],[Ordered]]-Table1[[#This Row],[Date ]]</f>
        <v>0.66666666666424135</v>
      </c>
      <c r="O226">
        <f>Table1[[#This Row],[Company]]</f>
        <v>16</v>
      </c>
      <c r="P226">
        <f>IF(((Table1[[#This Row],[Arrived]]-Table1[[#This Row],[Delivery]])*24-Table1[[#This Row],[Promised]])&lt;0, 0, (Table1[[#This Row],[Arrived]]-Table1[[#This Row],[Delivery]])*24-Table1[[#This Row],[Promised]])</f>
        <v>0</v>
      </c>
      <c r="Q226"/>
    </row>
    <row r="227" spans="1:17" x14ac:dyDescent="0.45">
      <c r="A227" s="3">
        <v>45293.666666666664</v>
      </c>
      <c r="B227" t="s">
        <v>0</v>
      </c>
      <c r="C227">
        <v>7</v>
      </c>
      <c r="D227">
        <v>2003</v>
      </c>
      <c r="E227" t="s">
        <v>15</v>
      </c>
      <c r="F227">
        <v>24</v>
      </c>
      <c r="G227">
        <v>6650</v>
      </c>
      <c r="H227">
        <v>159600</v>
      </c>
      <c r="I227" s="3">
        <v>45293.916666666664</v>
      </c>
      <c r="J227">
        <v>132</v>
      </c>
      <c r="K227" s="3">
        <v>45298.5</v>
      </c>
      <c r="L227" s="4">
        <f>ROUNDDOWN(Table1[[#This Row],[Ordered]],0)</f>
        <v>45293</v>
      </c>
      <c r="M227" s="4">
        <f>Table1[[#This Row],[Date ]]</f>
        <v>45293</v>
      </c>
      <c r="N227" s="5">
        <f>Table1[[#This Row],[Ordered]]-Table1[[#This Row],[Date ]]</f>
        <v>0.66666666666424135</v>
      </c>
      <c r="O227">
        <f>Table1[[#This Row],[Company]]</f>
        <v>7</v>
      </c>
      <c r="P227">
        <f>IF(((Table1[[#This Row],[Arrived]]-Table1[[#This Row],[Delivery]])*24-Table1[[#This Row],[Promised]])&lt;0, 0, (Table1[[#This Row],[Arrived]]-Table1[[#This Row],[Delivery]])*24-Table1[[#This Row],[Promised]])</f>
        <v>0</v>
      </c>
      <c r="Q227"/>
    </row>
    <row r="228" spans="1:17" x14ac:dyDescent="0.45">
      <c r="A228" s="3">
        <v>45293.666666666664</v>
      </c>
      <c r="B228" t="s">
        <v>0</v>
      </c>
      <c r="C228">
        <v>10</v>
      </c>
      <c r="D228">
        <v>2003</v>
      </c>
      <c r="E228" t="s">
        <v>15</v>
      </c>
      <c r="F228">
        <v>24</v>
      </c>
      <c r="G228">
        <v>6800</v>
      </c>
      <c r="H228">
        <v>163200</v>
      </c>
      <c r="I228" s="3">
        <v>45294.041666666664</v>
      </c>
      <c r="J228">
        <v>132</v>
      </c>
      <c r="K228" s="3">
        <v>45298.541666666664</v>
      </c>
      <c r="L228" s="4">
        <f>ROUNDDOWN(Table1[[#This Row],[Ordered]],0)</f>
        <v>45293</v>
      </c>
      <c r="M228" s="4">
        <f>Table1[[#This Row],[Date ]]</f>
        <v>45293</v>
      </c>
      <c r="N228" s="5">
        <f>Table1[[#This Row],[Ordered]]-Table1[[#This Row],[Date ]]</f>
        <v>0.66666666666424135</v>
      </c>
      <c r="O228">
        <f>Table1[[#This Row],[Company]]</f>
        <v>10</v>
      </c>
      <c r="P228">
        <f>IF(((Table1[[#This Row],[Arrived]]-Table1[[#This Row],[Delivery]])*24-Table1[[#This Row],[Promised]])&lt;0, 0, (Table1[[#This Row],[Arrived]]-Table1[[#This Row],[Delivery]])*24-Table1[[#This Row],[Promised]])</f>
        <v>0</v>
      </c>
      <c r="Q228"/>
    </row>
    <row r="229" spans="1:17" x14ac:dyDescent="0.45">
      <c r="A229" s="3">
        <v>45293.666666666664</v>
      </c>
      <c r="B229" t="s">
        <v>0</v>
      </c>
      <c r="C229">
        <v>11</v>
      </c>
      <c r="D229">
        <v>2003</v>
      </c>
      <c r="E229" t="s">
        <v>15</v>
      </c>
      <c r="F229">
        <v>24</v>
      </c>
      <c r="G229">
        <v>6650</v>
      </c>
      <c r="H229">
        <v>159600</v>
      </c>
      <c r="I229" s="3">
        <v>45294.125</v>
      </c>
      <c r="J229">
        <v>132</v>
      </c>
      <c r="K229" s="3">
        <v>45298.625</v>
      </c>
      <c r="L229" s="4">
        <f>ROUNDDOWN(Table1[[#This Row],[Ordered]],0)</f>
        <v>45293</v>
      </c>
      <c r="M229" s="4">
        <f>Table1[[#This Row],[Date ]]</f>
        <v>45293</v>
      </c>
      <c r="N229" s="5">
        <f>Table1[[#This Row],[Ordered]]-Table1[[#This Row],[Date ]]</f>
        <v>0.66666666666424135</v>
      </c>
      <c r="O229">
        <f>Table1[[#This Row],[Company]]</f>
        <v>11</v>
      </c>
      <c r="P229">
        <f>IF(((Table1[[#This Row],[Arrived]]-Table1[[#This Row],[Delivery]])*24-Table1[[#This Row],[Promised]])&lt;0, 0, (Table1[[#This Row],[Arrived]]-Table1[[#This Row],[Delivery]])*24-Table1[[#This Row],[Promised]])</f>
        <v>0</v>
      </c>
      <c r="Q229"/>
    </row>
    <row r="230" spans="1:17" x14ac:dyDescent="0.45">
      <c r="A230" s="3">
        <v>45293.666666666664</v>
      </c>
      <c r="B230" t="s">
        <v>0</v>
      </c>
      <c r="C230">
        <v>15</v>
      </c>
      <c r="D230">
        <v>2003</v>
      </c>
      <c r="E230" t="s">
        <v>15</v>
      </c>
      <c r="F230">
        <v>24</v>
      </c>
      <c r="G230">
        <v>6650</v>
      </c>
      <c r="H230">
        <v>159600</v>
      </c>
      <c r="I230" s="3">
        <v>45294.5</v>
      </c>
      <c r="J230">
        <v>132</v>
      </c>
      <c r="K230" s="3">
        <v>45299</v>
      </c>
      <c r="L230" s="4">
        <f>ROUNDDOWN(Table1[[#This Row],[Ordered]],0)</f>
        <v>45293</v>
      </c>
      <c r="M230" s="4">
        <f>Table1[[#This Row],[Date ]]</f>
        <v>45293</v>
      </c>
      <c r="N230" s="5">
        <f>Table1[[#This Row],[Ordered]]-Table1[[#This Row],[Date ]]</f>
        <v>0.66666666666424135</v>
      </c>
      <c r="O230">
        <f>Table1[[#This Row],[Company]]</f>
        <v>15</v>
      </c>
      <c r="P230">
        <f>IF(((Table1[[#This Row],[Arrived]]-Table1[[#This Row],[Delivery]])*24-Table1[[#This Row],[Promised]])&lt;0, 0, (Table1[[#This Row],[Arrived]]-Table1[[#This Row],[Delivery]])*24-Table1[[#This Row],[Promised]])</f>
        <v>0</v>
      </c>
      <c r="Q230"/>
    </row>
    <row r="231" spans="1:17" x14ac:dyDescent="0.45">
      <c r="A231" s="3">
        <v>45293.666666666664</v>
      </c>
      <c r="B231" t="s">
        <v>0</v>
      </c>
      <c r="C231">
        <v>10</v>
      </c>
      <c r="D231">
        <v>2003</v>
      </c>
      <c r="E231" t="s">
        <v>16</v>
      </c>
      <c r="F231">
        <v>30</v>
      </c>
      <c r="G231">
        <v>3700</v>
      </c>
      <c r="H231">
        <v>111000</v>
      </c>
      <c r="I231" s="3">
        <v>45294.041666666664</v>
      </c>
      <c r="J231">
        <v>132</v>
      </c>
      <c r="K231" s="3">
        <v>45298.541666666664</v>
      </c>
      <c r="L231" s="4">
        <f>ROUNDDOWN(Table1[[#This Row],[Ordered]],0)</f>
        <v>45293</v>
      </c>
      <c r="M231" s="4">
        <f>Table1[[#This Row],[Date ]]</f>
        <v>45293</v>
      </c>
      <c r="N231" s="5">
        <f>Table1[[#This Row],[Ordered]]-Table1[[#This Row],[Date ]]</f>
        <v>0.66666666666424135</v>
      </c>
      <c r="O231">
        <f>Table1[[#This Row],[Company]]</f>
        <v>10</v>
      </c>
      <c r="P231">
        <f>IF(((Table1[[#This Row],[Arrived]]-Table1[[#This Row],[Delivery]])*24-Table1[[#This Row],[Promised]])&lt;0, 0, (Table1[[#This Row],[Arrived]]-Table1[[#This Row],[Delivery]])*24-Table1[[#This Row],[Promised]])</f>
        <v>0</v>
      </c>
      <c r="Q231"/>
    </row>
    <row r="232" spans="1:17" x14ac:dyDescent="0.45">
      <c r="A232" s="3">
        <v>45293.666666666664</v>
      </c>
      <c r="B232" t="s">
        <v>0</v>
      </c>
      <c r="C232">
        <v>14</v>
      </c>
      <c r="D232">
        <v>2003</v>
      </c>
      <c r="E232" t="s">
        <v>16</v>
      </c>
      <c r="F232">
        <v>30</v>
      </c>
      <c r="G232">
        <v>3750</v>
      </c>
      <c r="H232">
        <v>112500</v>
      </c>
      <c r="I232" s="3">
        <v>45294.291666666664</v>
      </c>
      <c r="J232">
        <v>132</v>
      </c>
      <c r="K232" s="3">
        <v>45298.791666666664</v>
      </c>
      <c r="L232" s="4">
        <f>ROUNDDOWN(Table1[[#This Row],[Ordered]],0)</f>
        <v>45293</v>
      </c>
      <c r="M232" s="4">
        <f>Table1[[#This Row],[Date ]]</f>
        <v>45293</v>
      </c>
      <c r="N232" s="5">
        <f>Table1[[#This Row],[Ordered]]-Table1[[#This Row],[Date ]]</f>
        <v>0.66666666666424135</v>
      </c>
      <c r="O232">
        <f>Table1[[#This Row],[Company]]</f>
        <v>14</v>
      </c>
      <c r="P232">
        <f>IF(((Table1[[#This Row],[Arrived]]-Table1[[#This Row],[Delivery]])*24-Table1[[#This Row],[Promised]])&lt;0, 0, (Table1[[#This Row],[Arrived]]-Table1[[#This Row],[Delivery]])*24-Table1[[#This Row],[Promised]])</f>
        <v>0</v>
      </c>
      <c r="Q232"/>
    </row>
    <row r="233" spans="1:17" x14ac:dyDescent="0.45">
      <c r="A233" s="3">
        <v>45293.666666666664</v>
      </c>
      <c r="B233" t="s">
        <v>0</v>
      </c>
      <c r="C233">
        <v>9</v>
      </c>
      <c r="D233">
        <v>2003</v>
      </c>
      <c r="E233" t="s">
        <v>15</v>
      </c>
      <c r="F233">
        <v>24</v>
      </c>
      <c r="G233">
        <v>6650</v>
      </c>
      <c r="H233">
        <v>159600</v>
      </c>
      <c r="I233" s="3">
        <v>45294.625</v>
      </c>
      <c r="J233">
        <v>132</v>
      </c>
      <c r="K233" s="3">
        <v>45299.125</v>
      </c>
      <c r="L233" s="4">
        <f>ROUNDDOWN(Table1[[#This Row],[Ordered]],0)</f>
        <v>45293</v>
      </c>
      <c r="M233" s="4">
        <f>Table1[[#This Row],[Date ]]</f>
        <v>45293</v>
      </c>
      <c r="N233" s="5">
        <f>Table1[[#This Row],[Ordered]]-Table1[[#This Row],[Date ]]</f>
        <v>0.66666666666424135</v>
      </c>
      <c r="O233">
        <f>Table1[[#This Row],[Company]]</f>
        <v>9</v>
      </c>
      <c r="P233">
        <f>IF(((Table1[[#This Row],[Arrived]]-Table1[[#This Row],[Delivery]])*24-Table1[[#This Row],[Promised]])&lt;0, 0, (Table1[[#This Row],[Arrived]]-Table1[[#This Row],[Delivery]])*24-Table1[[#This Row],[Promised]])</f>
        <v>0</v>
      </c>
      <c r="Q233"/>
    </row>
    <row r="234" spans="1:17" x14ac:dyDescent="0.45">
      <c r="A234" s="3">
        <v>45293.666666666664</v>
      </c>
      <c r="B234" t="s">
        <v>0</v>
      </c>
      <c r="C234">
        <v>8</v>
      </c>
      <c r="D234">
        <v>2003</v>
      </c>
      <c r="E234" t="s">
        <v>16</v>
      </c>
      <c r="F234">
        <v>30</v>
      </c>
      <c r="G234">
        <v>3600</v>
      </c>
      <c r="H234">
        <v>108000</v>
      </c>
      <c r="I234" s="3">
        <v>45294.625</v>
      </c>
      <c r="J234">
        <v>132</v>
      </c>
      <c r="K234" s="3">
        <v>45299.125</v>
      </c>
      <c r="L234" s="4">
        <f>ROUNDDOWN(Table1[[#This Row],[Ordered]],0)</f>
        <v>45293</v>
      </c>
      <c r="M234" s="4">
        <f>Table1[[#This Row],[Date ]]</f>
        <v>45293</v>
      </c>
      <c r="N234" s="5">
        <f>Table1[[#This Row],[Ordered]]-Table1[[#This Row],[Date ]]</f>
        <v>0.66666666666424135</v>
      </c>
      <c r="O234">
        <f>Table1[[#This Row],[Company]]</f>
        <v>8</v>
      </c>
      <c r="P234">
        <f>IF(((Table1[[#This Row],[Arrived]]-Table1[[#This Row],[Delivery]])*24-Table1[[#This Row],[Promised]])&lt;0, 0, (Table1[[#This Row],[Arrived]]-Table1[[#This Row],[Delivery]])*24-Table1[[#This Row],[Promised]])</f>
        <v>0</v>
      </c>
      <c r="Q234"/>
    </row>
    <row r="235" spans="1:17" x14ac:dyDescent="0.45">
      <c r="A235" s="3">
        <v>45293.666666666664</v>
      </c>
      <c r="B235" t="s">
        <v>0</v>
      </c>
      <c r="C235">
        <v>13</v>
      </c>
      <c r="D235">
        <v>2003</v>
      </c>
      <c r="E235" t="s">
        <v>16</v>
      </c>
      <c r="F235">
        <v>30</v>
      </c>
      <c r="G235">
        <v>3750</v>
      </c>
      <c r="H235">
        <v>112500</v>
      </c>
      <c r="I235" s="3">
        <v>45294.5</v>
      </c>
      <c r="J235">
        <v>132</v>
      </c>
      <c r="K235" s="3">
        <v>45299</v>
      </c>
      <c r="L235" s="4">
        <f>ROUNDDOWN(Table1[[#This Row],[Ordered]],0)</f>
        <v>45293</v>
      </c>
      <c r="M235" s="4">
        <f>Table1[[#This Row],[Date ]]</f>
        <v>45293</v>
      </c>
      <c r="N235" s="5">
        <f>Table1[[#This Row],[Ordered]]-Table1[[#This Row],[Date ]]</f>
        <v>0.66666666666424135</v>
      </c>
      <c r="O235">
        <f>Table1[[#This Row],[Company]]</f>
        <v>13</v>
      </c>
      <c r="P235">
        <f>IF(((Table1[[#This Row],[Arrived]]-Table1[[#This Row],[Delivery]])*24-Table1[[#This Row],[Promised]])&lt;0, 0, (Table1[[#This Row],[Arrived]]-Table1[[#This Row],[Delivery]])*24-Table1[[#This Row],[Promised]])</f>
        <v>0</v>
      </c>
      <c r="Q235"/>
    </row>
    <row r="236" spans="1:17" x14ac:dyDescent="0.45">
      <c r="A236" s="3">
        <v>45293.666666666664</v>
      </c>
      <c r="B236" t="s">
        <v>0</v>
      </c>
      <c r="C236">
        <v>8</v>
      </c>
      <c r="D236">
        <v>2003</v>
      </c>
      <c r="E236" t="s">
        <v>15</v>
      </c>
      <c r="F236">
        <v>24</v>
      </c>
      <c r="G236">
        <v>7000</v>
      </c>
      <c r="H236">
        <v>168000</v>
      </c>
      <c r="I236" s="3">
        <v>45294.458333333336</v>
      </c>
      <c r="J236">
        <v>132</v>
      </c>
      <c r="K236" s="3">
        <v>45298.958333333336</v>
      </c>
      <c r="L236" s="4">
        <f>ROUNDDOWN(Table1[[#This Row],[Ordered]],0)</f>
        <v>45293</v>
      </c>
      <c r="M236" s="4">
        <f>Table1[[#This Row],[Date ]]</f>
        <v>45293</v>
      </c>
      <c r="N236" s="5">
        <f>Table1[[#This Row],[Ordered]]-Table1[[#This Row],[Date ]]</f>
        <v>0.66666666666424135</v>
      </c>
      <c r="O236">
        <f>Table1[[#This Row],[Company]]</f>
        <v>8</v>
      </c>
      <c r="P236">
        <f>IF(((Table1[[#This Row],[Arrived]]-Table1[[#This Row],[Delivery]])*24-Table1[[#This Row],[Promised]])&lt;0, 0, (Table1[[#This Row],[Arrived]]-Table1[[#This Row],[Delivery]])*24-Table1[[#This Row],[Promised]])</f>
        <v>0</v>
      </c>
      <c r="Q236"/>
    </row>
    <row r="237" spans="1:17" x14ac:dyDescent="0.45">
      <c r="A237" s="3">
        <v>45293.666666666664</v>
      </c>
      <c r="B237" t="s">
        <v>0</v>
      </c>
      <c r="C237">
        <v>13</v>
      </c>
      <c r="D237">
        <v>2003</v>
      </c>
      <c r="E237" t="s">
        <v>15</v>
      </c>
      <c r="F237">
        <v>24</v>
      </c>
      <c r="G237">
        <v>6650</v>
      </c>
      <c r="H237">
        <v>159600</v>
      </c>
      <c r="I237" s="3">
        <v>45294.458333333336</v>
      </c>
      <c r="J237">
        <v>132</v>
      </c>
      <c r="K237" s="3">
        <v>45298.958333333336</v>
      </c>
      <c r="L237" s="4">
        <f>ROUNDDOWN(Table1[[#This Row],[Ordered]],0)</f>
        <v>45293</v>
      </c>
      <c r="M237" s="4">
        <f>Table1[[#This Row],[Date ]]</f>
        <v>45293</v>
      </c>
      <c r="N237" s="5">
        <f>Table1[[#This Row],[Ordered]]-Table1[[#This Row],[Date ]]</f>
        <v>0.66666666666424135</v>
      </c>
      <c r="O237">
        <f>Table1[[#This Row],[Company]]</f>
        <v>13</v>
      </c>
      <c r="P237">
        <f>IF(((Table1[[#This Row],[Arrived]]-Table1[[#This Row],[Delivery]])*24-Table1[[#This Row],[Promised]])&lt;0, 0, (Table1[[#This Row],[Arrived]]-Table1[[#This Row],[Delivery]])*24-Table1[[#This Row],[Promised]])</f>
        <v>0</v>
      </c>
      <c r="Q237"/>
    </row>
    <row r="238" spans="1:17" x14ac:dyDescent="0.45">
      <c r="A238" s="3">
        <v>45293.666666666664</v>
      </c>
      <c r="B238" t="s">
        <v>0</v>
      </c>
      <c r="C238">
        <v>14</v>
      </c>
      <c r="D238">
        <v>2003</v>
      </c>
      <c r="E238" t="s">
        <v>15</v>
      </c>
      <c r="F238">
        <v>24</v>
      </c>
      <c r="G238">
        <v>6650</v>
      </c>
      <c r="H238">
        <v>159600</v>
      </c>
      <c r="I238" s="3">
        <v>45294.208333333336</v>
      </c>
      <c r="J238">
        <v>132</v>
      </c>
      <c r="K238" s="3">
        <v>45298.708333333336</v>
      </c>
      <c r="L238" s="4">
        <f>ROUNDDOWN(Table1[[#This Row],[Ordered]],0)</f>
        <v>45293</v>
      </c>
      <c r="M238" s="4">
        <f>Table1[[#This Row],[Date ]]</f>
        <v>45293</v>
      </c>
      <c r="N238" s="5">
        <f>Table1[[#This Row],[Ordered]]-Table1[[#This Row],[Date ]]</f>
        <v>0.66666666666424135</v>
      </c>
      <c r="O238">
        <f>Table1[[#This Row],[Company]]</f>
        <v>14</v>
      </c>
      <c r="P238">
        <f>IF(((Table1[[#This Row],[Arrived]]-Table1[[#This Row],[Delivery]])*24-Table1[[#This Row],[Promised]])&lt;0, 0, (Table1[[#This Row],[Arrived]]-Table1[[#This Row],[Delivery]])*24-Table1[[#This Row],[Promised]])</f>
        <v>0</v>
      </c>
      <c r="Q238"/>
    </row>
    <row r="239" spans="1:17" x14ac:dyDescent="0.45">
      <c r="A239" s="3">
        <v>45293.666666666664</v>
      </c>
      <c r="B239" t="s">
        <v>0</v>
      </c>
      <c r="C239">
        <v>15</v>
      </c>
      <c r="D239">
        <v>2003</v>
      </c>
      <c r="E239" t="s">
        <v>16</v>
      </c>
      <c r="F239">
        <v>30</v>
      </c>
      <c r="G239">
        <v>3750</v>
      </c>
      <c r="H239">
        <v>112500</v>
      </c>
      <c r="I239" s="3">
        <v>45294.5</v>
      </c>
      <c r="J239">
        <v>132</v>
      </c>
      <c r="K239" s="3">
        <v>45299</v>
      </c>
      <c r="L239" s="4">
        <f>ROUNDDOWN(Table1[[#This Row],[Ordered]],0)</f>
        <v>45293</v>
      </c>
      <c r="M239" s="4">
        <f>Table1[[#This Row],[Date ]]</f>
        <v>45293</v>
      </c>
      <c r="N239" s="5">
        <f>Table1[[#This Row],[Ordered]]-Table1[[#This Row],[Date ]]</f>
        <v>0.66666666666424135</v>
      </c>
      <c r="O239">
        <f>Table1[[#This Row],[Company]]</f>
        <v>15</v>
      </c>
      <c r="P239">
        <f>IF(((Table1[[#This Row],[Arrived]]-Table1[[#This Row],[Delivery]])*24-Table1[[#This Row],[Promised]])&lt;0, 0, (Table1[[#This Row],[Arrived]]-Table1[[#This Row],[Delivery]])*24-Table1[[#This Row],[Promised]])</f>
        <v>0</v>
      </c>
      <c r="Q239"/>
    </row>
    <row r="240" spans="1:17" hidden="1" x14ac:dyDescent="0.45">
      <c r="A240" s="3">
        <v>45293.708333333336</v>
      </c>
      <c r="B240" t="s">
        <v>12</v>
      </c>
      <c r="C240">
        <v>4</v>
      </c>
      <c r="D240">
        <v>11</v>
      </c>
      <c r="E240" t="s">
        <v>13</v>
      </c>
      <c r="F240">
        <v>2000</v>
      </c>
      <c r="G240">
        <v>110</v>
      </c>
      <c r="H240">
        <v>220000</v>
      </c>
      <c r="I240" s="3">
        <v>45293.708333333336</v>
      </c>
      <c r="J240">
        <v>72</v>
      </c>
      <c r="K240" s="3">
        <v>45296.708333333336</v>
      </c>
      <c r="L240" s="4">
        <f>ROUNDDOWN(Table1[[#This Row],[Ordered]],0)</f>
        <v>45293</v>
      </c>
      <c r="M240" s="4">
        <f>Table1[[#This Row],[Date ]]</f>
        <v>45293</v>
      </c>
      <c r="N240" s="5">
        <f>Table1[[#This Row],[Ordered]]-Table1[[#This Row],[Date ]]</f>
        <v>0.70833333333575865</v>
      </c>
      <c r="O240" s="5">
        <f>Table1[[#This Row],[Company]]</f>
        <v>4</v>
      </c>
      <c r="P240">
        <f>IF(((Table1[[#This Row],[Arrived]]-Table1[[#This Row],[Delivery]])*24-Table1[[#This Row],[Promised]])&lt;0, 0, (Table1[[#This Row],[Arrived]]-Table1[[#This Row],[Delivery]])*24-Table1[[#This Row],[Promised]])</f>
        <v>0</v>
      </c>
      <c r="Q240"/>
    </row>
    <row r="241" spans="1:17" hidden="1" x14ac:dyDescent="0.45">
      <c r="A241" s="3">
        <v>45293.708333333336</v>
      </c>
      <c r="B241" t="s">
        <v>12</v>
      </c>
      <c r="C241">
        <v>6</v>
      </c>
      <c r="D241">
        <v>15</v>
      </c>
      <c r="E241" t="s">
        <v>17</v>
      </c>
      <c r="F241">
        <v>160</v>
      </c>
      <c r="G241">
        <v>1100</v>
      </c>
      <c r="H241">
        <v>176000</v>
      </c>
      <c r="I241" s="3">
        <v>45293.75</v>
      </c>
      <c r="J241">
        <v>72</v>
      </c>
      <c r="K241" s="3">
        <v>45296.75</v>
      </c>
      <c r="L241" s="4">
        <f>ROUNDDOWN(Table1[[#This Row],[Ordered]],0)</f>
        <v>45293</v>
      </c>
      <c r="M241" s="4">
        <f>Table1[[#This Row],[Date ]]</f>
        <v>45293</v>
      </c>
      <c r="N241" s="5">
        <f>Table1[[#This Row],[Ordered]]-Table1[[#This Row],[Date ]]</f>
        <v>0.70833333333575865</v>
      </c>
      <c r="O241" s="5">
        <f>Table1[[#This Row],[Company]]</f>
        <v>6</v>
      </c>
      <c r="P241">
        <f>IF(((Table1[[#This Row],[Arrived]]-Table1[[#This Row],[Delivery]])*24-Table1[[#This Row],[Promised]])&lt;0, 0, (Table1[[#This Row],[Arrived]]-Table1[[#This Row],[Delivery]])*24-Table1[[#This Row],[Promised]])</f>
        <v>0</v>
      </c>
      <c r="Q241"/>
    </row>
    <row r="242" spans="1:17" hidden="1" x14ac:dyDescent="0.45">
      <c r="A242" s="3">
        <v>45293.708333333336</v>
      </c>
      <c r="B242" t="s">
        <v>12</v>
      </c>
      <c r="C242">
        <v>6</v>
      </c>
      <c r="D242">
        <v>15</v>
      </c>
      <c r="E242" t="s">
        <v>13</v>
      </c>
      <c r="F242">
        <v>1100</v>
      </c>
      <c r="G242">
        <v>160</v>
      </c>
      <c r="H242">
        <v>176000</v>
      </c>
      <c r="I242" s="3">
        <v>45293.75</v>
      </c>
      <c r="J242">
        <v>72</v>
      </c>
      <c r="K242" s="3">
        <v>45296.75</v>
      </c>
      <c r="L242" s="4">
        <f>ROUNDDOWN(Table1[[#This Row],[Ordered]],0)</f>
        <v>45293</v>
      </c>
      <c r="M242" s="4">
        <f>Table1[[#This Row],[Date ]]</f>
        <v>45293</v>
      </c>
      <c r="N242" s="5">
        <f>Table1[[#This Row],[Ordered]]-Table1[[#This Row],[Date ]]</f>
        <v>0.70833333333575865</v>
      </c>
      <c r="O242" s="5">
        <f>Table1[[#This Row],[Company]]</f>
        <v>6</v>
      </c>
      <c r="P242">
        <f>IF(((Table1[[#This Row],[Arrived]]-Table1[[#This Row],[Delivery]])*24-Table1[[#This Row],[Promised]])&lt;0, 0, (Table1[[#This Row],[Arrived]]-Table1[[#This Row],[Delivery]])*24-Table1[[#This Row],[Promised]])</f>
        <v>0</v>
      </c>
      <c r="Q242"/>
    </row>
    <row r="243" spans="1:17" hidden="1" x14ac:dyDescent="0.45">
      <c r="A243" s="3">
        <v>45293.875</v>
      </c>
      <c r="B243" t="s">
        <v>12</v>
      </c>
      <c r="C243">
        <v>2</v>
      </c>
      <c r="D243">
        <v>15</v>
      </c>
      <c r="E243" t="s">
        <v>13</v>
      </c>
      <c r="F243">
        <v>1000</v>
      </c>
      <c r="G243">
        <v>140</v>
      </c>
      <c r="H243">
        <v>140000</v>
      </c>
      <c r="I243" s="3">
        <v>45294.291666666664</v>
      </c>
      <c r="J243">
        <v>24</v>
      </c>
      <c r="K243" s="3">
        <v>45295.291666666664</v>
      </c>
      <c r="L243" s="4">
        <f>ROUNDDOWN(Table1[[#This Row],[Ordered]],0)</f>
        <v>45293</v>
      </c>
      <c r="M243" s="4">
        <f>Table1[[#This Row],[Date ]]</f>
        <v>45293</v>
      </c>
      <c r="N243" s="5">
        <f>Table1[[#This Row],[Ordered]]-Table1[[#This Row],[Date ]]</f>
        <v>0.875</v>
      </c>
      <c r="O243" s="5">
        <f>Table1[[#This Row],[Company]]</f>
        <v>2</v>
      </c>
      <c r="P243">
        <f>IF(((Table1[[#This Row],[Arrived]]-Table1[[#This Row],[Delivery]])*24-Table1[[#This Row],[Promised]])&lt;0, 0, (Table1[[#This Row],[Arrived]]-Table1[[#This Row],[Delivery]])*24-Table1[[#This Row],[Promised]])</f>
        <v>0</v>
      </c>
      <c r="Q243"/>
    </row>
    <row r="244" spans="1:17" x14ac:dyDescent="0.45">
      <c r="A244" s="3">
        <v>45293.958333333336</v>
      </c>
      <c r="B244" t="s">
        <v>19</v>
      </c>
      <c r="C244">
        <v>7</v>
      </c>
      <c r="D244">
        <v>3003</v>
      </c>
      <c r="E244" t="s">
        <v>16</v>
      </c>
      <c r="F244">
        <v>7</v>
      </c>
      <c r="G244">
        <v>4200</v>
      </c>
      <c r="H244">
        <v>29400</v>
      </c>
      <c r="I244" s="3">
        <v>45294.708333333336</v>
      </c>
      <c r="J244">
        <v>288</v>
      </c>
      <c r="K244" s="3">
        <v>45304.708333333336</v>
      </c>
      <c r="L244" s="4">
        <f>ROUNDDOWN(Table1[[#This Row],[Ordered]],0)</f>
        <v>45293</v>
      </c>
      <c r="M244" s="4">
        <f>Table1[[#This Row],[Date ]]</f>
        <v>45293</v>
      </c>
      <c r="N244" s="5">
        <f>Table1[[#This Row],[Ordered]]-Table1[[#This Row],[Date ]]</f>
        <v>0.95833333333575865</v>
      </c>
      <c r="O244">
        <f>Table1[[#This Row],[Company]]</f>
        <v>7</v>
      </c>
      <c r="P244">
        <f>IF(((Table1[[#This Row],[Arrived]]-Table1[[#This Row],[Delivery]])*24-Table1[[#This Row],[Promised]])&lt;0, 0, (Table1[[#This Row],[Arrived]]-Table1[[#This Row],[Delivery]])*24-Table1[[#This Row],[Promised]])</f>
        <v>0</v>
      </c>
      <c r="Q244"/>
    </row>
    <row r="245" spans="1:17" x14ac:dyDescent="0.45">
      <c r="A245" s="3">
        <v>45293.958333333336</v>
      </c>
      <c r="B245" t="s">
        <v>14</v>
      </c>
      <c r="C245">
        <v>16</v>
      </c>
      <c r="D245">
        <v>1010</v>
      </c>
      <c r="E245" t="s">
        <v>15</v>
      </c>
      <c r="F245">
        <v>3</v>
      </c>
      <c r="G245">
        <v>6650</v>
      </c>
      <c r="H245">
        <v>19950</v>
      </c>
      <c r="I245" s="3">
        <v>45294</v>
      </c>
      <c r="J245">
        <v>96</v>
      </c>
      <c r="K245" s="3">
        <v>45297.166666666664</v>
      </c>
      <c r="L245" s="4">
        <f>ROUNDDOWN(Table1[[#This Row],[Ordered]],0)</f>
        <v>45293</v>
      </c>
      <c r="M245" s="4">
        <f>Table1[[#This Row],[Date ]]</f>
        <v>45293</v>
      </c>
      <c r="N245" s="5">
        <f>Table1[[#This Row],[Ordered]]-Table1[[#This Row],[Date ]]</f>
        <v>0.95833333333575865</v>
      </c>
      <c r="O245">
        <f>Table1[[#This Row],[Company]]</f>
        <v>16</v>
      </c>
      <c r="P245">
        <f>IF(((Table1[[#This Row],[Arrived]]-Table1[[#This Row],[Delivery]])*24-Table1[[#This Row],[Promised]])&lt;0, 0, (Table1[[#This Row],[Arrived]]-Table1[[#This Row],[Delivery]])*24-Table1[[#This Row],[Promised]])</f>
        <v>0</v>
      </c>
      <c r="Q245"/>
    </row>
    <row r="246" spans="1:17" x14ac:dyDescent="0.45">
      <c r="A246" s="3">
        <v>45293.958333333336</v>
      </c>
      <c r="B246" t="s">
        <v>14</v>
      </c>
      <c r="C246">
        <v>10</v>
      </c>
      <c r="D246">
        <v>1010</v>
      </c>
      <c r="E246" t="s">
        <v>15</v>
      </c>
      <c r="F246">
        <v>3</v>
      </c>
      <c r="G246">
        <v>6800</v>
      </c>
      <c r="H246">
        <v>20400</v>
      </c>
      <c r="I246" s="3">
        <v>45294.083333333336</v>
      </c>
      <c r="J246">
        <v>96</v>
      </c>
      <c r="K246" s="3">
        <v>45297.083333333336</v>
      </c>
      <c r="L246" s="4">
        <f>ROUNDDOWN(Table1[[#This Row],[Ordered]],0)</f>
        <v>45293</v>
      </c>
      <c r="M246" s="4">
        <f>Table1[[#This Row],[Date ]]</f>
        <v>45293</v>
      </c>
      <c r="N246" s="5">
        <f>Table1[[#This Row],[Ordered]]-Table1[[#This Row],[Date ]]</f>
        <v>0.95833333333575865</v>
      </c>
      <c r="O246">
        <f>Table1[[#This Row],[Company]]</f>
        <v>10</v>
      </c>
      <c r="P246">
        <f>IF(((Table1[[#This Row],[Arrived]]-Table1[[#This Row],[Delivery]])*24-Table1[[#This Row],[Promised]])&lt;0, 0, (Table1[[#This Row],[Arrived]]-Table1[[#This Row],[Delivery]])*24-Table1[[#This Row],[Promised]])</f>
        <v>0</v>
      </c>
      <c r="Q246"/>
    </row>
    <row r="247" spans="1:17" x14ac:dyDescent="0.45">
      <c r="A247" s="3">
        <v>45293.958333333336</v>
      </c>
      <c r="B247" t="s">
        <v>14</v>
      </c>
      <c r="C247">
        <v>14</v>
      </c>
      <c r="D247">
        <v>1010</v>
      </c>
      <c r="E247" t="s">
        <v>15</v>
      </c>
      <c r="F247">
        <v>3</v>
      </c>
      <c r="G247">
        <v>6650</v>
      </c>
      <c r="H247">
        <v>19950</v>
      </c>
      <c r="I247" s="3">
        <v>45294.25</v>
      </c>
      <c r="J247">
        <v>96</v>
      </c>
      <c r="K247" s="3">
        <v>45297.25</v>
      </c>
      <c r="L247" s="4">
        <f>ROUNDDOWN(Table1[[#This Row],[Ordered]],0)</f>
        <v>45293</v>
      </c>
      <c r="M247" s="4">
        <f>Table1[[#This Row],[Date ]]</f>
        <v>45293</v>
      </c>
      <c r="N247" s="5">
        <f>Table1[[#This Row],[Ordered]]-Table1[[#This Row],[Date ]]</f>
        <v>0.95833333333575865</v>
      </c>
      <c r="O247">
        <f>Table1[[#This Row],[Company]]</f>
        <v>14</v>
      </c>
      <c r="P247">
        <f>IF(((Table1[[#This Row],[Arrived]]-Table1[[#This Row],[Delivery]])*24-Table1[[#This Row],[Promised]])&lt;0, 0, (Table1[[#This Row],[Arrived]]-Table1[[#This Row],[Delivery]])*24-Table1[[#This Row],[Promised]])</f>
        <v>0</v>
      </c>
      <c r="Q247"/>
    </row>
    <row r="248" spans="1:17" x14ac:dyDescent="0.45">
      <c r="A248" s="3">
        <v>45293.958333333336</v>
      </c>
      <c r="B248" t="s">
        <v>14</v>
      </c>
      <c r="C248">
        <v>15</v>
      </c>
      <c r="D248">
        <v>1010</v>
      </c>
      <c r="E248" t="s">
        <v>15</v>
      </c>
      <c r="F248">
        <v>3</v>
      </c>
      <c r="G248">
        <v>6650</v>
      </c>
      <c r="H248">
        <v>19950</v>
      </c>
      <c r="I248" s="3">
        <v>45294.375</v>
      </c>
      <c r="J248">
        <v>96</v>
      </c>
      <c r="K248" s="3">
        <v>45297.375</v>
      </c>
      <c r="L248" s="4">
        <f>ROUNDDOWN(Table1[[#This Row],[Ordered]],0)</f>
        <v>45293</v>
      </c>
      <c r="M248" s="4">
        <f>Table1[[#This Row],[Date ]]</f>
        <v>45293</v>
      </c>
      <c r="N248" s="5">
        <f>Table1[[#This Row],[Ordered]]-Table1[[#This Row],[Date ]]</f>
        <v>0.95833333333575865</v>
      </c>
      <c r="O248">
        <f>Table1[[#This Row],[Company]]</f>
        <v>15</v>
      </c>
      <c r="P248">
        <f>IF(((Table1[[#This Row],[Arrived]]-Table1[[#This Row],[Delivery]])*24-Table1[[#This Row],[Promised]])&lt;0, 0, (Table1[[#This Row],[Arrived]]-Table1[[#This Row],[Delivery]])*24-Table1[[#This Row],[Promised]])</f>
        <v>0</v>
      </c>
      <c r="Q248"/>
    </row>
    <row r="249" spans="1:17" x14ac:dyDescent="0.45">
      <c r="A249" s="3">
        <v>45293.958333333336</v>
      </c>
      <c r="B249" t="s">
        <v>14</v>
      </c>
      <c r="C249">
        <v>7</v>
      </c>
      <c r="D249">
        <v>1010</v>
      </c>
      <c r="E249" t="s">
        <v>15</v>
      </c>
      <c r="F249">
        <v>3</v>
      </c>
      <c r="G249">
        <v>6650</v>
      </c>
      <c r="H249">
        <v>19950</v>
      </c>
      <c r="I249" s="3">
        <v>45294.25</v>
      </c>
      <c r="J249">
        <v>96</v>
      </c>
      <c r="K249" s="3">
        <v>45297.25</v>
      </c>
      <c r="L249" s="4">
        <f>ROUNDDOWN(Table1[[#This Row],[Ordered]],0)</f>
        <v>45293</v>
      </c>
      <c r="M249" s="4">
        <f>Table1[[#This Row],[Date ]]</f>
        <v>45293</v>
      </c>
      <c r="N249" s="5">
        <f>Table1[[#This Row],[Ordered]]-Table1[[#This Row],[Date ]]</f>
        <v>0.95833333333575865</v>
      </c>
      <c r="O249">
        <f>Table1[[#This Row],[Company]]</f>
        <v>7</v>
      </c>
      <c r="P249">
        <f>IF(((Table1[[#This Row],[Arrived]]-Table1[[#This Row],[Delivery]])*24-Table1[[#This Row],[Promised]])&lt;0, 0, (Table1[[#This Row],[Arrived]]-Table1[[#This Row],[Delivery]])*24-Table1[[#This Row],[Promised]])</f>
        <v>0</v>
      </c>
      <c r="Q249"/>
    </row>
    <row r="250" spans="1:17" x14ac:dyDescent="0.45">
      <c r="A250" s="3">
        <v>45293.958333333336</v>
      </c>
      <c r="B250" t="s">
        <v>14</v>
      </c>
      <c r="C250">
        <v>13</v>
      </c>
      <c r="D250">
        <v>1010</v>
      </c>
      <c r="E250" t="s">
        <v>15</v>
      </c>
      <c r="F250">
        <v>3</v>
      </c>
      <c r="G250">
        <v>6650</v>
      </c>
      <c r="H250">
        <v>19950</v>
      </c>
      <c r="I250" s="3">
        <v>45294.708333333336</v>
      </c>
      <c r="J250">
        <v>96</v>
      </c>
      <c r="K250" s="3">
        <v>45297.708333333336</v>
      </c>
      <c r="L250" s="4">
        <f>ROUNDDOWN(Table1[[#This Row],[Ordered]],0)</f>
        <v>45293</v>
      </c>
      <c r="M250" s="4">
        <f>Table1[[#This Row],[Date ]]</f>
        <v>45293</v>
      </c>
      <c r="N250" s="5">
        <f>Table1[[#This Row],[Ordered]]-Table1[[#This Row],[Date ]]</f>
        <v>0.95833333333575865</v>
      </c>
      <c r="O250">
        <f>Table1[[#This Row],[Company]]</f>
        <v>13</v>
      </c>
      <c r="P250">
        <f>IF(((Table1[[#This Row],[Arrived]]-Table1[[#This Row],[Delivery]])*24-Table1[[#This Row],[Promised]])&lt;0, 0, (Table1[[#This Row],[Arrived]]-Table1[[#This Row],[Delivery]])*24-Table1[[#This Row],[Promised]])</f>
        <v>0</v>
      </c>
      <c r="Q250"/>
    </row>
    <row r="251" spans="1:17" x14ac:dyDescent="0.45">
      <c r="A251" s="3">
        <v>45293.958333333336</v>
      </c>
      <c r="B251" t="s">
        <v>19</v>
      </c>
      <c r="C251">
        <v>7</v>
      </c>
      <c r="D251">
        <v>3005</v>
      </c>
      <c r="E251" t="s">
        <v>16</v>
      </c>
      <c r="F251">
        <v>7</v>
      </c>
      <c r="G251">
        <v>4200</v>
      </c>
      <c r="H251">
        <v>29400</v>
      </c>
      <c r="I251" s="3">
        <v>45294.708333333336</v>
      </c>
      <c r="J251">
        <v>288</v>
      </c>
      <c r="K251" s="3">
        <v>45304.708333333336</v>
      </c>
      <c r="L251" s="4">
        <f>ROUNDDOWN(Table1[[#This Row],[Ordered]],0)</f>
        <v>45293</v>
      </c>
      <c r="M251" s="4">
        <f>Table1[[#This Row],[Date ]]</f>
        <v>45293</v>
      </c>
      <c r="N251" s="5">
        <f>Table1[[#This Row],[Ordered]]-Table1[[#This Row],[Date ]]</f>
        <v>0.95833333333575865</v>
      </c>
      <c r="O251">
        <f>Table1[[#This Row],[Company]]</f>
        <v>7</v>
      </c>
      <c r="P251">
        <f>IF(((Table1[[#This Row],[Arrived]]-Table1[[#This Row],[Delivery]])*24-Table1[[#This Row],[Promised]])&lt;0, 0, (Table1[[#This Row],[Arrived]]-Table1[[#This Row],[Delivery]])*24-Table1[[#This Row],[Promised]])</f>
        <v>0</v>
      </c>
      <c r="Q251"/>
    </row>
    <row r="252" spans="1:17" x14ac:dyDescent="0.45">
      <c r="A252" s="3">
        <v>45293.958333333336</v>
      </c>
      <c r="B252" t="s">
        <v>19</v>
      </c>
      <c r="C252">
        <v>7</v>
      </c>
      <c r="D252">
        <v>3001</v>
      </c>
      <c r="E252" t="s">
        <v>16</v>
      </c>
      <c r="F252">
        <v>3</v>
      </c>
      <c r="G252">
        <v>4200</v>
      </c>
      <c r="H252">
        <v>12600</v>
      </c>
      <c r="I252" s="3">
        <v>45294.75</v>
      </c>
      <c r="J252">
        <v>288</v>
      </c>
      <c r="K252" s="3">
        <v>45304.75</v>
      </c>
      <c r="L252" s="4">
        <f>ROUNDDOWN(Table1[[#This Row],[Ordered]],0)</f>
        <v>45293</v>
      </c>
      <c r="M252" s="4">
        <f>Table1[[#This Row],[Date ]]</f>
        <v>45293</v>
      </c>
      <c r="N252" s="5">
        <f>Table1[[#This Row],[Ordered]]-Table1[[#This Row],[Date ]]</f>
        <v>0.95833333333575865</v>
      </c>
      <c r="O252">
        <f>Table1[[#This Row],[Company]]</f>
        <v>7</v>
      </c>
      <c r="P252">
        <f>IF(((Table1[[#This Row],[Arrived]]-Table1[[#This Row],[Delivery]])*24-Table1[[#This Row],[Promised]])&lt;0, 0, (Table1[[#This Row],[Arrived]]-Table1[[#This Row],[Delivery]])*24-Table1[[#This Row],[Promised]])</f>
        <v>0</v>
      </c>
      <c r="Q252"/>
    </row>
    <row r="253" spans="1:17" x14ac:dyDescent="0.45">
      <c r="A253" s="3">
        <v>45293.958333333336</v>
      </c>
      <c r="B253" t="s">
        <v>14</v>
      </c>
      <c r="C253">
        <v>11</v>
      </c>
      <c r="D253">
        <v>1010</v>
      </c>
      <c r="E253" t="s">
        <v>15</v>
      </c>
      <c r="F253">
        <v>3</v>
      </c>
      <c r="G253">
        <v>6650</v>
      </c>
      <c r="H253">
        <v>19950</v>
      </c>
      <c r="I253" s="3">
        <v>45294.375</v>
      </c>
      <c r="J253">
        <v>96</v>
      </c>
      <c r="K253" s="3">
        <v>45297.375</v>
      </c>
      <c r="L253" s="4">
        <f>ROUNDDOWN(Table1[[#This Row],[Ordered]],0)</f>
        <v>45293</v>
      </c>
      <c r="M253" s="4">
        <f>Table1[[#This Row],[Date ]]</f>
        <v>45293</v>
      </c>
      <c r="N253" s="5">
        <f>Table1[[#This Row],[Ordered]]-Table1[[#This Row],[Date ]]</f>
        <v>0.95833333333575865</v>
      </c>
      <c r="O253">
        <f>Table1[[#This Row],[Company]]</f>
        <v>11</v>
      </c>
      <c r="P253">
        <f>IF(((Table1[[#This Row],[Arrived]]-Table1[[#This Row],[Delivery]])*24-Table1[[#This Row],[Promised]])&lt;0, 0, (Table1[[#This Row],[Arrived]]-Table1[[#This Row],[Delivery]])*24-Table1[[#This Row],[Promised]])</f>
        <v>0</v>
      </c>
      <c r="Q253"/>
    </row>
    <row r="254" spans="1:17" x14ac:dyDescent="0.45">
      <c r="A254" s="3">
        <v>45293.958333333336</v>
      </c>
      <c r="B254" t="s">
        <v>19</v>
      </c>
      <c r="C254">
        <v>7</v>
      </c>
      <c r="D254">
        <v>3006</v>
      </c>
      <c r="E254" t="s">
        <v>16</v>
      </c>
      <c r="F254">
        <v>6</v>
      </c>
      <c r="G254">
        <v>4200</v>
      </c>
      <c r="H254">
        <v>25200</v>
      </c>
      <c r="I254" s="3">
        <v>45294.666666666664</v>
      </c>
      <c r="J254">
        <v>288</v>
      </c>
      <c r="K254" s="3">
        <v>45304.666666666664</v>
      </c>
      <c r="L254" s="4">
        <f>ROUNDDOWN(Table1[[#This Row],[Ordered]],0)</f>
        <v>45293</v>
      </c>
      <c r="M254" s="4">
        <f>Table1[[#This Row],[Date ]]</f>
        <v>45293</v>
      </c>
      <c r="N254" s="5">
        <f>Table1[[#This Row],[Ordered]]-Table1[[#This Row],[Date ]]</f>
        <v>0.95833333333575865</v>
      </c>
      <c r="O254">
        <f>Table1[[#This Row],[Company]]</f>
        <v>7</v>
      </c>
      <c r="P254">
        <f>IF(((Table1[[#This Row],[Arrived]]-Table1[[#This Row],[Delivery]])*24-Table1[[#This Row],[Promised]])&lt;0, 0, (Table1[[#This Row],[Arrived]]-Table1[[#This Row],[Delivery]])*24-Table1[[#This Row],[Promised]])</f>
        <v>0</v>
      </c>
      <c r="Q254"/>
    </row>
    <row r="255" spans="1:17" x14ac:dyDescent="0.45">
      <c r="A255" s="3">
        <v>45293.958333333336</v>
      </c>
      <c r="B255" t="s">
        <v>14</v>
      </c>
      <c r="C255">
        <v>8</v>
      </c>
      <c r="D255">
        <v>1010</v>
      </c>
      <c r="E255" t="s">
        <v>15</v>
      </c>
      <c r="F255">
        <v>3</v>
      </c>
      <c r="G255">
        <v>7300</v>
      </c>
      <c r="H255">
        <v>21900</v>
      </c>
      <c r="I255" s="3">
        <v>45294.791666666664</v>
      </c>
      <c r="J255">
        <v>96</v>
      </c>
      <c r="K255" s="3">
        <v>45297.958333333336</v>
      </c>
      <c r="L255" s="4">
        <f>ROUNDDOWN(Table1[[#This Row],[Ordered]],0)</f>
        <v>45293</v>
      </c>
      <c r="M255" s="4">
        <f>Table1[[#This Row],[Date ]]</f>
        <v>45293</v>
      </c>
      <c r="N255" s="5">
        <f>Table1[[#This Row],[Ordered]]-Table1[[#This Row],[Date ]]</f>
        <v>0.95833333333575865</v>
      </c>
      <c r="O255">
        <f>Table1[[#This Row],[Company]]</f>
        <v>8</v>
      </c>
      <c r="P255">
        <f>IF(((Table1[[#This Row],[Arrived]]-Table1[[#This Row],[Delivery]])*24-Table1[[#This Row],[Promised]])&lt;0, 0, (Table1[[#This Row],[Arrived]]-Table1[[#This Row],[Delivery]])*24-Table1[[#This Row],[Promised]])</f>
        <v>0</v>
      </c>
      <c r="Q255"/>
    </row>
    <row r="256" spans="1:17" x14ac:dyDescent="0.45">
      <c r="A256" s="3">
        <v>45293.958333333336</v>
      </c>
      <c r="B256" t="s">
        <v>19</v>
      </c>
      <c r="C256">
        <v>7</v>
      </c>
      <c r="D256">
        <v>3002</v>
      </c>
      <c r="E256" t="s">
        <v>16</v>
      </c>
      <c r="F256">
        <v>4</v>
      </c>
      <c r="G256">
        <v>4200</v>
      </c>
      <c r="H256">
        <v>16800</v>
      </c>
      <c r="I256" s="3">
        <v>45294.791666666664</v>
      </c>
      <c r="J256">
        <v>288</v>
      </c>
      <c r="K256" s="3">
        <v>45304.791666666664</v>
      </c>
      <c r="L256" s="4">
        <f>ROUNDDOWN(Table1[[#This Row],[Ordered]],0)</f>
        <v>45293</v>
      </c>
      <c r="M256" s="4">
        <f>Table1[[#This Row],[Date ]]</f>
        <v>45293</v>
      </c>
      <c r="N256" s="5">
        <f>Table1[[#This Row],[Ordered]]-Table1[[#This Row],[Date ]]</f>
        <v>0.95833333333575865</v>
      </c>
      <c r="O256">
        <f>Table1[[#This Row],[Company]]</f>
        <v>7</v>
      </c>
      <c r="P256">
        <f>IF(((Table1[[#This Row],[Arrived]]-Table1[[#This Row],[Delivery]])*24-Table1[[#This Row],[Promised]])&lt;0, 0, (Table1[[#This Row],[Arrived]]-Table1[[#This Row],[Delivery]])*24-Table1[[#This Row],[Promised]])</f>
        <v>0</v>
      </c>
      <c r="Q256"/>
    </row>
    <row r="257" spans="1:17" x14ac:dyDescent="0.45">
      <c r="A257" s="3">
        <v>45293.958333333336</v>
      </c>
      <c r="B257" t="s">
        <v>14</v>
      </c>
      <c r="C257">
        <v>9</v>
      </c>
      <c r="D257">
        <v>1010</v>
      </c>
      <c r="E257" t="s">
        <v>15</v>
      </c>
      <c r="F257">
        <v>3</v>
      </c>
      <c r="G257">
        <v>6650</v>
      </c>
      <c r="H257">
        <v>19950</v>
      </c>
      <c r="I257" s="3">
        <v>45294.875</v>
      </c>
      <c r="J257">
        <v>96</v>
      </c>
      <c r="K257" s="3">
        <v>45297.875</v>
      </c>
      <c r="L257" s="4">
        <f>ROUNDDOWN(Table1[[#This Row],[Ordered]],0)</f>
        <v>45293</v>
      </c>
      <c r="M257" s="4">
        <f>Table1[[#This Row],[Date ]]</f>
        <v>45293</v>
      </c>
      <c r="N257" s="5">
        <f>Table1[[#This Row],[Ordered]]-Table1[[#This Row],[Date ]]</f>
        <v>0.95833333333575865</v>
      </c>
      <c r="O257">
        <f>Table1[[#This Row],[Company]]</f>
        <v>9</v>
      </c>
      <c r="P257">
        <f>IF(((Table1[[#This Row],[Arrived]]-Table1[[#This Row],[Delivery]])*24-Table1[[#This Row],[Promised]])&lt;0, 0, (Table1[[#This Row],[Arrived]]-Table1[[#This Row],[Delivery]])*24-Table1[[#This Row],[Promised]])</f>
        <v>0</v>
      </c>
      <c r="Q257"/>
    </row>
    <row r="258" spans="1:17" x14ac:dyDescent="0.45">
      <c r="A258" s="3">
        <v>45293.958333333336</v>
      </c>
      <c r="B258" t="s">
        <v>14</v>
      </c>
      <c r="C258">
        <v>12</v>
      </c>
      <c r="D258">
        <v>1010</v>
      </c>
      <c r="E258" t="s">
        <v>15</v>
      </c>
      <c r="F258">
        <v>3</v>
      </c>
      <c r="G258">
        <v>6650</v>
      </c>
      <c r="H258">
        <v>19950</v>
      </c>
      <c r="I258" s="3">
        <v>45295.291666666664</v>
      </c>
      <c r="J258">
        <v>96</v>
      </c>
      <c r="K258" s="3">
        <v>45297.291666666664</v>
      </c>
      <c r="L258" s="4">
        <f>ROUNDDOWN(Table1[[#This Row],[Ordered]],0)</f>
        <v>45293</v>
      </c>
      <c r="M258" s="4">
        <f>Table1[[#This Row],[Date ]]</f>
        <v>45293</v>
      </c>
      <c r="N258" s="5">
        <f>Table1[[#This Row],[Ordered]]-Table1[[#This Row],[Date ]]</f>
        <v>0.95833333333575865</v>
      </c>
      <c r="O258">
        <f>Table1[[#This Row],[Company]]</f>
        <v>12</v>
      </c>
      <c r="P258">
        <f>IF(((Table1[[#This Row],[Arrived]]-Table1[[#This Row],[Delivery]])*24-Table1[[#This Row],[Promised]])&lt;0, 0, (Table1[[#This Row],[Arrived]]-Table1[[#This Row],[Delivery]])*24-Table1[[#This Row],[Promised]])</f>
        <v>0</v>
      </c>
      <c r="Q258"/>
    </row>
    <row r="259" spans="1:17" x14ac:dyDescent="0.45">
      <c r="A259" s="3">
        <v>45294</v>
      </c>
      <c r="B259" t="s">
        <v>14</v>
      </c>
      <c r="C259">
        <v>7</v>
      </c>
      <c r="D259">
        <v>1011</v>
      </c>
      <c r="E259" t="s">
        <v>15</v>
      </c>
      <c r="F259">
        <v>3</v>
      </c>
      <c r="G259">
        <v>6650</v>
      </c>
      <c r="H259">
        <v>19950</v>
      </c>
      <c r="I259" s="3">
        <v>45294.208333333336</v>
      </c>
      <c r="J259">
        <v>96</v>
      </c>
      <c r="K259" s="3">
        <v>45297.208333333336</v>
      </c>
      <c r="L259" s="4">
        <f>ROUNDDOWN(Table1[[#This Row],[Ordered]],0)</f>
        <v>45294</v>
      </c>
      <c r="M259" s="4">
        <f>Table1[[#This Row],[Date ]]</f>
        <v>45294</v>
      </c>
      <c r="N259" s="5">
        <f>Table1[[#This Row],[Ordered]]-Table1[[#This Row],[Date ]]</f>
        <v>0</v>
      </c>
      <c r="O259">
        <f>Table1[[#This Row],[Company]]</f>
        <v>7</v>
      </c>
      <c r="P259">
        <f>IF(((Table1[[#This Row],[Arrived]]-Table1[[#This Row],[Delivery]])*24-Table1[[#This Row],[Promised]])&lt;0, 0, (Table1[[#This Row],[Arrived]]-Table1[[#This Row],[Delivery]])*24-Table1[[#This Row],[Promised]])</f>
        <v>0</v>
      </c>
      <c r="Q259"/>
    </row>
    <row r="260" spans="1:17" x14ac:dyDescent="0.45">
      <c r="A260" s="3">
        <v>45294</v>
      </c>
      <c r="B260" t="s">
        <v>14</v>
      </c>
      <c r="C260">
        <v>13</v>
      </c>
      <c r="D260">
        <v>1011</v>
      </c>
      <c r="E260" t="s">
        <v>15</v>
      </c>
      <c r="F260">
        <v>3</v>
      </c>
      <c r="G260">
        <v>6650</v>
      </c>
      <c r="H260">
        <v>19950</v>
      </c>
      <c r="I260" s="3">
        <v>45294.875</v>
      </c>
      <c r="J260">
        <v>96</v>
      </c>
      <c r="K260" s="3">
        <v>45297.875</v>
      </c>
      <c r="L260" s="4">
        <f>ROUNDDOWN(Table1[[#This Row],[Ordered]],0)</f>
        <v>45294</v>
      </c>
      <c r="M260" s="4">
        <f>Table1[[#This Row],[Date ]]</f>
        <v>45294</v>
      </c>
      <c r="N260" s="5">
        <f>Table1[[#This Row],[Ordered]]-Table1[[#This Row],[Date ]]</f>
        <v>0</v>
      </c>
      <c r="O260">
        <f>Table1[[#This Row],[Company]]</f>
        <v>13</v>
      </c>
      <c r="P260">
        <f>IF(((Table1[[#This Row],[Arrived]]-Table1[[#This Row],[Delivery]])*24-Table1[[#This Row],[Promised]])&lt;0, 0, (Table1[[#This Row],[Arrived]]-Table1[[#This Row],[Delivery]])*24-Table1[[#This Row],[Promised]])</f>
        <v>0</v>
      </c>
      <c r="Q260"/>
    </row>
    <row r="261" spans="1:17" x14ac:dyDescent="0.45">
      <c r="A261" s="3">
        <v>45294</v>
      </c>
      <c r="B261" t="s">
        <v>14</v>
      </c>
      <c r="C261">
        <v>11</v>
      </c>
      <c r="D261">
        <v>1011</v>
      </c>
      <c r="E261" t="s">
        <v>15</v>
      </c>
      <c r="F261">
        <v>3</v>
      </c>
      <c r="G261">
        <v>6650</v>
      </c>
      <c r="H261">
        <v>19950</v>
      </c>
      <c r="I261" s="3">
        <v>45295.541666666664</v>
      </c>
      <c r="J261">
        <v>96</v>
      </c>
      <c r="K261" s="3">
        <v>45297.541666666664</v>
      </c>
      <c r="L261" s="4">
        <f>ROUNDDOWN(Table1[[#This Row],[Ordered]],0)</f>
        <v>45294</v>
      </c>
      <c r="M261" s="4">
        <f>Table1[[#This Row],[Date ]]</f>
        <v>45294</v>
      </c>
      <c r="N261" s="5">
        <f>Table1[[#This Row],[Ordered]]-Table1[[#This Row],[Date ]]</f>
        <v>0</v>
      </c>
      <c r="O261">
        <f>Table1[[#This Row],[Company]]</f>
        <v>11</v>
      </c>
      <c r="P261">
        <f>IF(((Table1[[#This Row],[Arrived]]-Table1[[#This Row],[Delivery]])*24-Table1[[#This Row],[Promised]])&lt;0, 0, (Table1[[#This Row],[Arrived]]-Table1[[#This Row],[Delivery]])*24-Table1[[#This Row],[Promised]])</f>
        <v>0</v>
      </c>
      <c r="Q261"/>
    </row>
    <row r="262" spans="1:17" x14ac:dyDescent="0.45">
      <c r="A262" s="3">
        <v>45294</v>
      </c>
      <c r="B262" t="s">
        <v>14</v>
      </c>
      <c r="C262">
        <v>8</v>
      </c>
      <c r="D262">
        <v>1010</v>
      </c>
      <c r="E262" t="s">
        <v>16</v>
      </c>
      <c r="F262">
        <v>27</v>
      </c>
      <c r="G262">
        <v>3750</v>
      </c>
      <c r="H262">
        <v>101250</v>
      </c>
      <c r="I262" s="3">
        <v>45294.875</v>
      </c>
      <c r="J262">
        <v>96</v>
      </c>
      <c r="K262" s="3">
        <v>45297.875</v>
      </c>
      <c r="L262" s="4">
        <f>ROUNDDOWN(Table1[[#This Row],[Ordered]],0)</f>
        <v>45294</v>
      </c>
      <c r="M262" s="4">
        <f>Table1[[#This Row],[Date ]]</f>
        <v>45294</v>
      </c>
      <c r="N262" s="5">
        <f>Table1[[#This Row],[Ordered]]-Table1[[#This Row],[Date ]]</f>
        <v>0</v>
      </c>
      <c r="O262">
        <f>Table1[[#This Row],[Company]]</f>
        <v>8</v>
      </c>
      <c r="P262">
        <f>IF(((Table1[[#This Row],[Arrived]]-Table1[[#This Row],[Delivery]])*24-Table1[[#This Row],[Promised]])&lt;0, 0, (Table1[[#This Row],[Arrived]]-Table1[[#This Row],[Delivery]])*24-Table1[[#This Row],[Promised]])</f>
        <v>0</v>
      </c>
      <c r="Q262"/>
    </row>
    <row r="263" spans="1:17" x14ac:dyDescent="0.45">
      <c r="A263" s="3">
        <v>45294</v>
      </c>
      <c r="B263" t="s">
        <v>14</v>
      </c>
      <c r="C263">
        <v>13</v>
      </c>
      <c r="D263">
        <v>1010</v>
      </c>
      <c r="E263" t="s">
        <v>16</v>
      </c>
      <c r="F263">
        <v>27</v>
      </c>
      <c r="G263">
        <v>3750</v>
      </c>
      <c r="H263">
        <v>101250</v>
      </c>
      <c r="I263" s="3">
        <v>45294.791666666664</v>
      </c>
      <c r="J263">
        <v>96</v>
      </c>
      <c r="K263" s="3">
        <v>45297.791666666664</v>
      </c>
      <c r="L263" s="4">
        <f>ROUNDDOWN(Table1[[#This Row],[Ordered]],0)</f>
        <v>45294</v>
      </c>
      <c r="M263" s="4">
        <f>Table1[[#This Row],[Date ]]</f>
        <v>45294</v>
      </c>
      <c r="N263" s="5">
        <f>Table1[[#This Row],[Ordered]]-Table1[[#This Row],[Date ]]</f>
        <v>0</v>
      </c>
      <c r="O263">
        <f>Table1[[#This Row],[Company]]</f>
        <v>13</v>
      </c>
      <c r="P263">
        <f>IF(((Table1[[#This Row],[Arrived]]-Table1[[#This Row],[Delivery]])*24-Table1[[#This Row],[Promised]])&lt;0, 0, (Table1[[#This Row],[Arrived]]-Table1[[#This Row],[Delivery]])*24-Table1[[#This Row],[Promised]])</f>
        <v>0</v>
      </c>
      <c r="Q263"/>
    </row>
    <row r="264" spans="1:17" x14ac:dyDescent="0.45">
      <c r="A264" s="3">
        <v>45294</v>
      </c>
      <c r="B264" t="s">
        <v>14</v>
      </c>
      <c r="C264">
        <v>10</v>
      </c>
      <c r="D264">
        <v>1011</v>
      </c>
      <c r="E264" t="s">
        <v>15</v>
      </c>
      <c r="F264">
        <v>3</v>
      </c>
      <c r="G264">
        <v>6800</v>
      </c>
      <c r="H264">
        <v>20400</v>
      </c>
      <c r="I264" s="3">
        <v>45294.083333333336</v>
      </c>
      <c r="J264">
        <v>96</v>
      </c>
      <c r="K264" s="3">
        <v>45297.083333333336</v>
      </c>
      <c r="L264" s="4">
        <f>ROUNDDOWN(Table1[[#This Row],[Ordered]],0)</f>
        <v>45294</v>
      </c>
      <c r="M264" s="4">
        <f>Table1[[#This Row],[Date ]]</f>
        <v>45294</v>
      </c>
      <c r="N264" s="5">
        <f>Table1[[#This Row],[Ordered]]-Table1[[#This Row],[Date ]]</f>
        <v>0</v>
      </c>
      <c r="O264">
        <f>Table1[[#This Row],[Company]]</f>
        <v>10</v>
      </c>
      <c r="P264">
        <f>IF(((Table1[[#This Row],[Arrived]]-Table1[[#This Row],[Delivery]])*24-Table1[[#This Row],[Promised]])&lt;0, 0, (Table1[[#This Row],[Arrived]]-Table1[[#This Row],[Delivery]])*24-Table1[[#This Row],[Promised]])</f>
        <v>0</v>
      </c>
      <c r="Q264"/>
    </row>
    <row r="265" spans="1:17" x14ac:dyDescent="0.45">
      <c r="A265" s="3">
        <v>45294</v>
      </c>
      <c r="B265" t="s">
        <v>14</v>
      </c>
      <c r="C265">
        <v>15</v>
      </c>
      <c r="D265">
        <v>1010</v>
      </c>
      <c r="E265" t="s">
        <v>16</v>
      </c>
      <c r="F265">
        <v>27</v>
      </c>
      <c r="G265">
        <v>3750</v>
      </c>
      <c r="H265">
        <v>101250</v>
      </c>
      <c r="I265" s="3">
        <v>45294.458333333336</v>
      </c>
      <c r="J265">
        <v>96</v>
      </c>
      <c r="K265" s="3">
        <v>45297.458333333336</v>
      </c>
      <c r="L265" s="4">
        <f>ROUNDDOWN(Table1[[#This Row],[Ordered]],0)</f>
        <v>45294</v>
      </c>
      <c r="M265" s="4">
        <f>Table1[[#This Row],[Date ]]</f>
        <v>45294</v>
      </c>
      <c r="N265" s="5">
        <f>Table1[[#This Row],[Ordered]]-Table1[[#This Row],[Date ]]</f>
        <v>0</v>
      </c>
      <c r="O265">
        <f>Table1[[#This Row],[Company]]</f>
        <v>15</v>
      </c>
      <c r="P265">
        <f>IF(((Table1[[#This Row],[Arrived]]-Table1[[#This Row],[Delivery]])*24-Table1[[#This Row],[Promised]])&lt;0, 0, (Table1[[#This Row],[Arrived]]-Table1[[#This Row],[Delivery]])*24-Table1[[#This Row],[Promised]])</f>
        <v>0</v>
      </c>
      <c r="Q265"/>
    </row>
    <row r="266" spans="1:17" x14ac:dyDescent="0.45">
      <c r="A266" s="3">
        <v>45294</v>
      </c>
      <c r="B266" t="s">
        <v>14</v>
      </c>
      <c r="C266">
        <v>9</v>
      </c>
      <c r="D266">
        <v>1010</v>
      </c>
      <c r="E266" t="s">
        <v>16</v>
      </c>
      <c r="F266">
        <v>27</v>
      </c>
      <c r="G266">
        <v>3550</v>
      </c>
      <c r="H266">
        <v>95850</v>
      </c>
      <c r="I266" s="3">
        <v>45294.875</v>
      </c>
      <c r="J266">
        <v>96</v>
      </c>
      <c r="K266" s="3">
        <v>45297.875</v>
      </c>
      <c r="L266" s="4">
        <f>ROUNDDOWN(Table1[[#This Row],[Ordered]],0)</f>
        <v>45294</v>
      </c>
      <c r="M266" s="4">
        <f>Table1[[#This Row],[Date ]]</f>
        <v>45294</v>
      </c>
      <c r="N266" s="5">
        <f>Table1[[#This Row],[Ordered]]-Table1[[#This Row],[Date ]]</f>
        <v>0</v>
      </c>
      <c r="O266">
        <f>Table1[[#This Row],[Company]]</f>
        <v>9</v>
      </c>
      <c r="P266">
        <f>IF(((Table1[[#This Row],[Arrived]]-Table1[[#This Row],[Delivery]])*24-Table1[[#This Row],[Promised]])&lt;0, 0, (Table1[[#This Row],[Arrived]]-Table1[[#This Row],[Delivery]])*24-Table1[[#This Row],[Promised]])</f>
        <v>0</v>
      </c>
      <c r="Q266"/>
    </row>
    <row r="267" spans="1:17" x14ac:dyDescent="0.45">
      <c r="A267" s="3">
        <v>45294</v>
      </c>
      <c r="B267" t="s">
        <v>14</v>
      </c>
      <c r="C267">
        <v>10</v>
      </c>
      <c r="D267">
        <v>1010</v>
      </c>
      <c r="E267" t="s">
        <v>16</v>
      </c>
      <c r="F267">
        <v>27</v>
      </c>
      <c r="G267">
        <v>3400</v>
      </c>
      <c r="H267">
        <v>91800</v>
      </c>
      <c r="I267" s="3">
        <v>45294.083333333336</v>
      </c>
      <c r="J267">
        <v>48</v>
      </c>
      <c r="K267" s="3">
        <v>45297.083333333336</v>
      </c>
      <c r="L267" s="4">
        <f>ROUNDDOWN(Table1[[#This Row],[Ordered]],0)</f>
        <v>45294</v>
      </c>
      <c r="M267" s="4">
        <f>Table1[[#This Row],[Date ]]</f>
        <v>45294</v>
      </c>
      <c r="N267" s="5">
        <f>Table1[[#This Row],[Ordered]]-Table1[[#This Row],[Date ]]</f>
        <v>0</v>
      </c>
      <c r="O267">
        <f>Table1[[#This Row],[Company]]</f>
        <v>10</v>
      </c>
      <c r="P267">
        <f>IF(((Table1[[#This Row],[Arrived]]-Table1[[#This Row],[Delivery]])*24-Table1[[#This Row],[Promised]])&lt;0, 0, (Table1[[#This Row],[Arrived]]-Table1[[#This Row],[Delivery]])*24-Table1[[#This Row],[Promised]])</f>
        <v>24</v>
      </c>
      <c r="Q267"/>
    </row>
    <row r="268" spans="1:17" x14ac:dyDescent="0.45">
      <c r="A268" s="3">
        <v>45294</v>
      </c>
      <c r="B268" t="s">
        <v>14</v>
      </c>
      <c r="C268">
        <v>9</v>
      </c>
      <c r="D268">
        <v>1011</v>
      </c>
      <c r="E268" t="s">
        <v>15</v>
      </c>
      <c r="F268">
        <v>3</v>
      </c>
      <c r="G268">
        <v>6650</v>
      </c>
      <c r="H268">
        <v>19950</v>
      </c>
      <c r="I268" s="3">
        <v>45294.916666666664</v>
      </c>
      <c r="J268">
        <v>96</v>
      </c>
      <c r="K268" s="3">
        <v>45297.916666666664</v>
      </c>
      <c r="L268" s="4">
        <f>ROUNDDOWN(Table1[[#This Row],[Ordered]],0)</f>
        <v>45294</v>
      </c>
      <c r="M268" s="4">
        <f>Table1[[#This Row],[Date ]]</f>
        <v>45294</v>
      </c>
      <c r="N268" s="5">
        <f>Table1[[#This Row],[Ordered]]-Table1[[#This Row],[Date ]]</f>
        <v>0</v>
      </c>
      <c r="O268">
        <f>Table1[[#This Row],[Company]]</f>
        <v>9</v>
      </c>
      <c r="P268">
        <f>IF(((Table1[[#This Row],[Arrived]]-Table1[[#This Row],[Delivery]])*24-Table1[[#This Row],[Promised]])&lt;0, 0, (Table1[[#This Row],[Arrived]]-Table1[[#This Row],[Delivery]])*24-Table1[[#This Row],[Promised]])</f>
        <v>0</v>
      </c>
      <c r="Q268"/>
    </row>
    <row r="269" spans="1:17" x14ac:dyDescent="0.45">
      <c r="A269" s="3">
        <v>45294</v>
      </c>
      <c r="B269" t="s">
        <v>14</v>
      </c>
      <c r="C269">
        <v>12</v>
      </c>
      <c r="D269">
        <v>1011</v>
      </c>
      <c r="E269" t="s">
        <v>15</v>
      </c>
      <c r="F269">
        <v>3</v>
      </c>
      <c r="G269">
        <v>6650</v>
      </c>
      <c r="H269">
        <v>19950</v>
      </c>
      <c r="I269" s="3">
        <v>45295.291666666664</v>
      </c>
      <c r="J269">
        <v>96</v>
      </c>
      <c r="K269" s="3">
        <v>45297.291666666664</v>
      </c>
      <c r="L269" s="4">
        <f>ROUNDDOWN(Table1[[#This Row],[Ordered]],0)</f>
        <v>45294</v>
      </c>
      <c r="M269" s="4">
        <f>Table1[[#This Row],[Date ]]</f>
        <v>45294</v>
      </c>
      <c r="N269" s="5">
        <f>Table1[[#This Row],[Ordered]]-Table1[[#This Row],[Date ]]</f>
        <v>0</v>
      </c>
      <c r="O269">
        <f>Table1[[#This Row],[Company]]</f>
        <v>12</v>
      </c>
      <c r="P269">
        <f>IF(((Table1[[#This Row],[Arrived]]-Table1[[#This Row],[Delivery]])*24-Table1[[#This Row],[Promised]])&lt;0, 0, (Table1[[#This Row],[Arrived]]-Table1[[#This Row],[Delivery]])*24-Table1[[#This Row],[Promised]])</f>
        <v>0</v>
      </c>
      <c r="Q269"/>
    </row>
    <row r="270" spans="1:17" x14ac:dyDescent="0.45">
      <c r="A270" s="3">
        <v>45294</v>
      </c>
      <c r="B270" t="s">
        <v>14</v>
      </c>
      <c r="C270">
        <v>14</v>
      </c>
      <c r="D270">
        <v>1010</v>
      </c>
      <c r="E270" t="s">
        <v>16</v>
      </c>
      <c r="F270">
        <v>27</v>
      </c>
      <c r="G270">
        <v>3750</v>
      </c>
      <c r="H270">
        <v>101250</v>
      </c>
      <c r="I270" s="3">
        <v>45294.333333333336</v>
      </c>
      <c r="J270">
        <v>96</v>
      </c>
      <c r="K270" s="3">
        <v>45297.333333333336</v>
      </c>
      <c r="L270" s="4">
        <f>ROUNDDOWN(Table1[[#This Row],[Ordered]],0)</f>
        <v>45294</v>
      </c>
      <c r="M270" s="4">
        <f>Table1[[#This Row],[Date ]]</f>
        <v>45294</v>
      </c>
      <c r="N270" s="5">
        <f>Table1[[#This Row],[Ordered]]-Table1[[#This Row],[Date ]]</f>
        <v>0</v>
      </c>
      <c r="O270">
        <f>Table1[[#This Row],[Company]]</f>
        <v>14</v>
      </c>
      <c r="P270">
        <f>IF(((Table1[[#This Row],[Arrived]]-Table1[[#This Row],[Delivery]])*24-Table1[[#This Row],[Promised]])&lt;0, 0, (Table1[[#This Row],[Arrived]]-Table1[[#This Row],[Delivery]])*24-Table1[[#This Row],[Promised]])</f>
        <v>0</v>
      </c>
      <c r="Q270"/>
    </row>
    <row r="271" spans="1:17" x14ac:dyDescent="0.45">
      <c r="A271" s="3">
        <v>45294</v>
      </c>
      <c r="B271" t="s">
        <v>14</v>
      </c>
      <c r="C271">
        <v>16</v>
      </c>
      <c r="D271">
        <v>1011</v>
      </c>
      <c r="E271" t="s">
        <v>15</v>
      </c>
      <c r="F271">
        <v>3</v>
      </c>
      <c r="G271">
        <v>6650</v>
      </c>
      <c r="H271">
        <v>19950</v>
      </c>
      <c r="I271" s="3">
        <v>45294.125</v>
      </c>
      <c r="J271">
        <v>96</v>
      </c>
      <c r="K271" s="3">
        <v>45297.208333333336</v>
      </c>
      <c r="L271" s="4">
        <f>ROUNDDOWN(Table1[[#This Row],[Ordered]],0)</f>
        <v>45294</v>
      </c>
      <c r="M271" s="4">
        <f>Table1[[#This Row],[Date ]]</f>
        <v>45294</v>
      </c>
      <c r="N271" s="5">
        <f>Table1[[#This Row],[Ordered]]-Table1[[#This Row],[Date ]]</f>
        <v>0</v>
      </c>
      <c r="O271">
        <f>Table1[[#This Row],[Company]]</f>
        <v>16</v>
      </c>
      <c r="P271">
        <f>IF(((Table1[[#This Row],[Arrived]]-Table1[[#This Row],[Delivery]])*24-Table1[[#This Row],[Promised]])&lt;0, 0, (Table1[[#This Row],[Arrived]]-Table1[[#This Row],[Delivery]])*24-Table1[[#This Row],[Promised]])</f>
        <v>0</v>
      </c>
      <c r="Q271"/>
    </row>
    <row r="272" spans="1:17" x14ac:dyDescent="0.45">
      <c r="A272" s="3">
        <v>45294</v>
      </c>
      <c r="B272" t="s">
        <v>14</v>
      </c>
      <c r="C272">
        <v>16</v>
      </c>
      <c r="D272">
        <v>1010</v>
      </c>
      <c r="E272" t="s">
        <v>16</v>
      </c>
      <c r="F272">
        <v>27</v>
      </c>
      <c r="G272">
        <v>3750</v>
      </c>
      <c r="H272">
        <v>101250</v>
      </c>
      <c r="I272" s="3">
        <v>45294.208333333336</v>
      </c>
      <c r="J272">
        <v>96</v>
      </c>
      <c r="K272" s="3">
        <v>45297.208333333336</v>
      </c>
      <c r="L272" s="4">
        <f>ROUNDDOWN(Table1[[#This Row],[Ordered]],0)</f>
        <v>45294</v>
      </c>
      <c r="M272" s="4">
        <f>Table1[[#This Row],[Date ]]</f>
        <v>45294</v>
      </c>
      <c r="N272" s="5">
        <f>Table1[[#This Row],[Ordered]]-Table1[[#This Row],[Date ]]</f>
        <v>0</v>
      </c>
      <c r="O272">
        <f>Table1[[#This Row],[Company]]</f>
        <v>16</v>
      </c>
      <c r="P272">
        <f>IF(((Table1[[#This Row],[Arrived]]-Table1[[#This Row],[Delivery]])*24-Table1[[#This Row],[Promised]])&lt;0, 0, (Table1[[#This Row],[Arrived]]-Table1[[#This Row],[Delivery]])*24-Table1[[#This Row],[Promised]])</f>
        <v>0</v>
      </c>
      <c r="Q272"/>
    </row>
    <row r="273" spans="1:17" x14ac:dyDescent="0.45">
      <c r="A273" s="3">
        <v>45294</v>
      </c>
      <c r="B273" t="s">
        <v>14</v>
      </c>
      <c r="C273">
        <v>12</v>
      </c>
      <c r="D273">
        <v>1010</v>
      </c>
      <c r="E273" t="s">
        <v>16</v>
      </c>
      <c r="F273">
        <v>15</v>
      </c>
      <c r="G273">
        <v>3850</v>
      </c>
      <c r="H273">
        <v>57750</v>
      </c>
      <c r="I273" s="3">
        <v>45294.208333333336</v>
      </c>
      <c r="J273">
        <v>60</v>
      </c>
      <c r="K273" s="3">
        <v>45296.375</v>
      </c>
      <c r="L273" s="4">
        <f>ROUNDDOWN(Table1[[#This Row],[Ordered]],0)</f>
        <v>45294</v>
      </c>
      <c r="M273" s="4">
        <f>Table1[[#This Row],[Date ]]</f>
        <v>45294</v>
      </c>
      <c r="N273" s="5">
        <f>Table1[[#This Row],[Ordered]]-Table1[[#This Row],[Date ]]</f>
        <v>0</v>
      </c>
      <c r="O273">
        <f>Table1[[#This Row],[Company]]</f>
        <v>12</v>
      </c>
      <c r="P273">
        <f>IF(((Table1[[#This Row],[Arrived]]-Table1[[#This Row],[Delivery]])*24-Table1[[#This Row],[Promised]])&lt;0, 0, (Table1[[#This Row],[Arrived]]-Table1[[#This Row],[Delivery]])*24-Table1[[#This Row],[Promised]])</f>
        <v>0</v>
      </c>
      <c r="Q273"/>
    </row>
    <row r="274" spans="1:17" x14ac:dyDescent="0.45">
      <c r="A274" s="3">
        <v>45294</v>
      </c>
      <c r="B274" t="s">
        <v>14</v>
      </c>
      <c r="C274">
        <v>11</v>
      </c>
      <c r="D274">
        <v>1010</v>
      </c>
      <c r="E274" t="s">
        <v>16</v>
      </c>
      <c r="F274">
        <v>27</v>
      </c>
      <c r="G274">
        <v>3750</v>
      </c>
      <c r="H274">
        <v>101250</v>
      </c>
      <c r="I274" s="3">
        <v>45294.333333333336</v>
      </c>
      <c r="J274">
        <v>96</v>
      </c>
      <c r="K274" s="3">
        <v>45297.5</v>
      </c>
      <c r="L274" s="4">
        <f>ROUNDDOWN(Table1[[#This Row],[Ordered]],0)</f>
        <v>45294</v>
      </c>
      <c r="M274" s="4">
        <f>Table1[[#This Row],[Date ]]</f>
        <v>45294</v>
      </c>
      <c r="N274" s="5">
        <f>Table1[[#This Row],[Ordered]]-Table1[[#This Row],[Date ]]</f>
        <v>0</v>
      </c>
      <c r="O274">
        <f>Table1[[#This Row],[Company]]</f>
        <v>11</v>
      </c>
      <c r="P274">
        <f>IF(((Table1[[#This Row],[Arrived]]-Table1[[#This Row],[Delivery]])*24-Table1[[#This Row],[Promised]])&lt;0, 0, (Table1[[#This Row],[Arrived]]-Table1[[#This Row],[Delivery]])*24-Table1[[#This Row],[Promised]])</f>
        <v>0</v>
      </c>
      <c r="Q274"/>
    </row>
    <row r="275" spans="1:17" x14ac:dyDescent="0.45">
      <c r="A275" s="3">
        <v>45294</v>
      </c>
      <c r="B275" t="s">
        <v>14</v>
      </c>
      <c r="C275">
        <v>7</v>
      </c>
      <c r="D275">
        <v>1010</v>
      </c>
      <c r="E275" t="s">
        <v>16</v>
      </c>
      <c r="F275">
        <v>27</v>
      </c>
      <c r="G275">
        <v>3650</v>
      </c>
      <c r="H275">
        <v>98550</v>
      </c>
      <c r="I275" s="3">
        <v>45294.291666666664</v>
      </c>
      <c r="J275">
        <v>96</v>
      </c>
      <c r="K275" s="3">
        <v>45297.291666666664</v>
      </c>
      <c r="L275" s="4">
        <f>ROUNDDOWN(Table1[[#This Row],[Ordered]],0)</f>
        <v>45294</v>
      </c>
      <c r="M275" s="4">
        <f>Table1[[#This Row],[Date ]]</f>
        <v>45294</v>
      </c>
      <c r="N275" s="5">
        <f>Table1[[#This Row],[Ordered]]-Table1[[#This Row],[Date ]]</f>
        <v>0</v>
      </c>
      <c r="O275">
        <f>Table1[[#This Row],[Company]]</f>
        <v>7</v>
      </c>
      <c r="P275">
        <f>IF(((Table1[[#This Row],[Arrived]]-Table1[[#This Row],[Delivery]])*24-Table1[[#This Row],[Promised]])&lt;0, 0, (Table1[[#This Row],[Arrived]]-Table1[[#This Row],[Delivery]])*24-Table1[[#This Row],[Promised]])</f>
        <v>0</v>
      </c>
      <c r="Q275"/>
    </row>
    <row r="276" spans="1:17" x14ac:dyDescent="0.45">
      <c r="A276" s="3">
        <v>45294</v>
      </c>
      <c r="B276" t="s">
        <v>14</v>
      </c>
      <c r="C276">
        <v>8</v>
      </c>
      <c r="D276">
        <v>1011</v>
      </c>
      <c r="E276" t="s">
        <v>15</v>
      </c>
      <c r="F276">
        <v>3</v>
      </c>
      <c r="G276">
        <v>7300</v>
      </c>
      <c r="H276">
        <v>21900</v>
      </c>
      <c r="I276" s="3">
        <v>45294.791666666664</v>
      </c>
      <c r="J276">
        <v>96</v>
      </c>
      <c r="K276" s="3">
        <v>45297.791666666664</v>
      </c>
      <c r="L276" s="4">
        <f>ROUNDDOWN(Table1[[#This Row],[Ordered]],0)</f>
        <v>45294</v>
      </c>
      <c r="M276" s="4">
        <f>Table1[[#This Row],[Date ]]</f>
        <v>45294</v>
      </c>
      <c r="N276" s="5">
        <f>Table1[[#This Row],[Ordered]]-Table1[[#This Row],[Date ]]</f>
        <v>0</v>
      </c>
      <c r="O276">
        <f>Table1[[#This Row],[Company]]</f>
        <v>8</v>
      </c>
      <c r="P276">
        <f>IF(((Table1[[#This Row],[Arrived]]-Table1[[#This Row],[Delivery]])*24-Table1[[#This Row],[Promised]])&lt;0, 0, (Table1[[#This Row],[Arrived]]-Table1[[#This Row],[Delivery]])*24-Table1[[#This Row],[Promised]])</f>
        <v>0</v>
      </c>
      <c r="Q276"/>
    </row>
    <row r="277" spans="1:17" x14ac:dyDescent="0.45">
      <c r="A277" s="3">
        <v>45294</v>
      </c>
      <c r="B277" t="s">
        <v>14</v>
      </c>
      <c r="C277">
        <v>14</v>
      </c>
      <c r="D277">
        <v>1011</v>
      </c>
      <c r="E277" t="s">
        <v>15</v>
      </c>
      <c r="F277">
        <v>3</v>
      </c>
      <c r="G277">
        <v>6650</v>
      </c>
      <c r="H277">
        <v>19950</v>
      </c>
      <c r="I277" s="3">
        <v>45294.25</v>
      </c>
      <c r="J277">
        <v>96</v>
      </c>
      <c r="K277" s="3">
        <v>45297.25</v>
      </c>
      <c r="L277" s="4">
        <f>ROUNDDOWN(Table1[[#This Row],[Ordered]],0)</f>
        <v>45294</v>
      </c>
      <c r="M277" s="4">
        <f>Table1[[#This Row],[Date ]]</f>
        <v>45294</v>
      </c>
      <c r="N277" s="5">
        <f>Table1[[#This Row],[Ordered]]-Table1[[#This Row],[Date ]]</f>
        <v>0</v>
      </c>
      <c r="O277">
        <f>Table1[[#This Row],[Company]]</f>
        <v>14</v>
      </c>
      <c r="P277">
        <f>IF(((Table1[[#This Row],[Arrived]]-Table1[[#This Row],[Delivery]])*24-Table1[[#This Row],[Promised]])&lt;0, 0, (Table1[[#This Row],[Arrived]]-Table1[[#This Row],[Delivery]])*24-Table1[[#This Row],[Promised]])</f>
        <v>0</v>
      </c>
      <c r="Q277"/>
    </row>
    <row r="278" spans="1:17" x14ac:dyDescent="0.45">
      <c r="A278" s="3">
        <v>45294.083333333336</v>
      </c>
      <c r="B278" t="s">
        <v>14</v>
      </c>
      <c r="C278">
        <v>9</v>
      </c>
      <c r="D278">
        <v>1011</v>
      </c>
      <c r="E278" t="s">
        <v>16</v>
      </c>
      <c r="F278">
        <v>21</v>
      </c>
      <c r="G278">
        <v>3550</v>
      </c>
      <c r="H278">
        <v>74550</v>
      </c>
      <c r="I278" s="3">
        <v>45295</v>
      </c>
      <c r="J278">
        <v>96</v>
      </c>
      <c r="K278" s="3">
        <v>45298</v>
      </c>
      <c r="L278" s="4">
        <f>ROUNDDOWN(Table1[[#This Row],[Ordered]],0)</f>
        <v>45294</v>
      </c>
      <c r="M278" s="4">
        <f>Table1[[#This Row],[Date ]]</f>
        <v>45294</v>
      </c>
      <c r="N278" s="5">
        <f>Table1[[#This Row],[Ordered]]-Table1[[#This Row],[Date ]]</f>
        <v>8.3333333335758653E-2</v>
      </c>
      <c r="O278">
        <f>Table1[[#This Row],[Company]]</f>
        <v>9</v>
      </c>
      <c r="P278">
        <f>IF(((Table1[[#This Row],[Arrived]]-Table1[[#This Row],[Delivery]])*24-Table1[[#This Row],[Promised]])&lt;0, 0, (Table1[[#This Row],[Arrived]]-Table1[[#This Row],[Delivery]])*24-Table1[[#This Row],[Promised]])</f>
        <v>0</v>
      </c>
      <c r="Q278"/>
    </row>
    <row r="279" spans="1:17" x14ac:dyDescent="0.45">
      <c r="A279" s="3">
        <v>45294.083333333336</v>
      </c>
      <c r="B279" t="s">
        <v>14</v>
      </c>
      <c r="C279">
        <v>12</v>
      </c>
      <c r="D279">
        <v>1011</v>
      </c>
      <c r="E279" t="s">
        <v>16</v>
      </c>
      <c r="F279">
        <v>15</v>
      </c>
      <c r="G279">
        <v>3850</v>
      </c>
      <c r="H279">
        <v>57750</v>
      </c>
      <c r="I279" s="3">
        <v>45294.208333333336</v>
      </c>
      <c r="J279">
        <v>60</v>
      </c>
      <c r="K279" s="3">
        <v>45296.208333333336</v>
      </c>
      <c r="L279" s="4">
        <f>ROUNDDOWN(Table1[[#This Row],[Ordered]],0)</f>
        <v>45294</v>
      </c>
      <c r="M279" s="4">
        <f>Table1[[#This Row],[Date ]]</f>
        <v>45294</v>
      </c>
      <c r="N279" s="5">
        <f>Table1[[#This Row],[Ordered]]-Table1[[#This Row],[Date ]]</f>
        <v>8.3333333335758653E-2</v>
      </c>
      <c r="O279">
        <f>Table1[[#This Row],[Company]]</f>
        <v>12</v>
      </c>
      <c r="P279">
        <f>IF(((Table1[[#This Row],[Arrived]]-Table1[[#This Row],[Delivery]])*24-Table1[[#This Row],[Promised]])&lt;0, 0, (Table1[[#This Row],[Arrived]]-Table1[[#This Row],[Delivery]])*24-Table1[[#This Row],[Promised]])</f>
        <v>0</v>
      </c>
      <c r="Q279"/>
    </row>
    <row r="280" spans="1:17" x14ac:dyDescent="0.45">
      <c r="A280" s="3">
        <v>45294.083333333336</v>
      </c>
      <c r="B280" t="s">
        <v>14</v>
      </c>
      <c r="C280">
        <v>8</v>
      </c>
      <c r="D280">
        <v>1011</v>
      </c>
      <c r="E280" t="s">
        <v>16</v>
      </c>
      <c r="F280">
        <v>21</v>
      </c>
      <c r="G280">
        <v>3750</v>
      </c>
      <c r="H280">
        <v>78750</v>
      </c>
      <c r="I280" s="3">
        <v>45294.875</v>
      </c>
      <c r="J280">
        <v>96</v>
      </c>
      <c r="K280" s="3">
        <v>45297.875</v>
      </c>
      <c r="L280" s="4">
        <f>ROUNDDOWN(Table1[[#This Row],[Ordered]],0)</f>
        <v>45294</v>
      </c>
      <c r="M280" s="4">
        <f>Table1[[#This Row],[Date ]]</f>
        <v>45294</v>
      </c>
      <c r="N280" s="5">
        <f>Table1[[#This Row],[Ordered]]-Table1[[#This Row],[Date ]]</f>
        <v>8.3333333335758653E-2</v>
      </c>
      <c r="O280">
        <f>Table1[[#This Row],[Company]]</f>
        <v>8</v>
      </c>
      <c r="P280">
        <f>IF(((Table1[[#This Row],[Arrived]]-Table1[[#This Row],[Delivery]])*24-Table1[[#This Row],[Promised]])&lt;0, 0, (Table1[[#This Row],[Arrived]]-Table1[[#This Row],[Delivery]])*24-Table1[[#This Row],[Promised]])</f>
        <v>0</v>
      </c>
      <c r="Q280"/>
    </row>
    <row r="281" spans="1:17" hidden="1" x14ac:dyDescent="0.45">
      <c r="A281" s="3">
        <v>45294.083333333336</v>
      </c>
      <c r="B281" t="s">
        <v>12</v>
      </c>
      <c r="C281">
        <v>15</v>
      </c>
      <c r="D281">
        <v>2</v>
      </c>
      <c r="E281" t="s">
        <v>20</v>
      </c>
      <c r="F281">
        <v>133</v>
      </c>
      <c r="G281">
        <v>7</v>
      </c>
      <c r="H281">
        <v>931</v>
      </c>
      <c r="I281" s="3">
        <v>45294.458333333336</v>
      </c>
      <c r="J281">
        <v>72</v>
      </c>
      <c r="K281" s="3">
        <v>45297.458333333336</v>
      </c>
      <c r="L281" s="4">
        <f>ROUNDDOWN(Table1[[#This Row],[Ordered]],0)</f>
        <v>45294</v>
      </c>
      <c r="M281" s="4">
        <f>Table1[[#This Row],[Date ]]</f>
        <v>45294</v>
      </c>
      <c r="N281" s="5">
        <f>Table1[[#This Row],[Ordered]]-Table1[[#This Row],[Date ]]</f>
        <v>8.3333333335758653E-2</v>
      </c>
      <c r="O281">
        <f>Table1[[#This Row],[Company]]</f>
        <v>15</v>
      </c>
      <c r="P281">
        <f>IF(((Table1[[#This Row],[Arrived]]-Table1[[#This Row],[Delivery]])*24-Table1[[#This Row],[Promised]])&lt;0, 0, (Table1[[#This Row],[Arrived]]-Table1[[#This Row],[Delivery]])*24-Table1[[#This Row],[Promised]])</f>
        <v>0</v>
      </c>
      <c r="Q281"/>
    </row>
    <row r="282" spans="1:17" x14ac:dyDescent="0.45">
      <c r="A282" s="3">
        <v>45294.083333333336</v>
      </c>
      <c r="B282" t="s">
        <v>14</v>
      </c>
      <c r="C282">
        <v>13</v>
      </c>
      <c r="D282">
        <v>1011</v>
      </c>
      <c r="E282" t="s">
        <v>16</v>
      </c>
      <c r="F282">
        <v>21</v>
      </c>
      <c r="G282">
        <v>3750</v>
      </c>
      <c r="H282">
        <v>78750</v>
      </c>
      <c r="I282" s="3">
        <v>45294.833333333336</v>
      </c>
      <c r="J282">
        <v>96</v>
      </c>
      <c r="K282" s="3">
        <v>45297.833333333336</v>
      </c>
      <c r="L282" s="4">
        <f>ROUNDDOWN(Table1[[#This Row],[Ordered]],0)</f>
        <v>45294</v>
      </c>
      <c r="M282" s="4">
        <f>Table1[[#This Row],[Date ]]</f>
        <v>45294</v>
      </c>
      <c r="N282" s="5">
        <f>Table1[[#This Row],[Ordered]]-Table1[[#This Row],[Date ]]</f>
        <v>8.3333333335758653E-2</v>
      </c>
      <c r="O282">
        <f>Table1[[#This Row],[Company]]</f>
        <v>13</v>
      </c>
      <c r="P282">
        <f>IF(((Table1[[#This Row],[Arrived]]-Table1[[#This Row],[Delivery]])*24-Table1[[#This Row],[Promised]])&lt;0, 0, (Table1[[#This Row],[Arrived]]-Table1[[#This Row],[Delivery]])*24-Table1[[#This Row],[Promised]])</f>
        <v>0</v>
      </c>
      <c r="Q282"/>
    </row>
    <row r="283" spans="1:17" x14ac:dyDescent="0.45">
      <c r="A283" s="3">
        <v>45294.083333333336</v>
      </c>
      <c r="B283" t="s">
        <v>14</v>
      </c>
      <c r="C283">
        <v>7</v>
      </c>
      <c r="D283">
        <v>1011</v>
      </c>
      <c r="E283" t="s">
        <v>16</v>
      </c>
      <c r="F283">
        <v>21</v>
      </c>
      <c r="G283">
        <v>3650</v>
      </c>
      <c r="H283">
        <v>76650</v>
      </c>
      <c r="I283" s="3">
        <v>45294.208333333336</v>
      </c>
      <c r="J283">
        <v>96</v>
      </c>
      <c r="K283" s="3">
        <v>45297.208333333336</v>
      </c>
      <c r="L283" s="4">
        <f>ROUNDDOWN(Table1[[#This Row],[Ordered]],0)</f>
        <v>45294</v>
      </c>
      <c r="M283" s="4">
        <f>Table1[[#This Row],[Date ]]</f>
        <v>45294</v>
      </c>
      <c r="N283" s="5">
        <f>Table1[[#This Row],[Ordered]]-Table1[[#This Row],[Date ]]</f>
        <v>8.3333333335758653E-2</v>
      </c>
      <c r="O283">
        <f>Table1[[#This Row],[Company]]</f>
        <v>7</v>
      </c>
      <c r="P283">
        <f>IF(((Table1[[#This Row],[Arrived]]-Table1[[#This Row],[Delivery]])*24-Table1[[#This Row],[Promised]])&lt;0, 0, (Table1[[#This Row],[Arrived]]-Table1[[#This Row],[Delivery]])*24-Table1[[#This Row],[Promised]])</f>
        <v>0</v>
      </c>
      <c r="Q283"/>
    </row>
    <row r="284" spans="1:17" x14ac:dyDescent="0.45">
      <c r="A284" s="3">
        <v>45294.083333333336</v>
      </c>
      <c r="B284" t="s">
        <v>14</v>
      </c>
      <c r="C284">
        <v>16</v>
      </c>
      <c r="D284">
        <v>1011</v>
      </c>
      <c r="E284" t="s">
        <v>16</v>
      </c>
      <c r="F284">
        <v>21</v>
      </c>
      <c r="G284">
        <v>3750</v>
      </c>
      <c r="H284">
        <v>78750</v>
      </c>
      <c r="I284" s="3">
        <v>45294.208333333336</v>
      </c>
      <c r="J284">
        <v>96</v>
      </c>
      <c r="K284" s="3">
        <v>45297.208333333336</v>
      </c>
      <c r="L284" s="4">
        <f>ROUNDDOWN(Table1[[#This Row],[Ordered]],0)</f>
        <v>45294</v>
      </c>
      <c r="M284" s="4">
        <f>Table1[[#This Row],[Date ]]</f>
        <v>45294</v>
      </c>
      <c r="N284" s="5">
        <f>Table1[[#This Row],[Ordered]]-Table1[[#This Row],[Date ]]</f>
        <v>8.3333333335758653E-2</v>
      </c>
      <c r="O284">
        <f>Table1[[#This Row],[Company]]</f>
        <v>16</v>
      </c>
      <c r="P284">
        <f>IF(((Table1[[#This Row],[Arrived]]-Table1[[#This Row],[Delivery]])*24-Table1[[#This Row],[Promised]])&lt;0, 0, (Table1[[#This Row],[Arrived]]-Table1[[#This Row],[Delivery]])*24-Table1[[#This Row],[Promised]])</f>
        <v>0</v>
      </c>
      <c r="Q284"/>
    </row>
    <row r="285" spans="1:17" x14ac:dyDescent="0.45">
      <c r="A285" s="3">
        <v>45294.083333333336</v>
      </c>
      <c r="B285" t="s">
        <v>14</v>
      </c>
      <c r="C285">
        <v>15</v>
      </c>
      <c r="D285">
        <v>1011</v>
      </c>
      <c r="E285" t="s">
        <v>16</v>
      </c>
      <c r="F285">
        <v>21</v>
      </c>
      <c r="G285">
        <v>3750</v>
      </c>
      <c r="H285">
        <v>78750</v>
      </c>
      <c r="I285" s="3">
        <v>45294.458333333336</v>
      </c>
      <c r="J285">
        <v>96</v>
      </c>
      <c r="K285" s="3">
        <v>45297.458333333336</v>
      </c>
      <c r="L285" s="4">
        <f>ROUNDDOWN(Table1[[#This Row],[Ordered]],0)</f>
        <v>45294</v>
      </c>
      <c r="M285" s="4">
        <f>Table1[[#This Row],[Date ]]</f>
        <v>45294</v>
      </c>
      <c r="N285" s="5">
        <f>Table1[[#This Row],[Ordered]]-Table1[[#This Row],[Date ]]</f>
        <v>8.3333333335758653E-2</v>
      </c>
      <c r="O285">
        <f>Table1[[#This Row],[Company]]</f>
        <v>15</v>
      </c>
      <c r="P285">
        <f>IF(((Table1[[#This Row],[Arrived]]-Table1[[#This Row],[Delivery]])*24-Table1[[#This Row],[Promised]])&lt;0, 0, (Table1[[#This Row],[Arrived]]-Table1[[#This Row],[Delivery]])*24-Table1[[#This Row],[Promised]])</f>
        <v>0</v>
      </c>
      <c r="Q285"/>
    </row>
    <row r="286" spans="1:17" x14ac:dyDescent="0.45">
      <c r="A286" s="3">
        <v>45294.083333333336</v>
      </c>
      <c r="B286" t="s">
        <v>14</v>
      </c>
      <c r="C286">
        <v>14</v>
      </c>
      <c r="D286">
        <v>1011</v>
      </c>
      <c r="E286" t="s">
        <v>16</v>
      </c>
      <c r="F286">
        <v>21</v>
      </c>
      <c r="G286">
        <v>3750</v>
      </c>
      <c r="H286">
        <v>78750</v>
      </c>
      <c r="I286" s="3">
        <v>45294.333333333336</v>
      </c>
      <c r="J286">
        <v>96</v>
      </c>
      <c r="K286" s="3">
        <v>45297.333333333336</v>
      </c>
      <c r="L286" s="4">
        <f>ROUNDDOWN(Table1[[#This Row],[Ordered]],0)</f>
        <v>45294</v>
      </c>
      <c r="M286" s="4">
        <f>Table1[[#This Row],[Date ]]</f>
        <v>45294</v>
      </c>
      <c r="N286" s="5">
        <f>Table1[[#This Row],[Ordered]]-Table1[[#This Row],[Date ]]</f>
        <v>8.3333333335758653E-2</v>
      </c>
      <c r="O286">
        <f>Table1[[#This Row],[Company]]</f>
        <v>14</v>
      </c>
      <c r="P286">
        <f>IF(((Table1[[#This Row],[Arrived]]-Table1[[#This Row],[Delivery]])*24-Table1[[#This Row],[Promised]])&lt;0, 0, (Table1[[#This Row],[Arrived]]-Table1[[#This Row],[Delivery]])*24-Table1[[#This Row],[Promised]])</f>
        <v>0</v>
      </c>
      <c r="Q286"/>
    </row>
    <row r="287" spans="1:17" x14ac:dyDescent="0.45">
      <c r="A287" s="3">
        <v>45294.083333333336</v>
      </c>
      <c r="B287" t="s">
        <v>14</v>
      </c>
      <c r="C287">
        <v>11</v>
      </c>
      <c r="D287">
        <v>1011</v>
      </c>
      <c r="E287" t="s">
        <v>16</v>
      </c>
      <c r="F287">
        <v>21</v>
      </c>
      <c r="G287">
        <v>3750</v>
      </c>
      <c r="H287">
        <v>78750</v>
      </c>
      <c r="I287" s="3">
        <v>45294.5</v>
      </c>
      <c r="J287">
        <v>96</v>
      </c>
      <c r="K287" s="3">
        <v>45297.5</v>
      </c>
      <c r="L287" s="4">
        <f>ROUNDDOWN(Table1[[#This Row],[Ordered]],0)</f>
        <v>45294</v>
      </c>
      <c r="M287" s="4">
        <f>Table1[[#This Row],[Date ]]</f>
        <v>45294</v>
      </c>
      <c r="N287" s="5">
        <f>Table1[[#This Row],[Ordered]]-Table1[[#This Row],[Date ]]</f>
        <v>8.3333333335758653E-2</v>
      </c>
      <c r="O287">
        <f>Table1[[#This Row],[Company]]</f>
        <v>11</v>
      </c>
      <c r="P287">
        <f>IF(((Table1[[#This Row],[Arrived]]-Table1[[#This Row],[Delivery]])*24-Table1[[#This Row],[Promised]])&lt;0, 0, (Table1[[#This Row],[Arrived]]-Table1[[#This Row],[Delivery]])*24-Table1[[#This Row],[Promised]])</f>
        <v>0</v>
      </c>
      <c r="Q287"/>
    </row>
    <row r="288" spans="1:17" x14ac:dyDescent="0.45">
      <c r="A288" s="3">
        <v>45294.083333333336</v>
      </c>
      <c r="B288" t="s">
        <v>14</v>
      </c>
      <c r="C288">
        <v>10</v>
      </c>
      <c r="D288">
        <v>1011</v>
      </c>
      <c r="E288" t="s">
        <v>16</v>
      </c>
      <c r="F288">
        <v>21</v>
      </c>
      <c r="G288">
        <v>3400</v>
      </c>
      <c r="H288">
        <v>71400</v>
      </c>
      <c r="I288" s="3">
        <v>45294.125</v>
      </c>
      <c r="J288">
        <v>48</v>
      </c>
      <c r="K288" s="3">
        <v>45297.125</v>
      </c>
      <c r="L288" s="4">
        <f>ROUNDDOWN(Table1[[#This Row],[Ordered]],0)</f>
        <v>45294</v>
      </c>
      <c r="M288" s="4">
        <f>Table1[[#This Row],[Date ]]</f>
        <v>45294</v>
      </c>
      <c r="N288" s="5">
        <f>Table1[[#This Row],[Ordered]]-Table1[[#This Row],[Date ]]</f>
        <v>8.3333333335758653E-2</v>
      </c>
      <c r="O288">
        <f>Table1[[#This Row],[Company]]</f>
        <v>10</v>
      </c>
      <c r="P288">
        <f>IF(((Table1[[#This Row],[Arrived]]-Table1[[#This Row],[Delivery]])*24-Table1[[#This Row],[Promised]])&lt;0, 0, (Table1[[#This Row],[Arrived]]-Table1[[#This Row],[Delivery]])*24-Table1[[#This Row],[Promised]])</f>
        <v>24</v>
      </c>
      <c r="Q288"/>
    </row>
    <row r="289" spans="1:17" x14ac:dyDescent="0.45">
      <c r="A289" s="3">
        <v>45294.166666666664</v>
      </c>
      <c r="B289" t="s">
        <v>14</v>
      </c>
      <c r="C289">
        <v>12</v>
      </c>
      <c r="D289">
        <v>1003</v>
      </c>
      <c r="E289" t="s">
        <v>15</v>
      </c>
      <c r="F289">
        <v>1</v>
      </c>
      <c r="G289">
        <v>6750</v>
      </c>
      <c r="H289">
        <v>6750</v>
      </c>
      <c r="I289" s="3">
        <v>45294.375</v>
      </c>
      <c r="J289">
        <v>72</v>
      </c>
      <c r="K289" s="3">
        <v>45296.375</v>
      </c>
      <c r="L289" s="4">
        <f>ROUNDDOWN(Table1[[#This Row],[Ordered]],0)</f>
        <v>45294</v>
      </c>
      <c r="M289" s="4">
        <f>Table1[[#This Row],[Date ]]</f>
        <v>45294</v>
      </c>
      <c r="N289" s="5">
        <f>Table1[[#This Row],[Ordered]]-Table1[[#This Row],[Date ]]</f>
        <v>0.16666666666424135</v>
      </c>
      <c r="O289">
        <f>Table1[[#This Row],[Company]]</f>
        <v>12</v>
      </c>
      <c r="P289">
        <f>IF(((Table1[[#This Row],[Arrived]]-Table1[[#This Row],[Delivery]])*24-Table1[[#This Row],[Promised]])&lt;0, 0, (Table1[[#This Row],[Arrived]]-Table1[[#This Row],[Delivery]])*24-Table1[[#This Row],[Promised]])</f>
        <v>0</v>
      </c>
      <c r="Q289"/>
    </row>
    <row r="290" spans="1:17" x14ac:dyDescent="0.45">
      <c r="A290" s="3">
        <v>45294.333333333336</v>
      </c>
      <c r="B290" t="s">
        <v>14</v>
      </c>
      <c r="C290">
        <v>10</v>
      </c>
      <c r="D290">
        <v>1001</v>
      </c>
      <c r="E290" t="s">
        <v>16</v>
      </c>
      <c r="F290">
        <v>30</v>
      </c>
      <c r="G290">
        <v>3400</v>
      </c>
      <c r="H290">
        <v>102000</v>
      </c>
      <c r="I290" s="3">
        <v>45294.333333333336</v>
      </c>
      <c r="J290">
        <v>48</v>
      </c>
      <c r="K290" s="3">
        <v>45297.333333333336</v>
      </c>
      <c r="L290" s="4">
        <f>ROUNDDOWN(Table1[[#This Row],[Ordered]],0)</f>
        <v>45294</v>
      </c>
      <c r="M290" s="4">
        <f>Table1[[#This Row],[Date ]]</f>
        <v>45294</v>
      </c>
      <c r="N290" s="5">
        <f>Table1[[#This Row],[Ordered]]-Table1[[#This Row],[Date ]]</f>
        <v>0.33333333333575865</v>
      </c>
      <c r="O290">
        <f>Table1[[#This Row],[Company]]</f>
        <v>10</v>
      </c>
      <c r="P290">
        <f>IF(((Table1[[#This Row],[Arrived]]-Table1[[#This Row],[Delivery]])*24-Table1[[#This Row],[Promised]])&lt;0, 0, (Table1[[#This Row],[Arrived]]-Table1[[#This Row],[Delivery]])*24-Table1[[#This Row],[Promised]])</f>
        <v>24</v>
      </c>
      <c r="Q290"/>
    </row>
    <row r="291" spans="1:17" x14ac:dyDescent="0.45">
      <c r="A291" s="3">
        <v>45294.333333333336</v>
      </c>
      <c r="B291" t="s">
        <v>14</v>
      </c>
      <c r="C291">
        <v>14</v>
      </c>
      <c r="D291">
        <v>1001</v>
      </c>
      <c r="E291" t="s">
        <v>16</v>
      </c>
      <c r="F291">
        <v>30</v>
      </c>
      <c r="G291">
        <v>3750</v>
      </c>
      <c r="H291">
        <v>112500</v>
      </c>
      <c r="I291" s="3">
        <v>45294.708333333336</v>
      </c>
      <c r="J291">
        <v>96</v>
      </c>
      <c r="K291" s="3">
        <v>45297.708333333336</v>
      </c>
      <c r="L291" s="4">
        <f>ROUNDDOWN(Table1[[#This Row],[Ordered]],0)</f>
        <v>45294</v>
      </c>
      <c r="M291" s="4">
        <f>Table1[[#This Row],[Date ]]</f>
        <v>45294</v>
      </c>
      <c r="N291" s="5">
        <f>Table1[[#This Row],[Ordered]]-Table1[[#This Row],[Date ]]</f>
        <v>0.33333333333575865</v>
      </c>
      <c r="O291">
        <f>Table1[[#This Row],[Company]]</f>
        <v>14</v>
      </c>
      <c r="P291">
        <f>IF(((Table1[[#This Row],[Arrived]]-Table1[[#This Row],[Delivery]])*24-Table1[[#This Row],[Promised]])&lt;0, 0, (Table1[[#This Row],[Arrived]]-Table1[[#This Row],[Delivery]])*24-Table1[[#This Row],[Promised]])</f>
        <v>0</v>
      </c>
      <c r="Q291"/>
    </row>
    <row r="292" spans="1:17" x14ac:dyDescent="0.45">
      <c r="A292" s="3">
        <v>45294.333333333336</v>
      </c>
      <c r="B292" t="s">
        <v>14</v>
      </c>
      <c r="C292">
        <v>16</v>
      </c>
      <c r="D292">
        <v>1001</v>
      </c>
      <c r="E292" t="s">
        <v>16</v>
      </c>
      <c r="F292">
        <v>30</v>
      </c>
      <c r="G292">
        <v>3750</v>
      </c>
      <c r="H292">
        <v>112500</v>
      </c>
      <c r="I292" s="3">
        <v>45294.375</v>
      </c>
      <c r="J292">
        <v>96</v>
      </c>
      <c r="K292" s="3">
        <v>45297.458333333336</v>
      </c>
      <c r="L292" s="4">
        <f>ROUNDDOWN(Table1[[#This Row],[Ordered]],0)</f>
        <v>45294</v>
      </c>
      <c r="M292" s="4">
        <f>Table1[[#This Row],[Date ]]</f>
        <v>45294</v>
      </c>
      <c r="N292" s="5">
        <f>Table1[[#This Row],[Ordered]]-Table1[[#This Row],[Date ]]</f>
        <v>0.33333333333575865</v>
      </c>
      <c r="O292">
        <f>Table1[[#This Row],[Company]]</f>
        <v>16</v>
      </c>
      <c r="P292">
        <f>IF(((Table1[[#This Row],[Arrived]]-Table1[[#This Row],[Delivery]])*24-Table1[[#This Row],[Promised]])&lt;0, 0, (Table1[[#This Row],[Arrived]]-Table1[[#This Row],[Delivery]])*24-Table1[[#This Row],[Promised]])</f>
        <v>0</v>
      </c>
      <c r="Q292"/>
    </row>
    <row r="293" spans="1:17" x14ac:dyDescent="0.45">
      <c r="A293" s="3">
        <v>45294.333333333336</v>
      </c>
      <c r="B293" t="s">
        <v>14</v>
      </c>
      <c r="C293">
        <v>11</v>
      </c>
      <c r="D293">
        <v>1001</v>
      </c>
      <c r="E293" t="s">
        <v>16</v>
      </c>
      <c r="F293">
        <v>30</v>
      </c>
      <c r="G293">
        <v>3750</v>
      </c>
      <c r="H293">
        <v>112500</v>
      </c>
      <c r="I293" s="3">
        <v>45294.791666666664</v>
      </c>
      <c r="J293">
        <v>96</v>
      </c>
      <c r="K293" s="3">
        <v>45297.791666666664</v>
      </c>
      <c r="L293" s="4">
        <f>ROUNDDOWN(Table1[[#This Row],[Ordered]],0)</f>
        <v>45294</v>
      </c>
      <c r="M293" s="4">
        <f>Table1[[#This Row],[Date ]]</f>
        <v>45294</v>
      </c>
      <c r="N293" s="5">
        <f>Table1[[#This Row],[Ordered]]-Table1[[#This Row],[Date ]]</f>
        <v>0.33333333333575865</v>
      </c>
      <c r="O293">
        <f>Table1[[#This Row],[Company]]</f>
        <v>11</v>
      </c>
      <c r="P293">
        <f>IF(((Table1[[#This Row],[Arrived]]-Table1[[#This Row],[Delivery]])*24-Table1[[#This Row],[Promised]])&lt;0, 0, (Table1[[#This Row],[Arrived]]-Table1[[#This Row],[Delivery]])*24-Table1[[#This Row],[Promised]])</f>
        <v>0</v>
      </c>
      <c r="Q293"/>
    </row>
    <row r="294" spans="1:17" x14ac:dyDescent="0.45">
      <c r="A294" s="3">
        <v>45294.333333333336</v>
      </c>
      <c r="B294" t="s">
        <v>14</v>
      </c>
      <c r="C294">
        <v>7</v>
      </c>
      <c r="D294">
        <v>1001</v>
      </c>
      <c r="E294" t="s">
        <v>16</v>
      </c>
      <c r="F294">
        <v>30</v>
      </c>
      <c r="G294">
        <v>3650</v>
      </c>
      <c r="H294">
        <v>109500</v>
      </c>
      <c r="I294" s="3">
        <v>45294.375</v>
      </c>
      <c r="J294">
        <v>96</v>
      </c>
      <c r="K294" s="3">
        <v>45297.375</v>
      </c>
      <c r="L294" s="4">
        <f>ROUNDDOWN(Table1[[#This Row],[Ordered]],0)</f>
        <v>45294</v>
      </c>
      <c r="M294" s="4">
        <f>Table1[[#This Row],[Date ]]</f>
        <v>45294</v>
      </c>
      <c r="N294" s="5">
        <f>Table1[[#This Row],[Ordered]]-Table1[[#This Row],[Date ]]</f>
        <v>0.33333333333575865</v>
      </c>
      <c r="O294">
        <f>Table1[[#This Row],[Company]]</f>
        <v>7</v>
      </c>
      <c r="P294">
        <f>IF(((Table1[[#This Row],[Arrived]]-Table1[[#This Row],[Delivery]])*24-Table1[[#This Row],[Promised]])&lt;0, 0, (Table1[[#This Row],[Arrived]]-Table1[[#This Row],[Delivery]])*24-Table1[[#This Row],[Promised]])</f>
        <v>0</v>
      </c>
      <c r="Q294"/>
    </row>
    <row r="295" spans="1:17" x14ac:dyDescent="0.45">
      <c r="A295" s="3">
        <v>45294.333333333336</v>
      </c>
      <c r="B295" t="s">
        <v>14</v>
      </c>
      <c r="C295">
        <v>12</v>
      </c>
      <c r="D295">
        <v>1001</v>
      </c>
      <c r="E295" t="s">
        <v>16</v>
      </c>
      <c r="F295">
        <v>15</v>
      </c>
      <c r="G295">
        <v>3850</v>
      </c>
      <c r="H295">
        <v>57750</v>
      </c>
      <c r="I295" s="3">
        <v>45294.333333333336</v>
      </c>
      <c r="J295">
        <v>60</v>
      </c>
      <c r="K295" s="3">
        <v>45296.333333333336</v>
      </c>
      <c r="L295" s="4">
        <f>ROUNDDOWN(Table1[[#This Row],[Ordered]],0)</f>
        <v>45294</v>
      </c>
      <c r="M295" s="4">
        <f>Table1[[#This Row],[Date ]]</f>
        <v>45294</v>
      </c>
      <c r="N295" s="5">
        <f>Table1[[#This Row],[Ordered]]-Table1[[#This Row],[Date ]]</f>
        <v>0.33333333333575865</v>
      </c>
      <c r="O295">
        <f>Table1[[#This Row],[Company]]</f>
        <v>12</v>
      </c>
      <c r="P295">
        <f>IF(((Table1[[#This Row],[Arrived]]-Table1[[#This Row],[Delivery]])*24-Table1[[#This Row],[Promised]])&lt;0, 0, (Table1[[#This Row],[Arrived]]-Table1[[#This Row],[Delivery]])*24-Table1[[#This Row],[Promised]])</f>
        <v>0</v>
      </c>
      <c r="Q295"/>
    </row>
    <row r="296" spans="1:17" x14ac:dyDescent="0.45">
      <c r="A296" s="3">
        <v>45294.333333333336</v>
      </c>
      <c r="B296" t="s">
        <v>14</v>
      </c>
      <c r="C296">
        <v>9</v>
      </c>
      <c r="D296">
        <v>1001</v>
      </c>
      <c r="E296" t="s">
        <v>16</v>
      </c>
      <c r="F296">
        <v>30</v>
      </c>
      <c r="G296">
        <v>3550</v>
      </c>
      <c r="H296">
        <v>106500</v>
      </c>
      <c r="I296" s="3">
        <v>45295.208333333336</v>
      </c>
      <c r="J296">
        <v>96</v>
      </c>
      <c r="K296" s="3">
        <v>45298.208333333336</v>
      </c>
      <c r="L296" s="4">
        <f>ROUNDDOWN(Table1[[#This Row],[Ordered]],0)</f>
        <v>45294</v>
      </c>
      <c r="M296" s="4">
        <f>Table1[[#This Row],[Date ]]</f>
        <v>45294</v>
      </c>
      <c r="N296" s="5">
        <f>Table1[[#This Row],[Ordered]]-Table1[[#This Row],[Date ]]</f>
        <v>0.33333333333575865</v>
      </c>
      <c r="O296">
        <f>Table1[[#This Row],[Company]]</f>
        <v>9</v>
      </c>
      <c r="P296">
        <f>IF(((Table1[[#This Row],[Arrived]]-Table1[[#This Row],[Delivery]])*24-Table1[[#This Row],[Promised]])&lt;0, 0, (Table1[[#This Row],[Arrived]]-Table1[[#This Row],[Delivery]])*24-Table1[[#This Row],[Promised]])</f>
        <v>0</v>
      </c>
      <c r="Q296"/>
    </row>
    <row r="297" spans="1:17" x14ac:dyDescent="0.45">
      <c r="A297" s="3">
        <v>45294.333333333336</v>
      </c>
      <c r="B297" t="s">
        <v>14</v>
      </c>
      <c r="C297">
        <v>15</v>
      </c>
      <c r="D297">
        <v>1001</v>
      </c>
      <c r="E297" t="s">
        <v>16</v>
      </c>
      <c r="F297">
        <v>36</v>
      </c>
      <c r="G297">
        <v>3650</v>
      </c>
      <c r="H297">
        <v>131400</v>
      </c>
      <c r="I297" s="3">
        <v>45295.416666666664</v>
      </c>
      <c r="J297">
        <v>108</v>
      </c>
      <c r="K297" s="3">
        <v>45298.416666666664</v>
      </c>
      <c r="L297" s="4">
        <f>ROUNDDOWN(Table1[[#This Row],[Ordered]],0)</f>
        <v>45294</v>
      </c>
      <c r="M297" s="4">
        <f>Table1[[#This Row],[Date ]]</f>
        <v>45294</v>
      </c>
      <c r="N297" s="5">
        <f>Table1[[#This Row],[Ordered]]-Table1[[#This Row],[Date ]]</f>
        <v>0.33333333333575865</v>
      </c>
      <c r="O297">
        <f>Table1[[#This Row],[Company]]</f>
        <v>15</v>
      </c>
      <c r="P297">
        <f>IF(((Table1[[#This Row],[Arrived]]-Table1[[#This Row],[Delivery]])*24-Table1[[#This Row],[Promised]])&lt;0, 0, (Table1[[#This Row],[Arrived]]-Table1[[#This Row],[Delivery]])*24-Table1[[#This Row],[Promised]])</f>
        <v>0</v>
      </c>
      <c r="Q297"/>
    </row>
    <row r="298" spans="1:17" x14ac:dyDescent="0.45">
      <c r="A298" s="3">
        <v>45294.333333333336</v>
      </c>
      <c r="B298" t="s">
        <v>14</v>
      </c>
      <c r="C298">
        <v>8</v>
      </c>
      <c r="D298">
        <v>1001</v>
      </c>
      <c r="E298" t="s">
        <v>16</v>
      </c>
      <c r="F298">
        <v>30</v>
      </c>
      <c r="G298">
        <v>3750</v>
      </c>
      <c r="H298">
        <v>112500</v>
      </c>
      <c r="I298" s="3">
        <v>45295.125</v>
      </c>
      <c r="J298">
        <v>96</v>
      </c>
      <c r="K298" s="3">
        <v>45298.125</v>
      </c>
      <c r="L298" s="4">
        <f>ROUNDDOWN(Table1[[#This Row],[Ordered]],0)</f>
        <v>45294</v>
      </c>
      <c r="M298" s="4">
        <f>Table1[[#This Row],[Date ]]</f>
        <v>45294</v>
      </c>
      <c r="N298" s="5">
        <f>Table1[[#This Row],[Ordered]]-Table1[[#This Row],[Date ]]</f>
        <v>0.33333333333575865</v>
      </c>
      <c r="O298">
        <f>Table1[[#This Row],[Company]]</f>
        <v>8</v>
      </c>
      <c r="P298">
        <f>IF(((Table1[[#This Row],[Arrived]]-Table1[[#This Row],[Delivery]])*24-Table1[[#This Row],[Promised]])&lt;0, 0, (Table1[[#This Row],[Arrived]]-Table1[[#This Row],[Delivery]])*24-Table1[[#This Row],[Promised]])</f>
        <v>0</v>
      </c>
      <c r="Q298"/>
    </row>
    <row r="299" spans="1:17" x14ac:dyDescent="0.45">
      <c r="A299" s="3">
        <v>45294.333333333336</v>
      </c>
      <c r="B299" t="s">
        <v>14</v>
      </c>
      <c r="C299">
        <v>13</v>
      </c>
      <c r="D299">
        <v>1001</v>
      </c>
      <c r="E299" t="s">
        <v>16</v>
      </c>
      <c r="F299">
        <v>30</v>
      </c>
      <c r="G299">
        <v>3750</v>
      </c>
      <c r="H299">
        <v>112500</v>
      </c>
      <c r="I299" s="3">
        <v>45295.083333333336</v>
      </c>
      <c r="J299">
        <v>96</v>
      </c>
      <c r="K299" s="3">
        <v>45298.083333333336</v>
      </c>
      <c r="L299" s="4">
        <f>ROUNDDOWN(Table1[[#This Row],[Ordered]],0)</f>
        <v>45294</v>
      </c>
      <c r="M299" s="4">
        <f>Table1[[#This Row],[Date ]]</f>
        <v>45294</v>
      </c>
      <c r="N299" s="5">
        <f>Table1[[#This Row],[Ordered]]-Table1[[#This Row],[Date ]]</f>
        <v>0.33333333333575865</v>
      </c>
      <c r="O299">
        <f>Table1[[#This Row],[Company]]</f>
        <v>13</v>
      </c>
      <c r="P299">
        <f>IF(((Table1[[#This Row],[Arrived]]-Table1[[#This Row],[Delivery]])*24-Table1[[#This Row],[Promised]])&lt;0, 0, (Table1[[#This Row],[Arrived]]-Table1[[#This Row],[Delivery]])*24-Table1[[#This Row],[Promised]])</f>
        <v>0</v>
      </c>
      <c r="Q299"/>
    </row>
    <row r="300" spans="1:17" x14ac:dyDescent="0.45">
      <c r="A300" s="3">
        <v>45294.375</v>
      </c>
      <c r="B300" t="s">
        <v>14</v>
      </c>
      <c r="C300">
        <v>10</v>
      </c>
      <c r="D300">
        <v>1001</v>
      </c>
      <c r="E300" t="s">
        <v>15</v>
      </c>
      <c r="F300">
        <v>2</v>
      </c>
      <c r="G300">
        <v>6800</v>
      </c>
      <c r="H300">
        <v>13600</v>
      </c>
      <c r="I300" s="3">
        <v>45294.375</v>
      </c>
      <c r="J300">
        <v>96</v>
      </c>
      <c r="K300" s="3">
        <v>45297.375</v>
      </c>
      <c r="L300" s="4">
        <f>ROUNDDOWN(Table1[[#This Row],[Ordered]],0)</f>
        <v>45294</v>
      </c>
      <c r="M300" s="4">
        <f>Table1[[#This Row],[Date ]]</f>
        <v>45294</v>
      </c>
      <c r="N300" s="5">
        <f>Table1[[#This Row],[Ordered]]-Table1[[#This Row],[Date ]]</f>
        <v>0.375</v>
      </c>
      <c r="O300">
        <f>Table1[[#This Row],[Company]]</f>
        <v>10</v>
      </c>
      <c r="P300">
        <f>IF(((Table1[[#This Row],[Arrived]]-Table1[[#This Row],[Delivery]])*24-Table1[[#This Row],[Promised]])&lt;0, 0, (Table1[[#This Row],[Arrived]]-Table1[[#This Row],[Delivery]])*24-Table1[[#This Row],[Promised]])</f>
        <v>0</v>
      </c>
      <c r="Q300"/>
    </row>
    <row r="301" spans="1:17" x14ac:dyDescent="0.45">
      <c r="A301" s="3">
        <v>45294.375</v>
      </c>
      <c r="B301" t="s">
        <v>14</v>
      </c>
      <c r="C301">
        <v>11</v>
      </c>
      <c r="D301">
        <v>1001</v>
      </c>
      <c r="E301" t="s">
        <v>15</v>
      </c>
      <c r="F301">
        <v>2</v>
      </c>
      <c r="G301">
        <v>6650</v>
      </c>
      <c r="H301">
        <v>13300</v>
      </c>
      <c r="I301" s="3">
        <v>45296.666666666664</v>
      </c>
      <c r="J301">
        <v>96</v>
      </c>
      <c r="K301" s="3">
        <v>45297.666666666664</v>
      </c>
      <c r="L301" s="4">
        <f>ROUNDDOWN(Table1[[#This Row],[Ordered]],0)</f>
        <v>45294</v>
      </c>
      <c r="M301" s="4">
        <f>Table1[[#This Row],[Date ]]</f>
        <v>45294</v>
      </c>
      <c r="N301" s="5">
        <f>Table1[[#This Row],[Ordered]]-Table1[[#This Row],[Date ]]</f>
        <v>0.375</v>
      </c>
      <c r="O301">
        <f>Table1[[#This Row],[Company]]</f>
        <v>11</v>
      </c>
      <c r="P301">
        <f>IF(((Table1[[#This Row],[Arrived]]-Table1[[#This Row],[Delivery]])*24-Table1[[#This Row],[Promised]])&lt;0, 0, (Table1[[#This Row],[Arrived]]-Table1[[#This Row],[Delivery]])*24-Table1[[#This Row],[Promised]])</f>
        <v>0</v>
      </c>
      <c r="Q301"/>
    </row>
    <row r="302" spans="1:17" x14ac:dyDescent="0.45">
      <c r="A302" s="3">
        <v>45294.375</v>
      </c>
      <c r="B302" t="s">
        <v>14</v>
      </c>
      <c r="C302">
        <v>12</v>
      </c>
      <c r="D302">
        <v>1001</v>
      </c>
      <c r="E302" t="s">
        <v>15</v>
      </c>
      <c r="F302">
        <v>2</v>
      </c>
      <c r="G302">
        <v>6750</v>
      </c>
      <c r="H302">
        <v>13500</v>
      </c>
      <c r="I302" s="3">
        <v>45294.625</v>
      </c>
      <c r="J302">
        <v>72</v>
      </c>
      <c r="K302" s="3">
        <v>45296.625</v>
      </c>
      <c r="L302" s="4">
        <f>ROUNDDOWN(Table1[[#This Row],[Ordered]],0)</f>
        <v>45294</v>
      </c>
      <c r="M302" s="4">
        <f>Table1[[#This Row],[Date ]]</f>
        <v>45294</v>
      </c>
      <c r="N302" s="5">
        <f>Table1[[#This Row],[Ordered]]-Table1[[#This Row],[Date ]]</f>
        <v>0.375</v>
      </c>
      <c r="O302">
        <f>Table1[[#This Row],[Company]]</f>
        <v>12</v>
      </c>
      <c r="P302">
        <f>IF(((Table1[[#This Row],[Arrived]]-Table1[[#This Row],[Delivery]])*24-Table1[[#This Row],[Promised]])&lt;0, 0, (Table1[[#This Row],[Arrived]]-Table1[[#This Row],[Delivery]])*24-Table1[[#This Row],[Promised]])</f>
        <v>0</v>
      </c>
      <c r="Q302"/>
    </row>
    <row r="303" spans="1:17" x14ac:dyDescent="0.45">
      <c r="A303" s="3">
        <v>45294.375</v>
      </c>
      <c r="B303" t="s">
        <v>14</v>
      </c>
      <c r="C303">
        <v>16</v>
      </c>
      <c r="D303">
        <v>1001</v>
      </c>
      <c r="E303" t="s">
        <v>15</v>
      </c>
      <c r="F303">
        <v>2</v>
      </c>
      <c r="G303">
        <v>6650</v>
      </c>
      <c r="H303">
        <v>13300</v>
      </c>
      <c r="I303" s="3">
        <v>45294.375</v>
      </c>
      <c r="J303">
        <v>96</v>
      </c>
      <c r="K303" s="3">
        <v>45297.375</v>
      </c>
      <c r="L303" s="4">
        <f>ROUNDDOWN(Table1[[#This Row],[Ordered]],0)</f>
        <v>45294</v>
      </c>
      <c r="M303" s="4">
        <f>Table1[[#This Row],[Date ]]</f>
        <v>45294</v>
      </c>
      <c r="N303" s="5">
        <f>Table1[[#This Row],[Ordered]]-Table1[[#This Row],[Date ]]</f>
        <v>0.375</v>
      </c>
      <c r="O303">
        <f>Table1[[#This Row],[Company]]</f>
        <v>16</v>
      </c>
      <c r="P303">
        <f>IF(((Table1[[#This Row],[Arrived]]-Table1[[#This Row],[Delivery]])*24-Table1[[#This Row],[Promised]])&lt;0, 0, (Table1[[#This Row],[Arrived]]-Table1[[#This Row],[Delivery]])*24-Table1[[#This Row],[Promised]])</f>
        <v>0</v>
      </c>
      <c r="Q303"/>
    </row>
    <row r="304" spans="1:17" x14ac:dyDescent="0.45">
      <c r="A304" s="3">
        <v>45294.375</v>
      </c>
      <c r="B304" t="s">
        <v>14</v>
      </c>
      <c r="C304">
        <v>9</v>
      </c>
      <c r="D304">
        <v>1001</v>
      </c>
      <c r="E304" t="s">
        <v>15</v>
      </c>
      <c r="F304">
        <v>2</v>
      </c>
      <c r="G304">
        <v>6650</v>
      </c>
      <c r="H304">
        <v>13300</v>
      </c>
      <c r="I304" s="3">
        <v>45295.25</v>
      </c>
      <c r="J304">
        <v>96</v>
      </c>
      <c r="K304" s="3">
        <v>45298.25</v>
      </c>
      <c r="L304" s="4">
        <f>ROUNDDOWN(Table1[[#This Row],[Ordered]],0)</f>
        <v>45294</v>
      </c>
      <c r="M304" s="4">
        <f>Table1[[#This Row],[Date ]]</f>
        <v>45294</v>
      </c>
      <c r="N304" s="5">
        <f>Table1[[#This Row],[Ordered]]-Table1[[#This Row],[Date ]]</f>
        <v>0.375</v>
      </c>
      <c r="O304">
        <f>Table1[[#This Row],[Company]]</f>
        <v>9</v>
      </c>
      <c r="P304">
        <f>IF(((Table1[[#This Row],[Arrived]]-Table1[[#This Row],[Delivery]])*24-Table1[[#This Row],[Promised]])&lt;0, 0, (Table1[[#This Row],[Arrived]]-Table1[[#This Row],[Delivery]])*24-Table1[[#This Row],[Promised]])</f>
        <v>0</v>
      </c>
      <c r="Q304"/>
    </row>
    <row r="305" spans="1:17" x14ac:dyDescent="0.45">
      <c r="A305" s="3">
        <v>45294.375</v>
      </c>
      <c r="B305" t="s">
        <v>14</v>
      </c>
      <c r="C305">
        <v>8</v>
      </c>
      <c r="D305">
        <v>1001</v>
      </c>
      <c r="E305" t="s">
        <v>15</v>
      </c>
      <c r="F305">
        <v>2</v>
      </c>
      <c r="G305">
        <v>7300</v>
      </c>
      <c r="H305">
        <v>14600</v>
      </c>
      <c r="I305" s="3">
        <v>45295.333333333336</v>
      </c>
      <c r="J305">
        <v>96</v>
      </c>
      <c r="K305" s="3">
        <v>45298.333333333336</v>
      </c>
      <c r="L305" s="4">
        <f>ROUNDDOWN(Table1[[#This Row],[Ordered]],0)</f>
        <v>45294</v>
      </c>
      <c r="M305" s="4">
        <f>Table1[[#This Row],[Date ]]</f>
        <v>45294</v>
      </c>
      <c r="N305" s="5">
        <f>Table1[[#This Row],[Ordered]]-Table1[[#This Row],[Date ]]</f>
        <v>0.375</v>
      </c>
      <c r="O305">
        <f>Table1[[#This Row],[Company]]</f>
        <v>8</v>
      </c>
      <c r="P305">
        <f>IF(((Table1[[#This Row],[Arrived]]-Table1[[#This Row],[Delivery]])*24-Table1[[#This Row],[Promised]])&lt;0, 0, (Table1[[#This Row],[Arrived]]-Table1[[#This Row],[Delivery]])*24-Table1[[#This Row],[Promised]])</f>
        <v>0</v>
      </c>
      <c r="Q305"/>
    </row>
    <row r="306" spans="1:17" x14ac:dyDescent="0.45">
      <c r="A306" s="3">
        <v>45294.375</v>
      </c>
      <c r="B306" t="s">
        <v>14</v>
      </c>
      <c r="C306">
        <v>13</v>
      </c>
      <c r="D306">
        <v>1001</v>
      </c>
      <c r="E306" t="s">
        <v>15</v>
      </c>
      <c r="F306">
        <v>2</v>
      </c>
      <c r="G306">
        <v>6650</v>
      </c>
      <c r="H306">
        <v>13300</v>
      </c>
      <c r="I306" s="3">
        <v>45295.125</v>
      </c>
      <c r="J306">
        <v>96</v>
      </c>
      <c r="K306" s="3">
        <v>45298.125</v>
      </c>
      <c r="L306" s="4">
        <f>ROUNDDOWN(Table1[[#This Row],[Ordered]],0)</f>
        <v>45294</v>
      </c>
      <c r="M306" s="4">
        <f>Table1[[#This Row],[Date ]]</f>
        <v>45294</v>
      </c>
      <c r="N306" s="5">
        <f>Table1[[#This Row],[Ordered]]-Table1[[#This Row],[Date ]]</f>
        <v>0.375</v>
      </c>
      <c r="O306">
        <f>Table1[[#This Row],[Company]]</f>
        <v>13</v>
      </c>
      <c r="P306">
        <f>IF(((Table1[[#This Row],[Arrived]]-Table1[[#This Row],[Delivery]])*24-Table1[[#This Row],[Promised]])&lt;0, 0, (Table1[[#This Row],[Arrived]]-Table1[[#This Row],[Delivery]])*24-Table1[[#This Row],[Promised]])</f>
        <v>0</v>
      </c>
      <c r="Q306"/>
    </row>
    <row r="307" spans="1:17" x14ac:dyDescent="0.45">
      <c r="A307" s="3">
        <v>45294.375</v>
      </c>
      <c r="B307" t="s">
        <v>14</v>
      </c>
      <c r="C307">
        <v>7</v>
      </c>
      <c r="D307">
        <v>1001</v>
      </c>
      <c r="E307" t="s">
        <v>15</v>
      </c>
      <c r="F307">
        <v>2</v>
      </c>
      <c r="G307">
        <v>6650</v>
      </c>
      <c r="H307">
        <v>13300</v>
      </c>
      <c r="I307" s="3">
        <v>45295</v>
      </c>
      <c r="J307">
        <v>96</v>
      </c>
      <c r="K307" s="3">
        <v>45298</v>
      </c>
      <c r="L307" s="4">
        <f>ROUNDDOWN(Table1[[#This Row],[Ordered]],0)</f>
        <v>45294</v>
      </c>
      <c r="M307" s="4">
        <f>Table1[[#This Row],[Date ]]</f>
        <v>45294</v>
      </c>
      <c r="N307" s="5">
        <f>Table1[[#This Row],[Ordered]]-Table1[[#This Row],[Date ]]</f>
        <v>0.375</v>
      </c>
      <c r="O307">
        <f>Table1[[#This Row],[Company]]</f>
        <v>7</v>
      </c>
      <c r="P307">
        <f>IF(((Table1[[#This Row],[Arrived]]-Table1[[#This Row],[Delivery]])*24-Table1[[#This Row],[Promised]])&lt;0, 0, (Table1[[#This Row],[Arrived]]-Table1[[#This Row],[Delivery]])*24-Table1[[#This Row],[Promised]])</f>
        <v>0</v>
      </c>
      <c r="Q307"/>
    </row>
    <row r="308" spans="1:17" x14ac:dyDescent="0.45">
      <c r="A308" s="3">
        <v>45294.375</v>
      </c>
      <c r="B308" t="s">
        <v>14</v>
      </c>
      <c r="C308">
        <v>14</v>
      </c>
      <c r="D308">
        <v>1001</v>
      </c>
      <c r="E308" t="s">
        <v>15</v>
      </c>
      <c r="F308">
        <v>2</v>
      </c>
      <c r="G308">
        <v>6650</v>
      </c>
      <c r="H308">
        <v>13300</v>
      </c>
      <c r="I308" s="3">
        <v>45294.708333333336</v>
      </c>
      <c r="J308">
        <v>96</v>
      </c>
      <c r="K308" s="3">
        <v>45297.708333333336</v>
      </c>
      <c r="L308" s="4">
        <f>ROUNDDOWN(Table1[[#This Row],[Ordered]],0)</f>
        <v>45294</v>
      </c>
      <c r="M308" s="4">
        <f>Table1[[#This Row],[Date ]]</f>
        <v>45294</v>
      </c>
      <c r="N308" s="5">
        <f>Table1[[#This Row],[Ordered]]-Table1[[#This Row],[Date ]]</f>
        <v>0.375</v>
      </c>
      <c r="O308">
        <f>Table1[[#This Row],[Company]]</f>
        <v>14</v>
      </c>
      <c r="P308">
        <f>IF(((Table1[[#This Row],[Arrived]]-Table1[[#This Row],[Delivery]])*24-Table1[[#This Row],[Promised]])&lt;0, 0, (Table1[[#This Row],[Arrived]]-Table1[[#This Row],[Delivery]])*24-Table1[[#This Row],[Promised]])</f>
        <v>0</v>
      </c>
      <c r="Q308"/>
    </row>
    <row r="309" spans="1:17" hidden="1" x14ac:dyDescent="0.45">
      <c r="A309" s="3">
        <v>45294.416666666664</v>
      </c>
      <c r="B309" t="s">
        <v>12</v>
      </c>
      <c r="C309">
        <v>2</v>
      </c>
      <c r="D309">
        <v>15</v>
      </c>
      <c r="E309" t="s">
        <v>13</v>
      </c>
      <c r="F309">
        <v>1000</v>
      </c>
      <c r="G309">
        <v>140</v>
      </c>
      <c r="H309">
        <v>140000</v>
      </c>
      <c r="I309" s="3">
        <v>45294.458333333336</v>
      </c>
      <c r="J309">
        <v>72</v>
      </c>
      <c r="K309" s="3">
        <v>45297.458333333336</v>
      </c>
      <c r="L309" s="4">
        <f>ROUNDDOWN(Table1[[#This Row],[Ordered]],0)</f>
        <v>45294</v>
      </c>
      <c r="M309" s="4">
        <f>Table1[[#This Row],[Date ]]</f>
        <v>45294</v>
      </c>
      <c r="N309" s="5">
        <f>Table1[[#This Row],[Ordered]]-Table1[[#This Row],[Date ]]</f>
        <v>0.41666666666424135</v>
      </c>
      <c r="O309" s="5">
        <f>Table1[[#This Row],[Company]]</f>
        <v>2</v>
      </c>
      <c r="P309">
        <f>IF(((Table1[[#This Row],[Arrived]]-Table1[[#This Row],[Delivery]])*24-Table1[[#This Row],[Promised]])&lt;0, 0, (Table1[[#This Row],[Arrived]]-Table1[[#This Row],[Delivery]])*24-Table1[[#This Row],[Promised]])</f>
        <v>0</v>
      </c>
      <c r="Q309"/>
    </row>
    <row r="310" spans="1:17" x14ac:dyDescent="0.45">
      <c r="A310" s="3">
        <v>45294.5</v>
      </c>
      <c r="B310" t="s">
        <v>0</v>
      </c>
      <c r="C310">
        <v>13</v>
      </c>
      <c r="D310">
        <v>2004</v>
      </c>
      <c r="E310" t="s">
        <v>16</v>
      </c>
      <c r="F310">
        <v>30</v>
      </c>
      <c r="G310">
        <v>3750</v>
      </c>
      <c r="H310">
        <v>112500</v>
      </c>
      <c r="I310" s="3">
        <v>45295.25</v>
      </c>
      <c r="J310">
        <v>132</v>
      </c>
      <c r="K310" s="3">
        <v>45299.833333333336</v>
      </c>
      <c r="L310" s="4">
        <f>ROUNDDOWN(Table1[[#This Row],[Ordered]],0)</f>
        <v>45294</v>
      </c>
      <c r="M310" s="4">
        <f>Table1[[#This Row],[Date ]]</f>
        <v>45294</v>
      </c>
      <c r="N310" s="5">
        <f>Table1[[#This Row],[Ordered]]-Table1[[#This Row],[Date ]]</f>
        <v>0.5</v>
      </c>
      <c r="O310">
        <f>Table1[[#This Row],[Company]]</f>
        <v>13</v>
      </c>
      <c r="P310">
        <f>IF(((Table1[[#This Row],[Arrived]]-Table1[[#This Row],[Delivery]])*24-Table1[[#This Row],[Promised]])&lt;0, 0, (Table1[[#This Row],[Arrived]]-Table1[[#This Row],[Delivery]])*24-Table1[[#This Row],[Promised]])</f>
        <v>0</v>
      </c>
      <c r="Q310"/>
    </row>
    <row r="311" spans="1:17" x14ac:dyDescent="0.45">
      <c r="A311" s="3">
        <v>45294.5</v>
      </c>
      <c r="B311" t="s">
        <v>0</v>
      </c>
      <c r="C311">
        <v>13</v>
      </c>
      <c r="D311">
        <v>2004</v>
      </c>
      <c r="E311" t="s">
        <v>15</v>
      </c>
      <c r="F311">
        <v>9</v>
      </c>
      <c r="G311">
        <v>6650</v>
      </c>
      <c r="H311">
        <v>59850</v>
      </c>
      <c r="I311" s="3">
        <v>45295.25</v>
      </c>
      <c r="J311">
        <v>132</v>
      </c>
      <c r="K311" s="3">
        <v>45299.833333333336</v>
      </c>
      <c r="L311" s="4">
        <f>ROUNDDOWN(Table1[[#This Row],[Ordered]],0)</f>
        <v>45294</v>
      </c>
      <c r="M311" s="4">
        <f>Table1[[#This Row],[Date ]]</f>
        <v>45294</v>
      </c>
      <c r="N311" s="5">
        <f>Table1[[#This Row],[Ordered]]-Table1[[#This Row],[Date ]]</f>
        <v>0.5</v>
      </c>
      <c r="O311">
        <f>Table1[[#This Row],[Company]]</f>
        <v>13</v>
      </c>
      <c r="P311">
        <f>IF(((Table1[[#This Row],[Arrived]]-Table1[[#This Row],[Delivery]])*24-Table1[[#This Row],[Promised]])&lt;0, 0, (Table1[[#This Row],[Arrived]]-Table1[[#This Row],[Delivery]])*24-Table1[[#This Row],[Promised]])</f>
        <v>0</v>
      </c>
      <c r="Q311"/>
    </row>
    <row r="312" spans="1:17" x14ac:dyDescent="0.45">
      <c r="A312" s="3">
        <v>45294.5</v>
      </c>
      <c r="B312" t="s">
        <v>0</v>
      </c>
      <c r="C312">
        <v>9</v>
      </c>
      <c r="D312">
        <v>2004</v>
      </c>
      <c r="E312" t="s">
        <v>15</v>
      </c>
      <c r="F312">
        <v>9</v>
      </c>
      <c r="G312">
        <v>6650</v>
      </c>
      <c r="H312">
        <v>59850</v>
      </c>
      <c r="I312" s="3">
        <v>45295.5</v>
      </c>
      <c r="J312">
        <v>132</v>
      </c>
      <c r="K312" s="3">
        <v>45300</v>
      </c>
      <c r="L312" s="4">
        <f>ROUNDDOWN(Table1[[#This Row],[Ordered]],0)</f>
        <v>45294</v>
      </c>
      <c r="M312" s="4">
        <f>Table1[[#This Row],[Date ]]</f>
        <v>45294</v>
      </c>
      <c r="N312" s="5">
        <f>Table1[[#This Row],[Ordered]]-Table1[[#This Row],[Date ]]</f>
        <v>0.5</v>
      </c>
      <c r="O312">
        <f>Table1[[#This Row],[Company]]</f>
        <v>9</v>
      </c>
      <c r="P312">
        <f>IF(((Table1[[#This Row],[Arrived]]-Table1[[#This Row],[Delivery]])*24-Table1[[#This Row],[Promised]])&lt;0, 0, (Table1[[#This Row],[Arrived]]-Table1[[#This Row],[Delivery]])*24-Table1[[#This Row],[Promised]])</f>
        <v>0</v>
      </c>
      <c r="Q312"/>
    </row>
    <row r="313" spans="1:17" x14ac:dyDescent="0.45">
      <c r="A313" s="3">
        <v>45294.5</v>
      </c>
      <c r="B313" t="s">
        <v>0</v>
      </c>
      <c r="C313">
        <v>9</v>
      </c>
      <c r="D313">
        <v>2004</v>
      </c>
      <c r="E313" t="s">
        <v>16</v>
      </c>
      <c r="F313">
        <v>30</v>
      </c>
      <c r="G313">
        <v>3600</v>
      </c>
      <c r="H313">
        <v>108000</v>
      </c>
      <c r="I313" s="3">
        <v>45295.333333333336</v>
      </c>
      <c r="J313">
        <v>96</v>
      </c>
      <c r="K313" s="3">
        <v>45298.333333333336</v>
      </c>
      <c r="L313" s="4">
        <f>ROUNDDOWN(Table1[[#This Row],[Ordered]],0)</f>
        <v>45294</v>
      </c>
      <c r="M313" s="4">
        <f>Table1[[#This Row],[Date ]]</f>
        <v>45294</v>
      </c>
      <c r="N313" s="5">
        <f>Table1[[#This Row],[Ordered]]-Table1[[#This Row],[Date ]]</f>
        <v>0.5</v>
      </c>
      <c r="O313">
        <f>Table1[[#This Row],[Company]]</f>
        <v>9</v>
      </c>
      <c r="P313">
        <f>IF(((Table1[[#This Row],[Arrived]]-Table1[[#This Row],[Delivery]])*24-Table1[[#This Row],[Promised]])&lt;0, 0, (Table1[[#This Row],[Arrived]]-Table1[[#This Row],[Delivery]])*24-Table1[[#This Row],[Promised]])</f>
        <v>0</v>
      </c>
      <c r="Q313"/>
    </row>
    <row r="314" spans="1:17" x14ac:dyDescent="0.45">
      <c r="A314" s="3">
        <v>45294.5</v>
      </c>
      <c r="B314" t="s">
        <v>0</v>
      </c>
      <c r="C314">
        <v>15</v>
      </c>
      <c r="D314">
        <v>2004</v>
      </c>
      <c r="E314" t="s">
        <v>16</v>
      </c>
      <c r="F314">
        <v>30</v>
      </c>
      <c r="G314">
        <v>3750</v>
      </c>
      <c r="H314">
        <v>112500</v>
      </c>
      <c r="I314" s="3">
        <v>45295.458333333336</v>
      </c>
      <c r="J314">
        <v>132</v>
      </c>
      <c r="K314" s="3">
        <v>45299.958333333336</v>
      </c>
      <c r="L314" s="4">
        <f>ROUNDDOWN(Table1[[#This Row],[Ordered]],0)</f>
        <v>45294</v>
      </c>
      <c r="M314" s="4">
        <f>Table1[[#This Row],[Date ]]</f>
        <v>45294</v>
      </c>
      <c r="N314" s="5">
        <f>Table1[[#This Row],[Ordered]]-Table1[[#This Row],[Date ]]</f>
        <v>0.5</v>
      </c>
      <c r="O314">
        <f>Table1[[#This Row],[Company]]</f>
        <v>15</v>
      </c>
      <c r="P314">
        <f>IF(((Table1[[#This Row],[Arrived]]-Table1[[#This Row],[Delivery]])*24-Table1[[#This Row],[Promised]])&lt;0, 0, (Table1[[#This Row],[Arrived]]-Table1[[#This Row],[Delivery]])*24-Table1[[#This Row],[Promised]])</f>
        <v>0</v>
      </c>
      <c r="Q314"/>
    </row>
    <row r="315" spans="1:17" hidden="1" x14ac:dyDescent="0.45">
      <c r="A315" s="3">
        <v>45294.5</v>
      </c>
      <c r="B315" t="s">
        <v>12</v>
      </c>
      <c r="C315">
        <v>4</v>
      </c>
      <c r="D315">
        <v>11</v>
      </c>
      <c r="E315" t="s">
        <v>17</v>
      </c>
      <c r="F315">
        <v>400</v>
      </c>
      <c r="G315">
        <v>1350</v>
      </c>
      <c r="H315">
        <v>540000</v>
      </c>
      <c r="I315" s="3">
        <v>45294.541666666664</v>
      </c>
      <c r="J315">
        <v>72</v>
      </c>
      <c r="K315" s="3">
        <v>45297.541666666664</v>
      </c>
      <c r="L315" s="4">
        <f>ROUNDDOWN(Table1[[#This Row],[Ordered]],0)</f>
        <v>45294</v>
      </c>
      <c r="M315" s="4">
        <f>Table1[[#This Row],[Date ]]</f>
        <v>45294</v>
      </c>
      <c r="N315" s="5">
        <f>Table1[[#This Row],[Ordered]]-Table1[[#This Row],[Date ]]</f>
        <v>0.5</v>
      </c>
      <c r="O315">
        <f>Table1[[#This Row],[Company]]</f>
        <v>4</v>
      </c>
      <c r="P315">
        <f>IF(((Table1[[#This Row],[Arrived]]-Table1[[#This Row],[Delivery]])*24-Table1[[#This Row],[Promised]])&lt;0, 0, (Table1[[#This Row],[Arrived]]-Table1[[#This Row],[Delivery]])*24-Table1[[#This Row],[Promised]])</f>
        <v>0</v>
      </c>
      <c r="Q315"/>
    </row>
    <row r="316" spans="1:17" x14ac:dyDescent="0.45">
      <c r="A316" s="3">
        <v>45294.5</v>
      </c>
      <c r="B316" t="s">
        <v>0</v>
      </c>
      <c r="C316">
        <v>14</v>
      </c>
      <c r="D316">
        <v>2004</v>
      </c>
      <c r="E316" t="s">
        <v>15</v>
      </c>
      <c r="F316">
        <v>9</v>
      </c>
      <c r="G316">
        <v>6650</v>
      </c>
      <c r="H316">
        <v>59850</v>
      </c>
      <c r="I316" s="3">
        <v>45294.666666666664</v>
      </c>
      <c r="J316">
        <v>132</v>
      </c>
      <c r="K316" s="3">
        <v>45299.166666666664</v>
      </c>
      <c r="L316" s="4">
        <f>ROUNDDOWN(Table1[[#This Row],[Ordered]],0)</f>
        <v>45294</v>
      </c>
      <c r="M316" s="4">
        <f>Table1[[#This Row],[Date ]]</f>
        <v>45294</v>
      </c>
      <c r="N316" s="5">
        <f>Table1[[#This Row],[Ordered]]-Table1[[#This Row],[Date ]]</f>
        <v>0.5</v>
      </c>
      <c r="O316">
        <f>Table1[[#This Row],[Company]]</f>
        <v>14</v>
      </c>
      <c r="P316">
        <f>IF(((Table1[[#This Row],[Arrived]]-Table1[[#This Row],[Delivery]])*24-Table1[[#This Row],[Promised]])&lt;0, 0, (Table1[[#This Row],[Arrived]]-Table1[[#This Row],[Delivery]])*24-Table1[[#This Row],[Promised]])</f>
        <v>0</v>
      </c>
      <c r="Q316"/>
    </row>
    <row r="317" spans="1:17" x14ac:dyDescent="0.45">
      <c r="A317" s="3">
        <v>45294.5</v>
      </c>
      <c r="B317" t="s">
        <v>0</v>
      </c>
      <c r="C317">
        <v>11</v>
      </c>
      <c r="D317">
        <v>2004</v>
      </c>
      <c r="E317" t="s">
        <v>16</v>
      </c>
      <c r="F317">
        <v>30</v>
      </c>
      <c r="G317">
        <v>3750</v>
      </c>
      <c r="H317">
        <v>112500</v>
      </c>
      <c r="I317" s="3">
        <v>45294.916666666664</v>
      </c>
      <c r="J317">
        <v>132</v>
      </c>
      <c r="K317" s="3">
        <v>45299.416666666664</v>
      </c>
      <c r="L317" s="4">
        <f>ROUNDDOWN(Table1[[#This Row],[Ordered]],0)</f>
        <v>45294</v>
      </c>
      <c r="M317" s="4">
        <f>Table1[[#This Row],[Date ]]</f>
        <v>45294</v>
      </c>
      <c r="N317" s="5">
        <f>Table1[[#This Row],[Ordered]]-Table1[[#This Row],[Date ]]</f>
        <v>0.5</v>
      </c>
      <c r="O317">
        <f>Table1[[#This Row],[Company]]</f>
        <v>11</v>
      </c>
      <c r="P317">
        <f>IF(((Table1[[#This Row],[Arrived]]-Table1[[#This Row],[Delivery]])*24-Table1[[#This Row],[Promised]])&lt;0, 0, (Table1[[#This Row],[Arrived]]-Table1[[#This Row],[Delivery]])*24-Table1[[#This Row],[Promised]])</f>
        <v>0</v>
      </c>
      <c r="Q317"/>
    </row>
    <row r="318" spans="1:17" x14ac:dyDescent="0.45">
      <c r="A318" s="3">
        <v>45294.5</v>
      </c>
      <c r="B318" t="s">
        <v>0</v>
      </c>
      <c r="C318">
        <v>16</v>
      </c>
      <c r="D318">
        <v>2004</v>
      </c>
      <c r="E318" t="s">
        <v>16</v>
      </c>
      <c r="F318">
        <v>30</v>
      </c>
      <c r="G318">
        <v>3750</v>
      </c>
      <c r="H318">
        <v>112500</v>
      </c>
      <c r="I318" s="3">
        <v>45294.541666666664</v>
      </c>
      <c r="J318">
        <v>132</v>
      </c>
      <c r="K318" s="3">
        <v>45299.041666666664</v>
      </c>
      <c r="L318" s="4">
        <f>ROUNDDOWN(Table1[[#This Row],[Ordered]],0)</f>
        <v>45294</v>
      </c>
      <c r="M318" s="4">
        <f>Table1[[#This Row],[Date ]]</f>
        <v>45294</v>
      </c>
      <c r="N318" s="5">
        <f>Table1[[#This Row],[Ordered]]-Table1[[#This Row],[Date ]]</f>
        <v>0.5</v>
      </c>
      <c r="O318">
        <f>Table1[[#This Row],[Company]]</f>
        <v>16</v>
      </c>
      <c r="P318">
        <f>IF(((Table1[[#This Row],[Arrived]]-Table1[[#This Row],[Delivery]])*24-Table1[[#This Row],[Promised]])&lt;0, 0, (Table1[[#This Row],[Arrived]]-Table1[[#This Row],[Delivery]])*24-Table1[[#This Row],[Promised]])</f>
        <v>0</v>
      </c>
      <c r="Q318"/>
    </row>
    <row r="319" spans="1:17" x14ac:dyDescent="0.45">
      <c r="A319" s="3">
        <v>45294.5</v>
      </c>
      <c r="B319" t="s">
        <v>0</v>
      </c>
      <c r="C319">
        <v>10</v>
      </c>
      <c r="D319">
        <v>2004</v>
      </c>
      <c r="E319" t="s">
        <v>16</v>
      </c>
      <c r="F319">
        <v>50</v>
      </c>
      <c r="G319">
        <v>3500</v>
      </c>
      <c r="H319">
        <v>175000</v>
      </c>
      <c r="I319" s="3">
        <v>45294.5</v>
      </c>
      <c r="J319">
        <v>84</v>
      </c>
      <c r="K319" s="3">
        <v>45299.083333333336</v>
      </c>
      <c r="L319" s="4">
        <f>ROUNDDOWN(Table1[[#This Row],[Ordered]],0)</f>
        <v>45294</v>
      </c>
      <c r="M319" s="4">
        <f>Table1[[#This Row],[Date ]]</f>
        <v>45294</v>
      </c>
      <c r="N319" s="5">
        <f>Table1[[#This Row],[Ordered]]-Table1[[#This Row],[Date ]]</f>
        <v>0.5</v>
      </c>
      <c r="O319">
        <f>Table1[[#This Row],[Company]]</f>
        <v>10</v>
      </c>
      <c r="P319">
        <f>IF(((Table1[[#This Row],[Arrived]]-Table1[[#This Row],[Delivery]])*24-Table1[[#This Row],[Promised]])&lt;0, 0, (Table1[[#This Row],[Arrived]]-Table1[[#This Row],[Delivery]])*24-Table1[[#This Row],[Promised]])</f>
        <v>26.000000000058208</v>
      </c>
      <c r="Q319"/>
    </row>
    <row r="320" spans="1:17" x14ac:dyDescent="0.45">
      <c r="A320" s="3">
        <v>45294.5</v>
      </c>
      <c r="B320" t="s">
        <v>0</v>
      </c>
      <c r="C320">
        <v>10</v>
      </c>
      <c r="D320">
        <v>2004</v>
      </c>
      <c r="E320" t="s">
        <v>15</v>
      </c>
      <c r="F320">
        <v>9</v>
      </c>
      <c r="G320">
        <v>6800</v>
      </c>
      <c r="H320">
        <v>61200</v>
      </c>
      <c r="I320" s="3">
        <v>45294.5</v>
      </c>
      <c r="J320">
        <v>132</v>
      </c>
      <c r="K320" s="3">
        <v>45299</v>
      </c>
      <c r="L320" s="4">
        <f>ROUNDDOWN(Table1[[#This Row],[Ordered]],0)</f>
        <v>45294</v>
      </c>
      <c r="M320" s="4">
        <f>Table1[[#This Row],[Date ]]</f>
        <v>45294</v>
      </c>
      <c r="N320" s="5">
        <f>Table1[[#This Row],[Ordered]]-Table1[[#This Row],[Date ]]</f>
        <v>0.5</v>
      </c>
      <c r="O320">
        <f>Table1[[#This Row],[Company]]</f>
        <v>10</v>
      </c>
      <c r="P320">
        <f>IF(((Table1[[#This Row],[Arrived]]-Table1[[#This Row],[Delivery]])*24-Table1[[#This Row],[Promised]])&lt;0, 0, (Table1[[#This Row],[Arrived]]-Table1[[#This Row],[Delivery]])*24-Table1[[#This Row],[Promised]])</f>
        <v>0</v>
      </c>
      <c r="Q320"/>
    </row>
    <row r="321" spans="1:17" x14ac:dyDescent="0.45">
      <c r="A321" s="3">
        <v>45294.5</v>
      </c>
      <c r="B321" t="s">
        <v>0</v>
      </c>
      <c r="C321">
        <v>16</v>
      </c>
      <c r="D321">
        <v>2004</v>
      </c>
      <c r="E321" t="s">
        <v>15</v>
      </c>
      <c r="F321">
        <v>9</v>
      </c>
      <c r="G321">
        <v>6650</v>
      </c>
      <c r="H321">
        <v>59850</v>
      </c>
      <c r="I321" s="3">
        <v>45294.5</v>
      </c>
      <c r="J321">
        <v>132</v>
      </c>
      <c r="K321" s="3">
        <v>45299</v>
      </c>
      <c r="L321" s="4">
        <f>ROUNDDOWN(Table1[[#This Row],[Ordered]],0)</f>
        <v>45294</v>
      </c>
      <c r="M321" s="4">
        <f>Table1[[#This Row],[Date ]]</f>
        <v>45294</v>
      </c>
      <c r="N321" s="5">
        <f>Table1[[#This Row],[Ordered]]-Table1[[#This Row],[Date ]]</f>
        <v>0.5</v>
      </c>
      <c r="O321">
        <f>Table1[[#This Row],[Company]]</f>
        <v>16</v>
      </c>
      <c r="P321">
        <f>IF(((Table1[[#This Row],[Arrived]]-Table1[[#This Row],[Delivery]])*24-Table1[[#This Row],[Promised]])&lt;0, 0, (Table1[[#This Row],[Arrived]]-Table1[[#This Row],[Delivery]])*24-Table1[[#This Row],[Promised]])</f>
        <v>0</v>
      </c>
      <c r="Q321"/>
    </row>
    <row r="322" spans="1:17" x14ac:dyDescent="0.45">
      <c r="A322" s="3">
        <v>45294.5</v>
      </c>
      <c r="B322" t="s">
        <v>0</v>
      </c>
      <c r="C322">
        <v>12</v>
      </c>
      <c r="D322">
        <v>2004</v>
      </c>
      <c r="E322" t="s">
        <v>16</v>
      </c>
      <c r="F322">
        <v>30</v>
      </c>
      <c r="G322">
        <v>3750</v>
      </c>
      <c r="H322">
        <v>112500</v>
      </c>
      <c r="I322" s="3">
        <v>45294.5</v>
      </c>
      <c r="J322">
        <v>120</v>
      </c>
      <c r="K322" s="3">
        <v>45299</v>
      </c>
      <c r="L322" s="4">
        <f>ROUNDDOWN(Table1[[#This Row],[Ordered]],0)</f>
        <v>45294</v>
      </c>
      <c r="M322" s="4">
        <f>Table1[[#This Row],[Date ]]</f>
        <v>45294</v>
      </c>
      <c r="N322" s="5">
        <f>Table1[[#This Row],[Ordered]]-Table1[[#This Row],[Date ]]</f>
        <v>0.5</v>
      </c>
      <c r="O322">
        <f>Table1[[#This Row],[Company]]</f>
        <v>12</v>
      </c>
      <c r="P322">
        <f>IF(((Table1[[#This Row],[Arrived]]-Table1[[#This Row],[Delivery]])*24-Table1[[#This Row],[Promised]])&lt;0, 0, (Table1[[#This Row],[Arrived]]-Table1[[#This Row],[Delivery]])*24-Table1[[#This Row],[Promised]])</f>
        <v>0</v>
      </c>
      <c r="Q322"/>
    </row>
    <row r="323" spans="1:17" x14ac:dyDescent="0.45">
      <c r="A323" s="3">
        <v>45294.5</v>
      </c>
      <c r="B323" t="s">
        <v>0</v>
      </c>
      <c r="C323">
        <v>14</v>
      </c>
      <c r="D323">
        <v>2004</v>
      </c>
      <c r="E323" t="s">
        <v>16</v>
      </c>
      <c r="F323">
        <v>30</v>
      </c>
      <c r="G323">
        <v>3750</v>
      </c>
      <c r="H323">
        <v>112500</v>
      </c>
      <c r="I323" s="3">
        <v>45294.666666666664</v>
      </c>
      <c r="J323">
        <v>132</v>
      </c>
      <c r="K323" s="3">
        <v>45299.166666666664</v>
      </c>
      <c r="L323" s="4">
        <f>ROUNDDOWN(Table1[[#This Row],[Ordered]],0)</f>
        <v>45294</v>
      </c>
      <c r="M323" s="4">
        <f>Table1[[#This Row],[Date ]]</f>
        <v>45294</v>
      </c>
      <c r="N323" s="5">
        <f>Table1[[#This Row],[Ordered]]-Table1[[#This Row],[Date ]]</f>
        <v>0.5</v>
      </c>
      <c r="O323">
        <f>Table1[[#This Row],[Company]]</f>
        <v>14</v>
      </c>
      <c r="P323">
        <f>IF(((Table1[[#This Row],[Arrived]]-Table1[[#This Row],[Delivery]])*24-Table1[[#This Row],[Promised]])&lt;0, 0, (Table1[[#This Row],[Arrived]]-Table1[[#This Row],[Delivery]])*24-Table1[[#This Row],[Promised]])</f>
        <v>0</v>
      </c>
      <c r="Q323"/>
    </row>
    <row r="324" spans="1:17" x14ac:dyDescent="0.45">
      <c r="A324" s="3">
        <v>45294.5</v>
      </c>
      <c r="B324" t="s">
        <v>0</v>
      </c>
      <c r="C324">
        <v>7</v>
      </c>
      <c r="D324">
        <v>2004</v>
      </c>
      <c r="E324" t="s">
        <v>16</v>
      </c>
      <c r="F324">
        <v>30</v>
      </c>
      <c r="G324">
        <v>3650</v>
      </c>
      <c r="H324">
        <v>109500</v>
      </c>
      <c r="I324" s="3">
        <v>45295.083333333336</v>
      </c>
      <c r="J324">
        <v>132</v>
      </c>
      <c r="K324" s="3">
        <v>45299.583333333336</v>
      </c>
      <c r="L324" s="4">
        <f>ROUNDDOWN(Table1[[#This Row],[Ordered]],0)</f>
        <v>45294</v>
      </c>
      <c r="M324" s="4">
        <f>Table1[[#This Row],[Date ]]</f>
        <v>45294</v>
      </c>
      <c r="N324" s="5">
        <f>Table1[[#This Row],[Ordered]]-Table1[[#This Row],[Date ]]</f>
        <v>0.5</v>
      </c>
      <c r="O324">
        <f>Table1[[#This Row],[Company]]</f>
        <v>7</v>
      </c>
      <c r="P324">
        <f>IF(((Table1[[#This Row],[Arrived]]-Table1[[#This Row],[Delivery]])*24-Table1[[#This Row],[Promised]])&lt;0, 0, (Table1[[#This Row],[Arrived]]-Table1[[#This Row],[Delivery]])*24-Table1[[#This Row],[Promised]])</f>
        <v>0</v>
      </c>
      <c r="Q324"/>
    </row>
    <row r="325" spans="1:17" x14ac:dyDescent="0.45">
      <c r="A325" s="3">
        <v>45294.5</v>
      </c>
      <c r="B325" t="s">
        <v>0</v>
      </c>
      <c r="C325">
        <v>11</v>
      </c>
      <c r="D325">
        <v>2004</v>
      </c>
      <c r="E325" t="s">
        <v>15</v>
      </c>
      <c r="F325">
        <v>9</v>
      </c>
      <c r="G325">
        <v>6650</v>
      </c>
      <c r="H325">
        <v>59850</v>
      </c>
      <c r="I325" s="3">
        <v>45294.958333333336</v>
      </c>
      <c r="J325">
        <v>132</v>
      </c>
      <c r="K325" s="3">
        <v>45299.458333333336</v>
      </c>
      <c r="L325" s="4">
        <f>ROUNDDOWN(Table1[[#This Row],[Ordered]],0)</f>
        <v>45294</v>
      </c>
      <c r="M325" s="4">
        <f>Table1[[#This Row],[Date ]]</f>
        <v>45294</v>
      </c>
      <c r="N325" s="5">
        <f>Table1[[#This Row],[Ordered]]-Table1[[#This Row],[Date ]]</f>
        <v>0.5</v>
      </c>
      <c r="O325">
        <f>Table1[[#This Row],[Company]]</f>
        <v>11</v>
      </c>
      <c r="P325">
        <f>IF(((Table1[[#This Row],[Arrived]]-Table1[[#This Row],[Delivery]])*24-Table1[[#This Row],[Promised]])&lt;0, 0, (Table1[[#This Row],[Arrived]]-Table1[[#This Row],[Delivery]])*24-Table1[[#This Row],[Promised]])</f>
        <v>0</v>
      </c>
      <c r="Q325"/>
    </row>
    <row r="326" spans="1:17" x14ac:dyDescent="0.45">
      <c r="A326" s="3">
        <v>45294.5</v>
      </c>
      <c r="B326" t="s">
        <v>0</v>
      </c>
      <c r="C326">
        <v>7</v>
      </c>
      <c r="D326">
        <v>2004</v>
      </c>
      <c r="E326" t="s">
        <v>15</v>
      </c>
      <c r="F326">
        <v>9</v>
      </c>
      <c r="G326">
        <v>6650</v>
      </c>
      <c r="H326">
        <v>59850</v>
      </c>
      <c r="I326" s="3">
        <v>45295.041666666664</v>
      </c>
      <c r="J326">
        <v>132</v>
      </c>
      <c r="K326" s="3">
        <v>45299.541666666664</v>
      </c>
      <c r="L326" s="4">
        <f>ROUNDDOWN(Table1[[#This Row],[Ordered]],0)</f>
        <v>45294</v>
      </c>
      <c r="M326" s="4">
        <f>Table1[[#This Row],[Date ]]</f>
        <v>45294</v>
      </c>
      <c r="N326" s="5">
        <f>Table1[[#This Row],[Ordered]]-Table1[[#This Row],[Date ]]</f>
        <v>0.5</v>
      </c>
      <c r="O326">
        <f>Table1[[#This Row],[Company]]</f>
        <v>7</v>
      </c>
      <c r="P326">
        <f>IF(((Table1[[#This Row],[Arrived]]-Table1[[#This Row],[Delivery]])*24-Table1[[#This Row],[Promised]])&lt;0, 0, (Table1[[#This Row],[Arrived]]-Table1[[#This Row],[Delivery]])*24-Table1[[#This Row],[Promised]])</f>
        <v>0</v>
      </c>
      <c r="Q326"/>
    </row>
    <row r="327" spans="1:17" x14ac:dyDescent="0.45">
      <c r="A327" s="3">
        <v>45294.5</v>
      </c>
      <c r="B327" t="s">
        <v>0</v>
      </c>
      <c r="C327">
        <v>12</v>
      </c>
      <c r="D327">
        <v>2004</v>
      </c>
      <c r="E327" t="s">
        <v>15</v>
      </c>
      <c r="F327">
        <v>9</v>
      </c>
      <c r="G327">
        <v>6650</v>
      </c>
      <c r="H327">
        <v>59850</v>
      </c>
      <c r="I327" s="3">
        <v>45294.541666666664</v>
      </c>
      <c r="J327">
        <v>120</v>
      </c>
      <c r="K327" s="3">
        <v>45299.166666666664</v>
      </c>
      <c r="L327" s="4">
        <f>ROUNDDOWN(Table1[[#This Row],[Ordered]],0)</f>
        <v>45294</v>
      </c>
      <c r="M327" s="4">
        <f>Table1[[#This Row],[Date ]]</f>
        <v>45294</v>
      </c>
      <c r="N327" s="5">
        <f>Table1[[#This Row],[Ordered]]-Table1[[#This Row],[Date ]]</f>
        <v>0.5</v>
      </c>
      <c r="O327">
        <f>Table1[[#This Row],[Company]]</f>
        <v>12</v>
      </c>
      <c r="P327">
        <f>IF(((Table1[[#This Row],[Arrived]]-Table1[[#This Row],[Delivery]])*24-Table1[[#This Row],[Promised]])&lt;0, 0, (Table1[[#This Row],[Arrived]]-Table1[[#This Row],[Delivery]])*24-Table1[[#This Row],[Promised]])</f>
        <v>0</v>
      </c>
      <c r="Q327"/>
    </row>
    <row r="328" spans="1:17" x14ac:dyDescent="0.45">
      <c r="A328" s="3">
        <v>45294.5</v>
      </c>
      <c r="B328" t="s">
        <v>0</v>
      </c>
      <c r="C328">
        <v>8</v>
      </c>
      <c r="D328">
        <v>2004</v>
      </c>
      <c r="E328" t="s">
        <v>16</v>
      </c>
      <c r="F328">
        <v>30</v>
      </c>
      <c r="G328">
        <v>3500</v>
      </c>
      <c r="H328">
        <v>105000</v>
      </c>
      <c r="I328" s="3">
        <v>45295.333333333336</v>
      </c>
      <c r="J328">
        <v>132</v>
      </c>
      <c r="K328" s="3">
        <v>45299.833333333336</v>
      </c>
      <c r="L328" s="4">
        <f>ROUNDDOWN(Table1[[#This Row],[Ordered]],0)</f>
        <v>45294</v>
      </c>
      <c r="M328" s="4">
        <f>Table1[[#This Row],[Date ]]</f>
        <v>45294</v>
      </c>
      <c r="N328" s="5">
        <f>Table1[[#This Row],[Ordered]]-Table1[[#This Row],[Date ]]</f>
        <v>0.5</v>
      </c>
      <c r="O328">
        <f>Table1[[#This Row],[Company]]</f>
        <v>8</v>
      </c>
      <c r="P328">
        <f>IF(((Table1[[#This Row],[Arrived]]-Table1[[#This Row],[Delivery]])*24-Table1[[#This Row],[Promised]])&lt;0, 0, (Table1[[#This Row],[Arrived]]-Table1[[#This Row],[Delivery]])*24-Table1[[#This Row],[Promised]])</f>
        <v>0</v>
      </c>
      <c r="Q328"/>
    </row>
    <row r="329" spans="1:17" x14ac:dyDescent="0.45">
      <c r="A329" s="3">
        <v>45294.5</v>
      </c>
      <c r="B329" t="s">
        <v>0</v>
      </c>
      <c r="C329">
        <v>8</v>
      </c>
      <c r="D329">
        <v>2004</v>
      </c>
      <c r="E329" t="s">
        <v>15</v>
      </c>
      <c r="F329">
        <v>9</v>
      </c>
      <c r="G329">
        <v>7300</v>
      </c>
      <c r="H329">
        <v>65700</v>
      </c>
      <c r="I329" s="3">
        <v>45295.333333333336</v>
      </c>
      <c r="J329">
        <v>132</v>
      </c>
      <c r="K329" s="3">
        <v>45299.833333333336</v>
      </c>
      <c r="L329" s="4">
        <f>ROUNDDOWN(Table1[[#This Row],[Ordered]],0)</f>
        <v>45294</v>
      </c>
      <c r="M329" s="4">
        <f>Table1[[#This Row],[Date ]]</f>
        <v>45294</v>
      </c>
      <c r="N329" s="5">
        <f>Table1[[#This Row],[Ordered]]-Table1[[#This Row],[Date ]]</f>
        <v>0.5</v>
      </c>
      <c r="O329">
        <f>Table1[[#This Row],[Company]]</f>
        <v>8</v>
      </c>
      <c r="P329">
        <f>IF(((Table1[[#This Row],[Arrived]]-Table1[[#This Row],[Delivery]])*24-Table1[[#This Row],[Promised]])&lt;0, 0, (Table1[[#This Row],[Arrived]]-Table1[[#This Row],[Delivery]])*24-Table1[[#This Row],[Promised]])</f>
        <v>0</v>
      </c>
      <c r="Q329"/>
    </row>
    <row r="330" spans="1:17" hidden="1" x14ac:dyDescent="0.45">
      <c r="A330" s="3">
        <v>45294.666666666664</v>
      </c>
      <c r="B330" t="s">
        <v>12</v>
      </c>
      <c r="C330">
        <v>6</v>
      </c>
      <c r="D330">
        <v>10</v>
      </c>
      <c r="E330" t="s">
        <v>13</v>
      </c>
      <c r="F330">
        <v>1200</v>
      </c>
      <c r="G330">
        <v>140</v>
      </c>
      <c r="H330">
        <v>168000</v>
      </c>
      <c r="I330" s="3">
        <v>45294.75</v>
      </c>
      <c r="J330">
        <v>24</v>
      </c>
      <c r="K330" s="3">
        <v>45295.75</v>
      </c>
      <c r="L330" s="4">
        <f>ROUNDDOWN(Table1[[#This Row],[Ordered]],0)</f>
        <v>45294</v>
      </c>
      <c r="M330" s="4">
        <f>Table1[[#This Row],[Date ]]</f>
        <v>45294</v>
      </c>
      <c r="N330" s="5">
        <f>Table1[[#This Row],[Ordered]]-Table1[[#This Row],[Date ]]</f>
        <v>0.66666666666424135</v>
      </c>
      <c r="O330" s="5">
        <f>Table1[[#This Row],[Company]]</f>
        <v>6</v>
      </c>
      <c r="P330">
        <f>IF(((Table1[[#This Row],[Arrived]]-Table1[[#This Row],[Delivery]])*24-Table1[[#This Row],[Promised]])&lt;0, 0, (Table1[[#This Row],[Arrived]]-Table1[[#This Row],[Delivery]])*24-Table1[[#This Row],[Promised]])</f>
        <v>0</v>
      </c>
      <c r="Q330"/>
    </row>
    <row r="331" spans="1:17" x14ac:dyDescent="0.45">
      <c r="A331" s="3">
        <v>45294.666666666664</v>
      </c>
      <c r="B331" t="s">
        <v>14</v>
      </c>
      <c r="C331">
        <v>11</v>
      </c>
      <c r="D331">
        <v>1002</v>
      </c>
      <c r="E331" t="s">
        <v>16</v>
      </c>
      <c r="F331">
        <v>28</v>
      </c>
      <c r="G331">
        <v>3750</v>
      </c>
      <c r="H331">
        <v>105000</v>
      </c>
      <c r="I331" s="3">
        <v>45294.958333333336</v>
      </c>
      <c r="J331">
        <v>96</v>
      </c>
      <c r="K331" s="3">
        <v>45297.958333333336</v>
      </c>
      <c r="L331" s="4">
        <f>ROUNDDOWN(Table1[[#This Row],[Ordered]],0)</f>
        <v>45294</v>
      </c>
      <c r="M331" s="4">
        <f>Table1[[#This Row],[Date ]]</f>
        <v>45294</v>
      </c>
      <c r="N331" s="5">
        <f>Table1[[#This Row],[Ordered]]-Table1[[#This Row],[Date ]]</f>
        <v>0.66666666666424135</v>
      </c>
      <c r="O331">
        <f>Table1[[#This Row],[Company]]</f>
        <v>11</v>
      </c>
      <c r="P331">
        <f>IF(((Table1[[#This Row],[Arrived]]-Table1[[#This Row],[Delivery]])*24-Table1[[#This Row],[Promised]])&lt;0, 0, (Table1[[#This Row],[Arrived]]-Table1[[#This Row],[Delivery]])*24-Table1[[#This Row],[Promised]])</f>
        <v>0</v>
      </c>
      <c r="Q331"/>
    </row>
    <row r="332" spans="1:17" x14ac:dyDescent="0.45">
      <c r="A332" s="3">
        <v>45294.666666666664</v>
      </c>
      <c r="B332" t="s">
        <v>14</v>
      </c>
      <c r="C332">
        <v>9</v>
      </c>
      <c r="D332">
        <v>1002</v>
      </c>
      <c r="E332" t="s">
        <v>16</v>
      </c>
      <c r="F332">
        <v>28</v>
      </c>
      <c r="G332">
        <v>3750</v>
      </c>
      <c r="H332">
        <v>105000</v>
      </c>
      <c r="I332" s="3">
        <v>45295.541666666664</v>
      </c>
      <c r="J332">
        <v>96</v>
      </c>
      <c r="K332" s="3">
        <v>45298.541666666664</v>
      </c>
      <c r="L332" s="4">
        <f>ROUNDDOWN(Table1[[#This Row],[Ordered]],0)</f>
        <v>45294</v>
      </c>
      <c r="M332" s="4">
        <f>Table1[[#This Row],[Date ]]</f>
        <v>45294</v>
      </c>
      <c r="N332" s="5">
        <f>Table1[[#This Row],[Ordered]]-Table1[[#This Row],[Date ]]</f>
        <v>0.66666666666424135</v>
      </c>
      <c r="O332">
        <f>Table1[[#This Row],[Company]]</f>
        <v>9</v>
      </c>
      <c r="P332">
        <f>IF(((Table1[[#This Row],[Arrived]]-Table1[[#This Row],[Delivery]])*24-Table1[[#This Row],[Promised]])&lt;0, 0, (Table1[[#This Row],[Arrived]]-Table1[[#This Row],[Delivery]])*24-Table1[[#This Row],[Promised]])</f>
        <v>0</v>
      </c>
      <c r="Q332"/>
    </row>
    <row r="333" spans="1:17" x14ac:dyDescent="0.45">
      <c r="A333" s="3">
        <v>45294.666666666664</v>
      </c>
      <c r="B333" t="s">
        <v>14</v>
      </c>
      <c r="C333">
        <v>15</v>
      </c>
      <c r="D333">
        <v>1002</v>
      </c>
      <c r="E333" t="s">
        <v>16</v>
      </c>
      <c r="F333">
        <v>28</v>
      </c>
      <c r="G333">
        <v>3750</v>
      </c>
      <c r="H333">
        <v>105000</v>
      </c>
      <c r="I333" s="3">
        <v>45295</v>
      </c>
      <c r="J333">
        <v>96</v>
      </c>
      <c r="K333" s="3">
        <v>45298</v>
      </c>
      <c r="L333" s="4">
        <f>ROUNDDOWN(Table1[[#This Row],[Ordered]],0)</f>
        <v>45294</v>
      </c>
      <c r="M333" s="4">
        <f>Table1[[#This Row],[Date ]]</f>
        <v>45294</v>
      </c>
      <c r="N333" s="5">
        <f>Table1[[#This Row],[Ordered]]-Table1[[#This Row],[Date ]]</f>
        <v>0.66666666666424135</v>
      </c>
      <c r="O333">
        <f>Table1[[#This Row],[Company]]</f>
        <v>15</v>
      </c>
      <c r="P333">
        <f>IF(((Table1[[#This Row],[Arrived]]-Table1[[#This Row],[Delivery]])*24-Table1[[#This Row],[Promised]])&lt;0, 0, (Table1[[#This Row],[Arrived]]-Table1[[#This Row],[Delivery]])*24-Table1[[#This Row],[Promised]])</f>
        <v>0</v>
      </c>
      <c r="Q333"/>
    </row>
    <row r="334" spans="1:17" x14ac:dyDescent="0.45">
      <c r="A334" s="3">
        <v>45294.666666666664</v>
      </c>
      <c r="B334" t="s">
        <v>14</v>
      </c>
      <c r="C334">
        <v>7</v>
      </c>
      <c r="D334">
        <v>1002</v>
      </c>
      <c r="E334" t="s">
        <v>16</v>
      </c>
      <c r="F334">
        <v>28</v>
      </c>
      <c r="G334">
        <v>3650</v>
      </c>
      <c r="H334">
        <v>102200</v>
      </c>
      <c r="I334" s="3">
        <v>45295.25</v>
      </c>
      <c r="J334">
        <v>96</v>
      </c>
      <c r="K334" s="3">
        <v>45298.25</v>
      </c>
      <c r="L334" s="4">
        <f>ROUNDDOWN(Table1[[#This Row],[Ordered]],0)</f>
        <v>45294</v>
      </c>
      <c r="M334" s="4">
        <f>Table1[[#This Row],[Date ]]</f>
        <v>45294</v>
      </c>
      <c r="N334" s="5">
        <f>Table1[[#This Row],[Ordered]]-Table1[[#This Row],[Date ]]</f>
        <v>0.66666666666424135</v>
      </c>
      <c r="O334">
        <f>Table1[[#This Row],[Company]]</f>
        <v>7</v>
      </c>
      <c r="P334">
        <f>IF(((Table1[[#This Row],[Arrived]]-Table1[[#This Row],[Delivery]])*24-Table1[[#This Row],[Promised]])&lt;0, 0, (Table1[[#This Row],[Arrived]]-Table1[[#This Row],[Delivery]])*24-Table1[[#This Row],[Promised]])</f>
        <v>0</v>
      </c>
      <c r="Q334"/>
    </row>
    <row r="335" spans="1:17" x14ac:dyDescent="0.45">
      <c r="A335" s="3">
        <v>45294.666666666664</v>
      </c>
      <c r="B335" t="s">
        <v>14</v>
      </c>
      <c r="C335">
        <v>8</v>
      </c>
      <c r="D335">
        <v>1002</v>
      </c>
      <c r="E335" t="s">
        <v>16</v>
      </c>
      <c r="F335">
        <v>28</v>
      </c>
      <c r="G335">
        <v>3750</v>
      </c>
      <c r="H335">
        <v>105000</v>
      </c>
      <c r="I335" s="3">
        <v>45295.458333333336</v>
      </c>
      <c r="J335">
        <v>96</v>
      </c>
      <c r="K335" s="3">
        <v>45298.458333333336</v>
      </c>
      <c r="L335" s="4">
        <f>ROUNDDOWN(Table1[[#This Row],[Ordered]],0)</f>
        <v>45294</v>
      </c>
      <c r="M335" s="4">
        <f>Table1[[#This Row],[Date ]]</f>
        <v>45294</v>
      </c>
      <c r="N335" s="5">
        <f>Table1[[#This Row],[Ordered]]-Table1[[#This Row],[Date ]]</f>
        <v>0.66666666666424135</v>
      </c>
      <c r="O335">
        <f>Table1[[#This Row],[Company]]</f>
        <v>8</v>
      </c>
      <c r="P335">
        <f>IF(((Table1[[#This Row],[Arrived]]-Table1[[#This Row],[Delivery]])*24-Table1[[#This Row],[Promised]])&lt;0, 0, (Table1[[#This Row],[Arrived]]-Table1[[#This Row],[Delivery]])*24-Table1[[#This Row],[Promised]])</f>
        <v>0</v>
      </c>
      <c r="Q335"/>
    </row>
    <row r="336" spans="1:17" x14ac:dyDescent="0.45">
      <c r="A336" s="3">
        <v>45294.666666666664</v>
      </c>
      <c r="B336" t="s">
        <v>14</v>
      </c>
      <c r="C336">
        <v>12</v>
      </c>
      <c r="D336">
        <v>1002</v>
      </c>
      <c r="E336" t="s">
        <v>16</v>
      </c>
      <c r="F336">
        <v>15</v>
      </c>
      <c r="G336">
        <v>3850</v>
      </c>
      <c r="H336">
        <v>57750</v>
      </c>
      <c r="I336" s="3">
        <v>45294.875</v>
      </c>
      <c r="J336">
        <v>60</v>
      </c>
      <c r="K336" s="3">
        <v>45296.875</v>
      </c>
      <c r="L336" s="4">
        <f>ROUNDDOWN(Table1[[#This Row],[Ordered]],0)</f>
        <v>45294</v>
      </c>
      <c r="M336" s="4">
        <f>Table1[[#This Row],[Date ]]</f>
        <v>45294</v>
      </c>
      <c r="N336" s="5">
        <f>Table1[[#This Row],[Ordered]]-Table1[[#This Row],[Date ]]</f>
        <v>0.66666666666424135</v>
      </c>
      <c r="O336">
        <f>Table1[[#This Row],[Company]]</f>
        <v>12</v>
      </c>
      <c r="P336">
        <f>IF(((Table1[[#This Row],[Arrived]]-Table1[[#This Row],[Delivery]])*24-Table1[[#This Row],[Promised]])&lt;0, 0, (Table1[[#This Row],[Arrived]]-Table1[[#This Row],[Delivery]])*24-Table1[[#This Row],[Promised]])</f>
        <v>0</v>
      </c>
      <c r="Q336"/>
    </row>
    <row r="337" spans="1:17" x14ac:dyDescent="0.45">
      <c r="A337" s="3">
        <v>45294.666666666664</v>
      </c>
      <c r="B337" t="s">
        <v>14</v>
      </c>
      <c r="C337">
        <v>16</v>
      </c>
      <c r="D337">
        <v>1002</v>
      </c>
      <c r="E337" t="s">
        <v>16</v>
      </c>
      <c r="F337">
        <v>28</v>
      </c>
      <c r="G337">
        <v>3750</v>
      </c>
      <c r="H337">
        <v>105000</v>
      </c>
      <c r="I337" s="3">
        <v>45294.666666666664</v>
      </c>
      <c r="J337">
        <v>96</v>
      </c>
      <c r="K337" s="3">
        <v>45297.666666666664</v>
      </c>
      <c r="L337" s="4">
        <f>ROUNDDOWN(Table1[[#This Row],[Ordered]],0)</f>
        <v>45294</v>
      </c>
      <c r="M337" s="4">
        <f>Table1[[#This Row],[Date ]]</f>
        <v>45294</v>
      </c>
      <c r="N337" s="5">
        <f>Table1[[#This Row],[Ordered]]-Table1[[#This Row],[Date ]]</f>
        <v>0.66666666666424135</v>
      </c>
      <c r="O337">
        <f>Table1[[#This Row],[Company]]</f>
        <v>16</v>
      </c>
      <c r="P337">
        <f>IF(((Table1[[#This Row],[Arrived]]-Table1[[#This Row],[Delivery]])*24-Table1[[#This Row],[Promised]])&lt;0, 0, (Table1[[#This Row],[Arrived]]-Table1[[#This Row],[Delivery]])*24-Table1[[#This Row],[Promised]])</f>
        <v>0</v>
      </c>
      <c r="Q337"/>
    </row>
    <row r="338" spans="1:17" x14ac:dyDescent="0.45">
      <c r="A338" s="3">
        <v>45294.666666666664</v>
      </c>
      <c r="B338" t="s">
        <v>14</v>
      </c>
      <c r="C338">
        <v>10</v>
      </c>
      <c r="D338">
        <v>1002</v>
      </c>
      <c r="E338" t="s">
        <v>16</v>
      </c>
      <c r="F338">
        <v>28</v>
      </c>
      <c r="G338">
        <v>3700</v>
      </c>
      <c r="H338">
        <v>103600</v>
      </c>
      <c r="I338" s="3">
        <v>45294.708333333336</v>
      </c>
      <c r="J338">
        <v>48</v>
      </c>
      <c r="K338" s="3">
        <v>45297.708333333336</v>
      </c>
      <c r="L338" s="4">
        <f>ROUNDDOWN(Table1[[#This Row],[Ordered]],0)</f>
        <v>45294</v>
      </c>
      <c r="M338" s="4">
        <f>Table1[[#This Row],[Date ]]</f>
        <v>45294</v>
      </c>
      <c r="N338" s="5">
        <f>Table1[[#This Row],[Ordered]]-Table1[[#This Row],[Date ]]</f>
        <v>0.66666666666424135</v>
      </c>
      <c r="O338">
        <f>Table1[[#This Row],[Company]]</f>
        <v>10</v>
      </c>
      <c r="P338">
        <f>IF(((Table1[[#This Row],[Arrived]]-Table1[[#This Row],[Delivery]])*24-Table1[[#This Row],[Promised]])&lt;0, 0, (Table1[[#This Row],[Arrived]]-Table1[[#This Row],[Delivery]])*24-Table1[[#This Row],[Promised]])</f>
        <v>24</v>
      </c>
      <c r="Q338"/>
    </row>
    <row r="339" spans="1:17" x14ac:dyDescent="0.45">
      <c r="A339" s="3">
        <v>45294.666666666664</v>
      </c>
      <c r="B339" t="s">
        <v>14</v>
      </c>
      <c r="C339">
        <v>13</v>
      </c>
      <c r="D339">
        <v>1002</v>
      </c>
      <c r="E339" t="s">
        <v>16</v>
      </c>
      <c r="F339">
        <v>28</v>
      </c>
      <c r="G339">
        <v>3750</v>
      </c>
      <c r="H339">
        <v>105000</v>
      </c>
      <c r="I339" s="3">
        <v>45295.333333333336</v>
      </c>
      <c r="J339">
        <v>96</v>
      </c>
      <c r="K339" s="3">
        <v>45298.333333333336</v>
      </c>
      <c r="L339" s="4">
        <f>ROUNDDOWN(Table1[[#This Row],[Ordered]],0)</f>
        <v>45294</v>
      </c>
      <c r="M339" s="4">
        <f>Table1[[#This Row],[Date ]]</f>
        <v>45294</v>
      </c>
      <c r="N339" s="5">
        <f>Table1[[#This Row],[Ordered]]-Table1[[#This Row],[Date ]]</f>
        <v>0.66666666666424135</v>
      </c>
      <c r="O339">
        <f>Table1[[#This Row],[Company]]</f>
        <v>13</v>
      </c>
      <c r="P339">
        <f>IF(((Table1[[#This Row],[Arrived]]-Table1[[#This Row],[Delivery]])*24-Table1[[#This Row],[Promised]])&lt;0, 0, (Table1[[#This Row],[Arrived]]-Table1[[#This Row],[Delivery]])*24-Table1[[#This Row],[Promised]])</f>
        <v>0</v>
      </c>
      <c r="Q339"/>
    </row>
    <row r="340" spans="1:17" x14ac:dyDescent="0.45">
      <c r="A340" s="3">
        <v>45294.666666666664</v>
      </c>
      <c r="B340" t="s">
        <v>14</v>
      </c>
      <c r="C340">
        <v>14</v>
      </c>
      <c r="D340">
        <v>1002</v>
      </c>
      <c r="E340" t="s">
        <v>16</v>
      </c>
      <c r="F340">
        <v>28</v>
      </c>
      <c r="G340">
        <v>3750</v>
      </c>
      <c r="H340">
        <v>105000</v>
      </c>
      <c r="I340" s="3">
        <v>45294.75</v>
      </c>
      <c r="J340">
        <v>96</v>
      </c>
      <c r="K340" s="3">
        <v>45297.75</v>
      </c>
      <c r="L340" s="4">
        <f>ROUNDDOWN(Table1[[#This Row],[Ordered]],0)</f>
        <v>45294</v>
      </c>
      <c r="M340" s="4">
        <f>Table1[[#This Row],[Date ]]</f>
        <v>45294</v>
      </c>
      <c r="N340" s="5">
        <f>Table1[[#This Row],[Ordered]]-Table1[[#This Row],[Date ]]</f>
        <v>0.66666666666424135</v>
      </c>
      <c r="O340">
        <f>Table1[[#This Row],[Company]]</f>
        <v>14</v>
      </c>
      <c r="P340">
        <f>IF(((Table1[[#This Row],[Arrived]]-Table1[[#This Row],[Delivery]])*24-Table1[[#This Row],[Promised]])&lt;0, 0, (Table1[[#This Row],[Arrived]]-Table1[[#This Row],[Delivery]])*24-Table1[[#This Row],[Promised]])</f>
        <v>0</v>
      </c>
      <c r="Q340"/>
    </row>
    <row r="341" spans="1:17" x14ac:dyDescent="0.45">
      <c r="A341" s="3">
        <v>45294.75</v>
      </c>
      <c r="B341" t="s">
        <v>14</v>
      </c>
      <c r="C341">
        <v>11</v>
      </c>
      <c r="D341">
        <v>1002</v>
      </c>
      <c r="E341" t="s">
        <v>15</v>
      </c>
      <c r="F341">
        <v>3</v>
      </c>
      <c r="G341">
        <v>6650</v>
      </c>
      <c r="H341">
        <v>19950</v>
      </c>
      <c r="I341" s="3">
        <v>45295.625</v>
      </c>
      <c r="J341">
        <v>96</v>
      </c>
      <c r="K341" s="3">
        <v>45298.625</v>
      </c>
      <c r="L341" s="4">
        <f>ROUNDDOWN(Table1[[#This Row],[Ordered]],0)</f>
        <v>45294</v>
      </c>
      <c r="M341" s="4">
        <f>Table1[[#This Row],[Date ]]</f>
        <v>45294</v>
      </c>
      <c r="N341" s="5">
        <f>Table1[[#This Row],[Ordered]]-Table1[[#This Row],[Date ]]</f>
        <v>0.75</v>
      </c>
      <c r="O341">
        <f>Table1[[#This Row],[Company]]</f>
        <v>11</v>
      </c>
      <c r="P341">
        <f>IF(((Table1[[#This Row],[Arrived]]-Table1[[#This Row],[Delivery]])*24-Table1[[#This Row],[Promised]])&lt;0, 0, (Table1[[#This Row],[Arrived]]-Table1[[#This Row],[Delivery]])*24-Table1[[#This Row],[Promised]])</f>
        <v>0</v>
      </c>
      <c r="Q341"/>
    </row>
    <row r="342" spans="1:17" x14ac:dyDescent="0.45">
      <c r="A342" s="3">
        <v>45294.75</v>
      </c>
      <c r="B342" t="s">
        <v>14</v>
      </c>
      <c r="C342">
        <v>14</v>
      </c>
      <c r="D342">
        <v>1002</v>
      </c>
      <c r="E342" t="s">
        <v>15</v>
      </c>
      <c r="F342">
        <v>3</v>
      </c>
      <c r="G342">
        <v>6650</v>
      </c>
      <c r="H342">
        <v>19950</v>
      </c>
      <c r="I342" s="3">
        <v>45295.041666666664</v>
      </c>
      <c r="J342">
        <v>96</v>
      </c>
      <c r="K342" s="3">
        <v>45298.041666666664</v>
      </c>
      <c r="L342" s="4">
        <f>ROUNDDOWN(Table1[[#This Row],[Ordered]],0)</f>
        <v>45294</v>
      </c>
      <c r="M342" s="4">
        <f>Table1[[#This Row],[Date ]]</f>
        <v>45294</v>
      </c>
      <c r="N342" s="5">
        <f>Table1[[#This Row],[Ordered]]-Table1[[#This Row],[Date ]]</f>
        <v>0.75</v>
      </c>
      <c r="O342">
        <f>Table1[[#This Row],[Company]]</f>
        <v>14</v>
      </c>
      <c r="P342">
        <f>IF(((Table1[[#This Row],[Arrived]]-Table1[[#This Row],[Delivery]])*24-Table1[[#This Row],[Promised]])&lt;0, 0, (Table1[[#This Row],[Arrived]]-Table1[[#This Row],[Delivery]])*24-Table1[[#This Row],[Promised]])</f>
        <v>0</v>
      </c>
      <c r="Q342"/>
    </row>
    <row r="343" spans="1:17" x14ac:dyDescent="0.45">
      <c r="A343" s="3">
        <v>45294.75</v>
      </c>
      <c r="B343" t="s">
        <v>14</v>
      </c>
      <c r="C343">
        <v>10</v>
      </c>
      <c r="D343">
        <v>1002</v>
      </c>
      <c r="E343" t="s">
        <v>15</v>
      </c>
      <c r="F343">
        <v>3</v>
      </c>
      <c r="G343">
        <v>6800</v>
      </c>
      <c r="H343">
        <v>20400</v>
      </c>
      <c r="I343" s="3">
        <v>45294.916666666664</v>
      </c>
      <c r="J343">
        <v>96</v>
      </c>
      <c r="K343" s="3">
        <v>45297.916666666664</v>
      </c>
      <c r="L343" s="4">
        <f>ROUNDDOWN(Table1[[#This Row],[Ordered]],0)</f>
        <v>45294</v>
      </c>
      <c r="M343" s="4">
        <f>Table1[[#This Row],[Date ]]</f>
        <v>45294</v>
      </c>
      <c r="N343" s="5">
        <f>Table1[[#This Row],[Ordered]]-Table1[[#This Row],[Date ]]</f>
        <v>0.75</v>
      </c>
      <c r="O343">
        <f>Table1[[#This Row],[Company]]</f>
        <v>10</v>
      </c>
      <c r="P343">
        <f>IF(((Table1[[#This Row],[Arrived]]-Table1[[#This Row],[Delivery]])*24-Table1[[#This Row],[Promised]])&lt;0, 0, (Table1[[#This Row],[Arrived]]-Table1[[#This Row],[Delivery]])*24-Table1[[#This Row],[Promised]])</f>
        <v>0</v>
      </c>
      <c r="Q343"/>
    </row>
    <row r="344" spans="1:17" x14ac:dyDescent="0.45">
      <c r="A344" s="3">
        <v>45294.75</v>
      </c>
      <c r="B344" t="s">
        <v>14</v>
      </c>
      <c r="C344">
        <v>12</v>
      </c>
      <c r="D344">
        <v>1002</v>
      </c>
      <c r="E344" t="s">
        <v>15</v>
      </c>
      <c r="F344">
        <v>3</v>
      </c>
      <c r="G344">
        <v>6800</v>
      </c>
      <c r="H344">
        <v>20400</v>
      </c>
      <c r="I344" s="3">
        <v>45295.291666666664</v>
      </c>
      <c r="J344">
        <v>72</v>
      </c>
      <c r="K344" s="3">
        <v>45297.291666666664</v>
      </c>
      <c r="L344" s="4">
        <f>ROUNDDOWN(Table1[[#This Row],[Ordered]],0)</f>
        <v>45294</v>
      </c>
      <c r="M344" s="4">
        <f>Table1[[#This Row],[Date ]]</f>
        <v>45294</v>
      </c>
      <c r="N344" s="5">
        <f>Table1[[#This Row],[Ordered]]-Table1[[#This Row],[Date ]]</f>
        <v>0.75</v>
      </c>
      <c r="O344">
        <f>Table1[[#This Row],[Company]]</f>
        <v>12</v>
      </c>
      <c r="P344">
        <f>IF(((Table1[[#This Row],[Arrived]]-Table1[[#This Row],[Delivery]])*24-Table1[[#This Row],[Promised]])&lt;0, 0, (Table1[[#This Row],[Arrived]]-Table1[[#This Row],[Delivery]])*24-Table1[[#This Row],[Promised]])</f>
        <v>0</v>
      </c>
      <c r="Q344"/>
    </row>
    <row r="345" spans="1:17" x14ac:dyDescent="0.45">
      <c r="A345" s="3">
        <v>45294.75</v>
      </c>
      <c r="B345" t="s">
        <v>14</v>
      </c>
      <c r="C345">
        <v>7</v>
      </c>
      <c r="D345">
        <v>1002</v>
      </c>
      <c r="E345" t="s">
        <v>15</v>
      </c>
      <c r="F345">
        <v>3</v>
      </c>
      <c r="G345">
        <v>6650</v>
      </c>
      <c r="H345">
        <v>19950</v>
      </c>
      <c r="I345" s="3">
        <v>45295.25</v>
      </c>
      <c r="J345">
        <v>96</v>
      </c>
      <c r="K345" s="3">
        <v>45298.25</v>
      </c>
      <c r="L345" s="4">
        <f>ROUNDDOWN(Table1[[#This Row],[Ordered]],0)</f>
        <v>45294</v>
      </c>
      <c r="M345" s="4">
        <f>Table1[[#This Row],[Date ]]</f>
        <v>45294</v>
      </c>
      <c r="N345" s="5">
        <f>Table1[[#This Row],[Ordered]]-Table1[[#This Row],[Date ]]</f>
        <v>0.75</v>
      </c>
      <c r="O345">
        <f>Table1[[#This Row],[Company]]</f>
        <v>7</v>
      </c>
      <c r="P345">
        <f>IF(((Table1[[#This Row],[Arrived]]-Table1[[#This Row],[Delivery]])*24-Table1[[#This Row],[Promised]])&lt;0, 0, (Table1[[#This Row],[Arrived]]-Table1[[#This Row],[Delivery]])*24-Table1[[#This Row],[Promised]])</f>
        <v>0</v>
      </c>
      <c r="Q345"/>
    </row>
    <row r="346" spans="1:17" x14ac:dyDescent="0.45">
      <c r="A346" s="3">
        <v>45294.75</v>
      </c>
      <c r="B346" t="s">
        <v>14</v>
      </c>
      <c r="C346">
        <v>15</v>
      </c>
      <c r="D346">
        <v>1002</v>
      </c>
      <c r="E346" t="s">
        <v>15</v>
      </c>
      <c r="F346">
        <v>3</v>
      </c>
      <c r="G346">
        <v>6650</v>
      </c>
      <c r="H346">
        <v>19950</v>
      </c>
      <c r="I346" s="3">
        <v>45295.083333333336</v>
      </c>
      <c r="J346">
        <v>96</v>
      </c>
      <c r="K346" s="3">
        <v>45298.083333333336</v>
      </c>
      <c r="L346" s="4">
        <f>ROUNDDOWN(Table1[[#This Row],[Ordered]],0)</f>
        <v>45294</v>
      </c>
      <c r="M346" s="4">
        <f>Table1[[#This Row],[Date ]]</f>
        <v>45294</v>
      </c>
      <c r="N346" s="5">
        <f>Table1[[#This Row],[Ordered]]-Table1[[#This Row],[Date ]]</f>
        <v>0.75</v>
      </c>
      <c r="O346">
        <f>Table1[[#This Row],[Company]]</f>
        <v>15</v>
      </c>
      <c r="P346">
        <f>IF(((Table1[[#This Row],[Arrived]]-Table1[[#This Row],[Delivery]])*24-Table1[[#This Row],[Promised]])&lt;0, 0, (Table1[[#This Row],[Arrived]]-Table1[[#This Row],[Delivery]])*24-Table1[[#This Row],[Promised]])</f>
        <v>0</v>
      </c>
      <c r="Q346"/>
    </row>
    <row r="347" spans="1:17" x14ac:dyDescent="0.45">
      <c r="A347" s="3">
        <v>45294.75</v>
      </c>
      <c r="B347" t="s">
        <v>14</v>
      </c>
      <c r="C347">
        <v>9</v>
      </c>
      <c r="D347">
        <v>1002</v>
      </c>
      <c r="E347" t="s">
        <v>15</v>
      </c>
      <c r="F347">
        <v>3</v>
      </c>
      <c r="G347">
        <v>6650</v>
      </c>
      <c r="H347">
        <v>19950</v>
      </c>
      <c r="I347" s="3">
        <v>45295.625</v>
      </c>
      <c r="J347">
        <v>96</v>
      </c>
      <c r="K347" s="3">
        <v>45298.625</v>
      </c>
      <c r="L347" s="4">
        <f>ROUNDDOWN(Table1[[#This Row],[Ordered]],0)</f>
        <v>45294</v>
      </c>
      <c r="M347" s="4">
        <f>Table1[[#This Row],[Date ]]</f>
        <v>45294</v>
      </c>
      <c r="N347" s="5">
        <f>Table1[[#This Row],[Ordered]]-Table1[[#This Row],[Date ]]</f>
        <v>0.75</v>
      </c>
      <c r="O347">
        <f>Table1[[#This Row],[Company]]</f>
        <v>9</v>
      </c>
      <c r="P347">
        <f>IF(((Table1[[#This Row],[Arrived]]-Table1[[#This Row],[Delivery]])*24-Table1[[#This Row],[Promised]])&lt;0, 0, (Table1[[#This Row],[Arrived]]-Table1[[#This Row],[Delivery]])*24-Table1[[#This Row],[Promised]])</f>
        <v>0</v>
      </c>
      <c r="Q347"/>
    </row>
    <row r="348" spans="1:17" x14ac:dyDescent="0.45">
      <c r="A348" s="3">
        <v>45294.75</v>
      </c>
      <c r="B348" t="s">
        <v>14</v>
      </c>
      <c r="C348">
        <v>13</v>
      </c>
      <c r="D348">
        <v>1002</v>
      </c>
      <c r="E348" t="s">
        <v>15</v>
      </c>
      <c r="F348">
        <v>3</v>
      </c>
      <c r="G348">
        <v>6650</v>
      </c>
      <c r="H348">
        <v>19950</v>
      </c>
      <c r="I348" s="3">
        <v>45295.416666666664</v>
      </c>
      <c r="J348">
        <v>96</v>
      </c>
      <c r="K348" s="3">
        <v>45298.416666666664</v>
      </c>
      <c r="L348" s="4">
        <f>ROUNDDOWN(Table1[[#This Row],[Ordered]],0)</f>
        <v>45294</v>
      </c>
      <c r="M348" s="4">
        <f>Table1[[#This Row],[Date ]]</f>
        <v>45294</v>
      </c>
      <c r="N348" s="5">
        <f>Table1[[#This Row],[Ordered]]-Table1[[#This Row],[Date ]]</f>
        <v>0.75</v>
      </c>
      <c r="O348">
        <f>Table1[[#This Row],[Company]]</f>
        <v>13</v>
      </c>
      <c r="P348">
        <f>IF(((Table1[[#This Row],[Arrived]]-Table1[[#This Row],[Delivery]])*24-Table1[[#This Row],[Promised]])&lt;0, 0, (Table1[[#This Row],[Arrived]]-Table1[[#This Row],[Delivery]])*24-Table1[[#This Row],[Promised]])</f>
        <v>0</v>
      </c>
      <c r="Q348"/>
    </row>
    <row r="349" spans="1:17" x14ac:dyDescent="0.45">
      <c r="A349" s="3">
        <v>45294.75</v>
      </c>
      <c r="B349" t="s">
        <v>14</v>
      </c>
      <c r="C349">
        <v>8</v>
      </c>
      <c r="D349">
        <v>1002</v>
      </c>
      <c r="E349" t="s">
        <v>15</v>
      </c>
      <c r="F349">
        <v>3</v>
      </c>
      <c r="G349">
        <v>7300</v>
      </c>
      <c r="H349">
        <v>21900</v>
      </c>
      <c r="I349" s="3">
        <v>45295.583333333336</v>
      </c>
      <c r="J349">
        <v>96</v>
      </c>
      <c r="K349" s="3">
        <v>45298.583333333336</v>
      </c>
      <c r="L349" s="4">
        <f>ROUNDDOWN(Table1[[#This Row],[Ordered]],0)</f>
        <v>45294</v>
      </c>
      <c r="M349" s="4">
        <f>Table1[[#This Row],[Date ]]</f>
        <v>45294</v>
      </c>
      <c r="N349" s="5">
        <f>Table1[[#This Row],[Ordered]]-Table1[[#This Row],[Date ]]</f>
        <v>0.75</v>
      </c>
      <c r="O349">
        <f>Table1[[#This Row],[Company]]</f>
        <v>8</v>
      </c>
      <c r="P349">
        <f>IF(((Table1[[#This Row],[Arrived]]-Table1[[#This Row],[Delivery]])*24-Table1[[#This Row],[Promised]])&lt;0, 0, (Table1[[#This Row],[Arrived]]-Table1[[#This Row],[Delivery]])*24-Table1[[#This Row],[Promised]])</f>
        <v>0</v>
      </c>
      <c r="Q349"/>
    </row>
    <row r="350" spans="1:17" x14ac:dyDescent="0.45">
      <c r="A350" s="3">
        <v>45294.75</v>
      </c>
      <c r="B350" t="s">
        <v>14</v>
      </c>
      <c r="C350">
        <v>16</v>
      </c>
      <c r="D350">
        <v>1002</v>
      </c>
      <c r="E350" t="s">
        <v>15</v>
      </c>
      <c r="F350">
        <v>3</v>
      </c>
      <c r="G350">
        <v>6650</v>
      </c>
      <c r="H350">
        <v>19950</v>
      </c>
      <c r="I350" s="3">
        <v>45294.958333333336</v>
      </c>
      <c r="J350">
        <v>96</v>
      </c>
      <c r="K350" s="3">
        <v>45297.958333333336</v>
      </c>
      <c r="L350" s="4">
        <f>ROUNDDOWN(Table1[[#This Row],[Ordered]],0)</f>
        <v>45294</v>
      </c>
      <c r="M350" s="4">
        <f>Table1[[#This Row],[Date ]]</f>
        <v>45294</v>
      </c>
      <c r="N350" s="5">
        <f>Table1[[#This Row],[Ordered]]-Table1[[#This Row],[Date ]]</f>
        <v>0.75</v>
      </c>
      <c r="O350">
        <f>Table1[[#This Row],[Company]]</f>
        <v>16</v>
      </c>
      <c r="P350">
        <f>IF(((Table1[[#This Row],[Arrived]]-Table1[[#This Row],[Delivery]])*24-Table1[[#This Row],[Promised]])&lt;0, 0, (Table1[[#This Row],[Arrived]]-Table1[[#This Row],[Delivery]])*24-Table1[[#This Row],[Promised]])</f>
        <v>0</v>
      </c>
      <c r="Q350"/>
    </row>
    <row r="351" spans="1:17" x14ac:dyDescent="0.45">
      <c r="A351" s="3">
        <v>45294.833333333336</v>
      </c>
      <c r="B351" t="s">
        <v>14</v>
      </c>
      <c r="C351">
        <v>10</v>
      </c>
      <c r="D351">
        <v>1003</v>
      </c>
      <c r="E351" t="s">
        <v>16</v>
      </c>
      <c r="F351">
        <v>30</v>
      </c>
      <c r="G351">
        <v>3700</v>
      </c>
      <c r="H351">
        <v>111000</v>
      </c>
      <c r="I351" s="3">
        <v>45294.958333333336</v>
      </c>
      <c r="J351">
        <v>48</v>
      </c>
      <c r="K351" s="3">
        <v>45295.958333333336</v>
      </c>
      <c r="L351" s="4">
        <f>ROUNDDOWN(Table1[[#This Row],[Ordered]],0)</f>
        <v>45294</v>
      </c>
      <c r="M351" s="4">
        <f>Table1[[#This Row],[Date ]]</f>
        <v>45294</v>
      </c>
      <c r="N351" s="5">
        <f>Table1[[#This Row],[Ordered]]-Table1[[#This Row],[Date ]]</f>
        <v>0.83333333333575865</v>
      </c>
      <c r="O351">
        <f>Table1[[#This Row],[Company]]</f>
        <v>10</v>
      </c>
      <c r="P351">
        <f>IF(((Table1[[#This Row],[Arrived]]-Table1[[#This Row],[Delivery]])*24-Table1[[#This Row],[Promised]])&lt;0, 0, (Table1[[#This Row],[Arrived]]-Table1[[#This Row],[Delivery]])*24-Table1[[#This Row],[Promised]])</f>
        <v>0</v>
      </c>
      <c r="Q351"/>
    </row>
    <row r="352" spans="1:17" x14ac:dyDescent="0.45">
      <c r="A352" s="3">
        <v>45294.833333333336</v>
      </c>
      <c r="B352" t="s">
        <v>14</v>
      </c>
      <c r="C352">
        <v>15</v>
      </c>
      <c r="D352">
        <v>1003</v>
      </c>
      <c r="E352" t="s">
        <v>16</v>
      </c>
      <c r="F352">
        <v>32</v>
      </c>
      <c r="G352">
        <v>3650</v>
      </c>
      <c r="H352">
        <v>116800</v>
      </c>
      <c r="I352" s="3">
        <v>45295.208333333336</v>
      </c>
      <c r="J352">
        <v>96</v>
      </c>
      <c r="K352" s="3">
        <v>45298.208333333336</v>
      </c>
      <c r="L352" s="4">
        <f>ROUNDDOWN(Table1[[#This Row],[Ordered]],0)</f>
        <v>45294</v>
      </c>
      <c r="M352" s="4">
        <f>Table1[[#This Row],[Date ]]</f>
        <v>45294</v>
      </c>
      <c r="N352" s="5">
        <f>Table1[[#This Row],[Ordered]]-Table1[[#This Row],[Date ]]</f>
        <v>0.83333333333575865</v>
      </c>
      <c r="O352">
        <f>Table1[[#This Row],[Company]]</f>
        <v>15</v>
      </c>
      <c r="P352">
        <f>IF(((Table1[[#This Row],[Arrived]]-Table1[[#This Row],[Delivery]])*24-Table1[[#This Row],[Promised]])&lt;0, 0, (Table1[[#This Row],[Arrived]]-Table1[[#This Row],[Delivery]])*24-Table1[[#This Row],[Promised]])</f>
        <v>0</v>
      </c>
      <c r="Q352"/>
    </row>
    <row r="353" spans="1:17" x14ac:dyDescent="0.45">
      <c r="A353" s="3">
        <v>45294.833333333336</v>
      </c>
      <c r="B353" t="s">
        <v>14</v>
      </c>
      <c r="C353">
        <v>7</v>
      </c>
      <c r="D353">
        <v>1003</v>
      </c>
      <c r="E353" t="s">
        <v>16</v>
      </c>
      <c r="F353">
        <v>30</v>
      </c>
      <c r="G353">
        <v>3650</v>
      </c>
      <c r="H353">
        <v>109500</v>
      </c>
      <c r="I353" s="3">
        <v>45295.291666666664</v>
      </c>
      <c r="J353">
        <v>96</v>
      </c>
      <c r="K353" s="3">
        <v>45298.291666666664</v>
      </c>
      <c r="L353" s="4">
        <f>ROUNDDOWN(Table1[[#This Row],[Ordered]],0)</f>
        <v>45294</v>
      </c>
      <c r="M353" s="4">
        <f>Table1[[#This Row],[Date ]]</f>
        <v>45294</v>
      </c>
      <c r="N353" s="5">
        <f>Table1[[#This Row],[Ordered]]-Table1[[#This Row],[Date ]]</f>
        <v>0.83333333333575865</v>
      </c>
      <c r="O353">
        <f>Table1[[#This Row],[Company]]</f>
        <v>7</v>
      </c>
      <c r="P353">
        <f>IF(((Table1[[#This Row],[Arrived]]-Table1[[#This Row],[Delivery]])*24-Table1[[#This Row],[Promised]])&lt;0, 0, (Table1[[#This Row],[Arrived]]-Table1[[#This Row],[Delivery]])*24-Table1[[#This Row],[Promised]])</f>
        <v>0</v>
      </c>
      <c r="Q353"/>
    </row>
    <row r="354" spans="1:17" x14ac:dyDescent="0.45">
      <c r="A354" s="3">
        <v>45294.833333333336</v>
      </c>
      <c r="B354" t="s">
        <v>14</v>
      </c>
      <c r="C354">
        <v>14</v>
      </c>
      <c r="D354">
        <v>1003</v>
      </c>
      <c r="E354" t="s">
        <v>16</v>
      </c>
      <c r="F354">
        <v>30</v>
      </c>
      <c r="G354">
        <v>3750</v>
      </c>
      <c r="H354">
        <v>112500</v>
      </c>
      <c r="I354" s="3">
        <v>45295.041666666664</v>
      </c>
      <c r="J354">
        <v>96</v>
      </c>
      <c r="K354" s="3">
        <v>45298.041666666664</v>
      </c>
      <c r="L354" s="4">
        <f>ROUNDDOWN(Table1[[#This Row],[Ordered]],0)</f>
        <v>45294</v>
      </c>
      <c r="M354" s="4">
        <f>Table1[[#This Row],[Date ]]</f>
        <v>45294</v>
      </c>
      <c r="N354" s="5">
        <f>Table1[[#This Row],[Ordered]]-Table1[[#This Row],[Date ]]</f>
        <v>0.83333333333575865</v>
      </c>
      <c r="O354">
        <f>Table1[[#This Row],[Company]]</f>
        <v>14</v>
      </c>
      <c r="P354">
        <f>IF(((Table1[[#This Row],[Arrived]]-Table1[[#This Row],[Delivery]])*24-Table1[[#This Row],[Promised]])&lt;0, 0, (Table1[[#This Row],[Arrived]]-Table1[[#This Row],[Delivery]])*24-Table1[[#This Row],[Promised]])</f>
        <v>0</v>
      </c>
      <c r="Q354"/>
    </row>
    <row r="355" spans="1:17" x14ac:dyDescent="0.45">
      <c r="A355" s="3">
        <v>45294.833333333336</v>
      </c>
      <c r="B355" t="s">
        <v>14</v>
      </c>
      <c r="C355">
        <v>11</v>
      </c>
      <c r="D355">
        <v>1003</v>
      </c>
      <c r="E355" t="s">
        <v>16</v>
      </c>
      <c r="F355">
        <v>30</v>
      </c>
      <c r="G355">
        <v>3750</v>
      </c>
      <c r="H355">
        <v>112500</v>
      </c>
      <c r="I355" s="3">
        <v>45295.125</v>
      </c>
      <c r="J355">
        <v>96</v>
      </c>
      <c r="K355" s="3">
        <v>45298.125</v>
      </c>
      <c r="L355" s="4">
        <f>ROUNDDOWN(Table1[[#This Row],[Ordered]],0)</f>
        <v>45294</v>
      </c>
      <c r="M355" s="4">
        <f>Table1[[#This Row],[Date ]]</f>
        <v>45294</v>
      </c>
      <c r="N355" s="5">
        <f>Table1[[#This Row],[Ordered]]-Table1[[#This Row],[Date ]]</f>
        <v>0.83333333333575865</v>
      </c>
      <c r="O355">
        <f>Table1[[#This Row],[Company]]</f>
        <v>11</v>
      </c>
      <c r="P355">
        <f>IF(((Table1[[#This Row],[Arrived]]-Table1[[#This Row],[Delivery]])*24-Table1[[#This Row],[Promised]])&lt;0, 0, (Table1[[#This Row],[Arrived]]-Table1[[#This Row],[Delivery]])*24-Table1[[#This Row],[Promised]])</f>
        <v>0</v>
      </c>
      <c r="Q355"/>
    </row>
    <row r="356" spans="1:17" hidden="1" x14ac:dyDescent="0.45">
      <c r="A356" s="3">
        <v>45294.833333333336</v>
      </c>
      <c r="B356" t="s">
        <v>12</v>
      </c>
      <c r="C356">
        <v>6</v>
      </c>
      <c r="D356">
        <v>15</v>
      </c>
      <c r="E356" t="s">
        <v>17</v>
      </c>
      <c r="F356">
        <v>161</v>
      </c>
      <c r="G356">
        <v>1100</v>
      </c>
      <c r="H356">
        <v>177100</v>
      </c>
      <c r="I356" s="3">
        <v>45294.916666666664</v>
      </c>
      <c r="J356">
        <v>72</v>
      </c>
      <c r="K356" s="3">
        <v>45297.916666666664</v>
      </c>
      <c r="L356" s="4">
        <f>ROUNDDOWN(Table1[[#This Row],[Ordered]],0)</f>
        <v>45294</v>
      </c>
      <c r="M356" s="4">
        <f>Table1[[#This Row],[Date ]]</f>
        <v>45294</v>
      </c>
      <c r="N356" s="5">
        <f>Table1[[#This Row],[Ordered]]-Table1[[#This Row],[Date ]]</f>
        <v>0.83333333333575865</v>
      </c>
      <c r="O356">
        <f>Table1[[#This Row],[Company]]</f>
        <v>6</v>
      </c>
      <c r="P356">
        <f>IF(((Table1[[#This Row],[Arrived]]-Table1[[#This Row],[Delivery]])*24-Table1[[#This Row],[Promised]])&lt;0, 0, (Table1[[#This Row],[Arrived]]-Table1[[#This Row],[Delivery]])*24-Table1[[#This Row],[Promised]])</f>
        <v>0</v>
      </c>
      <c r="Q356"/>
    </row>
    <row r="357" spans="1:17" x14ac:dyDescent="0.45">
      <c r="A357" s="3">
        <v>45294.833333333336</v>
      </c>
      <c r="B357" t="s">
        <v>14</v>
      </c>
      <c r="C357">
        <v>12</v>
      </c>
      <c r="D357">
        <v>1003</v>
      </c>
      <c r="E357" t="s">
        <v>16</v>
      </c>
      <c r="F357">
        <v>15</v>
      </c>
      <c r="G357">
        <v>3850</v>
      </c>
      <c r="H357">
        <v>57750</v>
      </c>
      <c r="I357" s="3">
        <v>45294.958333333336</v>
      </c>
      <c r="J357">
        <v>60</v>
      </c>
      <c r="K357" s="3">
        <v>45296.958333333336</v>
      </c>
      <c r="L357" s="4">
        <f>ROUNDDOWN(Table1[[#This Row],[Ordered]],0)</f>
        <v>45294</v>
      </c>
      <c r="M357" s="4">
        <f>Table1[[#This Row],[Date ]]</f>
        <v>45294</v>
      </c>
      <c r="N357" s="5">
        <f>Table1[[#This Row],[Ordered]]-Table1[[#This Row],[Date ]]</f>
        <v>0.83333333333575865</v>
      </c>
      <c r="O357">
        <f>Table1[[#This Row],[Company]]</f>
        <v>12</v>
      </c>
      <c r="P357">
        <f>IF(((Table1[[#This Row],[Arrived]]-Table1[[#This Row],[Delivery]])*24-Table1[[#This Row],[Promised]])&lt;0, 0, (Table1[[#This Row],[Arrived]]-Table1[[#This Row],[Delivery]])*24-Table1[[#This Row],[Promised]])</f>
        <v>0</v>
      </c>
      <c r="Q357"/>
    </row>
    <row r="358" spans="1:17" x14ac:dyDescent="0.45">
      <c r="A358" s="3">
        <v>45294.833333333336</v>
      </c>
      <c r="B358" t="s">
        <v>14</v>
      </c>
      <c r="C358">
        <v>16</v>
      </c>
      <c r="D358">
        <v>1003</v>
      </c>
      <c r="E358" t="s">
        <v>16</v>
      </c>
      <c r="F358">
        <v>30</v>
      </c>
      <c r="G358">
        <v>3750</v>
      </c>
      <c r="H358">
        <v>112500</v>
      </c>
      <c r="I358" s="3">
        <v>45294.958333333336</v>
      </c>
      <c r="J358">
        <v>96</v>
      </c>
      <c r="K358" s="3">
        <v>45297.958333333336</v>
      </c>
      <c r="L358" s="4">
        <f>ROUNDDOWN(Table1[[#This Row],[Ordered]],0)</f>
        <v>45294</v>
      </c>
      <c r="M358" s="4">
        <f>Table1[[#This Row],[Date ]]</f>
        <v>45294</v>
      </c>
      <c r="N358" s="5">
        <f>Table1[[#This Row],[Ordered]]-Table1[[#This Row],[Date ]]</f>
        <v>0.83333333333575865</v>
      </c>
      <c r="O358">
        <f>Table1[[#This Row],[Company]]</f>
        <v>16</v>
      </c>
      <c r="P358">
        <f>IF(((Table1[[#This Row],[Arrived]]-Table1[[#This Row],[Delivery]])*24-Table1[[#This Row],[Promised]])&lt;0, 0, (Table1[[#This Row],[Arrived]]-Table1[[#This Row],[Delivery]])*24-Table1[[#This Row],[Promised]])</f>
        <v>0</v>
      </c>
      <c r="Q358"/>
    </row>
    <row r="359" spans="1:17" x14ac:dyDescent="0.45">
      <c r="A359" s="3">
        <v>45294.833333333336</v>
      </c>
      <c r="B359" t="s">
        <v>14</v>
      </c>
      <c r="C359">
        <v>8</v>
      </c>
      <c r="D359">
        <v>1003</v>
      </c>
      <c r="E359" t="s">
        <v>16</v>
      </c>
      <c r="F359">
        <v>30</v>
      </c>
      <c r="G359">
        <v>3750</v>
      </c>
      <c r="H359">
        <v>112500</v>
      </c>
      <c r="I359" s="3">
        <v>45295.708333333336</v>
      </c>
      <c r="J359">
        <v>96</v>
      </c>
      <c r="K359" s="3">
        <v>45298.708333333336</v>
      </c>
      <c r="L359" s="4">
        <f>ROUNDDOWN(Table1[[#This Row],[Ordered]],0)</f>
        <v>45294</v>
      </c>
      <c r="M359" s="4">
        <f>Table1[[#This Row],[Date ]]</f>
        <v>45294</v>
      </c>
      <c r="N359" s="5">
        <f>Table1[[#This Row],[Ordered]]-Table1[[#This Row],[Date ]]</f>
        <v>0.83333333333575865</v>
      </c>
      <c r="O359">
        <f>Table1[[#This Row],[Company]]</f>
        <v>8</v>
      </c>
      <c r="P359">
        <f>IF(((Table1[[#This Row],[Arrived]]-Table1[[#This Row],[Delivery]])*24-Table1[[#This Row],[Promised]])&lt;0, 0, (Table1[[#This Row],[Arrived]]-Table1[[#This Row],[Delivery]])*24-Table1[[#This Row],[Promised]])</f>
        <v>0</v>
      </c>
      <c r="Q359"/>
    </row>
    <row r="360" spans="1:17" x14ac:dyDescent="0.45">
      <c r="A360" s="3">
        <v>45294.833333333336</v>
      </c>
      <c r="B360" t="s">
        <v>14</v>
      </c>
      <c r="C360">
        <v>9</v>
      </c>
      <c r="D360">
        <v>1003</v>
      </c>
      <c r="E360" t="s">
        <v>16</v>
      </c>
      <c r="F360">
        <v>30</v>
      </c>
      <c r="G360">
        <v>3550</v>
      </c>
      <c r="H360">
        <v>106500</v>
      </c>
      <c r="I360" s="3">
        <v>45295.708333333336</v>
      </c>
      <c r="J360">
        <v>96</v>
      </c>
      <c r="K360" s="3">
        <v>45298.708333333336</v>
      </c>
      <c r="L360" s="4">
        <f>ROUNDDOWN(Table1[[#This Row],[Ordered]],0)</f>
        <v>45294</v>
      </c>
      <c r="M360" s="4">
        <f>Table1[[#This Row],[Date ]]</f>
        <v>45294</v>
      </c>
      <c r="N360" s="5">
        <f>Table1[[#This Row],[Ordered]]-Table1[[#This Row],[Date ]]</f>
        <v>0.83333333333575865</v>
      </c>
      <c r="O360">
        <f>Table1[[#This Row],[Company]]</f>
        <v>9</v>
      </c>
      <c r="P360">
        <f>IF(((Table1[[#This Row],[Arrived]]-Table1[[#This Row],[Delivery]])*24-Table1[[#This Row],[Promised]])&lt;0, 0, (Table1[[#This Row],[Arrived]]-Table1[[#This Row],[Delivery]])*24-Table1[[#This Row],[Promised]])</f>
        <v>0</v>
      </c>
      <c r="Q360"/>
    </row>
    <row r="361" spans="1:17" x14ac:dyDescent="0.45">
      <c r="A361" s="3">
        <v>45294.833333333336</v>
      </c>
      <c r="B361" t="s">
        <v>14</v>
      </c>
      <c r="C361">
        <v>13</v>
      </c>
      <c r="D361">
        <v>1003</v>
      </c>
      <c r="E361" t="s">
        <v>16</v>
      </c>
      <c r="F361">
        <v>30</v>
      </c>
      <c r="G361">
        <v>3750</v>
      </c>
      <c r="H361">
        <v>112500</v>
      </c>
      <c r="I361" s="3">
        <v>45295.541666666664</v>
      </c>
      <c r="J361">
        <v>96</v>
      </c>
      <c r="K361" s="3">
        <v>45298.541666666664</v>
      </c>
      <c r="L361" s="4">
        <f>ROUNDDOWN(Table1[[#This Row],[Ordered]],0)</f>
        <v>45294</v>
      </c>
      <c r="M361" s="4">
        <f>Table1[[#This Row],[Date ]]</f>
        <v>45294</v>
      </c>
      <c r="N361" s="5">
        <f>Table1[[#This Row],[Ordered]]-Table1[[#This Row],[Date ]]</f>
        <v>0.83333333333575865</v>
      </c>
      <c r="O361">
        <f>Table1[[#This Row],[Company]]</f>
        <v>13</v>
      </c>
      <c r="P361">
        <f>IF(((Table1[[#This Row],[Arrived]]-Table1[[#This Row],[Delivery]])*24-Table1[[#This Row],[Promised]])&lt;0, 0, (Table1[[#This Row],[Arrived]]-Table1[[#This Row],[Delivery]])*24-Table1[[#This Row],[Promised]])</f>
        <v>0</v>
      </c>
      <c r="Q361"/>
    </row>
    <row r="362" spans="1:17" hidden="1" x14ac:dyDescent="0.45">
      <c r="A362" s="3">
        <v>45294.916666666664</v>
      </c>
      <c r="B362" t="s">
        <v>12</v>
      </c>
      <c r="C362">
        <v>2</v>
      </c>
      <c r="D362">
        <v>8</v>
      </c>
      <c r="E362" t="s">
        <v>13</v>
      </c>
      <c r="F362">
        <v>1000</v>
      </c>
      <c r="G362">
        <v>120</v>
      </c>
      <c r="H362">
        <v>120000</v>
      </c>
      <c r="I362" s="3">
        <v>45294.958333333336</v>
      </c>
      <c r="J362">
        <v>24</v>
      </c>
      <c r="K362" s="3">
        <v>45295.958333333336</v>
      </c>
      <c r="L362" s="4">
        <f>ROUNDDOWN(Table1[[#This Row],[Ordered]],0)</f>
        <v>45294</v>
      </c>
      <c r="M362" s="4">
        <f>Table1[[#This Row],[Date ]]</f>
        <v>45294</v>
      </c>
      <c r="N362" s="5">
        <f>Table1[[#This Row],[Ordered]]-Table1[[#This Row],[Date ]]</f>
        <v>0.91666666666424135</v>
      </c>
      <c r="O362" s="5">
        <f>Table1[[#This Row],[Company]]</f>
        <v>2</v>
      </c>
      <c r="P362">
        <f>IF(((Table1[[#This Row],[Arrived]]-Table1[[#This Row],[Delivery]])*24-Table1[[#This Row],[Promised]])&lt;0, 0, (Table1[[#This Row],[Arrived]]-Table1[[#This Row],[Delivery]])*24-Table1[[#This Row],[Promised]])</f>
        <v>0</v>
      </c>
      <c r="Q362"/>
    </row>
    <row r="363" spans="1:17" x14ac:dyDescent="0.45">
      <c r="A363" s="3">
        <v>45294.958333333336</v>
      </c>
      <c r="B363" t="s">
        <v>14</v>
      </c>
      <c r="C363">
        <v>7</v>
      </c>
      <c r="D363">
        <v>1004</v>
      </c>
      <c r="E363" t="s">
        <v>16</v>
      </c>
      <c r="F363">
        <v>30</v>
      </c>
      <c r="G363">
        <v>3650</v>
      </c>
      <c r="H363">
        <v>109500</v>
      </c>
      <c r="I363" s="3">
        <v>45295.333333333336</v>
      </c>
      <c r="J363">
        <v>96</v>
      </c>
      <c r="K363" s="3">
        <v>45298.333333333336</v>
      </c>
      <c r="L363" s="4">
        <f>ROUNDDOWN(Table1[[#This Row],[Ordered]],0)</f>
        <v>45294</v>
      </c>
      <c r="M363" s="4">
        <f>Table1[[#This Row],[Date ]]</f>
        <v>45294</v>
      </c>
      <c r="N363" s="5">
        <f>Table1[[#This Row],[Ordered]]-Table1[[#This Row],[Date ]]</f>
        <v>0.95833333333575865</v>
      </c>
      <c r="O363">
        <f>Table1[[#This Row],[Company]]</f>
        <v>7</v>
      </c>
      <c r="P363">
        <f>IF(((Table1[[#This Row],[Arrived]]-Table1[[#This Row],[Delivery]])*24-Table1[[#This Row],[Promised]])&lt;0, 0, (Table1[[#This Row],[Arrived]]-Table1[[#This Row],[Delivery]])*24-Table1[[#This Row],[Promised]])</f>
        <v>0</v>
      </c>
      <c r="Q363"/>
    </row>
    <row r="364" spans="1:17" x14ac:dyDescent="0.45">
      <c r="A364" s="3">
        <v>45294.958333333336</v>
      </c>
      <c r="B364" t="s">
        <v>19</v>
      </c>
      <c r="C364">
        <v>7</v>
      </c>
      <c r="D364">
        <v>3009</v>
      </c>
      <c r="E364" t="s">
        <v>16</v>
      </c>
      <c r="F364">
        <v>5</v>
      </c>
      <c r="G364">
        <v>4200</v>
      </c>
      <c r="H364">
        <v>21000</v>
      </c>
      <c r="I364" s="3">
        <v>45296</v>
      </c>
      <c r="J364">
        <v>288</v>
      </c>
      <c r="K364" s="3">
        <v>45306</v>
      </c>
      <c r="L364" s="4">
        <f>ROUNDDOWN(Table1[[#This Row],[Ordered]],0)</f>
        <v>45294</v>
      </c>
      <c r="M364" s="4">
        <f>Table1[[#This Row],[Date ]]</f>
        <v>45294</v>
      </c>
      <c r="N364" s="5">
        <f>Table1[[#This Row],[Ordered]]-Table1[[#This Row],[Date ]]</f>
        <v>0.95833333333575865</v>
      </c>
      <c r="O364">
        <f>Table1[[#This Row],[Company]]</f>
        <v>7</v>
      </c>
      <c r="P364">
        <f>IF(((Table1[[#This Row],[Arrived]]-Table1[[#This Row],[Delivery]])*24-Table1[[#This Row],[Promised]])&lt;0, 0, (Table1[[#This Row],[Arrived]]-Table1[[#This Row],[Delivery]])*24-Table1[[#This Row],[Promised]])</f>
        <v>0</v>
      </c>
      <c r="Q364"/>
    </row>
    <row r="365" spans="1:17" x14ac:dyDescent="0.45">
      <c r="A365" s="3">
        <v>45294.958333333336</v>
      </c>
      <c r="B365" t="s">
        <v>14</v>
      </c>
      <c r="C365">
        <v>15</v>
      </c>
      <c r="D365">
        <v>1004</v>
      </c>
      <c r="E365" t="s">
        <v>16</v>
      </c>
      <c r="F365">
        <v>30</v>
      </c>
      <c r="G365">
        <v>3750</v>
      </c>
      <c r="H365">
        <v>112500</v>
      </c>
      <c r="I365" s="3">
        <v>45295.458333333336</v>
      </c>
      <c r="J365">
        <v>92</v>
      </c>
      <c r="K365" s="3">
        <v>45298.458333333336</v>
      </c>
      <c r="L365" s="4">
        <f>ROUNDDOWN(Table1[[#This Row],[Ordered]],0)</f>
        <v>45294</v>
      </c>
      <c r="M365" s="4">
        <f>Table1[[#This Row],[Date ]]</f>
        <v>45294</v>
      </c>
      <c r="N365" s="5">
        <f>Table1[[#This Row],[Ordered]]-Table1[[#This Row],[Date ]]</f>
        <v>0.95833333333575865</v>
      </c>
      <c r="O365">
        <f>Table1[[#This Row],[Company]]</f>
        <v>15</v>
      </c>
      <c r="P365">
        <f>IF(((Table1[[#This Row],[Arrived]]-Table1[[#This Row],[Delivery]])*24-Table1[[#This Row],[Promised]])&lt;0, 0, (Table1[[#This Row],[Arrived]]-Table1[[#This Row],[Delivery]])*24-Table1[[#This Row],[Promised]])</f>
        <v>0</v>
      </c>
      <c r="Q365"/>
    </row>
    <row r="366" spans="1:17" x14ac:dyDescent="0.45">
      <c r="A366" s="3">
        <v>45294.958333333336</v>
      </c>
      <c r="B366" t="s">
        <v>14</v>
      </c>
      <c r="C366">
        <v>8</v>
      </c>
      <c r="D366">
        <v>1004</v>
      </c>
      <c r="E366" t="s">
        <v>16</v>
      </c>
      <c r="F366">
        <v>30</v>
      </c>
      <c r="G366">
        <v>3750</v>
      </c>
      <c r="H366">
        <v>112500</v>
      </c>
      <c r="I366" s="3">
        <v>45295.708333333336</v>
      </c>
      <c r="J366">
        <v>96</v>
      </c>
      <c r="K366" s="3">
        <v>45298.708333333336</v>
      </c>
      <c r="L366" s="4">
        <f>ROUNDDOWN(Table1[[#This Row],[Ordered]],0)</f>
        <v>45294</v>
      </c>
      <c r="M366" s="4">
        <f>Table1[[#This Row],[Date ]]</f>
        <v>45294</v>
      </c>
      <c r="N366" s="5">
        <f>Table1[[#This Row],[Ordered]]-Table1[[#This Row],[Date ]]</f>
        <v>0.95833333333575865</v>
      </c>
      <c r="O366">
        <f>Table1[[#This Row],[Company]]</f>
        <v>8</v>
      </c>
      <c r="P366">
        <f>IF(((Table1[[#This Row],[Arrived]]-Table1[[#This Row],[Delivery]])*24-Table1[[#This Row],[Promised]])&lt;0, 0, (Table1[[#This Row],[Arrived]]-Table1[[#This Row],[Delivery]])*24-Table1[[#This Row],[Promised]])</f>
        <v>0</v>
      </c>
      <c r="Q366"/>
    </row>
    <row r="367" spans="1:17" x14ac:dyDescent="0.45">
      <c r="A367" s="3">
        <v>45294.958333333336</v>
      </c>
      <c r="B367" t="s">
        <v>14</v>
      </c>
      <c r="C367">
        <v>16</v>
      </c>
      <c r="D367">
        <v>1004</v>
      </c>
      <c r="E367" t="s">
        <v>16</v>
      </c>
      <c r="F367">
        <v>30</v>
      </c>
      <c r="G367">
        <v>3750</v>
      </c>
      <c r="H367">
        <v>112500</v>
      </c>
      <c r="I367" s="3">
        <v>45294.958333333336</v>
      </c>
      <c r="J367">
        <v>96</v>
      </c>
      <c r="K367" s="3">
        <v>45297.958333333336</v>
      </c>
      <c r="L367" s="4">
        <f>ROUNDDOWN(Table1[[#This Row],[Ordered]],0)</f>
        <v>45294</v>
      </c>
      <c r="M367" s="4">
        <f>Table1[[#This Row],[Date ]]</f>
        <v>45294</v>
      </c>
      <c r="N367" s="5">
        <f>Table1[[#This Row],[Ordered]]-Table1[[#This Row],[Date ]]</f>
        <v>0.95833333333575865</v>
      </c>
      <c r="O367">
        <f>Table1[[#This Row],[Company]]</f>
        <v>16</v>
      </c>
      <c r="P367">
        <f>IF(((Table1[[#This Row],[Arrived]]-Table1[[#This Row],[Delivery]])*24-Table1[[#This Row],[Promised]])&lt;0, 0, (Table1[[#This Row],[Arrived]]-Table1[[#This Row],[Delivery]])*24-Table1[[#This Row],[Promised]])</f>
        <v>0</v>
      </c>
      <c r="Q367"/>
    </row>
    <row r="368" spans="1:17" x14ac:dyDescent="0.45">
      <c r="A368" s="3">
        <v>45294.958333333336</v>
      </c>
      <c r="B368" t="s">
        <v>14</v>
      </c>
      <c r="C368">
        <v>9</v>
      </c>
      <c r="D368">
        <v>1004</v>
      </c>
      <c r="E368" t="s">
        <v>16</v>
      </c>
      <c r="F368">
        <v>30</v>
      </c>
      <c r="G368">
        <v>3750</v>
      </c>
      <c r="H368">
        <v>112500</v>
      </c>
      <c r="I368" s="3">
        <v>45295.875</v>
      </c>
      <c r="J368">
        <v>96</v>
      </c>
      <c r="K368" s="3">
        <v>45298.875</v>
      </c>
      <c r="L368" s="4">
        <f>ROUNDDOWN(Table1[[#This Row],[Ordered]],0)</f>
        <v>45294</v>
      </c>
      <c r="M368" s="4">
        <f>Table1[[#This Row],[Date ]]</f>
        <v>45294</v>
      </c>
      <c r="N368" s="5">
        <f>Table1[[#This Row],[Ordered]]-Table1[[#This Row],[Date ]]</f>
        <v>0.95833333333575865</v>
      </c>
      <c r="O368">
        <f>Table1[[#This Row],[Company]]</f>
        <v>9</v>
      </c>
      <c r="P368">
        <f>IF(((Table1[[#This Row],[Arrived]]-Table1[[#This Row],[Delivery]])*24-Table1[[#This Row],[Promised]])&lt;0, 0, (Table1[[#This Row],[Arrived]]-Table1[[#This Row],[Delivery]])*24-Table1[[#This Row],[Promised]])</f>
        <v>0</v>
      </c>
      <c r="Q368"/>
    </row>
    <row r="369" spans="1:17" hidden="1" x14ac:dyDescent="0.45">
      <c r="A369" s="3">
        <v>45294.958333333336</v>
      </c>
      <c r="B369" t="s">
        <v>12</v>
      </c>
      <c r="C369">
        <v>5</v>
      </c>
      <c r="D369">
        <v>16</v>
      </c>
      <c r="E369" t="s">
        <v>17</v>
      </c>
      <c r="F369">
        <v>240</v>
      </c>
      <c r="G369">
        <v>1020</v>
      </c>
      <c r="H369">
        <v>244800</v>
      </c>
      <c r="I369" s="3">
        <v>45295.25</v>
      </c>
      <c r="J369">
        <v>24</v>
      </c>
      <c r="K369" s="3">
        <v>45296.25</v>
      </c>
      <c r="L369" s="4">
        <f>ROUNDDOWN(Table1[[#This Row],[Ordered]],0)</f>
        <v>45294</v>
      </c>
      <c r="M369" s="4">
        <f>Table1[[#This Row],[Date ]]</f>
        <v>45294</v>
      </c>
      <c r="N369" s="5">
        <f>Table1[[#This Row],[Ordered]]-Table1[[#This Row],[Date ]]</f>
        <v>0.95833333333575865</v>
      </c>
      <c r="O369">
        <f>Table1[[#This Row],[Company]]</f>
        <v>5</v>
      </c>
      <c r="P369">
        <f>IF(((Table1[[#This Row],[Arrived]]-Table1[[#This Row],[Delivery]])*24-Table1[[#This Row],[Promised]])&lt;0, 0, (Table1[[#This Row],[Arrived]]-Table1[[#This Row],[Delivery]])*24-Table1[[#This Row],[Promised]])</f>
        <v>0</v>
      </c>
      <c r="Q369"/>
    </row>
    <row r="370" spans="1:17" x14ac:dyDescent="0.45">
      <c r="A370" s="3">
        <v>45294.958333333336</v>
      </c>
      <c r="B370" t="s">
        <v>14</v>
      </c>
      <c r="C370">
        <v>12</v>
      </c>
      <c r="D370">
        <v>1004</v>
      </c>
      <c r="E370" t="s">
        <v>16</v>
      </c>
      <c r="F370">
        <v>30</v>
      </c>
      <c r="G370">
        <v>3750</v>
      </c>
      <c r="H370">
        <v>112500</v>
      </c>
      <c r="I370" s="3">
        <v>45295.208333333336</v>
      </c>
      <c r="J370">
        <v>96</v>
      </c>
      <c r="K370" s="3">
        <v>45298.208333333336</v>
      </c>
      <c r="L370" s="4">
        <f>ROUNDDOWN(Table1[[#This Row],[Ordered]],0)</f>
        <v>45294</v>
      </c>
      <c r="M370" s="4">
        <f>Table1[[#This Row],[Date ]]</f>
        <v>45294</v>
      </c>
      <c r="N370" s="5">
        <f>Table1[[#This Row],[Ordered]]-Table1[[#This Row],[Date ]]</f>
        <v>0.95833333333575865</v>
      </c>
      <c r="O370">
        <f>Table1[[#This Row],[Company]]</f>
        <v>12</v>
      </c>
      <c r="P370">
        <f>IF(((Table1[[#This Row],[Arrived]]-Table1[[#This Row],[Delivery]])*24-Table1[[#This Row],[Promised]])&lt;0, 0, (Table1[[#This Row],[Arrived]]-Table1[[#This Row],[Delivery]])*24-Table1[[#This Row],[Promised]])</f>
        <v>0</v>
      </c>
      <c r="Q370"/>
    </row>
    <row r="371" spans="1:17" x14ac:dyDescent="0.45">
      <c r="A371" s="3">
        <v>45294.958333333336</v>
      </c>
      <c r="B371" t="s">
        <v>14</v>
      </c>
      <c r="C371">
        <v>14</v>
      </c>
      <c r="D371">
        <v>1004</v>
      </c>
      <c r="E371" t="s">
        <v>16</v>
      </c>
      <c r="F371">
        <v>30</v>
      </c>
      <c r="G371">
        <v>3750</v>
      </c>
      <c r="H371">
        <v>112500</v>
      </c>
      <c r="I371" s="3">
        <v>45295.041666666664</v>
      </c>
      <c r="J371">
        <v>96</v>
      </c>
      <c r="K371" s="3">
        <v>45298.041666666664</v>
      </c>
      <c r="L371" s="4">
        <f>ROUNDDOWN(Table1[[#This Row],[Ordered]],0)</f>
        <v>45294</v>
      </c>
      <c r="M371" s="4">
        <f>Table1[[#This Row],[Date ]]</f>
        <v>45294</v>
      </c>
      <c r="N371" s="5">
        <f>Table1[[#This Row],[Ordered]]-Table1[[#This Row],[Date ]]</f>
        <v>0.95833333333575865</v>
      </c>
      <c r="O371">
        <f>Table1[[#This Row],[Company]]</f>
        <v>14</v>
      </c>
      <c r="P371">
        <f>IF(((Table1[[#This Row],[Arrived]]-Table1[[#This Row],[Delivery]])*24-Table1[[#This Row],[Promised]])&lt;0, 0, (Table1[[#This Row],[Arrived]]-Table1[[#This Row],[Delivery]])*24-Table1[[#This Row],[Promised]])</f>
        <v>0</v>
      </c>
      <c r="Q371"/>
    </row>
    <row r="372" spans="1:17" x14ac:dyDescent="0.45">
      <c r="A372" s="3">
        <v>45294.958333333336</v>
      </c>
      <c r="B372" t="s">
        <v>14</v>
      </c>
      <c r="C372">
        <v>11</v>
      </c>
      <c r="D372">
        <v>1004</v>
      </c>
      <c r="E372" t="s">
        <v>16</v>
      </c>
      <c r="F372">
        <v>30</v>
      </c>
      <c r="G372">
        <v>3750</v>
      </c>
      <c r="H372">
        <v>112500</v>
      </c>
      <c r="I372" s="3">
        <v>45295.458333333336</v>
      </c>
      <c r="J372">
        <v>96</v>
      </c>
      <c r="K372" s="3">
        <v>45298.458333333336</v>
      </c>
      <c r="L372" s="4">
        <f>ROUNDDOWN(Table1[[#This Row],[Ordered]],0)</f>
        <v>45294</v>
      </c>
      <c r="M372" s="4">
        <f>Table1[[#This Row],[Date ]]</f>
        <v>45294</v>
      </c>
      <c r="N372" s="5">
        <f>Table1[[#This Row],[Ordered]]-Table1[[#This Row],[Date ]]</f>
        <v>0.95833333333575865</v>
      </c>
      <c r="O372">
        <f>Table1[[#This Row],[Company]]</f>
        <v>11</v>
      </c>
      <c r="P372">
        <f>IF(((Table1[[#This Row],[Arrived]]-Table1[[#This Row],[Delivery]])*24-Table1[[#This Row],[Promised]])&lt;0, 0, (Table1[[#This Row],[Arrived]]-Table1[[#This Row],[Delivery]])*24-Table1[[#This Row],[Promised]])</f>
        <v>0</v>
      </c>
      <c r="Q372"/>
    </row>
    <row r="373" spans="1:17" x14ac:dyDescent="0.45">
      <c r="A373" s="3">
        <v>45294.958333333336</v>
      </c>
      <c r="B373" t="s">
        <v>14</v>
      </c>
      <c r="C373">
        <v>13</v>
      </c>
      <c r="D373">
        <v>1004</v>
      </c>
      <c r="E373" t="s">
        <v>16</v>
      </c>
      <c r="F373">
        <v>30</v>
      </c>
      <c r="G373">
        <v>3750</v>
      </c>
      <c r="H373">
        <v>112500</v>
      </c>
      <c r="I373" s="3">
        <v>45295.625</v>
      </c>
      <c r="J373">
        <v>96</v>
      </c>
      <c r="K373" s="3">
        <v>45298.625</v>
      </c>
      <c r="L373" s="4">
        <f>ROUNDDOWN(Table1[[#This Row],[Ordered]],0)</f>
        <v>45294</v>
      </c>
      <c r="M373" s="4">
        <f>Table1[[#This Row],[Date ]]</f>
        <v>45294</v>
      </c>
      <c r="N373" s="5">
        <f>Table1[[#This Row],[Ordered]]-Table1[[#This Row],[Date ]]</f>
        <v>0.95833333333575865</v>
      </c>
      <c r="O373">
        <f>Table1[[#This Row],[Company]]</f>
        <v>13</v>
      </c>
      <c r="P373">
        <f>IF(((Table1[[#This Row],[Arrived]]-Table1[[#This Row],[Delivery]])*24-Table1[[#This Row],[Promised]])&lt;0, 0, (Table1[[#This Row],[Arrived]]-Table1[[#This Row],[Delivery]])*24-Table1[[#This Row],[Promised]])</f>
        <v>0</v>
      </c>
      <c r="Q373"/>
    </row>
    <row r="374" spans="1:17" x14ac:dyDescent="0.45">
      <c r="A374" s="3">
        <v>45294.958333333336</v>
      </c>
      <c r="B374" t="s">
        <v>14</v>
      </c>
      <c r="C374">
        <v>10</v>
      </c>
      <c r="D374">
        <v>1004</v>
      </c>
      <c r="E374" t="s">
        <v>16</v>
      </c>
      <c r="F374">
        <v>30</v>
      </c>
      <c r="G374">
        <v>3700</v>
      </c>
      <c r="H374">
        <v>111000</v>
      </c>
      <c r="I374" s="3">
        <v>45295.083333333336</v>
      </c>
      <c r="J374">
        <v>48</v>
      </c>
      <c r="K374" s="3">
        <v>45296.083333333336</v>
      </c>
      <c r="L374" s="4">
        <f>ROUNDDOWN(Table1[[#This Row],[Ordered]],0)</f>
        <v>45294</v>
      </c>
      <c r="M374" s="4">
        <f>Table1[[#This Row],[Date ]]</f>
        <v>45294</v>
      </c>
      <c r="N374" s="5">
        <f>Table1[[#This Row],[Ordered]]-Table1[[#This Row],[Date ]]</f>
        <v>0.95833333333575865</v>
      </c>
      <c r="O374">
        <f>Table1[[#This Row],[Company]]</f>
        <v>10</v>
      </c>
      <c r="P374">
        <f>IF(((Table1[[#This Row],[Arrived]]-Table1[[#This Row],[Delivery]])*24-Table1[[#This Row],[Promised]])&lt;0, 0, (Table1[[#This Row],[Arrived]]-Table1[[#This Row],[Delivery]])*24-Table1[[#This Row],[Promised]])</f>
        <v>0</v>
      </c>
      <c r="Q374"/>
    </row>
    <row r="375" spans="1:17" hidden="1" x14ac:dyDescent="0.45">
      <c r="A375" s="3">
        <v>45295</v>
      </c>
      <c r="B375" t="s">
        <v>12</v>
      </c>
      <c r="C375">
        <v>5</v>
      </c>
      <c r="D375">
        <v>16</v>
      </c>
      <c r="E375" t="s">
        <v>13</v>
      </c>
      <c r="F375">
        <v>1000</v>
      </c>
      <c r="G375">
        <v>120</v>
      </c>
      <c r="H375">
        <v>120000</v>
      </c>
      <c r="I375" s="3">
        <v>45295.208333333336</v>
      </c>
      <c r="J375">
        <v>24</v>
      </c>
      <c r="K375" s="3">
        <v>45296.208333333336</v>
      </c>
      <c r="L375" s="4">
        <f>ROUNDDOWN(Table1[[#This Row],[Ordered]],0)</f>
        <v>45295</v>
      </c>
      <c r="M375" s="4">
        <f>Table1[[#This Row],[Date ]]</f>
        <v>45295</v>
      </c>
      <c r="N375" s="5">
        <f>Table1[[#This Row],[Ordered]]-Table1[[#This Row],[Date ]]</f>
        <v>0</v>
      </c>
      <c r="O375" s="5">
        <f>Table1[[#This Row],[Company]]</f>
        <v>5</v>
      </c>
      <c r="P375">
        <f>IF(((Table1[[#This Row],[Arrived]]-Table1[[#This Row],[Delivery]])*24-Table1[[#This Row],[Promised]])&lt;0, 0, (Table1[[#This Row],[Arrived]]-Table1[[#This Row],[Delivery]])*24-Table1[[#This Row],[Promised]])</f>
        <v>0</v>
      </c>
      <c r="Q375"/>
    </row>
    <row r="376" spans="1:17" hidden="1" x14ac:dyDescent="0.45">
      <c r="A376" s="3">
        <v>45295.083333333336</v>
      </c>
      <c r="B376" t="s">
        <v>12</v>
      </c>
      <c r="C376">
        <v>1</v>
      </c>
      <c r="D376">
        <v>14</v>
      </c>
      <c r="E376" t="s">
        <v>13</v>
      </c>
      <c r="F376">
        <v>6000</v>
      </c>
      <c r="G376">
        <v>180</v>
      </c>
      <c r="H376">
        <v>1080000</v>
      </c>
      <c r="I376" s="3">
        <v>45295.25</v>
      </c>
      <c r="J376">
        <v>24</v>
      </c>
      <c r="K376" s="3">
        <v>45296.25</v>
      </c>
      <c r="L376" s="4">
        <f>ROUNDDOWN(Table1[[#This Row],[Ordered]],0)</f>
        <v>45295</v>
      </c>
      <c r="M376" s="4">
        <f>Table1[[#This Row],[Date ]]</f>
        <v>45295</v>
      </c>
      <c r="N376" s="5">
        <f>Table1[[#This Row],[Ordered]]-Table1[[#This Row],[Date ]]</f>
        <v>8.3333333335758653E-2</v>
      </c>
      <c r="O376" s="5">
        <f>Table1[[#This Row],[Company]]</f>
        <v>1</v>
      </c>
      <c r="P376">
        <f>IF(((Table1[[#This Row],[Arrived]]-Table1[[#This Row],[Delivery]])*24-Table1[[#This Row],[Promised]])&lt;0, 0, (Table1[[#This Row],[Arrived]]-Table1[[#This Row],[Delivery]])*24-Table1[[#This Row],[Promised]])</f>
        <v>0</v>
      </c>
      <c r="Q376"/>
    </row>
    <row r="377" spans="1:17" x14ac:dyDescent="0.45">
      <c r="A377" s="3">
        <v>45295.083333333336</v>
      </c>
      <c r="B377" t="s">
        <v>14</v>
      </c>
      <c r="C377">
        <v>12</v>
      </c>
      <c r="D377">
        <v>1004</v>
      </c>
      <c r="E377" t="s">
        <v>15</v>
      </c>
      <c r="F377">
        <v>4</v>
      </c>
      <c r="G377">
        <v>6650</v>
      </c>
      <c r="H377">
        <v>26600</v>
      </c>
      <c r="I377" s="3">
        <v>45295.458333333336</v>
      </c>
      <c r="J377">
        <v>96</v>
      </c>
      <c r="K377" s="3">
        <v>45298.458333333336</v>
      </c>
      <c r="L377" s="4">
        <f>ROUNDDOWN(Table1[[#This Row],[Ordered]],0)</f>
        <v>45295</v>
      </c>
      <c r="M377" s="4">
        <f>Table1[[#This Row],[Date ]]</f>
        <v>45295</v>
      </c>
      <c r="N377" s="5">
        <f>Table1[[#This Row],[Ordered]]-Table1[[#This Row],[Date ]]</f>
        <v>8.3333333335758653E-2</v>
      </c>
      <c r="O377">
        <f>Table1[[#This Row],[Company]]</f>
        <v>12</v>
      </c>
      <c r="P377">
        <f>IF(((Table1[[#This Row],[Arrived]]-Table1[[#This Row],[Delivery]])*24-Table1[[#This Row],[Promised]])&lt;0, 0, (Table1[[#This Row],[Arrived]]-Table1[[#This Row],[Delivery]])*24-Table1[[#This Row],[Promised]])</f>
        <v>0</v>
      </c>
      <c r="Q377"/>
    </row>
    <row r="378" spans="1:17" x14ac:dyDescent="0.45">
      <c r="A378" s="3">
        <v>45295.083333333336</v>
      </c>
      <c r="B378" t="s">
        <v>14</v>
      </c>
      <c r="C378">
        <v>11</v>
      </c>
      <c r="D378">
        <v>1004</v>
      </c>
      <c r="E378" t="s">
        <v>15</v>
      </c>
      <c r="F378">
        <v>4</v>
      </c>
      <c r="G378">
        <v>6650</v>
      </c>
      <c r="H378">
        <v>26600</v>
      </c>
      <c r="I378" s="3">
        <v>45296.791666666664</v>
      </c>
      <c r="J378">
        <v>96</v>
      </c>
      <c r="K378" s="3">
        <v>45298.791666666664</v>
      </c>
      <c r="L378" s="4">
        <f>ROUNDDOWN(Table1[[#This Row],[Ordered]],0)</f>
        <v>45295</v>
      </c>
      <c r="M378" s="4">
        <f>Table1[[#This Row],[Date ]]</f>
        <v>45295</v>
      </c>
      <c r="N378" s="5">
        <f>Table1[[#This Row],[Ordered]]-Table1[[#This Row],[Date ]]</f>
        <v>8.3333333335758653E-2</v>
      </c>
      <c r="O378">
        <f>Table1[[#This Row],[Company]]</f>
        <v>11</v>
      </c>
      <c r="P378">
        <f>IF(((Table1[[#This Row],[Arrived]]-Table1[[#This Row],[Delivery]])*24-Table1[[#This Row],[Promised]])&lt;0, 0, (Table1[[#This Row],[Arrived]]-Table1[[#This Row],[Delivery]])*24-Table1[[#This Row],[Promised]])</f>
        <v>0</v>
      </c>
      <c r="Q378"/>
    </row>
    <row r="379" spans="1:17" x14ac:dyDescent="0.45">
      <c r="A379" s="3">
        <v>45295.083333333336</v>
      </c>
      <c r="B379" t="s">
        <v>14</v>
      </c>
      <c r="C379">
        <v>13</v>
      </c>
      <c r="D379">
        <v>1004</v>
      </c>
      <c r="E379" t="s">
        <v>15</v>
      </c>
      <c r="F379">
        <v>4</v>
      </c>
      <c r="G379">
        <v>6650</v>
      </c>
      <c r="H379">
        <v>26600</v>
      </c>
      <c r="I379" s="3">
        <v>45295.916666666664</v>
      </c>
      <c r="J379">
        <v>96</v>
      </c>
      <c r="K379" s="3">
        <v>45298.916666666664</v>
      </c>
      <c r="L379" s="4">
        <f>ROUNDDOWN(Table1[[#This Row],[Ordered]],0)</f>
        <v>45295</v>
      </c>
      <c r="M379" s="4">
        <f>Table1[[#This Row],[Date ]]</f>
        <v>45295</v>
      </c>
      <c r="N379" s="5">
        <f>Table1[[#This Row],[Ordered]]-Table1[[#This Row],[Date ]]</f>
        <v>8.3333333335758653E-2</v>
      </c>
      <c r="O379">
        <f>Table1[[#This Row],[Company]]</f>
        <v>13</v>
      </c>
      <c r="P379">
        <f>IF(((Table1[[#This Row],[Arrived]]-Table1[[#This Row],[Delivery]])*24-Table1[[#This Row],[Promised]])&lt;0, 0, (Table1[[#This Row],[Arrived]]-Table1[[#This Row],[Delivery]])*24-Table1[[#This Row],[Promised]])</f>
        <v>0</v>
      </c>
      <c r="Q379"/>
    </row>
    <row r="380" spans="1:17" x14ac:dyDescent="0.45">
      <c r="A380" s="3">
        <v>45295.083333333336</v>
      </c>
      <c r="B380" t="s">
        <v>14</v>
      </c>
      <c r="C380">
        <v>9</v>
      </c>
      <c r="D380">
        <v>1004</v>
      </c>
      <c r="E380" t="s">
        <v>15</v>
      </c>
      <c r="F380">
        <v>4</v>
      </c>
      <c r="G380">
        <v>6650</v>
      </c>
      <c r="H380">
        <v>26600</v>
      </c>
      <c r="I380" s="3">
        <v>45296.041666666664</v>
      </c>
      <c r="J380">
        <v>96</v>
      </c>
      <c r="K380" s="3">
        <v>45299.208333333336</v>
      </c>
      <c r="L380" s="4">
        <f>ROUNDDOWN(Table1[[#This Row],[Ordered]],0)</f>
        <v>45295</v>
      </c>
      <c r="M380" s="4">
        <f>Table1[[#This Row],[Date ]]</f>
        <v>45295</v>
      </c>
      <c r="N380" s="5">
        <f>Table1[[#This Row],[Ordered]]-Table1[[#This Row],[Date ]]</f>
        <v>8.3333333335758653E-2</v>
      </c>
      <c r="O380">
        <f>Table1[[#This Row],[Company]]</f>
        <v>9</v>
      </c>
      <c r="P380">
        <f>IF(((Table1[[#This Row],[Arrived]]-Table1[[#This Row],[Delivery]])*24-Table1[[#This Row],[Promised]])&lt;0, 0, (Table1[[#This Row],[Arrived]]-Table1[[#This Row],[Delivery]])*24-Table1[[#This Row],[Promised]])</f>
        <v>0</v>
      </c>
      <c r="Q380"/>
    </row>
    <row r="381" spans="1:17" x14ac:dyDescent="0.45">
      <c r="A381" s="3">
        <v>45295.083333333336</v>
      </c>
      <c r="B381" t="s">
        <v>14</v>
      </c>
      <c r="C381">
        <v>14</v>
      </c>
      <c r="D381">
        <v>1004</v>
      </c>
      <c r="E381" t="s">
        <v>15</v>
      </c>
      <c r="F381">
        <v>4</v>
      </c>
      <c r="G381">
        <v>6650</v>
      </c>
      <c r="H381">
        <v>26600</v>
      </c>
      <c r="I381" s="3">
        <v>45295.25</v>
      </c>
      <c r="J381">
        <v>96</v>
      </c>
      <c r="K381" s="3">
        <v>45298.25</v>
      </c>
      <c r="L381" s="4">
        <f>ROUNDDOWN(Table1[[#This Row],[Ordered]],0)</f>
        <v>45295</v>
      </c>
      <c r="M381" s="4">
        <f>Table1[[#This Row],[Date ]]</f>
        <v>45295</v>
      </c>
      <c r="N381" s="5">
        <f>Table1[[#This Row],[Ordered]]-Table1[[#This Row],[Date ]]</f>
        <v>8.3333333335758653E-2</v>
      </c>
      <c r="O381">
        <f>Table1[[#This Row],[Company]]</f>
        <v>14</v>
      </c>
      <c r="P381">
        <f>IF(((Table1[[#This Row],[Arrived]]-Table1[[#This Row],[Delivery]])*24-Table1[[#This Row],[Promised]])&lt;0, 0, (Table1[[#This Row],[Arrived]]-Table1[[#This Row],[Delivery]])*24-Table1[[#This Row],[Promised]])</f>
        <v>0</v>
      </c>
      <c r="Q381"/>
    </row>
    <row r="382" spans="1:17" x14ac:dyDescent="0.45">
      <c r="A382" s="3">
        <v>45295.083333333336</v>
      </c>
      <c r="B382" t="s">
        <v>14</v>
      </c>
      <c r="C382">
        <v>16</v>
      </c>
      <c r="D382">
        <v>1004</v>
      </c>
      <c r="E382" t="s">
        <v>15</v>
      </c>
      <c r="F382">
        <v>4</v>
      </c>
      <c r="G382">
        <v>6650</v>
      </c>
      <c r="H382">
        <v>26600</v>
      </c>
      <c r="I382" s="3">
        <v>45295.125</v>
      </c>
      <c r="J382">
        <v>96</v>
      </c>
      <c r="K382" s="3">
        <v>45298.125</v>
      </c>
      <c r="L382" s="4">
        <f>ROUNDDOWN(Table1[[#This Row],[Ordered]],0)</f>
        <v>45295</v>
      </c>
      <c r="M382" s="4">
        <f>Table1[[#This Row],[Date ]]</f>
        <v>45295</v>
      </c>
      <c r="N382" s="5">
        <f>Table1[[#This Row],[Ordered]]-Table1[[#This Row],[Date ]]</f>
        <v>8.3333333335758653E-2</v>
      </c>
      <c r="O382">
        <f>Table1[[#This Row],[Company]]</f>
        <v>16</v>
      </c>
      <c r="P382">
        <f>IF(((Table1[[#This Row],[Arrived]]-Table1[[#This Row],[Delivery]])*24-Table1[[#This Row],[Promised]])&lt;0, 0, (Table1[[#This Row],[Arrived]]-Table1[[#This Row],[Delivery]])*24-Table1[[#This Row],[Promised]])</f>
        <v>0</v>
      </c>
      <c r="Q382"/>
    </row>
    <row r="383" spans="1:17" x14ac:dyDescent="0.45">
      <c r="A383" s="3">
        <v>45295.083333333336</v>
      </c>
      <c r="B383" t="s">
        <v>14</v>
      </c>
      <c r="C383">
        <v>7</v>
      </c>
      <c r="D383">
        <v>1004</v>
      </c>
      <c r="E383" t="s">
        <v>15</v>
      </c>
      <c r="F383">
        <v>4</v>
      </c>
      <c r="G383">
        <v>6650</v>
      </c>
      <c r="H383">
        <v>26600</v>
      </c>
      <c r="I383" s="3">
        <v>45295.458333333336</v>
      </c>
      <c r="J383">
        <v>96</v>
      </c>
      <c r="K383" s="3">
        <v>45298.458333333336</v>
      </c>
      <c r="L383" s="4">
        <f>ROUNDDOWN(Table1[[#This Row],[Ordered]],0)</f>
        <v>45295</v>
      </c>
      <c r="M383" s="4">
        <f>Table1[[#This Row],[Date ]]</f>
        <v>45295</v>
      </c>
      <c r="N383" s="5">
        <f>Table1[[#This Row],[Ordered]]-Table1[[#This Row],[Date ]]</f>
        <v>8.3333333335758653E-2</v>
      </c>
      <c r="O383">
        <f>Table1[[#This Row],[Company]]</f>
        <v>7</v>
      </c>
      <c r="P383">
        <f>IF(((Table1[[#This Row],[Arrived]]-Table1[[#This Row],[Delivery]])*24-Table1[[#This Row],[Promised]])&lt;0, 0, (Table1[[#This Row],[Arrived]]-Table1[[#This Row],[Delivery]])*24-Table1[[#This Row],[Promised]])</f>
        <v>0</v>
      </c>
      <c r="Q383"/>
    </row>
    <row r="384" spans="1:17" x14ac:dyDescent="0.45">
      <c r="A384" s="3">
        <v>45295.166666666664</v>
      </c>
      <c r="B384" t="s">
        <v>14</v>
      </c>
      <c r="C384">
        <v>13</v>
      </c>
      <c r="D384">
        <v>1005</v>
      </c>
      <c r="E384" t="s">
        <v>16</v>
      </c>
      <c r="F384">
        <v>30</v>
      </c>
      <c r="G384">
        <v>3750</v>
      </c>
      <c r="H384">
        <v>112500</v>
      </c>
      <c r="I384" s="3">
        <v>45295.958333333336</v>
      </c>
      <c r="J384">
        <v>96</v>
      </c>
      <c r="K384" s="3">
        <v>45298.958333333336</v>
      </c>
      <c r="L384" s="4">
        <f>ROUNDDOWN(Table1[[#This Row],[Ordered]],0)</f>
        <v>45295</v>
      </c>
      <c r="M384" s="4">
        <f>Table1[[#This Row],[Date ]]</f>
        <v>45295</v>
      </c>
      <c r="N384" s="5">
        <f>Table1[[#This Row],[Ordered]]-Table1[[#This Row],[Date ]]</f>
        <v>0.16666666666424135</v>
      </c>
      <c r="O384">
        <f>Table1[[#This Row],[Company]]</f>
        <v>13</v>
      </c>
      <c r="P384">
        <f>IF(((Table1[[#This Row],[Arrived]]-Table1[[#This Row],[Delivery]])*24-Table1[[#This Row],[Promised]])&lt;0, 0, (Table1[[#This Row],[Arrived]]-Table1[[#This Row],[Delivery]])*24-Table1[[#This Row],[Promised]])</f>
        <v>0</v>
      </c>
      <c r="Q384"/>
    </row>
    <row r="385" spans="1:17" x14ac:dyDescent="0.45">
      <c r="A385" s="3">
        <v>45295.166666666664</v>
      </c>
      <c r="B385" t="s">
        <v>14</v>
      </c>
      <c r="C385">
        <v>9</v>
      </c>
      <c r="D385">
        <v>1005</v>
      </c>
      <c r="E385" t="s">
        <v>16</v>
      </c>
      <c r="F385">
        <v>30</v>
      </c>
      <c r="G385">
        <v>3550</v>
      </c>
      <c r="H385">
        <v>106500</v>
      </c>
      <c r="I385" s="3">
        <v>45296.041666666664</v>
      </c>
      <c r="J385">
        <v>96</v>
      </c>
      <c r="K385" s="3">
        <v>45299.041666666664</v>
      </c>
      <c r="L385" s="4">
        <f>ROUNDDOWN(Table1[[#This Row],[Ordered]],0)</f>
        <v>45295</v>
      </c>
      <c r="M385" s="4">
        <f>Table1[[#This Row],[Date ]]</f>
        <v>45295</v>
      </c>
      <c r="N385" s="5">
        <f>Table1[[#This Row],[Ordered]]-Table1[[#This Row],[Date ]]</f>
        <v>0.16666666666424135</v>
      </c>
      <c r="O385">
        <f>Table1[[#This Row],[Company]]</f>
        <v>9</v>
      </c>
      <c r="P385">
        <f>IF(((Table1[[#This Row],[Arrived]]-Table1[[#This Row],[Delivery]])*24-Table1[[#This Row],[Promised]])&lt;0, 0, (Table1[[#This Row],[Arrived]]-Table1[[#This Row],[Delivery]])*24-Table1[[#This Row],[Promised]])</f>
        <v>0</v>
      </c>
      <c r="Q385"/>
    </row>
    <row r="386" spans="1:17" x14ac:dyDescent="0.45">
      <c r="A386" s="3">
        <v>45295.166666666664</v>
      </c>
      <c r="B386" t="s">
        <v>14</v>
      </c>
      <c r="C386">
        <v>8</v>
      </c>
      <c r="D386">
        <v>1005</v>
      </c>
      <c r="E386" t="s">
        <v>16</v>
      </c>
      <c r="F386">
        <v>30</v>
      </c>
      <c r="G386">
        <v>3750</v>
      </c>
      <c r="H386">
        <v>112500</v>
      </c>
      <c r="I386" s="3">
        <v>45295.916666666664</v>
      </c>
      <c r="J386">
        <v>96</v>
      </c>
      <c r="K386" s="3">
        <v>45299.041666666664</v>
      </c>
      <c r="L386" s="4">
        <f>ROUNDDOWN(Table1[[#This Row],[Ordered]],0)</f>
        <v>45295</v>
      </c>
      <c r="M386" s="4">
        <f>Table1[[#This Row],[Date ]]</f>
        <v>45295</v>
      </c>
      <c r="N386" s="5">
        <f>Table1[[#This Row],[Ordered]]-Table1[[#This Row],[Date ]]</f>
        <v>0.16666666666424135</v>
      </c>
      <c r="O386">
        <f>Table1[[#This Row],[Company]]</f>
        <v>8</v>
      </c>
      <c r="P386">
        <f>IF(((Table1[[#This Row],[Arrived]]-Table1[[#This Row],[Delivery]])*24-Table1[[#This Row],[Promised]])&lt;0, 0, (Table1[[#This Row],[Arrived]]-Table1[[#This Row],[Delivery]])*24-Table1[[#This Row],[Promised]])</f>
        <v>0</v>
      </c>
      <c r="Q386"/>
    </row>
    <row r="387" spans="1:17" x14ac:dyDescent="0.45">
      <c r="A387" s="3">
        <v>45295.166666666664</v>
      </c>
      <c r="B387" t="s">
        <v>14</v>
      </c>
      <c r="C387">
        <v>15</v>
      </c>
      <c r="D387">
        <v>1005</v>
      </c>
      <c r="E387" t="s">
        <v>16</v>
      </c>
      <c r="F387">
        <v>50</v>
      </c>
      <c r="G387">
        <v>3650</v>
      </c>
      <c r="H387">
        <v>182500</v>
      </c>
      <c r="I387" s="3">
        <v>45295.583333333336</v>
      </c>
      <c r="J387">
        <v>96</v>
      </c>
      <c r="K387" s="3">
        <v>45298.583333333336</v>
      </c>
      <c r="L387" s="4">
        <f>ROUNDDOWN(Table1[[#This Row],[Ordered]],0)</f>
        <v>45295</v>
      </c>
      <c r="M387" s="4">
        <f>Table1[[#This Row],[Date ]]</f>
        <v>45295</v>
      </c>
      <c r="N387" s="5">
        <f>Table1[[#This Row],[Ordered]]-Table1[[#This Row],[Date ]]</f>
        <v>0.16666666666424135</v>
      </c>
      <c r="O387">
        <f>Table1[[#This Row],[Company]]</f>
        <v>15</v>
      </c>
      <c r="P387">
        <f>IF(((Table1[[#This Row],[Arrived]]-Table1[[#This Row],[Delivery]])*24-Table1[[#This Row],[Promised]])&lt;0, 0, (Table1[[#This Row],[Arrived]]-Table1[[#This Row],[Delivery]])*24-Table1[[#This Row],[Promised]])</f>
        <v>0</v>
      </c>
      <c r="Q387"/>
    </row>
    <row r="388" spans="1:17" x14ac:dyDescent="0.45">
      <c r="A388" s="3">
        <v>45295.166666666664</v>
      </c>
      <c r="B388" t="s">
        <v>14</v>
      </c>
      <c r="C388">
        <v>14</v>
      </c>
      <c r="D388">
        <v>1005</v>
      </c>
      <c r="E388" t="s">
        <v>16</v>
      </c>
      <c r="F388">
        <v>30</v>
      </c>
      <c r="G388">
        <v>3750</v>
      </c>
      <c r="H388">
        <v>112500</v>
      </c>
      <c r="I388" s="3">
        <v>45295.375</v>
      </c>
      <c r="J388">
        <v>96</v>
      </c>
      <c r="K388" s="3">
        <v>45298.375</v>
      </c>
      <c r="L388" s="4">
        <f>ROUNDDOWN(Table1[[#This Row],[Ordered]],0)</f>
        <v>45295</v>
      </c>
      <c r="M388" s="4">
        <f>Table1[[#This Row],[Date ]]</f>
        <v>45295</v>
      </c>
      <c r="N388" s="5">
        <f>Table1[[#This Row],[Ordered]]-Table1[[#This Row],[Date ]]</f>
        <v>0.16666666666424135</v>
      </c>
      <c r="O388">
        <f>Table1[[#This Row],[Company]]</f>
        <v>14</v>
      </c>
      <c r="P388">
        <f>IF(((Table1[[#This Row],[Arrived]]-Table1[[#This Row],[Delivery]])*24-Table1[[#This Row],[Promised]])&lt;0, 0, (Table1[[#This Row],[Arrived]]-Table1[[#This Row],[Delivery]])*24-Table1[[#This Row],[Promised]])</f>
        <v>0</v>
      </c>
      <c r="Q388"/>
    </row>
    <row r="389" spans="1:17" x14ac:dyDescent="0.45">
      <c r="A389" s="3">
        <v>45295.166666666664</v>
      </c>
      <c r="B389" t="s">
        <v>14</v>
      </c>
      <c r="C389">
        <v>7</v>
      </c>
      <c r="D389">
        <v>1005</v>
      </c>
      <c r="E389" t="s">
        <v>16</v>
      </c>
      <c r="F389">
        <v>30</v>
      </c>
      <c r="G389">
        <v>3650</v>
      </c>
      <c r="H389">
        <v>109500</v>
      </c>
      <c r="I389" s="3">
        <v>45295.375</v>
      </c>
      <c r="J389">
        <v>96</v>
      </c>
      <c r="K389" s="3">
        <v>45298.375</v>
      </c>
      <c r="L389" s="4">
        <f>ROUNDDOWN(Table1[[#This Row],[Ordered]],0)</f>
        <v>45295</v>
      </c>
      <c r="M389" s="4">
        <f>Table1[[#This Row],[Date ]]</f>
        <v>45295</v>
      </c>
      <c r="N389" s="5">
        <f>Table1[[#This Row],[Ordered]]-Table1[[#This Row],[Date ]]</f>
        <v>0.16666666666424135</v>
      </c>
      <c r="O389">
        <f>Table1[[#This Row],[Company]]</f>
        <v>7</v>
      </c>
      <c r="P389">
        <f>IF(((Table1[[#This Row],[Arrived]]-Table1[[#This Row],[Delivery]])*24-Table1[[#This Row],[Promised]])&lt;0, 0, (Table1[[#This Row],[Arrived]]-Table1[[#This Row],[Delivery]])*24-Table1[[#This Row],[Promised]])</f>
        <v>0</v>
      </c>
      <c r="Q389"/>
    </row>
    <row r="390" spans="1:17" x14ac:dyDescent="0.45">
      <c r="A390" s="3">
        <v>45295.166666666664</v>
      </c>
      <c r="B390" t="s">
        <v>14</v>
      </c>
      <c r="C390">
        <v>11</v>
      </c>
      <c r="D390">
        <v>1005</v>
      </c>
      <c r="E390" t="s">
        <v>16</v>
      </c>
      <c r="F390">
        <v>30</v>
      </c>
      <c r="G390">
        <v>3750</v>
      </c>
      <c r="H390">
        <v>112500</v>
      </c>
      <c r="I390" s="3">
        <v>45295.5</v>
      </c>
      <c r="J390">
        <v>96</v>
      </c>
      <c r="K390" s="3">
        <v>45298.5</v>
      </c>
      <c r="L390" s="4">
        <f>ROUNDDOWN(Table1[[#This Row],[Ordered]],0)</f>
        <v>45295</v>
      </c>
      <c r="M390" s="4">
        <f>Table1[[#This Row],[Date ]]</f>
        <v>45295</v>
      </c>
      <c r="N390" s="5">
        <f>Table1[[#This Row],[Ordered]]-Table1[[#This Row],[Date ]]</f>
        <v>0.16666666666424135</v>
      </c>
      <c r="O390">
        <f>Table1[[#This Row],[Company]]</f>
        <v>11</v>
      </c>
      <c r="P390">
        <f>IF(((Table1[[#This Row],[Arrived]]-Table1[[#This Row],[Delivery]])*24-Table1[[#This Row],[Promised]])&lt;0, 0, (Table1[[#This Row],[Arrived]]-Table1[[#This Row],[Delivery]])*24-Table1[[#This Row],[Promised]])</f>
        <v>0</v>
      </c>
      <c r="Q390"/>
    </row>
    <row r="391" spans="1:17" x14ac:dyDescent="0.45">
      <c r="A391" s="3">
        <v>45295.166666666664</v>
      </c>
      <c r="B391" t="s">
        <v>14</v>
      </c>
      <c r="C391">
        <v>12</v>
      </c>
      <c r="D391">
        <v>1005</v>
      </c>
      <c r="E391" t="s">
        <v>16</v>
      </c>
      <c r="F391">
        <v>15</v>
      </c>
      <c r="G391">
        <v>3850</v>
      </c>
      <c r="H391">
        <v>57750</v>
      </c>
      <c r="I391" s="3">
        <v>45295.208333333336</v>
      </c>
      <c r="J391">
        <v>60</v>
      </c>
      <c r="K391" s="3">
        <v>45297.208333333336</v>
      </c>
      <c r="L391" s="4">
        <f>ROUNDDOWN(Table1[[#This Row],[Ordered]],0)</f>
        <v>45295</v>
      </c>
      <c r="M391" s="4">
        <f>Table1[[#This Row],[Date ]]</f>
        <v>45295</v>
      </c>
      <c r="N391" s="5">
        <f>Table1[[#This Row],[Ordered]]-Table1[[#This Row],[Date ]]</f>
        <v>0.16666666666424135</v>
      </c>
      <c r="O391">
        <f>Table1[[#This Row],[Company]]</f>
        <v>12</v>
      </c>
      <c r="P391">
        <f>IF(((Table1[[#This Row],[Arrived]]-Table1[[#This Row],[Delivery]])*24-Table1[[#This Row],[Promised]])&lt;0, 0, (Table1[[#This Row],[Arrived]]-Table1[[#This Row],[Delivery]])*24-Table1[[#This Row],[Promised]])</f>
        <v>0</v>
      </c>
      <c r="Q391"/>
    </row>
    <row r="392" spans="1:17" x14ac:dyDescent="0.45">
      <c r="A392" s="3">
        <v>45295.166666666664</v>
      </c>
      <c r="B392" t="s">
        <v>14</v>
      </c>
      <c r="C392">
        <v>16</v>
      </c>
      <c r="D392">
        <v>1005</v>
      </c>
      <c r="E392" t="s">
        <v>16</v>
      </c>
      <c r="F392">
        <v>30</v>
      </c>
      <c r="G392">
        <v>3750</v>
      </c>
      <c r="H392">
        <v>112500</v>
      </c>
      <c r="I392" s="3">
        <v>45295.166666666664</v>
      </c>
      <c r="J392">
        <v>96</v>
      </c>
      <c r="K392" s="3">
        <v>45298.166666666664</v>
      </c>
      <c r="L392" s="4">
        <f>ROUNDDOWN(Table1[[#This Row],[Ordered]],0)</f>
        <v>45295</v>
      </c>
      <c r="M392" s="4">
        <f>Table1[[#This Row],[Date ]]</f>
        <v>45295</v>
      </c>
      <c r="N392" s="5">
        <f>Table1[[#This Row],[Ordered]]-Table1[[#This Row],[Date ]]</f>
        <v>0.16666666666424135</v>
      </c>
      <c r="O392">
        <f>Table1[[#This Row],[Company]]</f>
        <v>16</v>
      </c>
      <c r="P392">
        <f>IF(((Table1[[#This Row],[Arrived]]-Table1[[#This Row],[Delivery]])*24-Table1[[#This Row],[Promised]])&lt;0, 0, (Table1[[#This Row],[Arrived]]-Table1[[#This Row],[Delivery]])*24-Table1[[#This Row],[Promised]])</f>
        <v>0</v>
      </c>
      <c r="Q392"/>
    </row>
    <row r="393" spans="1:17" x14ac:dyDescent="0.45">
      <c r="A393" s="3">
        <v>45295.166666666664</v>
      </c>
      <c r="B393" t="s">
        <v>14</v>
      </c>
      <c r="C393">
        <v>10</v>
      </c>
      <c r="D393">
        <v>1005</v>
      </c>
      <c r="E393" t="s">
        <v>16</v>
      </c>
      <c r="F393">
        <v>30</v>
      </c>
      <c r="G393">
        <v>3700</v>
      </c>
      <c r="H393">
        <v>111000</v>
      </c>
      <c r="I393" s="3">
        <v>45295.25</v>
      </c>
      <c r="J393">
        <v>48</v>
      </c>
      <c r="K393" s="3">
        <v>45296.25</v>
      </c>
      <c r="L393" s="4">
        <f>ROUNDDOWN(Table1[[#This Row],[Ordered]],0)</f>
        <v>45295</v>
      </c>
      <c r="M393" s="4">
        <f>Table1[[#This Row],[Date ]]</f>
        <v>45295</v>
      </c>
      <c r="N393" s="5">
        <f>Table1[[#This Row],[Ordered]]-Table1[[#This Row],[Date ]]</f>
        <v>0.16666666666424135</v>
      </c>
      <c r="O393">
        <f>Table1[[#This Row],[Company]]</f>
        <v>10</v>
      </c>
      <c r="P393">
        <f>IF(((Table1[[#This Row],[Arrived]]-Table1[[#This Row],[Delivery]])*24-Table1[[#This Row],[Promised]])&lt;0, 0, (Table1[[#This Row],[Arrived]]-Table1[[#This Row],[Delivery]])*24-Table1[[#This Row],[Promised]])</f>
        <v>0</v>
      </c>
      <c r="Q393"/>
    </row>
    <row r="394" spans="1:17" hidden="1" x14ac:dyDescent="0.45">
      <c r="A394" s="3">
        <v>45295.166666666664</v>
      </c>
      <c r="B394" t="s">
        <v>12</v>
      </c>
      <c r="C394">
        <v>12</v>
      </c>
      <c r="D394">
        <v>3</v>
      </c>
      <c r="E394" t="s">
        <v>20</v>
      </c>
      <c r="F394">
        <v>50</v>
      </c>
      <c r="G394">
        <v>5</v>
      </c>
      <c r="H394">
        <v>250</v>
      </c>
      <c r="I394" s="3">
        <v>45295.166666666664</v>
      </c>
      <c r="J394">
        <v>72</v>
      </c>
      <c r="K394" s="3">
        <v>45298.166666666664</v>
      </c>
      <c r="L394" s="4">
        <f>ROUNDDOWN(Table1[[#This Row],[Ordered]],0)</f>
        <v>45295</v>
      </c>
      <c r="M394" s="4">
        <f>Table1[[#This Row],[Date ]]</f>
        <v>45295</v>
      </c>
      <c r="N394" s="5">
        <f>Table1[[#This Row],[Ordered]]-Table1[[#This Row],[Date ]]</f>
        <v>0.16666666666424135</v>
      </c>
      <c r="O394">
        <f>Table1[[#This Row],[Company]]</f>
        <v>12</v>
      </c>
      <c r="P394">
        <f>IF(((Table1[[#This Row],[Arrived]]-Table1[[#This Row],[Delivery]])*24-Table1[[#This Row],[Promised]])&lt;0, 0, (Table1[[#This Row],[Arrived]]-Table1[[#This Row],[Delivery]])*24-Table1[[#This Row],[Promised]])</f>
        <v>0</v>
      </c>
      <c r="Q394"/>
    </row>
    <row r="395" spans="1:17" x14ac:dyDescent="0.45">
      <c r="A395" s="3">
        <v>45295.25</v>
      </c>
      <c r="B395" t="s">
        <v>14</v>
      </c>
      <c r="C395">
        <v>15</v>
      </c>
      <c r="D395">
        <v>1005</v>
      </c>
      <c r="E395" t="s">
        <v>15</v>
      </c>
      <c r="F395">
        <v>6</v>
      </c>
      <c r="G395">
        <v>6650</v>
      </c>
      <c r="H395">
        <v>39900</v>
      </c>
      <c r="I395" s="3">
        <v>45295.583333333336</v>
      </c>
      <c r="J395">
        <v>96</v>
      </c>
      <c r="K395" s="3">
        <v>45298.583333333336</v>
      </c>
      <c r="L395" s="4">
        <f>ROUNDDOWN(Table1[[#This Row],[Ordered]],0)</f>
        <v>45295</v>
      </c>
      <c r="M395" s="4">
        <f>Table1[[#This Row],[Date ]]</f>
        <v>45295</v>
      </c>
      <c r="N395" s="5">
        <f>Table1[[#This Row],[Ordered]]-Table1[[#This Row],[Date ]]</f>
        <v>0.25</v>
      </c>
      <c r="O395">
        <f>Table1[[#This Row],[Company]]</f>
        <v>15</v>
      </c>
      <c r="P395">
        <f>IF(((Table1[[#This Row],[Arrived]]-Table1[[#This Row],[Delivery]])*24-Table1[[#This Row],[Promised]])&lt;0, 0, (Table1[[#This Row],[Arrived]]-Table1[[#This Row],[Delivery]])*24-Table1[[#This Row],[Promised]])</f>
        <v>0</v>
      </c>
      <c r="Q395"/>
    </row>
    <row r="396" spans="1:17" x14ac:dyDescent="0.45">
      <c r="A396" s="3">
        <v>45295.25</v>
      </c>
      <c r="B396" t="s">
        <v>14</v>
      </c>
      <c r="C396">
        <v>9</v>
      </c>
      <c r="D396">
        <v>1005</v>
      </c>
      <c r="E396" t="s">
        <v>15</v>
      </c>
      <c r="F396">
        <v>6</v>
      </c>
      <c r="G396">
        <v>6650</v>
      </c>
      <c r="H396">
        <v>39900</v>
      </c>
      <c r="I396" s="3">
        <v>45296.125</v>
      </c>
      <c r="J396">
        <v>96</v>
      </c>
      <c r="K396" s="3">
        <v>45299.125</v>
      </c>
      <c r="L396" s="4">
        <f>ROUNDDOWN(Table1[[#This Row],[Ordered]],0)</f>
        <v>45295</v>
      </c>
      <c r="M396" s="4">
        <f>Table1[[#This Row],[Date ]]</f>
        <v>45295</v>
      </c>
      <c r="N396" s="5">
        <f>Table1[[#This Row],[Ordered]]-Table1[[#This Row],[Date ]]</f>
        <v>0.25</v>
      </c>
      <c r="O396">
        <f>Table1[[#This Row],[Company]]</f>
        <v>9</v>
      </c>
      <c r="P396">
        <f>IF(((Table1[[#This Row],[Arrived]]-Table1[[#This Row],[Delivery]])*24-Table1[[#This Row],[Promised]])&lt;0, 0, (Table1[[#This Row],[Arrived]]-Table1[[#This Row],[Delivery]])*24-Table1[[#This Row],[Promised]])</f>
        <v>0</v>
      </c>
      <c r="Q396"/>
    </row>
    <row r="397" spans="1:17" x14ac:dyDescent="0.45">
      <c r="A397" s="3">
        <v>45295.25</v>
      </c>
      <c r="B397" t="s">
        <v>14</v>
      </c>
      <c r="C397">
        <v>13</v>
      </c>
      <c r="D397">
        <v>1005</v>
      </c>
      <c r="E397" t="s">
        <v>15</v>
      </c>
      <c r="F397">
        <v>6</v>
      </c>
      <c r="G397">
        <v>6650</v>
      </c>
      <c r="H397">
        <v>39900</v>
      </c>
      <c r="I397" s="3">
        <v>45296.083333333336</v>
      </c>
      <c r="J397">
        <v>96</v>
      </c>
      <c r="K397" s="3">
        <v>45299.083333333336</v>
      </c>
      <c r="L397" s="4">
        <f>ROUNDDOWN(Table1[[#This Row],[Ordered]],0)</f>
        <v>45295</v>
      </c>
      <c r="M397" s="4">
        <f>Table1[[#This Row],[Date ]]</f>
        <v>45295</v>
      </c>
      <c r="N397" s="5">
        <f>Table1[[#This Row],[Ordered]]-Table1[[#This Row],[Date ]]</f>
        <v>0.25</v>
      </c>
      <c r="O397">
        <f>Table1[[#This Row],[Company]]</f>
        <v>13</v>
      </c>
      <c r="P397">
        <f>IF(((Table1[[#This Row],[Arrived]]-Table1[[#This Row],[Delivery]])*24-Table1[[#This Row],[Promised]])&lt;0, 0, (Table1[[#This Row],[Arrived]]-Table1[[#This Row],[Delivery]])*24-Table1[[#This Row],[Promised]])</f>
        <v>0</v>
      </c>
      <c r="Q397"/>
    </row>
    <row r="398" spans="1:17" x14ac:dyDescent="0.45">
      <c r="A398" s="3">
        <v>45295.25</v>
      </c>
      <c r="B398" t="s">
        <v>14</v>
      </c>
      <c r="C398">
        <v>14</v>
      </c>
      <c r="D398">
        <v>1005</v>
      </c>
      <c r="E398" t="s">
        <v>15</v>
      </c>
      <c r="F398">
        <v>6</v>
      </c>
      <c r="G398">
        <v>6650</v>
      </c>
      <c r="H398">
        <v>39900</v>
      </c>
      <c r="I398" s="3">
        <v>45295.375</v>
      </c>
      <c r="J398">
        <v>96</v>
      </c>
      <c r="K398" s="3">
        <v>45298.5</v>
      </c>
      <c r="L398" s="4">
        <f>ROUNDDOWN(Table1[[#This Row],[Ordered]],0)</f>
        <v>45295</v>
      </c>
      <c r="M398" s="4">
        <f>Table1[[#This Row],[Date ]]</f>
        <v>45295</v>
      </c>
      <c r="N398" s="5">
        <f>Table1[[#This Row],[Ordered]]-Table1[[#This Row],[Date ]]</f>
        <v>0.25</v>
      </c>
      <c r="O398">
        <f>Table1[[#This Row],[Company]]</f>
        <v>14</v>
      </c>
      <c r="P398">
        <f>IF(((Table1[[#This Row],[Arrived]]-Table1[[#This Row],[Delivery]])*24-Table1[[#This Row],[Promised]])&lt;0, 0, (Table1[[#This Row],[Arrived]]-Table1[[#This Row],[Delivery]])*24-Table1[[#This Row],[Promised]])</f>
        <v>0</v>
      </c>
      <c r="Q398"/>
    </row>
    <row r="399" spans="1:17" x14ac:dyDescent="0.45">
      <c r="A399" s="3">
        <v>45295.25</v>
      </c>
      <c r="B399" t="s">
        <v>14</v>
      </c>
      <c r="C399">
        <v>7</v>
      </c>
      <c r="D399">
        <v>1005</v>
      </c>
      <c r="E399" t="s">
        <v>15</v>
      </c>
      <c r="F399">
        <v>6</v>
      </c>
      <c r="G399">
        <v>6650</v>
      </c>
      <c r="H399">
        <v>39900</v>
      </c>
      <c r="I399" s="3">
        <v>45295.5</v>
      </c>
      <c r="J399">
        <v>96</v>
      </c>
      <c r="K399" s="3">
        <v>45298.5</v>
      </c>
      <c r="L399" s="4">
        <f>ROUNDDOWN(Table1[[#This Row],[Ordered]],0)</f>
        <v>45295</v>
      </c>
      <c r="M399" s="4">
        <f>Table1[[#This Row],[Date ]]</f>
        <v>45295</v>
      </c>
      <c r="N399" s="5">
        <f>Table1[[#This Row],[Ordered]]-Table1[[#This Row],[Date ]]</f>
        <v>0.25</v>
      </c>
      <c r="O399">
        <f>Table1[[#This Row],[Company]]</f>
        <v>7</v>
      </c>
      <c r="P399">
        <f>IF(((Table1[[#This Row],[Arrived]]-Table1[[#This Row],[Delivery]])*24-Table1[[#This Row],[Promised]])&lt;0, 0, (Table1[[#This Row],[Arrived]]-Table1[[#This Row],[Delivery]])*24-Table1[[#This Row],[Promised]])</f>
        <v>0</v>
      </c>
      <c r="Q399"/>
    </row>
    <row r="400" spans="1:17" x14ac:dyDescent="0.45">
      <c r="A400" s="3">
        <v>45295.25</v>
      </c>
      <c r="B400" t="s">
        <v>14</v>
      </c>
      <c r="C400">
        <v>10</v>
      </c>
      <c r="D400">
        <v>1005</v>
      </c>
      <c r="E400" t="s">
        <v>15</v>
      </c>
      <c r="F400">
        <v>6</v>
      </c>
      <c r="G400">
        <v>6800</v>
      </c>
      <c r="H400">
        <v>40800</v>
      </c>
      <c r="I400" s="3">
        <v>45295.25</v>
      </c>
      <c r="J400">
        <v>96</v>
      </c>
      <c r="K400" s="3">
        <v>45298.25</v>
      </c>
      <c r="L400" s="4">
        <f>ROUNDDOWN(Table1[[#This Row],[Ordered]],0)</f>
        <v>45295</v>
      </c>
      <c r="M400" s="4">
        <f>Table1[[#This Row],[Date ]]</f>
        <v>45295</v>
      </c>
      <c r="N400" s="5">
        <f>Table1[[#This Row],[Ordered]]-Table1[[#This Row],[Date ]]</f>
        <v>0.25</v>
      </c>
      <c r="O400">
        <f>Table1[[#This Row],[Company]]</f>
        <v>10</v>
      </c>
      <c r="P400">
        <f>IF(((Table1[[#This Row],[Arrived]]-Table1[[#This Row],[Delivery]])*24-Table1[[#This Row],[Promised]])&lt;0, 0, (Table1[[#This Row],[Arrived]]-Table1[[#This Row],[Delivery]])*24-Table1[[#This Row],[Promised]])</f>
        <v>0</v>
      </c>
      <c r="Q400"/>
    </row>
    <row r="401" spans="1:17" x14ac:dyDescent="0.45">
      <c r="A401" s="3">
        <v>45295.25</v>
      </c>
      <c r="B401" t="s">
        <v>14</v>
      </c>
      <c r="C401">
        <v>16</v>
      </c>
      <c r="D401">
        <v>1005</v>
      </c>
      <c r="E401" t="s">
        <v>15</v>
      </c>
      <c r="F401">
        <v>6</v>
      </c>
      <c r="G401">
        <v>6650</v>
      </c>
      <c r="H401">
        <v>39900</v>
      </c>
      <c r="I401" s="3">
        <v>45295.291666666664</v>
      </c>
      <c r="J401">
        <v>96</v>
      </c>
      <c r="K401" s="3">
        <v>45298.291666666664</v>
      </c>
      <c r="L401" s="4">
        <f>ROUNDDOWN(Table1[[#This Row],[Ordered]],0)</f>
        <v>45295</v>
      </c>
      <c r="M401" s="4">
        <f>Table1[[#This Row],[Date ]]</f>
        <v>45295</v>
      </c>
      <c r="N401" s="5">
        <f>Table1[[#This Row],[Ordered]]-Table1[[#This Row],[Date ]]</f>
        <v>0.25</v>
      </c>
      <c r="O401">
        <f>Table1[[#This Row],[Company]]</f>
        <v>16</v>
      </c>
      <c r="P401">
        <f>IF(((Table1[[#This Row],[Arrived]]-Table1[[#This Row],[Delivery]])*24-Table1[[#This Row],[Promised]])&lt;0, 0, (Table1[[#This Row],[Arrived]]-Table1[[#This Row],[Delivery]])*24-Table1[[#This Row],[Promised]])</f>
        <v>0</v>
      </c>
      <c r="Q401"/>
    </row>
    <row r="402" spans="1:17" x14ac:dyDescent="0.45">
      <c r="A402" s="3">
        <v>45295.25</v>
      </c>
      <c r="B402" t="s">
        <v>14</v>
      </c>
      <c r="C402">
        <v>12</v>
      </c>
      <c r="D402">
        <v>1005</v>
      </c>
      <c r="E402" t="s">
        <v>15</v>
      </c>
      <c r="F402">
        <v>6</v>
      </c>
      <c r="G402">
        <v>6800</v>
      </c>
      <c r="H402">
        <v>40800</v>
      </c>
      <c r="I402" s="3">
        <v>45295.333333333336</v>
      </c>
      <c r="J402">
        <v>72</v>
      </c>
      <c r="K402" s="3">
        <v>45297.333333333336</v>
      </c>
      <c r="L402" s="4">
        <f>ROUNDDOWN(Table1[[#This Row],[Ordered]],0)</f>
        <v>45295</v>
      </c>
      <c r="M402" s="4">
        <f>Table1[[#This Row],[Date ]]</f>
        <v>45295</v>
      </c>
      <c r="N402" s="5">
        <f>Table1[[#This Row],[Ordered]]-Table1[[#This Row],[Date ]]</f>
        <v>0.25</v>
      </c>
      <c r="O402">
        <f>Table1[[#This Row],[Company]]</f>
        <v>12</v>
      </c>
      <c r="P402">
        <f>IF(((Table1[[#This Row],[Arrived]]-Table1[[#This Row],[Delivery]])*24-Table1[[#This Row],[Promised]])&lt;0, 0, (Table1[[#This Row],[Arrived]]-Table1[[#This Row],[Delivery]])*24-Table1[[#This Row],[Promised]])</f>
        <v>0</v>
      </c>
      <c r="Q402"/>
    </row>
    <row r="403" spans="1:17" x14ac:dyDescent="0.45">
      <c r="A403" s="3">
        <v>45295.25</v>
      </c>
      <c r="B403" t="s">
        <v>14</v>
      </c>
      <c r="C403">
        <v>11</v>
      </c>
      <c r="D403">
        <v>1005</v>
      </c>
      <c r="E403" t="s">
        <v>15</v>
      </c>
      <c r="F403">
        <v>6</v>
      </c>
      <c r="G403">
        <v>6650</v>
      </c>
      <c r="H403">
        <v>39900</v>
      </c>
      <c r="I403" s="3">
        <v>45295.541666666664</v>
      </c>
      <c r="J403">
        <v>96</v>
      </c>
      <c r="K403" s="3">
        <v>45298.541666666664</v>
      </c>
      <c r="L403" s="4">
        <f>ROUNDDOWN(Table1[[#This Row],[Ordered]],0)</f>
        <v>45295</v>
      </c>
      <c r="M403" s="4">
        <f>Table1[[#This Row],[Date ]]</f>
        <v>45295</v>
      </c>
      <c r="N403" s="5">
        <f>Table1[[#This Row],[Ordered]]-Table1[[#This Row],[Date ]]</f>
        <v>0.25</v>
      </c>
      <c r="O403">
        <f>Table1[[#This Row],[Company]]</f>
        <v>11</v>
      </c>
      <c r="P403">
        <f>IF(((Table1[[#This Row],[Arrived]]-Table1[[#This Row],[Delivery]])*24-Table1[[#This Row],[Promised]])&lt;0, 0, (Table1[[#This Row],[Arrived]]-Table1[[#This Row],[Delivery]])*24-Table1[[#This Row],[Promised]])</f>
        <v>0</v>
      </c>
      <c r="Q403"/>
    </row>
    <row r="404" spans="1:17" hidden="1" x14ac:dyDescent="0.45">
      <c r="A404" s="3">
        <v>45295.291666666664</v>
      </c>
      <c r="B404" t="s">
        <v>12</v>
      </c>
      <c r="C404">
        <v>2</v>
      </c>
      <c r="D404">
        <v>15</v>
      </c>
      <c r="E404" t="s">
        <v>13</v>
      </c>
      <c r="F404">
        <v>1000</v>
      </c>
      <c r="G404">
        <v>140</v>
      </c>
      <c r="H404">
        <v>140000</v>
      </c>
      <c r="I404" s="3">
        <v>45295.291666666664</v>
      </c>
      <c r="J404">
        <v>72</v>
      </c>
      <c r="K404" s="3">
        <v>45298.291666666664</v>
      </c>
      <c r="L404" s="4">
        <f>ROUNDDOWN(Table1[[#This Row],[Ordered]],0)</f>
        <v>45295</v>
      </c>
      <c r="M404" s="4">
        <f>Table1[[#This Row],[Date ]]</f>
        <v>45295</v>
      </c>
      <c r="N404" s="5">
        <f>Table1[[#This Row],[Ordered]]-Table1[[#This Row],[Date ]]</f>
        <v>0.29166666666424135</v>
      </c>
      <c r="O404" s="5">
        <f>Table1[[#This Row],[Company]]</f>
        <v>2</v>
      </c>
      <c r="P404">
        <f>IF(((Table1[[#This Row],[Arrived]]-Table1[[#This Row],[Delivery]])*24-Table1[[#This Row],[Promised]])&lt;0, 0, (Table1[[#This Row],[Arrived]]-Table1[[#This Row],[Delivery]])*24-Table1[[#This Row],[Promised]])</f>
        <v>0</v>
      </c>
      <c r="Q404"/>
    </row>
    <row r="405" spans="1:17" hidden="1" x14ac:dyDescent="0.45">
      <c r="A405" s="3">
        <v>45295.291666666664</v>
      </c>
      <c r="B405" t="s">
        <v>12</v>
      </c>
      <c r="C405">
        <v>6</v>
      </c>
      <c r="D405">
        <v>7</v>
      </c>
      <c r="E405" t="s">
        <v>13</v>
      </c>
      <c r="F405">
        <v>758</v>
      </c>
      <c r="G405">
        <v>100</v>
      </c>
      <c r="H405">
        <v>75800</v>
      </c>
      <c r="I405" s="3">
        <v>45295.333333333336</v>
      </c>
      <c r="J405">
        <v>72</v>
      </c>
      <c r="K405" s="3">
        <v>45298.333333333336</v>
      </c>
      <c r="L405" s="4">
        <f>ROUNDDOWN(Table1[[#This Row],[Ordered]],0)</f>
        <v>45295</v>
      </c>
      <c r="M405" s="4">
        <f>Table1[[#This Row],[Date ]]</f>
        <v>45295</v>
      </c>
      <c r="N405" s="5">
        <f>Table1[[#This Row],[Ordered]]-Table1[[#This Row],[Date ]]</f>
        <v>0.29166666666424135</v>
      </c>
      <c r="O405" s="5">
        <f>Table1[[#This Row],[Company]]</f>
        <v>6</v>
      </c>
      <c r="P405">
        <f>IF(((Table1[[#This Row],[Arrived]]-Table1[[#This Row],[Delivery]])*24-Table1[[#This Row],[Promised]])&lt;0, 0, (Table1[[#This Row],[Arrived]]-Table1[[#This Row],[Delivery]])*24-Table1[[#This Row],[Promised]])</f>
        <v>0</v>
      </c>
      <c r="Q405"/>
    </row>
    <row r="406" spans="1:17" x14ac:dyDescent="0.45">
      <c r="A406" s="3">
        <v>45295.333333333336</v>
      </c>
      <c r="B406" t="s">
        <v>0</v>
      </c>
      <c r="C406">
        <v>11</v>
      </c>
      <c r="D406">
        <v>2005</v>
      </c>
      <c r="E406" t="s">
        <v>15</v>
      </c>
      <c r="F406">
        <v>30</v>
      </c>
      <c r="G406">
        <v>6650</v>
      </c>
      <c r="H406">
        <v>199500</v>
      </c>
      <c r="I406" s="3">
        <v>45295.708333333336</v>
      </c>
      <c r="J406">
        <v>132</v>
      </c>
      <c r="K406" s="3">
        <v>45300.208333333336</v>
      </c>
      <c r="L406" s="4">
        <f>ROUNDDOWN(Table1[[#This Row],[Ordered]],0)</f>
        <v>45295</v>
      </c>
      <c r="M406" s="4">
        <f>Table1[[#This Row],[Date ]]</f>
        <v>45295</v>
      </c>
      <c r="N406" s="5">
        <f>Table1[[#This Row],[Ordered]]-Table1[[#This Row],[Date ]]</f>
        <v>0.33333333333575865</v>
      </c>
      <c r="O406">
        <f>Table1[[#This Row],[Company]]</f>
        <v>11</v>
      </c>
      <c r="P406">
        <f>IF(((Table1[[#This Row],[Arrived]]-Table1[[#This Row],[Delivery]])*24-Table1[[#This Row],[Promised]])&lt;0, 0, (Table1[[#This Row],[Arrived]]-Table1[[#This Row],[Delivery]])*24-Table1[[#This Row],[Promised]])</f>
        <v>0</v>
      </c>
      <c r="Q406"/>
    </row>
    <row r="407" spans="1:17" x14ac:dyDescent="0.45">
      <c r="A407" s="3">
        <v>45295.333333333336</v>
      </c>
      <c r="B407" t="s">
        <v>0</v>
      </c>
      <c r="C407">
        <v>14</v>
      </c>
      <c r="D407">
        <v>2005</v>
      </c>
      <c r="E407" t="s">
        <v>15</v>
      </c>
      <c r="F407">
        <v>30</v>
      </c>
      <c r="G407">
        <v>6650</v>
      </c>
      <c r="H407">
        <v>199500</v>
      </c>
      <c r="I407" s="3">
        <v>45295.541666666664</v>
      </c>
      <c r="J407">
        <v>132</v>
      </c>
      <c r="K407" s="3">
        <v>45300.041666666664</v>
      </c>
      <c r="L407" s="4">
        <f>ROUNDDOWN(Table1[[#This Row],[Ordered]],0)</f>
        <v>45295</v>
      </c>
      <c r="M407" s="4">
        <f>Table1[[#This Row],[Date ]]</f>
        <v>45295</v>
      </c>
      <c r="N407" s="5">
        <f>Table1[[#This Row],[Ordered]]-Table1[[#This Row],[Date ]]</f>
        <v>0.33333333333575865</v>
      </c>
      <c r="O407">
        <f>Table1[[#This Row],[Company]]</f>
        <v>14</v>
      </c>
      <c r="P407">
        <f>IF(((Table1[[#This Row],[Arrived]]-Table1[[#This Row],[Delivery]])*24-Table1[[#This Row],[Promised]])&lt;0, 0, (Table1[[#This Row],[Arrived]]-Table1[[#This Row],[Delivery]])*24-Table1[[#This Row],[Promised]])</f>
        <v>0</v>
      </c>
      <c r="Q407"/>
    </row>
    <row r="408" spans="1:17" x14ac:dyDescent="0.45">
      <c r="A408" s="3">
        <v>45295.333333333336</v>
      </c>
      <c r="B408" t="s">
        <v>14</v>
      </c>
      <c r="C408">
        <v>11</v>
      </c>
      <c r="D408">
        <v>1006</v>
      </c>
      <c r="E408" t="s">
        <v>16</v>
      </c>
      <c r="F408">
        <v>30</v>
      </c>
      <c r="G408">
        <v>3750</v>
      </c>
      <c r="H408">
        <v>112500</v>
      </c>
      <c r="I408" s="3">
        <v>45295.625</v>
      </c>
      <c r="J408">
        <v>96</v>
      </c>
      <c r="K408" s="3">
        <v>45298.625</v>
      </c>
      <c r="L408" s="4">
        <f>ROUNDDOWN(Table1[[#This Row],[Ordered]],0)</f>
        <v>45295</v>
      </c>
      <c r="M408" s="4">
        <f>Table1[[#This Row],[Date ]]</f>
        <v>45295</v>
      </c>
      <c r="N408" s="5">
        <f>Table1[[#This Row],[Ordered]]-Table1[[#This Row],[Date ]]</f>
        <v>0.33333333333575865</v>
      </c>
      <c r="O408">
        <f>Table1[[#This Row],[Company]]</f>
        <v>11</v>
      </c>
      <c r="P408">
        <f>IF(((Table1[[#This Row],[Arrived]]-Table1[[#This Row],[Delivery]])*24-Table1[[#This Row],[Promised]])&lt;0, 0, (Table1[[#This Row],[Arrived]]-Table1[[#This Row],[Delivery]])*24-Table1[[#This Row],[Promised]])</f>
        <v>0</v>
      </c>
      <c r="Q408"/>
    </row>
    <row r="409" spans="1:17" x14ac:dyDescent="0.45">
      <c r="A409" s="3">
        <v>45295.333333333336</v>
      </c>
      <c r="B409" t="s">
        <v>0</v>
      </c>
      <c r="C409">
        <v>7</v>
      </c>
      <c r="D409">
        <v>2005</v>
      </c>
      <c r="E409" t="s">
        <v>15</v>
      </c>
      <c r="F409">
        <v>30</v>
      </c>
      <c r="G409">
        <v>6650</v>
      </c>
      <c r="H409">
        <v>199500</v>
      </c>
      <c r="I409" s="3">
        <v>45296</v>
      </c>
      <c r="J409">
        <v>132</v>
      </c>
      <c r="K409" s="3">
        <v>45300.5</v>
      </c>
      <c r="L409" s="4">
        <f>ROUNDDOWN(Table1[[#This Row],[Ordered]],0)</f>
        <v>45295</v>
      </c>
      <c r="M409" s="4">
        <f>Table1[[#This Row],[Date ]]</f>
        <v>45295</v>
      </c>
      <c r="N409" s="5">
        <f>Table1[[#This Row],[Ordered]]-Table1[[#This Row],[Date ]]</f>
        <v>0.33333333333575865</v>
      </c>
      <c r="O409">
        <f>Table1[[#This Row],[Company]]</f>
        <v>7</v>
      </c>
      <c r="P409">
        <f>IF(((Table1[[#This Row],[Arrived]]-Table1[[#This Row],[Delivery]])*24-Table1[[#This Row],[Promised]])&lt;0, 0, (Table1[[#This Row],[Arrived]]-Table1[[#This Row],[Delivery]])*24-Table1[[#This Row],[Promised]])</f>
        <v>0</v>
      </c>
      <c r="Q409"/>
    </row>
    <row r="410" spans="1:17" x14ac:dyDescent="0.45">
      <c r="A410" s="3">
        <v>45295.333333333336</v>
      </c>
      <c r="B410" t="s">
        <v>0</v>
      </c>
      <c r="C410">
        <v>13</v>
      </c>
      <c r="D410">
        <v>2005</v>
      </c>
      <c r="E410" t="s">
        <v>16</v>
      </c>
      <c r="F410">
        <v>30</v>
      </c>
      <c r="G410">
        <v>3750</v>
      </c>
      <c r="H410">
        <v>112500</v>
      </c>
      <c r="I410" s="3">
        <v>45296.375</v>
      </c>
      <c r="J410">
        <v>132</v>
      </c>
      <c r="K410" s="3">
        <v>45300.875</v>
      </c>
      <c r="L410" s="4">
        <f>ROUNDDOWN(Table1[[#This Row],[Ordered]],0)</f>
        <v>45295</v>
      </c>
      <c r="M410" s="4">
        <f>Table1[[#This Row],[Date ]]</f>
        <v>45295</v>
      </c>
      <c r="N410" s="5">
        <f>Table1[[#This Row],[Ordered]]-Table1[[#This Row],[Date ]]</f>
        <v>0.33333333333575865</v>
      </c>
      <c r="O410">
        <f>Table1[[#This Row],[Company]]</f>
        <v>13</v>
      </c>
      <c r="P410">
        <f>IF(((Table1[[#This Row],[Arrived]]-Table1[[#This Row],[Delivery]])*24-Table1[[#This Row],[Promised]])&lt;0, 0, (Table1[[#This Row],[Arrived]]-Table1[[#This Row],[Delivery]])*24-Table1[[#This Row],[Promised]])</f>
        <v>0</v>
      </c>
      <c r="Q410"/>
    </row>
    <row r="411" spans="1:17" x14ac:dyDescent="0.45">
      <c r="A411" s="3">
        <v>45295.333333333336</v>
      </c>
      <c r="B411" t="s">
        <v>0</v>
      </c>
      <c r="C411">
        <v>13</v>
      </c>
      <c r="D411">
        <v>2005</v>
      </c>
      <c r="E411" t="s">
        <v>15</v>
      </c>
      <c r="F411">
        <v>30</v>
      </c>
      <c r="G411">
        <v>6650</v>
      </c>
      <c r="H411">
        <v>199500</v>
      </c>
      <c r="I411" s="3">
        <v>45296.166666666664</v>
      </c>
      <c r="J411">
        <v>132</v>
      </c>
      <c r="K411" s="3">
        <v>45300.666666666664</v>
      </c>
      <c r="L411" s="4">
        <f>ROUNDDOWN(Table1[[#This Row],[Ordered]],0)</f>
        <v>45295</v>
      </c>
      <c r="M411" s="4">
        <f>Table1[[#This Row],[Date ]]</f>
        <v>45295</v>
      </c>
      <c r="N411" s="5">
        <f>Table1[[#This Row],[Ordered]]-Table1[[#This Row],[Date ]]</f>
        <v>0.33333333333575865</v>
      </c>
      <c r="O411">
        <f>Table1[[#This Row],[Company]]</f>
        <v>13</v>
      </c>
      <c r="P411">
        <f>IF(((Table1[[#This Row],[Arrived]]-Table1[[#This Row],[Delivery]])*24-Table1[[#This Row],[Promised]])&lt;0, 0, (Table1[[#This Row],[Arrived]]-Table1[[#This Row],[Delivery]])*24-Table1[[#This Row],[Promised]])</f>
        <v>0</v>
      </c>
      <c r="Q411"/>
    </row>
    <row r="412" spans="1:17" x14ac:dyDescent="0.45">
      <c r="A412" s="3">
        <v>45295.333333333336</v>
      </c>
      <c r="B412" t="s">
        <v>14</v>
      </c>
      <c r="C412">
        <v>15</v>
      </c>
      <c r="D412">
        <v>1006</v>
      </c>
      <c r="E412" t="s">
        <v>16</v>
      </c>
      <c r="F412">
        <v>49</v>
      </c>
      <c r="G412">
        <v>3650</v>
      </c>
      <c r="H412">
        <v>178850</v>
      </c>
      <c r="I412" s="3">
        <v>45296.041666666664</v>
      </c>
      <c r="J412">
        <v>96</v>
      </c>
      <c r="K412" s="3">
        <v>45299.041666666664</v>
      </c>
      <c r="L412" s="4">
        <f>ROUNDDOWN(Table1[[#This Row],[Ordered]],0)</f>
        <v>45295</v>
      </c>
      <c r="M412" s="4">
        <f>Table1[[#This Row],[Date ]]</f>
        <v>45295</v>
      </c>
      <c r="N412" s="5">
        <f>Table1[[#This Row],[Ordered]]-Table1[[#This Row],[Date ]]</f>
        <v>0.33333333333575865</v>
      </c>
      <c r="O412">
        <f>Table1[[#This Row],[Company]]</f>
        <v>15</v>
      </c>
      <c r="P412">
        <f>IF(((Table1[[#This Row],[Arrived]]-Table1[[#This Row],[Delivery]])*24-Table1[[#This Row],[Promised]])&lt;0, 0, (Table1[[#This Row],[Arrived]]-Table1[[#This Row],[Delivery]])*24-Table1[[#This Row],[Promised]])</f>
        <v>0</v>
      </c>
      <c r="Q412"/>
    </row>
    <row r="413" spans="1:17" x14ac:dyDescent="0.45">
      <c r="A413" s="3">
        <v>45295.333333333336</v>
      </c>
      <c r="B413" t="s">
        <v>0</v>
      </c>
      <c r="C413">
        <v>12</v>
      </c>
      <c r="D413">
        <v>2005</v>
      </c>
      <c r="E413" t="s">
        <v>15</v>
      </c>
      <c r="F413">
        <v>30</v>
      </c>
      <c r="G413">
        <v>6650</v>
      </c>
      <c r="H413">
        <v>199500</v>
      </c>
      <c r="I413" s="3">
        <v>45295.666666666664</v>
      </c>
      <c r="J413">
        <v>120</v>
      </c>
      <c r="K413" s="3">
        <v>45300.166666666664</v>
      </c>
      <c r="L413" s="4">
        <f>ROUNDDOWN(Table1[[#This Row],[Ordered]],0)</f>
        <v>45295</v>
      </c>
      <c r="M413" s="4">
        <f>Table1[[#This Row],[Date ]]</f>
        <v>45295</v>
      </c>
      <c r="N413" s="5">
        <f>Table1[[#This Row],[Ordered]]-Table1[[#This Row],[Date ]]</f>
        <v>0.33333333333575865</v>
      </c>
      <c r="O413">
        <f>Table1[[#This Row],[Company]]</f>
        <v>12</v>
      </c>
      <c r="P413">
        <f>IF(((Table1[[#This Row],[Arrived]]-Table1[[#This Row],[Delivery]])*24-Table1[[#This Row],[Promised]])&lt;0, 0, (Table1[[#This Row],[Arrived]]-Table1[[#This Row],[Delivery]])*24-Table1[[#This Row],[Promised]])</f>
        <v>0</v>
      </c>
      <c r="Q413"/>
    </row>
    <row r="414" spans="1:17" x14ac:dyDescent="0.45">
      <c r="A414" s="3">
        <v>45295.333333333336</v>
      </c>
      <c r="B414" t="s">
        <v>14</v>
      </c>
      <c r="C414">
        <v>10</v>
      </c>
      <c r="D414">
        <v>1006</v>
      </c>
      <c r="E414" t="s">
        <v>16</v>
      </c>
      <c r="F414">
        <v>30</v>
      </c>
      <c r="G414">
        <v>3700</v>
      </c>
      <c r="H414">
        <v>111000</v>
      </c>
      <c r="I414" s="3">
        <v>45295.75</v>
      </c>
      <c r="J414">
        <v>48</v>
      </c>
      <c r="K414" s="3">
        <v>45298.75</v>
      </c>
      <c r="L414" s="4">
        <f>ROUNDDOWN(Table1[[#This Row],[Ordered]],0)</f>
        <v>45295</v>
      </c>
      <c r="M414" s="4">
        <f>Table1[[#This Row],[Date ]]</f>
        <v>45295</v>
      </c>
      <c r="N414" s="5">
        <f>Table1[[#This Row],[Ordered]]-Table1[[#This Row],[Date ]]</f>
        <v>0.33333333333575865</v>
      </c>
      <c r="O414">
        <f>Table1[[#This Row],[Company]]</f>
        <v>10</v>
      </c>
      <c r="P414">
        <f>IF(((Table1[[#This Row],[Arrived]]-Table1[[#This Row],[Delivery]])*24-Table1[[#This Row],[Promised]])&lt;0, 0, (Table1[[#This Row],[Arrived]]-Table1[[#This Row],[Delivery]])*24-Table1[[#This Row],[Promised]])</f>
        <v>24</v>
      </c>
      <c r="Q414"/>
    </row>
    <row r="415" spans="1:17" x14ac:dyDescent="0.45">
      <c r="A415" s="3">
        <v>45295.333333333336</v>
      </c>
      <c r="B415" t="s">
        <v>0</v>
      </c>
      <c r="C415">
        <v>16</v>
      </c>
      <c r="D415">
        <v>2005</v>
      </c>
      <c r="E415" t="s">
        <v>15</v>
      </c>
      <c r="F415">
        <v>30</v>
      </c>
      <c r="G415">
        <v>6650</v>
      </c>
      <c r="H415">
        <v>199500</v>
      </c>
      <c r="I415" s="3">
        <v>45295.75</v>
      </c>
      <c r="J415">
        <v>132</v>
      </c>
      <c r="K415" s="3">
        <v>45300.25</v>
      </c>
      <c r="L415" s="4">
        <f>ROUNDDOWN(Table1[[#This Row],[Ordered]],0)</f>
        <v>45295</v>
      </c>
      <c r="M415" s="4">
        <f>Table1[[#This Row],[Date ]]</f>
        <v>45295</v>
      </c>
      <c r="N415" s="5">
        <f>Table1[[#This Row],[Ordered]]-Table1[[#This Row],[Date ]]</f>
        <v>0.33333333333575865</v>
      </c>
      <c r="O415">
        <f>Table1[[#This Row],[Company]]</f>
        <v>16</v>
      </c>
      <c r="P415">
        <f>IF(((Table1[[#This Row],[Arrived]]-Table1[[#This Row],[Delivery]])*24-Table1[[#This Row],[Promised]])&lt;0, 0, (Table1[[#This Row],[Arrived]]-Table1[[#This Row],[Delivery]])*24-Table1[[#This Row],[Promised]])</f>
        <v>0</v>
      </c>
      <c r="Q415"/>
    </row>
    <row r="416" spans="1:17" x14ac:dyDescent="0.45">
      <c r="A416" s="3">
        <v>45295.333333333336</v>
      </c>
      <c r="B416" t="s">
        <v>0</v>
      </c>
      <c r="C416">
        <v>9</v>
      </c>
      <c r="D416">
        <v>2005</v>
      </c>
      <c r="E416" t="s">
        <v>15</v>
      </c>
      <c r="F416">
        <v>30</v>
      </c>
      <c r="G416">
        <v>6650</v>
      </c>
      <c r="H416">
        <v>199500</v>
      </c>
      <c r="I416" s="3">
        <v>45297.708333333336</v>
      </c>
      <c r="J416">
        <v>132</v>
      </c>
      <c r="K416" s="3">
        <v>45300.708333333336</v>
      </c>
      <c r="L416" s="4">
        <f>ROUNDDOWN(Table1[[#This Row],[Ordered]],0)</f>
        <v>45295</v>
      </c>
      <c r="M416" s="4">
        <f>Table1[[#This Row],[Date ]]</f>
        <v>45295</v>
      </c>
      <c r="N416" s="5">
        <f>Table1[[#This Row],[Ordered]]-Table1[[#This Row],[Date ]]</f>
        <v>0.33333333333575865</v>
      </c>
      <c r="O416">
        <f>Table1[[#This Row],[Company]]</f>
        <v>9</v>
      </c>
      <c r="P416">
        <f>IF(((Table1[[#This Row],[Arrived]]-Table1[[#This Row],[Delivery]])*24-Table1[[#This Row],[Promised]])&lt;0, 0, (Table1[[#This Row],[Arrived]]-Table1[[#This Row],[Delivery]])*24-Table1[[#This Row],[Promised]])</f>
        <v>0</v>
      </c>
      <c r="Q416"/>
    </row>
    <row r="417" spans="1:17" x14ac:dyDescent="0.45">
      <c r="A417" s="3">
        <v>45295.333333333336</v>
      </c>
      <c r="B417" t="s">
        <v>14</v>
      </c>
      <c r="C417">
        <v>14</v>
      </c>
      <c r="D417">
        <v>1006</v>
      </c>
      <c r="E417" t="s">
        <v>16</v>
      </c>
      <c r="F417">
        <v>30</v>
      </c>
      <c r="G417">
        <v>3750</v>
      </c>
      <c r="H417">
        <v>112500</v>
      </c>
      <c r="I417" s="3">
        <v>45295.458333333336</v>
      </c>
      <c r="J417">
        <v>96</v>
      </c>
      <c r="K417" s="3">
        <v>45298.458333333336</v>
      </c>
      <c r="L417" s="4">
        <f>ROUNDDOWN(Table1[[#This Row],[Ordered]],0)</f>
        <v>45295</v>
      </c>
      <c r="M417" s="4">
        <f>Table1[[#This Row],[Date ]]</f>
        <v>45295</v>
      </c>
      <c r="N417" s="5">
        <f>Table1[[#This Row],[Ordered]]-Table1[[#This Row],[Date ]]</f>
        <v>0.33333333333575865</v>
      </c>
      <c r="O417">
        <f>Table1[[#This Row],[Company]]</f>
        <v>14</v>
      </c>
      <c r="P417">
        <f>IF(((Table1[[#This Row],[Arrived]]-Table1[[#This Row],[Delivery]])*24-Table1[[#This Row],[Promised]])&lt;0, 0, (Table1[[#This Row],[Arrived]]-Table1[[#This Row],[Delivery]])*24-Table1[[#This Row],[Promised]])</f>
        <v>0</v>
      </c>
      <c r="Q417"/>
    </row>
    <row r="418" spans="1:17" x14ac:dyDescent="0.45">
      <c r="A418" s="3">
        <v>45295.333333333336</v>
      </c>
      <c r="B418" t="s">
        <v>0</v>
      </c>
      <c r="C418">
        <v>7</v>
      </c>
      <c r="D418">
        <v>2005</v>
      </c>
      <c r="E418" t="s">
        <v>16</v>
      </c>
      <c r="F418">
        <v>30</v>
      </c>
      <c r="G418">
        <v>3650</v>
      </c>
      <c r="H418">
        <v>109500</v>
      </c>
      <c r="I418" s="3">
        <v>45296</v>
      </c>
      <c r="J418">
        <v>132</v>
      </c>
      <c r="K418" s="3">
        <v>45300.5</v>
      </c>
      <c r="L418" s="4">
        <f>ROUNDDOWN(Table1[[#This Row],[Ordered]],0)</f>
        <v>45295</v>
      </c>
      <c r="M418" s="4">
        <f>Table1[[#This Row],[Date ]]</f>
        <v>45295</v>
      </c>
      <c r="N418" s="5">
        <f>Table1[[#This Row],[Ordered]]-Table1[[#This Row],[Date ]]</f>
        <v>0.33333333333575865</v>
      </c>
      <c r="O418">
        <f>Table1[[#This Row],[Company]]</f>
        <v>7</v>
      </c>
      <c r="P418">
        <f>IF(((Table1[[#This Row],[Arrived]]-Table1[[#This Row],[Delivery]])*24-Table1[[#This Row],[Promised]])&lt;0, 0, (Table1[[#This Row],[Arrived]]-Table1[[#This Row],[Delivery]])*24-Table1[[#This Row],[Promised]])</f>
        <v>0</v>
      </c>
      <c r="Q418"/>
    </row>
    <row r="419" spans="1:17" x14ac:dyDescent="0.45">
      <c r="A419" s="3">
        <v>45295.333333333336</v>
      </c>
      <c r="B419" t="s">
        <v>0</v>
      </c>
      <c r="C419">
        <v>12</v>
      </c>
      <c r="D419">
        <v>2005</v>
      </c>
      <c r="E419" t="s">
        <v>16</v>
      </c>
      <c r="F419">
        <v>30</v>
      </c>
      <c r="G419">
        <v>3750</v>
      </c>
      <c r="H419">
        <v>112500</v>
      </c>
      <c r="I419" s="3">
        <v>45295.416666666664</v>
      </c>
      <c r="J419">
        <v>120</v>
      </c>
      <c r="K419" s="3">
        <v>45299.916666666664</v>
      </c>
      <c r="L419" s="4">
        <f>ROUNDDOWN(Table1[[#This Row],[Ordered]],0)</f>
        <v>45295</v>
      </c>
      <c r="M419" s="4">
        <f>Table1[[#This Row],[Date ]]</f>
        <v>45295</v>
      </c>
      <c r="N419" s="5">
        <f>Table1[[#This Row],[Ordered]]-Table1[[#This Row],[Date ]]</f>
        <v>0.33333333333575865</v>
      </c>
      <c r="O419">
        <f>Table1[[#This Row],[Company]]</f>
        <v>12</v>
      </c>
      <c r="P419">
        <f>IF(((Table1[[#This Row],[Arrived]]-Table1[[#This Row],[Delivery]])*24-Table1[[#This Row],[Promised]])&lt;0, 0, (Table1[[#This Row],[Arrived]]-Table1[[#This Row],[Delivery]])*24-Table1[[#This Row],[Promised]])</f>
        <v>0</v>
      </c>
      <c r="Q419"/>
    </row>
    <row r="420" spans="1:17" x14ac:dyDescent="0.45">
      <c r="A420" s="3">
        <v>45295.333333333336</v>
      </c>
      <c r="B420" t="s">
        <v>0</v>
      </c>
      <c r="C420">
        <v>14</v>
      </c>
      <c r="D420">
        <v>2005</v>
      </c>
      <c r="E420" t="s">
        <v>16</v>
      </c>
      <c r="F420">
        <v>30</v>
      </c>
      <c r="G420">
        <v>3750</v>
      </c>
      <c r="H420">
        <v>112500</v>
      </c>
      <c r="I420" s="3">
        <v>45295.666666666664</v>
      </c>
      <c r="J420">
        <v>132</v>
      </c>
      <c r="K420" s="3">
        <v>45300.166666666664</v>
      </c>
      <c r="L420" s="4">
        <f>ROUNDDOWN(Table1[[#This Row],[Ordered]],0)</f>
        <v>45295</v>
      </c>
      <c r="M420" s="4">
        <f>Table1[[#This Row],[Date ]]</f>
        <v>45295</v>
      </c>
      <c r="N420" s="5">
        <f>Table1[[#This Row],[Ordered]]-Table1[[#This Row],[Date ]]</f>
        <v>0.33333333333575865</v>
      </c>
      <c r="O420">
        <f>Table1[[#This Row],[Company]]</f>
        <v>14</v>
      </c>
      <c r="P420">
        <f>IF(((Table1[[#This Row],[Arrived]]-Table1[[#This Row],[Delivery]])*24-Table1[[#This Row],[Promised]])&lt;0, 0, (Table1[[#This Row],[Arrived]]-Table1[[#This Row],[Delivery]])*24-Table1[[#This Row],[Promised]])</f>
        <v>0</v>
      </c>
      <c r="Q420"/>
    </row>
    <row r="421" spans="1:17" x14ac:dyDescent="0.45">
      <c r="A421" s="3">
        <v>45295.333333333336</v>
      </c>
      <c r="B421" t="s">
        <v>14</v>
      </c>
      <c r="C421">
        <v>8</v>
      </c>
      <c r="D421">
        <v>1006</v>
      </c>
      <c r="E421" t="s">
        <v>16</v>
      </c>
      <c r="F421">
        <v>30</v>
      </c>
      <c r="G421">
        <v>3750</v>
      </c>
      <c r="H421">
        <v>112500</v>
      </c>
      <c r="I421" s="3">
        <v>45296.125</v>
      </c>
      <c r="J421">
        <v>96</v>
      </c>
      <c r="K421" s="3">
        <v>45299.125</v>
      </c>
      <c r="L421" s="4">
        <f>ROUNDDOWN(Table1[[#This Row],[Ordered]],0)</f>
        <v>45295</v>
      </c>
      <c r="M421" s="4">
        <f>Table1[[#This Row],[Date ]]</f>
        <v>45295</v>
      </c>
      <c r="N421" s="5">
        <f>Table1[[#This Row],[Ordered]]-Table1[[#This Row],[Date ]]</f>
        <v>0.33333333333575865</v>
      </c>
      <c r="O421">
        <f>Table1[[#This Row],[Company]]</f>
        <v>8</v>
      </c>
      <c r="P421">
        <f>IF(((Table1[[#This Row],[Arrived]]-Table1[[#This Row],[Delivery]])*24-Table1[[#This Row],[Promised]])&lt;0, 0, (Table1[[#This Row],[Arrived]]-Table1[[#This Row],[Delivery]])*24-Table1[[#This Row],[Promised]])</f>
        <v>0</v>
      </c>
      <c r="Q421"/>
    </row>
    <row r="422" spans="1:17" x14ac:dyDescent="0.45">
      <c r="A422" s="3">
        <v>45295.333333333336</v>
      </c>
      <c r="B422" t="s">
        <v>14</v>
      </c>
      <c r="C422">
        <v>9</v>
      </c>
      <c r="D422">
        <v>1006</v>
      </c>
      <c r="E422" t="s">
        <v>16</v>
      </c>
      <c r="F422">
        <v>30</v>
      </c>
      <c r="G422">
        <v>3550</v>
      </c>
      <c r="H422">
        <v>106500</v>
      </c>
      <c r="I422" s="3">
        <v>45296.25</v>
      </c>
      <c r="J422">
        <v>96</v>
      </c>
      <c r="K422" s="3">
        <v>45299.25</v>
      </c>
      <c r="L422" s="4">
        <f>ROUNDDOWN(Table1[[#This Row],[Ordered]],0)</f>
        <v>45295</v>
      </c>
      <c r="M422" s="4">
        <f>Table1[[#This Row],[Date ]]</f>
        <v>45295</v>
      </c>
      <c r="N422" s="5">
        <f>Table1[[#This Row],[Ordered]]-Table1[[#This Row],[Date ]]</f>
        <v>0.33333333333575865</v>
      </c>
      <c r="O422">
        <f>Table1[[#This Row],[Company]]</f>
        <v>9</v>
      </c>
      <c r="P422">
        <f>IF(((Table1[[#This Row],[Arrived]]-Table1[[#This Row],[Delivery]])*24-Table1[[#This Row],[Promised]])&lt;0, 0, (Table1[[#This Row],[Arrived]]-Table1[[#This Row],[Delivery]])*24-Table1[[#This Row],[Promised]])</f>
        <v>0</v>
      </c>
      <c r="Q422"/>
    </row>
    <row r="423" spans="1:17" x14ac:dyDescent="0.45">
      <c r="A423" s="3">
        <v>45295.333333333336</v>
      </c>
      <c r="B423" t="s">
        <v>14</v>
      </c>
      <c r="C423">
        <v>13</v>
      </c>
      <c r="D423">
        <v>1006</v>
      </c>
      <c r="E423" t="s">
        <v>16</v>
      </c>
      <c r="F423">
        <v>30</v>
      </c>
      <c r="G423">
        <v>3750</v>
      </c>
      <c r="H423">
        <v>112500</v>
      </c>
      <c r="I423" s="3">
        <v>45296.125</v>
      </c>
      <c r="J423">
        <v>96</v>
      </c>
      <c r="K423" s="3">
        <v>45299.125</v>
      </c>
      <c r="L423" s="4">
        <f>ROUNDDOWN(Table1[[#This Row],[Ordered]],0)</f>
        <v>45295</v>
      </c>
      <c r="M423" s="4">
        <f>Table1[[#This Row],[Date ]]</f>
        <v>45295</v>
      </c>
      <c r="N423" s="5">
        <f>Table1[[#This Row],[Ordered]]-Table1[[#This Row],[Date ]]</f>
        <v>0.33333333333575865</v>
      </c>
      <c r="O423">
        <f>Table1[[#This Row],[Company]]</f>
        <v>13</v>
      </c>
      <c r="P423">
        <f>IF(((Table1[[#This Row],[Arrived]]-Table1[[#This Row],[Delivery]])*24-Table1[[#This Row],[Promised]])&lt;0, 0, (Table1[[#This Row],[Arrived]]-Table1[[#This Row],[Delivery]])*24-Table1[[#This Row],[Promised]])</f>
        <v>0</v>
      </c>
      <c r="Q423"/>
    </row>
    <row r="424" spans="1:17" x14ac:dyDescent="0.45">
      <c r="A424" s="3">
        <v>45295.333333333336</v>
      </c>
      <c r="B424" t="s">
        <v>0</v>
      </c>
      <c r="C424">
        <v>15</v>
      </c>
      <c r="D424">
        <v>2005</v>
      </c>
      <c r="E424" t="s">
        <v>16</v>
      </c>
      <c r="F424">
        <v>50</v>
      </c>
      <c r="G424">
        <v>3650</v>
      </c>
      <c r="H424">
        <v>182500</v>
      </c>
      <c r="I424" s="3">
        <v>45296.208333333336</v>
      </c>
      <c r="J424">
        <v>132</v>
      </c>
      <c r="K424" s="3">
        <v>45300.708333333336</v>
      </c>
      <c r="L424" s="4">
        <f>ROUNDDOWN(Table1[[#This Row],[Ordered]],0)</f>
        <v>45295</v>
      </c>
      <c r="M424" s="4">
        <f>Table1[[#This Row],[Date ]]</f>
        <v>45295</v>
      </c>
      <c r="N424" s="5">
        <f>Table1[[#This Row],[Ordered]]-Table1[[#This Row],[Date ]]</f>
        <v>0.33333333333575865</v>
      </c>
      <c r="O424">
        <f>Table1[[#This Row],[Company]]</f>
        <v>15</v>
      </c>
      <c r="P424">
        <f>IF(((Table1[[#This Row],[Arrived]]-Table1[[#This Row],[Delivery]])*24-Table1[[#This Row],[Promised]])&lt;0, 0, (Table1[[#This Row],[Arrived]]-Table1[[#This Row],[Delivery]])*24-Table1[[#This Row],[Promised]])</f>
        <v>0</v>
      </c>
      <c r="Q424"/>
    </row>
    <row r="425" spans="1:17" x14ac:dyDescent="0.45">
      <c r="A425" s="3">
        <v>45295.333333333336</v>
      </c>
      <c r="B425" t="s">
        <v>0</v>
      </c>
      <c r="C425">
        <v>10</v>
      </c>
      <c r="D425">
        <v>2005</v>
      </c>
      <c r="E425" t="s">
        <v>15</v>
      </c>
      <c r="F425">
        <v>36</v>
      </c>
      <c r="G425">
        <v>6550</v>
      </c>
      <c r="H425">
        <v>235800</v>
      </c>
      <c r="I425" s="3">
        <v>45295.75</v>
      </c>
      <c r="J425">
        <v>156</v>
      </c>
      <c r="K425" s="3">
        <v>45300.25</v>
      </c>
      <c r="L425" s="4">
        <f>ROUNDDOWN(Table1[[#This Row],[Ordered]],0)</f>
        <v>45295</v>
      </c>
      <c r="M425" s="4">
        <f>Table1[[#This Row],[Date ]]</f>
        <v>45295</v>
      </c>
      <c r="N425" s="5">
        <f>Table1[[#This Row],[Ordered]]-Table1[[#This Row],[Date ]]</f>
        <v>0.33333333333575865</v>
      </c>
      <c r="O425">
        <f>Table1[[#This Row],[Company]]</f>
        <v>10</v>
      </c>
      <c r="P425">
        <f>IF(((Table1[[#This Row],[Arrived]]-Table1[[#This Row],[Delivery]])*24-Table1[[#This Row],[Promised]])&lt;0, 0, (Table1[[#This Row],[Arrived]]-Table1[[#This Row],[Delivery]])*24-Table1[[#This Row],[Promised]])</f>
        <v>0</v>
      </c>
      <c r="Q425"/>
    </row>
    <row r="426" spans="1:17" x14ac:dyDescent="0.45">
      <c r="A426" s="3">
        <v>45295.333333333336</v>
      </c>
      <c r="B426" t="s">
        <v>0</v>
      </c>
      <c r="C426">
        <v>8</v>
      </c>
      <c r="D426">
        <v>2005</v>
      </c>
      <c r="E426" t="s">
        <v>16</v>
      </c>
      <c r="F426">
        <v>30</v>
      </c>
      <c r="G426">
        <v>3500</v>
      </c>
      <c r="H426">
        <v>105000</v>
      </c>
      <c r="I426" s="3">
        <v>45296.125</v>
      </c>
      <c r="J426">
        <v>132</v>
      </c>
      <c r="K426" s="3">
        <v>45300.625</v>
      </c>
      <c r="L426" s="4">
        <f>ROUNDDOWN(Table1[[#This Row],[Ordered]],0)</f>
        <v>45295</v>
      </c>
      <c r="M426" s="4">
        <f>Table1[[#This Row],[Date ]]</f>
        <v>45295</v>
      </c>
      <c r="N426" s="5">
        <f>Table1[[#This Row],[Ordered]]-Table1[[#This Row],[Date ]]</f>
        <v>0.33333333333575865</v>
      </c>
      <c r="O426">
        <f>Table1[[#This Row],[Company]]</f>
        <v>8</v>
      </c>
      <c r="P426">
        <f>IF(((Table1[[#This Row],[Arrived]]-Table1[[#This Row],[Delivery]])*24-Table1[[#This Row],[Promised]])&lt;0, 0, (Table1[[#This Row],[Arrived]]-Table1[[#This Row],[Delivery]])*24-Table1[[#This Row],[Promised]])</f>
        <v>0</v>
      </c>
      <c r="Q426"/>
    </row>
    <row r="427" spans="1:17" x14ac:dyDescent="0.45">
      <c r="A427" s="3">
        <v>45295.333333333336</v>
      </c>
      <c r="B427" t="s">
        <v>14</v>
      </c>
      <c r="C427">
        <v>16</v>
      </c>
      <c r="D427">
        <v>1006</v>
      </c>
      <c r="E427" t="s">
        <v>16</v>
      </c>
      <c r="F427">
        <v>30</v>
      </c>
      <c r="G427">
        <v>3750</v>
      </c>
      <c r="H427">
        <v>112500</v>
      </c>
      <c r="I427" s="3">
        <v>45295.541666666664</v>
      </c>
      <c r="J427">
        <v>96</v>
      </c>
      <c r="K427" s="3">
        <v>45298.541666666664</v>
      </c>
      <c r="L427" s="4">
        <f>ROUNDDOWN(Table1[[#This Row],[Ordered]],0)</f>
        <v>45295</v>
      </c>
      <c r="M427" s="4">
        <f>Table1[[#This Row],[Date ]]</f>
        <v>45295</v>
      </c>
      <c r="N427" s="5">
        <f>Table1[[#This Row],[Ordered]]-Table1[[#This Row],[Date ]]</f>
        <v>0.33333333333575865</v>
      </c>
      <c r="O427">
        <f>Table1[[#This Row],[Company]]</f>
        <v>16</v>
      </c>
      <c r="P427">
        <f>IF(((Table1[[#This Row],[Arrived]]-Table1[[#This Row],[Delivery]])*24-Table1[[#This Row],[Promised]])&lt;0, 0, (Table1[[#This Row],[Arrived]]-Table1[[#This Row],[Delivery]])*24-Table1[[#This Row],[Promised]])</f>
        <v>0</v>
      </c>
      <c r="Q427"/>
    </row>
    <row r="428" spans="1:17" x14ac:dyDescent="0.45">
      <c r="A428" s="3">
        <v>45295.333333333336</v>
      </c>
      <c r="B428" t="s">
        <v>0</v>
      </c>
      <c r="C428">
        <v>10</v>
      </c>
      <c r="D428">
        <v>2005</v>
      </c>
      <c r="E428" t="s">
        <v>16</v>
      </c>
      <c r="F428">
        <v>50</v>
      </c>
      <c r="G428">
        <v>3900</v>
      </c>
      <c r="H428">
        <v>195000</v>
      </c>
      <c r="I428" s="3">
        <v>45295.875</v>
      </c>
      <c r="J428">
        <v>84</v>
      </c>
      <c r="K428" s="3">
        <v>45297.375</v>
      </c>
      <c r="L428" s="4">
        <f>ROUNDDOWN(Table1[[#This Row],[Ordered]],0)</f>
        <v>45295</v>
      </c>
      <c r="M428" s="4">
        <f>Table1[[#This Row],[Date ]]</f>
        <v>45295</v>
      </c>
      <c r="N428" s="5">
        <f>Table1[[#This Row],[Ordered]]-Table1[[#This Row],[Date ]]</f>
        <v>0.33333333333575865</v>
      </c>
      <c r="O428">
        <f>Table1[[#This Row],[Company]]</f>
        <v>10</v>
      </c>
      <c r="P428">
        <f>IF(((Table1[[#This Row],[Arrived]]-Table1[[#This Row],[Delivery]])*24-Table1[[#This Row],[Promised]])&lt;0, 0, (Table1[[#This Row],[Arrived]]-Table1[[#This Row],[Delivery]])*24-Table1[[#This Row],[Promised]])</f>
        <v>0</v>
      </c>
      <c r="Q428"/>
    </row>
    <row r="429" spans="1:17" x14ac:dyDescent="0.45">
      <c r="A429" s="3">
        <v>45295.333333333336</v>
      </c>
      <c r="B429" t="s">
        <v>0</v>
      </c>
      <c r="C429">
        <v>11</v>
      </c>
      <c r="D429">
        <v>2005</v>
      </c>
      <c r="E429" t="s">
        <v>16</v>
      </c>
      <c r="F429">
        <v>30</v>
      </c>
      <c r="G429">
        <v>3750</v>
      </c>
      <c r="H429">
        <v>112500</v>
      </c>
      <c r="I429" s="3">
        <v>45295.708333333336</v>
      </c>
      <c r="J429">
        <v>132</v>
      </c>
      <c r="K429" s="3">
        <v>45300.208333333336</v>
      </c>
      <c r="L429" s="4">
        <f>ROUNDDOWN(Table1[[#This Row],[Ordered]],0)</f>
        <v>45295</v>
      </c>
      <c r="M429" s="4">
        <f>Table1[[#This Row],[Date ]]</f>
        <v>45295</v>
      </c>
      <c r="N429" s="5">
        <f>Table1[[#This Row],[Ordered]]-Table1[[#This Row],[Date ]]</f>
        <v>0.33333333333575865</v>
      </c>
      <c r="O429">
        <f>Table1[[#This Row],[Company]]</f>
        <v>11</v>
      </c>
      <c r="P429">
        <f>IF(((Table1[[#This Row],[Arrived]]-Table1[[#This Row],[Delivery]])*24-Table1[[#This Row],[Promised]])&lt;0, 0, (Table1[[#This Row],[Arrived]]-Table1[[#This Row],[Delivery]])*24-Table1[[#This Row],[Promised]])</f>
        <v>0</v>
      </c>
      <c r="Q429"/>
    </row>
    <row r="430" spans="1:17" x14ac:dyDescent="0.45">
      <c r="A430" s="3">
        <v>45295.333333333336</v>
      </c>
      <c r="B430" t="s">
        <v>0</v>
      </c>
      <c r="C430">
        <v>15</v>
      </c>
      <c r="D430">
        <v>2005</v>
      </c>
      <c r="E430" t="s">
        <v>15</v>
      </c>
      <c r="F430">
        <v>30</v>
      </c>
      <c r="G430">
        <v>6900</v>
      </c>
      <c r="H430">
        <v>207000</v>
      </c>
      <c r="I430" s="3">
        <v>45296.416666666664</v>
      </c>
      <c r="J430">
        <v>72</v>
      </c>
      <c r="K430" s="3">
        <v>45297.916666666664</v>
      </c>
      <c r="L430" s="4">
        <f>ROUNDDOWN(Table1[[#This Row],[Ordered]],0)</f>
        <v>45295</v>
      </c>
      <c r="M430" s="4">
        <f>Table1[[#This Row],[Date ]]</f>
        <v>45295</v>
      </c>
      <c r="N430" s="5">
        <f>Table1[[#This Row],[Ordered]]-Table1[[#This Row],[Date ]]</f>
        <v>0.33333333333575865</v>
      </c>
      <c r="O430">
        <f>Table1[[#This Row],[Company]]</f>
        <v>15</v>
      </c>
      <c r="P430">
        <f>IF(((Table1[[#This Row],[Arrived]]-Table1[[#This Row],[Delivery]])*24-Table1[[#This Row],[Promised]])&lt;0, 0, (Table1[[#This Row],[Arrived]]-Table1[[#This Row],[Delivery]])*24-Table1[[#This Row],[Promised]])</f>
        <v>0</v>
      </c>
      <c r="Q430"/>
    </row>
    <row r="431" spans="1:17" x14ac:dyDescent="0.45">
      <c r="A431" s="3">
        <v>45295.333333333336</v>
      </c>
      <c r="B431" t="s">
        <v>14</v>
      </c>
      <c r="C431">
        <v>12</v>
      </c>
      <c r="D431">
        <v>1006</v>
      </c>
      <c r="E431" t="s">
        <v>16</v>
      </c>
      <c r="F431">
        <v>15</v>
      </c>
      <c r="G431">
        <v>3850</v>
      </c>
      <c r="H431">
        <v>57750</v>
      </c>
      <c r="I431" s="3">
        <v>45295.333333333336</v>
      </c>
      <c r="J431">
        <v>60</v>
      </c>
      <c r="K431" s="3">
        <v>45297.333333333336</v>
      </c>
      <c r="L431" s="4">
        <f>ROUNDDOWN(Table1[[#This Row],[Ordered]],0)</f>
        <v>45295</v>
      </c>
      <c r="M431" s="4">
        <f>Table1[[#This Row],[Date ]]</f>
        <v>45295</v>
      </c>
      <c r="N431" s="5">
        <f>Table1[[#This Row],[Ordered]]-Table1[[#This Row],[Date ]]</f>
        <v>0.33333333333575865</v>
      </c>
      <c r="O431">
        <f>Table1[[#This Row],[Company]]</f>
        <v>12</v>
      </c>
      <c r="P431">
        <f>IF(((Table1[[#This Row],[Arrived]]-Table1[[#This Row],[Delivery]])*24-Table1[[#This Row],[Promised]])&lt;0, 0, (Table1[[#This Row],[Arrived]]-Table1[[#This Row],[Delivery]])*24-Table1[[#This Row],[Promised]])</f>
        <v>0</v>
      </c>
      <c r="Q431"/>
    </row>
    <row r="432" spans="1:17" x14ac:dyDescent="0.45">
      <c r="A432" s="3">
        <v>45295.333333333336</v>
      </c>
      <c r="B432" t="s">
        <v>0</v>
      </c>
      <c r="C432">
        <v>16</v>
      </c>
      <c r="D432">
        <v>2005</v>
      </c>
      <c r="E432" t="s">
        <v>16</v>
      </c>
      <c r="F432">
        <v>30</v>
      </c>
      <c r="G432">
        <v>3750</v>
      </c>
      <c r="H432">
        <v>112500</v>
      </c>
      <c r="I432" s="3">
        <v>45296.083333333336</v>
      </c>
      <c r="J432">
        <v>132</v>
      </c>
      <c r="K432" s="3">
        <v>45300.583333333336</v>
      </c>
      <c r="L432" s="4">
        <f>ROUNDDOWN(Table1[[#This Row],[Ordered]],0)</f>
        <v>45295</v>
      </c>
      <c r="M432" s="4">
        <f>Table1[[#This Row],[Date ]]</f>
        <v>45295</v>
      </c>
      <c r="N432" s="5">
        <f>Table1[[#This Row],[Ordered]]-Table1[[#This Row],[Date ]]</f>
        <v>0.33333333333575865</v>
      </c>
      <c r="O432">
        <f>Table1[[#This Row],[Company]]</f>
        <v>16</v>
      </c>
      <c r="P432">
        <f>IF(((Table1[[#This Row],[Arrived]]-Table1[[#This Row],[Delivery]])*24-Table1[[#This Row],[Promised]])&lt;0, 0, (Table1[[#This Row],[Arrived]]-Table1[[#This Row],[Delivery]])*24-Table1[[#This Row],[Promised]])</f>
        <v>0</v>
      </c>
      <c r="Q432"/>
    </row>
    <row r="433" spans="1:17" x14ac:dyDescent="0.45">
      <c r="A433" s="3">
        <v>45295.333333333336</v>
      </c>
      <c r="B433" t="s">
        <v>14</v>
      </c>
      <c r="C433">
        <v>7</v>
      </c>
      <c r="D433">
        <v>1006</v>
      </c>
      <c r="E433" t="s">
        <v>16</v>
      </c>
      <c r="F433">
        <v>30</v>
      </c>
      <c r="G433">
        <v>3650</v>
      </c>
      <c r="H433">
        <v>109500</v>
      </c>
      <c r="I433" s="3">
        <v>45295.458333333336</v>
      </c>
      <c r="J433">
        <v>96</v>
      </c>
      <c r="K433" s="3">
        <v>45298.458333333336</v>
      </c>
      <c r="L433" s="4">
        <f>ROUNDDOWN(Table1[[#This Row],[Ordered]],0)</f>
        <v>45295</v>
      </c>
      <c r="M433" s="4">
        <f>Table1[[#This Row],[Date ]]</f>
        <v>45295</v>
      </c>
      <c r="N433" s="5">
        <f>Table1[[#This Row],[Ordered]]-Table1[[#This Row],[Date ]]</f>
        <v>0.33333333333575865</v>
      </c>
      <c r="O433">
        <f>Table1[[#This Row],[Company]]</f>
        <v>7</v>
      </c>
      <c r="P433">
        <f>IF(((Table1[[#This Row],[Arrived]]-Table1[[#This Row],[Delivery]])*24-Table1[[#This Row],[Promised]])&lt;0, 0, (Table1[[#This Row],[Arrived]]-Table1[[#This Row],[Delivery]])*24-Table1[[#This Row],[Promised]])</f>
        <v>0</v>
      </c>
      <c r="Q433"/>
    </row>
    <row r="434" spans="1:17" x14ac:dyDescent="0.45">
      <c r="A434" s="3">
        <v>45295.333333333336</v>
      </c>
      <c r="B434" t="s">
        <v>0</v>
      </c>
      <c r="C434">
        <v>9</v>
      </c>
      <c r="D434">
        <v>2005</v>
      </c>
      <c r="E434" t="s">
        <v>16</v>
      </c>
      <c r="F434">
        <v>30</v>
      </c>
      <c r="G434">
        <v>3600</v>
      </c>
      <c r="H434">
        <v>108000</v>
      </c>
      <c r="I434" s="3">
        <v>45296.125</v>
      </c>
      <c r="J434">
        <v>96</v>
      </c>
      <c r="K434" s="3">
        <v>45299.125</v>
      </c>
      <c r="L434" s="4">
        <f>ROUNDDOWN(Table1[[#This Row],[Ordered]],0)</f>
        <v>45295</v>
      </c>
      <c r="M434" s="4">
        <f>Table1[[#This Row],[Date ]]</f>
        <v>45295</v>
      </c>
      <c r="N434" s="5">
        <f>Table1[[#This Row],[Ordered]]-Table1[[#This Row],[Date ]]</f>
        <v>0.33333333333575865</v>
      </c>
      <c r="O434">
        <f>Table1[[#This Row],[Company]]</f>
        <v>9</v>
      </c>
      <c r="P434">
        <f>IF(((Table1[[#This Row],[Arrived]]-Table1[[#This Row],[Delivery]])*24-Table1[[#This Row],[Promised]])&lt;0, 0, (Table1[[#This Row],[Arrived]]-Table1[[#This Row],[Delivery]])*24-Table1[[#This Row],[Promised]])</f>
        <v>0</v>
      </c>
      <c r="Q434"/>
    </row>
    <row r="435" spans="1:17" hidden="1" x14ac:dyDescent="0.45">
      <c r="A435" s="3">
        <v>45295.375</v>
      </c>
      <c r="B435" t="s">
        <v>12</v>
      </c>
      <c r="C435">
        <v>2</v>
      </c>
      <c r="D435">
        <v>13</v>
      </c>
      <c r="E435" t="s">
        <v>13</v>
      </c>
      <c r="F435">
        <v>2000</v>
      </c>
      <c r="G435">
        <v>115</v>
      </c>
      <c r="H435">
        <v>230000</v>
      </c>
      <c r="I435" s="3">
        <v>45295.541666666664</v>
      </c>
      <c r="J435">
        <v>72</v>
      </c>
      <c r="K435" s="3">
        <v>45298.541666666664</v>
      </c>
      <c r="L435" s="4">
        <f>ROUNDDOWN(Table1[[#This Row],[Ordered]],0)</f>
        <v>45295</v>
      </c>
      <c r="M435" s="4">
        <f>Table1[[#This Row],[Date ]]</f>
        <v>45295</v>
      </c>
      <c r="N435" s="5">
        <f>Table1[[#This Row],[Ordered]]-Table1[[#This Row],[Date ]]</f>
        <v>0.375</v>
      </c>
      <c r="O435" s="5">
        <f>Table1[[#This Row],[Company]]</f>
        <v>2</v>
      </c>
      <c r="P435">
        <f>IF(((Table1[[#This Row],[Arrived]]-Table1[[#This Row],[Delivery]])*24-Table1[[#This Row],[Promised]])&lt;0, 0, (Table1[[#This Row],[Arrived]]-Table1[[#This Row],[Delivery]])*24-Table1[[#This Row],[Promised]])</f>
        <v>0</v>
      </c>
      <c r="Q435"/>
    </row>
    <row r="436" spans="1:17" x14ac:dyDescent="0.45">
      <c r="A436" s="3">
        <v>45295.416666666664</v>
      </c>
      <c r="B436" t="s">
        <v>14</v>
      </c>
      <c r="C436">
        <v>7</v>
      </c>
      <c r="D436">
        <v>1006</v>
      </c>
      <c r="E436" t="s">
        <v>15</v>
      </c>
      <c r="F436">
        <v>7</v>
      </c>
      <c r="G436">
        <v>6650</v>
      </c>
      <c r="H436">
        <v>46550</v>
      </c>
      <c r="I436" s="3">
        <v>45295.791666666664</v>
      </c>
      <c r="J436">
        <v>96</v>
      </c>
      <c r="K436" s="3">
        <v>45298.791666666664</v>
      </c>
      <c r="L436" s="4">
        <f>ROUNDDOWN(Table1[[#This Row],[Ordered]],0)</f>
        <v>45295</v>
      </c>
      <c r="M436" s="4">
        <f>Table1[[#This Row],[Date ]]</f>
        <v>45295</v>
      </c>
      <c r="N436" s="5">
        <f>Table1[[#This Row],[Ordered]]-Table1[[#This Row],[Date ]]</f>
        <v>0.41666666666424135</v>
      </c>
      <c r="O436">
        <f>Table1[[#This Row],[Company]]</f>
        <v>7</v>
      </c>
      <c r="P436">
        <f>IF(((Table1[[#This Row],[Arrived]]-Table1[[#This Row],[Delivery]])*24-Table1[[#This Row],[Promised]])&lt;0, 0, (Table1[[#This Row],[Arrived]]-Table1[[#This Row],[Delivery]])*24-Table1[[#This Row],[Promised]])</f>
        <v>0</v>
      </c>
      <c r="Q436"/>
    </row>
    <row r="437" spans="1:17" x14ac:dyDescent="0.45">
      <c r="A437" s="3">
        <v>45295.416666666664</v>
      </c>
      <c r="B437" t="s">
        <v>14</v>
      </c>
      <c r="C437">
        <v>13</v>
      </c>
      <c r="D437">
        <v>1009</v>
      </c>
      <c r="E437" t="s">
        <v>15</v>
      </c>
      <c r="F437">
        <v>2</v>
      </c>
      <c r="G437">
        <v>6650</v>
      </c>
      <c r="H437">
        <v>13300</v>
      </c>
      <c r="I437" s="3">
        <v>45296.25</v>
      </c>
      <c r="J437">
        <v>96</v>
      </c>
      <c r="K437" s="3">
        <v>45299.25</v>
      </c>
      <c r="L437" s="4">
        <f>ROUNDDOWN(Table1[[#This Row],[Ordered]],0)</f>
        <v>45295</v>
      </c>
      <c r="M437" s="4">
        <f>Table1[[#This Row],[Date ]]</f>
        <v>45295</v>
      </c>
      <c r="N437" s="5">
        <f>Table1[[#This Row],[Ordered]]-Table1[[#This Row],[Date ]]</f>
        <v>0.41666666666424135</v>
      </c>
      <c r="O437">
        <f>Table1[[#This Row],[Company]]</f>
        <v>13</v>
      </c>
      <c r="P437">
        <f>IF(((Table1[[#This Row],[Arrived]]-Table1[[#This Row],[Delivery]])*24-Table1[[#This Row],[Promised]])&lt;0, 0, (Table1[[#This Row],[Arrived]]-Table1[[#This Row],[Delivery]])*24-Table1[[#This Row],[Promised]])</f>
        <v>0</v>
      </c>
      <c r="Q437"/>
    </row>
    <row r="438" spans="1:17" x14ac:dyDescent="0.45">
      <c r="A438" s="3">
        <v>45295.416666666664</v>
      </c>
      <c r="B438" t="s">
        <v>14</v>
      </c>
      <c r="C438">
        <v>16</v>
      </c>
      <c r="D438">
        <v>1009</v>
      </c>
      <c r="E438" t="s">
        <v>15</v>
      </c>
      <c r="F438">
        <v>2</v>
      </c>
      <c r="G438">
        <v>6650</v>
      </c>
      <c r="H438">
        <v>13300</v>
      </c>
      <c r="I438" s="3">
        <v>45295.708333333336</v>
      </c>
      <c r="J438">
        <v>96</v>
      </c>
      <c r="K438" s="3">
        <v>45298.708333333336</v>
      </c>
      <c r="L438" s="4">
        <f>ROUNDDOWN(Table1[[#This Row],[Ordered]],0)</f>
        <v>45295</v>
      </c>
      <c r="M438" s="4">
        <f>Table1[[#This Row],[Date ]]</f>
        <v>45295</v>
      </c>
      <c r="N438" s="5">
        <f>Table1[[#This Row],[Ordered]]-Table1[[#This Row],[Date ]]</f>
        <v>0.41666666666424135</v>
      </c>
      <c r="O438">
        <f>Table1[[#This Row],[Company]]</f>
        <v>16</v>
      </c>
      <c r="P438">
        <f>IF(((Table1[[#This Row],[Arrived]]-Table1[[#This Row],[Delivery]])*24-Table1[[#This Row],[Promised]])&lt;0, 0, (Table1[[#This Row],[Arrived]]-Table1[[#This Row],[Delivery]])*24-Table1[[#This Row],[Promised]])</f>
        <v>0</v>
      </c>
      <c r="Q438"/>
    </row>
    <row r="439" spans="1:17" x14ac:dyDescent="0.45">
      <c r="A439" s="3">
        <v>45295.416666666664</v>
      </c>
      <c r="B439" t="s">
        <v>14</v>
      </c>
      <c r="C439">
        <v>16</v>
      </c>
      <c r="D439">
        <v>1006</v>
      </c>
      <c r="E439" t="s">
        <v>15</v>
      </c>
      <c r="F439">
        <v>7</v>
      </c>
      <c r="G439">
        <v>6650</v>
      </c>
      <c r="H439">
        <v>46550</v>
      </c>
      <c r="I439" s="3">
        <v>45295.708333333336</v>
      </c>
      <c r="J439">
        <v>96</v>
      </c>
      <c r="K439" s="3">
        <v>45298.708333333336</v>
      </c>
      <c r="L439" s="4">
        <f>ROUNDDOWN(Table1[[#This Row],[Ordered]],0)</f>
        <v>45295</v>
      </c>
      <c r="M439" s="4">
        <f>Table1[[#This Row],[Date ]]</f>
        <v>45295</v>
      </c>
      <c r="N439" s="5">
        <f>Table1[[#This Row],[Ordered]]-Table1[[#This Row],[Date ]]</f>
        <v>0.41666666666424135</v>
      </c>
      <c r="O439">
        <f>Table1[[#This Row],[Company]]</f>
        <v>16</v>
      </c>
      <c r="P439">
        <f>IF(((Table1[[#This Row],[Arrived]]-Table1[[#This Row],[Delivery]])*24-Table1[[#This Row],[Promised]])&lt;0, 0, (Table1[[#This Row],[Arrived]]-Table1[[#This Row],[Delivery]])*24-Table1[[#This Row],[Promised]])</f>
        <v>0</v>
      </c>
      <c r="Q439"/>
    </row>
    <row r="440" spans="1:17" x14ac:dyDescent="0.45">
      <c r="A440" s="3">
        <v>45295.416666666664</v>
      </c>
      <c r="B440" t="s">
        <v>14</v>
      </c>
      <c r="C440">
        <v>11</v>
      </c>
      <c r="D440">
        <v>1009</v>
      </c>
      <c r="E440" t="s">
        <v>15</v>
      </c>
      <c r="F440">
        <v>2</v>
      </c>
      <c r="G440">
        <v>6650</v>
      </c>
      <c r="H440">
        <v>13300</v>
      </c>
      <c r="I440" s="3">
        <v>45296.125</v>
      </c>
      <c r="J440">
        <v>96</v>
      </c>
      <c r="K440" s="3">
        <v>45299.125</v>
      </c>
      <c r="L440" s="4">
        <f>ROUNDDOWN(Table1[[#This Row],[Ordered]],0)</f>
        <v>45295</v>
      </c>
      <c r="M440" s="4">
        <f>Table1[[#This Row],[Date ]]</f>
        <v>45295</v>
      </c>
      <c r="N440" s="5">
        <f>Table1[[#This Row],[Ordered]]-Table1[[#This Row],[Date ]]</f>
        <v>0.41666666666424135</v>
      </c>
      <c r="O440">
        <f>Table1[[#This Row],[Company]]</f>
        <v>11</v>
      </c>
      <c r="P440">
        <f>IF(((Table1[[#This Row],[Arrived]]-Table1[[#This Row],[Delivery]])*24-Table1[[#This Row],[Promised]])&lt;0, 0, (Table1[[#This Row],[Arrived]]-Table1[[#This Row],[Delivery]])*24-Table1[[#This Row],[Promised]])</f>
        <v>0</v>
      </c>
      <c r="Q440"/>
    </row>
    <row r="441" spans="1:17" x14ac:dyDescent="0.45">
      <c r="A441" s="3">
        <v>45295.416666666664</v>
      </c>
      <c r="B441" t="s">
        <v>14</v>
      </c>
      <c r="C441">
        <v>9</v>
      </c>
      <c r="D441">
        <v>1006</v>
      </c>
      <c r="E441" t="s">
        <v>15</v>
      </c>
      <c r="F441">
        <v>7</v>
      </c>
      <c r="G441">
        <v>6650</v>
      </c>
      <c r="H441">
        <v>46550</v>
      </c>
      <c r="I441" s="3">
        <v>45296.416666666664</v>
      </c>
      <c r="J441">
        <v>96</v>
      </c>
      <c r="K441" s="3">
        <v>45299.416666666664</v>
      </c>
      <c r="L441" s="4">
        <f>ROUNDDOWN(Table1[[#This Row],[Ordered]],0)</f>
        <v>45295</v>
      </c>
      <c r="M441" s="4">
        <f>Table1[[#This Row],[Date ]]</f>
        <v>45295</v>
      </c>
      <c r="N441" s="5">
        <f>Table1[[#This Row],[Ordered]]-Table1[[#This Row],[Date ]]</f>
        <v>0.41666666666424135</v>
      </c>
      <c r="O441">
        <f>Table1[[#This Row],[Company]]</f>
        <v>9</v>
      </c>
      <c r="P441">
        <f>IF(((Table1[[#This Row],[Arrived]]-Table1[[#This Row],[Delivery]])*24-Table1[[#This Row],[Promised]])&lt;0, 0, (Table1[[#This Row],[Arrived]]-Table1[[#This Row],[Delivery]])*24-Table1[[#This Row],[Promised]])</f>
        <v>0</v>
      </c>
      <c r="Q441"/>
    </row>
    <row r="442" spans="1:17" x14ac:dyDescent="0.45">
      <c r="A442" s="3">
        <v>45295.416666666664</v>
      </c>
      <c r="B442" t="s">
        <v>14</v>
      </c>
      <c r="C442">
        <v>9</v>
      </c>
      <c r="D442">
        <v>1009</v>
      </c>
      <c r="E442" t="s">
        <v>15</v>
      </c>
      <c r="F442">
        <v>2</v>
      </c>
      <c r="G442">
        <v>6650</v>
      </c>
      <c r="H442">
        <v>13300</v>
      </c>
      <c r="I442" s="3">
        <v>45296.333333333336</v>
      </c>
      <c r="J442">
        <v>96</v>
      </c>
      <c r="K442" s="3">
        <v>45299.333333333336</v>
      </c>
      <c r="L442" s="4">
        <f>ROUNDDOWN(Table1[[#This Row],[Ordered]],0)</f>
        <v>45295</v>
      </c>
      <c r="M442" s="4">
        <f>Table1[[#This Row],[Date ]]</f>
        <v>45295</v>
      </c>
      <c r="N442" s="5">
        <f>Table1[[#This Row],[Ordered]]-Table1[[#This Row],[Date ]]</f>
        <v>0.41666666666424135</v>
      </c>
      <c r="O442">
        <f>Table1[[#This Row],[Company]]</f>
        <v>9</v>
      </c>
      <c r="P442">
        <f>IF(((Table1[[#This Row],[Arrived]]-Table1[[#This Row],[Delivery]])*24-Table1[[#This Row],[Promised]])&lt;0, 0, (Table1[[#This Row],[Arrived]]-Table1[[#This Row],[Delivery]])*24-Table1[[#This Row],[Promised]])</f>
        <v>0</v>
      </c>
      <c r="Q442"/>
    </row>
    <row r="443" spans="1:17" x14ac:dyDescent="0.45">
      <c r="A443" s="3">
        <v>45295.416666666664</v>
      </c>
      <c r="B443" t="s">
        <v>14</v>
      </c>
      <c r="C443">
        <v>13</v>
      </c>
      <c r="D443">
        <v>1006</v>
      </c>
      <c r="E443" t="s">
        <v>15</v>
      </c>
      <c r="F443">
        <v>7</v>
      </c>
      <c r="G443">
        <v>6650</v>
      </c>
      <c r="H443">
        <v>46550</v>
      </c>
      <c r="I443" s="3">
        <v>45296.375</v>
      </c>
      <c r="J443">
        <v>96</v>
      </c>
      <c r="K443" s="3">
        <v>45299.375</v>
      </c>
      <c r="L443" s="4">
        <f>ROUNDDOWN(Table1[[#This Row],[Ordered]],0)</f>
        <v>45295</v>
      </c>
      <c r="M443" s="4">
        <f>Table1[[#This Row],[Date ]]</f>
        <v>45295</v>
      </c>
      <c r="N443" s="5">
        <f>Table1[[#This Row],[Ordered]]-Table1[[#This Row],[Date ]]</f>
        <v>0.41666666666424135</v>
      </c>
      <c r="O443">
        <f>Table1[[#This Row],[Company]]</f>
        <v>13</v>
      </c>
      <c r="P443">
        <f>IF(((Table1[[#This Row],[Arrived]]-Table1[[#This Row],[Delivery]])*24-Table1[[#This Row],[Promised]])&lt;0, 0, (Table1[[#This Row],[Arrived]]-Table1[[#This Row],[Delivery]])*24-Table1[[#This Row],[Promised]])</f>
        <v>0</v>
      </c>
      <c r="Q443"/>
    </row>
    <row r="444" spans="1:17" x14ac:dyDescent="0.45">
      <c r="A444" s="3">
        <v>45295.416666666664</v>
      </c>
      <c r="B444" t="s">
        <v>14</v>
      </c>
      <c r="C444">
        <v>14</v>
      </c>
      <c r="D444">
        <v>1006</v>
      </c>
      <c r="E444" t="s">
        <v>15</v>
      </c>
      <c r="F444">
        <v>7</v>
      </c>
      <c r="G444">
        <v>6650</v>
      </c>
      <c r="H444">
        <v>46550</v>
      </c>
      <c r="I444" s="3">
        <v>45295.625</v>
      </c>
      <c r="J444">
        <v>96</v>
      </c>
      <c r="K444" s="3">
        <v>45298.75</v>
      </c>
      <c r="L444" s="4">
        <f>ROUNDDOWN(Table1[[#This Row],[Ordered]],0)</f>
        <v>45295</v>
      </c>
      <c r="M444" s="4">
        <f>Table1[[#This Row],[Date ]]</f>
        <v>45295</v>
      </c>
      <c r="N444" s="5">
        <f>Table1[[#This Row],[Ordered]]-Table1[[#This Row],[Date ]]</f>
        <v>0.41666666666424135</v>
      </c>
      <c r="O444">
        <f>Table1[[#This Row],[Company]]</f>
        <v>14</v>
      </c>
      <c r="P444">
        <f>IF(((Table1[[#This Row],[Arrived]]-Table1[[#This Row],[Delivery]])*24-Table1[[#This Row],[Promised]])&lt;0, 0, (Table1[[#This Row],[Arrived]]-Table1[[#This Row],[Delivery]])*24-Table1[[#This Row],[Promised]])</f>
        <v>0</v>
      </c>
      <c r="Q444"/>
    </row>
    <row r="445" spans="1:17" x14ac:dyDescent="0.45">
      <c r="A445" s="3">
        <v>45295.416666666664</v>
      </c>
      <c r="B445" t="s">
        <v>14</v>
      </c>
      <c r="C445">
        <v>11</v>
      </c>
      <c r="D445">
        <v>1006</v>
      </c>
      <c r="E445" t="s">
        <v>15</v>
      </c>
      <c r="F445">
        <v>7</v>
      </c>
      <c r="G445">
        <v>6650</v>
      </c>
      <c r="H445">
        <v>46550</v>
      </c>
      <c r="I445" s="3">
        <v>45296.666666666664</v>
      </c>
      <c r="J445">
        <v>96</v>
      </c>
      <c r="K445" s="3">
        <v>45298.666666666664</v>
      </c>
      <c r="L445" s="4">
        <f>ROUNDDOWN(Table1[[#This Row],[Ordered]],0)</f>
        <v>45295</v>
      </c>
      <c r="M445" s="4">
        <f>Table1[[#This Row],[Date ]]</f>
        <v>45295</v>
      </c>
      <c r="N445" s="5">
        <f>Table1[[#This Row],[Ordered]]-Table1[[#This Row],[Date ]]</f>
        <v>0.41666666666424135</v>
      </c>
      <c r="O445">
        <f>Table1[[#This Row],[Company]]</f>
        <v>11</v>
      </c>
      <c r="P445">
        <f>IF(((Table1[[#This Row],[Arrived]]-Table1[[#This Row],[Delivery]])*24-Table1[[#This Row],[Promised]])&lt;0, 0, (Table1[[#This Row],[Arrived]]-Table1[[#This Row],[Delivery]])*24-Table1[[#This Row],[Promised]])</f>
        <v>0</v>
      </c>
      <c r="Q445"/>
    </row>
    <row r="446" spans="1:17" x14ac:dyDescent="0.45">
      <c r="A446" s="3">
        <v>45295.416666666664</v>
      </c>
      <c r="B446" t="s">
        <v>14</v>
      </c>
      <c r="C446">
        <v>10</v>
      </c>
      <c r="D446">
        <v>1009</v>
      </c>
      <c r="E446" t="s">
        <v>15</v>
      </c>
      <c r="F446">
        <v>2</v>
      </c>
      <c r="G446">
        <v>6800</v>
      </c>
      <c r="H446">
        <v>13600</v>
      </c>
      <c r="I446" s="3">
        <v>45295.5</v>
      </c>
      <c r="J446">
        <v>96</v>
      </c>
      <c r="K446" s="3">
        <v>45298.666666666664</v>
      </c>
      <c r="L446" s="4">
        <f>ROUNDDOWN(Table1[[#This Row],[Ordered]],0)</f>
        <v>45295</v>
      </c>
      <c r="M446" s="4">
        <f>Table1[[#This Row],[Date ]]</f>
        <v>45295</v>
      </c>
      <c r="N446" s="5">
        <f>Table1[[#This Row],[Ordered]]-Table1[[#This Row],[Date ]]</f>
        <v>0.41666666666424135</v>
      </c>
      <c r="O446">
        <f>Table1[[#This Row],[Company]]</f>
        <v>10</v>
      </c>
      <c r="P446">
        <f>IF(((Table1[[#This Row],[Arrived]]-Table1[[#This Row],[Delivery]])*24-Table1[[#This Row],[Promised]])&lt;0, 0, (Table1[[#This Row],[Arrived]]-Table1[[#This Row],[Delivery]])*24-Table1[[#This Row],[Promised]])</f>
        <v>0</v>
      </c>
      <c r="Q446"/>
    </row>
    <row r="447" spans="1:17" x14ac:dyDescent="0.45">
      <c r="A447" s="3">
        <v>45295.416666666664</v>
      </c>
      <c r="B447" t="s">
        <v>14</v>
      </c>
      <c r="C447">
        <v>15</v>
      </c>
      <c r="D447">
        <v>1006</v>
      </c>
      <c r="E447" t="s">
        <v>15</v>
      </c>
      <c r="F447">
        <v>7</v>
      </c>
      <c r="G447">
        <v>6650</v>
      </c>
      <c r="H447">
        <v>46550</v>
      </c>
      <c r="I447" s="3">
        <v>45295.75</v>
      </c>
      <c r="J447">
        <v>96</v>
      </c>
      <c r="K447" s="3">
        <v>45298.75</v>
      </c>
      <c r="L447" s="4">
        <f>ROUNDDOWN(Table1[[#This Row],[Ordered]],0)</f>
        <v>45295</v>
      </c>
      <c r="M447" s="4">
        <f>Table1[[#This Row],[Date ]]</f>
        <v>45295</v>
      </c>
      <c r="N447" s="5">
        <f>Table1[[#This Row],[Ordered]]-Table1[[#This Row],[Date ]]</f>
        <v>0.41666666666424135</v>
      </c>
      <c r="O447">
        <f>Table1[[#This Row],[Company]]</f>
        <v>15</v>
      </c>
      <c r="P447">
        <f>IF(((Table1[[#This Row],[Arrived]]-Table1[[#This Row],[Delivery]])*24-Table1[[#This Row],[Promised]])&lt;0, 0, (Table1[[#This Row],[Arrived]]-Table1[[#This Row],[Delivery]])*24-Table1[[#This Row],[Promised]])</f>
        <v>0</v>
      </c>
      <c r="Q447"/>
    </row>
    <row r="448" spans="1:17" x14ac:dyDescent="0.45">
      <c r="A448" s="3">
        <v>45295.416666666664</v>
      </c>
      <c r="B448" t="s">
        <v>14</v>
      </c>
      <c r="C448">
        <v>14</v>
      </c>
      <c r="D448">
        <v>1009</v>
      </c>
      <c r="E448" t="s">
        <v>15</v>
      </c>
      <c r="F448">
        <v>2</v>
      </c>
      <c r="G448">
        <v>6650</v>
      </c>
      <c r="H448">
        <v>13300</v>
      </c>
      <c r="I448" s="3">
        <v>45295.625</v>
      </c>
      <c r="J448">
        <v>96</v>
      </c>
      <c r="K448" s="3">
        <v>45298.625</v>
      </c>
      <c r="L448" s="4">
        <f>ROUNDDOWN(Table1[[#This Row],[Ordered]],0)</f>
        <v>45295</v>
      </c>
      <c r="M448" s="4">
        <f>Table1[[#This Row],[Date ]]</f>
        <v>45295</v>
      </c>
      <c r="N448" s="5">
        <f>Table1[[#This Row],[Ordered]]-Table1[[#This Row],[Date ]]</f>
        <v>0.41666666666424135</v>
      </c>
      <c r="O448">
        <f>Table1[[#This Row],[Company]]</f>
        <v>14</v>
      </c>
      <c r="P448">
        <f>IF(((Table1[[#This Row],[Arrived]]-Table1[[#This Row],[Delivery]])*24-Table1[[#This Row],[Promised]])&lt;0, 0, (Table1[[#This Row],[Arrived]]-Table1[[#This Row],[Delivery]])*24-Table1[[#This Row],[Promised]])</f>
        <v>0</v>
      </c>
      <c r="Q448"/>
    </row>
    <row r="449" spans="1:17" x14ac:dyDescent="0.45">
      <c r="A449" s="3">
        <v>45295.416666666664</v>
      </c>
      <c r="B449" t="s">
        <v>14</v>
      </c>
      <c r="C449">
        <v>12</v>
      </c>
      <c r="D449">
        <v>1009</v>
      </c>
      <c r="E449" t="s">
        <v>15</v>
      </c>
      <c r="F449">
        <v>2</v>
      </c>
      <c r="G449">
        <v>6800</v>
      </c>
      <c r="H449">
        <v>13600</v>
      </c>
      <c r="I449" s="3">
        <v>45295.666666666664</v>
      </c>
      <c r="J449">
        <v>72</v>
      </c>
      <c r="K449" s="3">
        <v>45297.666666666664</v>
      </c>
      <c r="L449" s="4">
        <f>ROUNDDOWN(Table1[[#This Row],[Ordered]],0)</f>
        <v>45295</v>
      </c>
      <c r="M449" s="4">
        <f>Table1[[#This Row],[Date ]]</f>
        <v>45295</v>
      </c>
      <c r="N449" s="5">
        <f>Table1[[#This Row],[Ordered]]-Table1[[#This Row],[Date ]]</f>
        <v>0.41666666666424135</v>
      </c>
      <c r="O449">
        <f>Table1[[#This Row],[Company]]</f>
        <v>12</v>
      </c>
      <c r="P449">
        <f>IF(((Table1[[#This Row],[Arrived]]-Table1[[#This Row],[Delivery]])*24-Table1[[#This Row],[Promised]])&lt;0, 0, (Table1[[#This Row],[Arrived]]-Table1[[#This Row],[Delivery]])*24-Table1[[#This Row],[Promised]])</f>
        <v>0</v>
      </c>
      <c r="Q449"/>
    </row>
    <row r="450" spans="1:17" x14ac:dyDescent="0.45">
      <c r="A450" s="3">
        <v>45295.416666666664</v>
      </c>
      <c r="B450" t="s">
        <v>14</v>
      </c>
      <c r="C450">
        <v>12</v>
      </c>
      <c r="D450">
        <v>1006</v>
      </c>
      <c r="E450" t="s">
        <v>15</v>
      </c>
      <c r="F450">
        <v>7</v>
      </c>
      <c r="G450">
        <v>6800</v>
      </c>
      <c r="H450">
        <v>47600</v>
      </c>
      <c r="I450" s="3">
        <v>45295.458333333336</v>
      </c>
      <c r="J450">
        <v>72</v>
      </c>
      <c r="K450" s="3">
        <v>45297.458333333336</v>
      </c>
      <c r="L450" s="4">
        <f>ROUNDDOWN(Table1[[#This Row],[Ordered]],0)</f>
        <v>45295</v>
      </c>
      <c r="M450" s="4">
        <f>Table1[[#This Row],[Date ]]</f>
        <v>45295</v>
      </c>
      <c r="N450" s="5">
        <f>Table1[[#This Row],[Ordered]]-Table1[[#This Row],[Date ]]</f>
        <v>0.41666666666424135</v>
      </c>
      <c r="O450">
        <f>Table1[[#This Row],[Company]]</f>
        <v>12</v>
      </c>
      <c r="P450">
        <f>IF(((Table1[[#This Row],[Arrived]]-Table1[[#This Row],[Delivery]])*24-Table1[[#This Row],[Promised]])&lt;0, 0, (Table1[[#This Row],[Arrived]]-Table1[[#This Row],[Delivery]])*24-Table1[[#This Row],[Promised]])</f>
        <v>0</v>
      </c>
      <c r="Q450"/>
    </row>
    <row r="451" spans="1:17" x14ac:dyDescent="0.45">
      <c r="A451" s="3">
        <v>45295.416666666664</v>
      </c>
      <c r="B451" t="s">
        <v>14</v>
      </c>
      <c r="C451">
        <v>7</v>
      </c>
      <c r="D451">
        <v>1009</v>
      </c>
      <c r="E451" t="s">
        <v>15</v>
      </c>
      <c r="F451">
        <v>2</v>
      </c>
      <c r="G451">
        <v>6650</v>
      </c>
      <c r="H451">
        <v>13300</v>
      </c>
      <c r="I451" s="3">
        <v>45295.791666666664</v>
      </c>
      <c r="J451">
        <v>96</v>
      </c>
      <c r="K451" s="3">
        <v>45298.791666666664</v>
      </c>
      <c r="L451" s="4">
        <f>ROUNDDOWN(Table1[[#This Row],[Ordered]],0)</f>
        <v>45295</v>
      </c>
      <c r="M451" s="4">
        <f>Table1[[#This Row],[Date ]]</f>
        <v>45295</v>
      </c>
      <c r="N451" s="5">
        <f>Table1[[#This Row],[Ordered]]-Table1[[#This Row],[Date ]]</f>
        <v>0.41666666666424135</v>
      </c>
      <c r="O451">
        <f>Table1[[#This Row],[Company]]</f>
        <v>7</v>
      </c>
      <c r="P451">
        <f>IF(((Table1[[#This Row],[Arrived]]-Table1[[#This Row],[Delivery]])*24-Table1[[#This Row],[Promised]])&lt;0, 0, (Table1[[#This Row],[Arrived]]-Table1[[#This Row],[Delivery]])*24-Table1[[#This Row],[Promised]])</f>
        <v>0</v>
      </c>
      <c r="Q451"/>
    </row>
    <row r="452" spans="1:17" x14ac:dyDescent="0.45">
      <c r="A452" s="3">
        <v>45295.416666666664</v>
      </c>
      <c r="B452" t="s">
        <v>14</v>
      </c>
      <c r="C452">
        <v>10</v>
      </c>
      <c r="D452">
        <v>1006</v>
      </c>
      <c r="E452" t="s">
        <v>15</v>
      </c>
      <c r="F452">
        <v>7</v>
      </c>
      <c r="G452">
        <v>6800</v>
      </c>
      <c r="H452">
        <v>47600</v>
      </c>
      <c r="I452" s="3">
        <v>45295.5</v>
      </c>
      <c r="J452">
        <v>96</v>
      </c>
      <c r="K452" s="3">
        <v>45298.5</v>
      </c>
      <c r="L452" s="4">
        <f>ROUNDDOWN(Table1[[#This Row],[Ordered]],0)</f>
        <v>45295</v>
      </c>
      <c r="M452" s="4">
        <f>Table1[[#This Row],[Date ]]</f>
        <v>45295</v>
      </c>
      <c r="N452" s="5">
        <f>Table1[[#This Row],[Ordered]]-Table1[[#This Row],[Date ]]</f>
        <v>0.41666666666424135</v>
      </c>
      <c r="O452">
        <f>Table1[[#This Row],[Company]]</f>
        <v>10</v>
      </c>
      <c r="P452">
        <f>IF(((Table1[[#This Row],[Arrived]]-Table1[[#This Row],[Delivery]])*24-Table1[[#This Row],[Promised]])&lt;0, 0, (Table1[[#This Row],[Arrived]]-Table1[[#This Row],[Delivery]])*24-Table1[[#This Row],[Promised]])</f>
        <v>0</v>
      </c>
      <c r="Q452"/>
    </row>
    <row r="453" spans="1:17" hidden="1" x14ac:dyDescent="0.45">
      <c r="A453" s="3">
        <v>45295.458333333336</v>
      </c>
      <c r="B453" t="s">
        <v>12</v>
      </c>
      <c r="C453">
        <v>2</v>
      </c>
      <c r="D453">
        <v>9</v>
      </c>
      <c r="E453" t="s">
        <v>13</v>
      </c>
      <c r="F453">
        <v>1000</v>
      </c>
      <c r="G453">
        <v>115</v>
      </c>
      <c r="H453">
        <v>115000</v>
      </c>
      <c r="I453" s="3">
        <v>45295.5</v>
      </c>
      <c r="J453">
        <v>48</v>
      </c>
      <c r="K453" s="3">
        <v>45297.5</v>
      </c>
      <c r="L453" s="4">
        <f>ROUNDDOWN(Table1[[#This Row],[Ordered]],0)</f>
        <v>45295</v>
      </c>
      <c r="M453" s="4">
        <f>Table1[[#This Row],[Date ]]</f>
        <v>45295</v>
      </c>
      <c r="N453" s="5">
        <f>Table1[[#This Row],[Ordered]]-Table1[[#This Row],[Date ]]</f>
        <v>0.45833333333575865</v>
      </c>
      <c r="O453" s="5">
        <f>Table1[[#This Row],[Company]]</f>
        <v>2</v>
      </c>
      <c r="P453">
        <f>IF(((Table1[[#This Row],[Arrived]]-Table1[[#This Row],[Delivery]])*24-Table1[[#This Row],[Promised]])&lt;0, 0, (Table1[[#This Row],[Arrived]]-Table1[[#This Row],[Delivery]])*24-Table1[[#This Row],[Promised]])</f>
        <v>0</v>
      </c>
      <c r="Q453"/>
    </row>
    <row r="454" spans="1:17" hidden="1" x14ac:dyDescent="0.45">
      <c r="A454" s="3">
        <v>45295.583333333336</v>
      </c>
      <c r="B454" t="s">
        <v>12</v>
      </c>
      <c r="C454">
        <v>2</v>
      </c>
      <c r="D454">
        <v>9</v>
      </c>
      <c r="E454" t="s">
        <v>17</v>
      </c>
      <c r="F454">
        <v>467</v>
      </c>
      <c r="G454">
        <v>1250</v>
      </c>
      <c r="H454">
        <v>583750</v>
      </c>
      <c r="I454" s="3">
        <v>45295.583333333336</v>
      </c>
      <c r="J454">
        <v>72</v>
      </c>
      <c r="K454" s="3">
        <v>45298.583333333336</v>
      </c>
      <c r="L454" s="4">
        <f>ROUNDDOWN(Table1[[#This Row],[Ordered]],0)</f>
        <v>45295</v>
      </c>
      <c r="M454" s="4">
        <f>Table1[[#This Row],[Date ]]</f>
        <v>45295</v>
      </c>
      <c r="N454" s="5">
        <f>Table1[[#This Row],[Ordered]]-Table1[[#This Row],[Date ]]</f>
        <v>0.58333333333575865</v>
      </c>
      <c r="O454">
        <f>Table1[[#This Row],[Company]]</f>
        <v>2</v>
      </c>
      <c r="P454">
        <f>IF(((Table1[[#This Row],[Arrived]]-Table1[[#This Row],[Delivery]])*24-Table1[[#This Row],[Promised]])&lt;0, 0, (Table1[[#This Row],[Arrived]]-Table1[[#This Row],[Delivery]])*24-Table1[[#This Row],[Promised]])</f>
        <v>0</v>
      </c>
      <c r="Q454"/>
    </row>
    <row r="455" spans="1:17" x14ac:dyDescent="0.45">
      <c r="A455" s="3">
        <v>45295.583333333336</v>
      </c>
      <c r="B455" t="s">
        <v>14</v>
      </c>
      <c r="C455">
        <v>12</v>
      </c>
      <c r="D455">
        <v>1009</v>
      </c>
      <c r="E455" t="s">
        <v>16</v>
      </c>
      <c r="F455">
        <v>15</v>
      </c>
      <c r="G455">
        <v>3900</v>
      </c>
      <c r="H455">
        <v>58500</v>
      </c>
      <c r="I455" s="3">
        <v>45295.708333333336</v>
      </c>
      <c r="J455">
        <v>60</v>
      </c>
      <c r="K455" s="3">
        <v>45297.708333333336</v>
      </c>
      <c r="L455" s="4">
        <f>ROUNDDOWN(Table1[[#This Row],[Ordered]],0)</f>
        <v>45295</v>
      </c>
      <c r="M455" s="4">
        <f>Table1[[#This Row],[Date ]]</f>
        <v>45295</v>
      </c>
      <c r="N455" s="5">
        <f>Table1[[#This Row],[Ordered]]-Table1[[#This Row],[Date ]]</f>
        <v>0.58333333333575865</v>
      </c>
      <c r="O455">
        <f>Table1[[#This Row],[Company]]</f>
        <v>12</v>
      </c>
      <c r="P455">
        <f>IF(((Table1[[#This Row],[Arrived]]-Table1[[#This Row],[Delivery]])*24-Table1[[#This Row],[Promised]])&lt;0, 0, (Table1[[#This Row],[Arrived]]-Table1[[#This Row],[Delivery]])*24-Table1[[#This Row],[Promised]])</f>
        <v>0</v>
      </c>
      <c r="Q455"/>
    </row>
    <row r="456" spans="1:17" x14ac:dyDescent="0.45">
      <c r="A456" s="3">
        <v>45295.583333333336</v>
      </c>
      <c r="B456" t="s">
        <v>14</v>
      </c>
      <c r="C456">
        <v>9</v>
      </c>
      <c r="D456">
        <v>1009</v>
      </c>
      <c r="E456" t="s">
        <v>16</v>
      </c>
      <c r="F456">
        <v>18</v>
      </c>
      <c r="G456">
        <v>3550</v>
      </c>
      <c r="H456">
        <v>63900</v>
      </c>
      <c r="I456" s="3">
        <v>45296.416666666664</v>
      </c>
      <c r="J456">
        <v>96</v>
      </c>
      <c r="K456" s="3">
        <v>45299.416666666664</v>
      </c>
      <c r="L456" s="4">
        <f>ROUNDDOWN(Table1[[#This Row],[Ordered]],0)</f>
        <v>45295</v>
      </c>
      <c r="M456" s="4">
        <f>Table1[[#This Row],[Date ]]</f>
        <v>45295</v>
      </c>
      <c r="N456" s="5">
        <f>Table1[[#This Row],[Ordered]]-Table1[[#This Row],[Date ]]</f>
        <v>0.58333333333575865</v>
      </c>
      <c r="O456">
        <f>Table1[[#This Row],[Company]]</f>
        <v>9</v>
      </c>
      <c r="P456">
        <f>IF(((Table1[[#This Row],[Arrived]]-Table1[[#This Row],[Delivery]])*24-Table1[[#This Row],[Promised]])&lt;0, 0, (Table1[[#This Row],[Arrived]]-Table1[[#This Row],[Delivery]])*24-Table1[[#This Row],[Promised]])</f>
        <v>0</v>
      </c>
      <c r="Q456"/>
    </row>
    <row r="457" spans="1:17" x14ac:dyDescent="0.45">
      <c r="A457" s="3">
        <v>45295.583333333336</v>
      </c>
      <c r="B457" t="s">
        <v>14</v>
      </c>
      <c r="C457">
        <v>10</v>
      </c>
      <c r="D457">
        <v>1009</v>
      </c>
      <c r="E457" t="s">
        <v>16</v>
      </c>
      <c r="F457">
        <v>18</v>
      </c>
      <c r="G457">
        <v>3900</v>
      </c>
      <c r="H457">
        <v>70200</v>
      </c>
      <c r="I457" s="3">
        <v>45295.666666666664</v>
      </c>
      <c r="J457">
        <v>48</v>
      </c>
      <c r="K457" s="3">
        <v>45298.666666666664</v>
      </c>
      <c r="L457" s="4">
        <f>ROUNDDOWN(Table1[[#This Row],[Ordered]],0)</f>
        <v>45295</v>
      </c>
      <c r="M457" s="4">
        <f>Table1[[#This Row],[Date ]]</f>
        <v>45295</v>
      </c>
      <c r="N457" s="5">
        <f>Table1[[#This Row],[Ordered]]-Table1[[#This Row],[Date ]]</f>
        <v>0.58333333333575865</v>
      </c>
      <c r="O457">
        <f>Table1[[#This Row],[Company]]</f>
        <v>10</v>
      </c>
      <c r="P457">
        <f>IF(((Table1[[#This Row],[Arrived]]-Table1[[#This Row],[Delivery]])*24-Table1[[#This Row],[Promised]])&lt;0, 0, (Table1[[#This Row],[Arrived]]-Table1[[#This Row],[Delivery]])*24-Table1[[#This Row],[Promised]])</f>
        <v>24</v>
      </c>
      <c r="Q457"/>
    </row>
    <row r="458" spans="1:17" x14ac:dyDescent="0.45">
      <c r="A458" s="3">
        <v>45295.583333333336</v>
      </c>
      <c r="B458" t="s">
        <v>14</v>
      </c>
      <c r="C458">
        <v>8</v>
      </c>
      <c r="D458">
        <v>1009</v>
      </c>
      <c r="E458" t="s">
        <v>16</v>
      </c>
      <c r="F458">
        <v>18</v>
      </c>
      <c r="G458">
        <v>3750</v>
      </c>
      <c r="H458">
        <v>67500</v>
      </c>
      <c r="I458" s="3">
        <v>45296.375</v>
      </c>
      <c r="J458">
        <v>96</v>
      </c>
      <c r="K458" s="3">
        <v>45299.375</v>
      </c>
      <c r="L458" s="4">
        <f>ROUNDDOWN(Table1[[#This Row],[Ordered]],0)</f>
        <v>45295</v>
      </c>
      <c r="M458" s="4">
        <f>Table1[[#This Row],[Date ]]</f>
        <v>45295</v>
      </c>
      <c r="N458" s="5">
        <f>Table1[[#This Row],[Ordered]]-Table1[[#This Row],[Date ]]</f>
        <v>0.58333333333575865</v>
      </c>
      <c r="O458">
        <f>Table1[[#This Row],[Company]]</f>
        <v>8</v>
      </c>
      <c r="P458">
        <f>IF(((Table1[[#This Row],[Arrived]]-Table1[[#This Row],[Delivery]])*24-Table1[[#This Row],[Promised]])&lt;0, 0, (Table1[[#This Row],[Arrived]]-Table1[[#This Row],[Delivery]])*24-Table1[[#This Row],[Promised]])</f>
        <v>0</v>
      </c>
      <c r="Q458"/>
    </row>
    <row r="459" spans="1:17" x14ac:dyDescent="0.45">
      <c r="A459" s="3">
        <v>45295.583333333336</v>
      </c>
      <c r="B459" t="s">
        <v>14</v>
      </c>
      <c r="C459">
        <v>14</v>
      </c>
      <c r="D459">
        <v>1009</v>
      </c>
      <c r="E459" t="s">
        <v>16</v>
      </c>
      <c r="F459">
        <v>18</v>
      </c>
      <c r="G459">
        <v>3750</v>
      </c>
      <c r="H459">
        <v>67500</v>
      </c>
      <c r="I459" s="3">
        <v>45295.791666666664</v>
      </c>
      <c r="J459">
        <v>96</v>
      </c>
      <c r="K459" s="3">
        <v>45298.791666666664</v>
      </c>
      <c r="L459" s="4">
        <f>ROUNDDOWN(Table1[[#This Row],[Ordered]],0)</f>
        <v>45295</v>
      </c>
      <c r="M459" s="4">
        <f>Table1[[#This Row],[Date ]]</f>
        <v>45295</v>
      </c>
      <c r="N459" s="5">
        <f>Table1[[#This Row],[Ordered]]-Table1[[#This Row],[Date ]]</f>
        <v>0.58333333333575865</v>
      </c>
      <c r="O459">
        <f>Table1[[#This Row],[Company]]</f>
        <v>14</v>
      </c>
      <c r="P459">
        <f>IF(((Table1[[#This Row],[Arrived]]-Table1[[#This Row],[Delivery]])*24-Table1[[#This Row],[Promised]])&lt;0, 0, (Table1[[#This Row],[Arrived]]-Table1[[#This Row],[Delivery]])*24-Table1[[#This Row],[Promised]])</f>
        <v>0</v>
      </c>
      <c r="Q459"/>
    </row>
    <row r="460" spans="1:17" hidden="1" x14ac:dyDescent="0.45">
      <c r="A460" s="3">
        <v>45295.583333333336</v>
      </c>
      <c r="B460" t="s">
        <v>12</v>
      </c>
      <c r="C460">
        <v>5</v>
      </c>
      <c r="D460">
        <v>16</v>
      </c>
      <c r="E460" t="s">
        <v>17</v>
      </c>
      <c r="F460">
        <v>255</v>
      </c>
      <c r="G460">
        <v>1020</v>
      </c>
      <c r="H460">
        <v>260100</v>
      </c>
      <c r="I460" s="3">
        <v>45295.625</v>
      </c>
      <c r="J460">
        <v>24</v>
      </c>
      <c r="K460" s="3">
        <v>45296.625</v>
      </c>
      <c r="L460" s="4">
        <f>ROUNDDOWN(Table1[[#This Row],[Ordered]],0)</f>
        <v>45295</v>
      </c>
      <c r="M460" s="4">
        <f>Table1[[#This Row],[Date ]]</f>
        <v>45295</v>
      </c>
      <c r="N460" s="5">
        <f>Table1[[#This Row],[Ordered]]-Table1[[#This Row],[Date ]]</f>
        <v>0.58333333333575865</v>
      </c>
      <c r="O460" s="5">
        <f>Table1[[#This Row],[Company]]</f>
        <v>5</v>
      </c>
      <c r="P460">
        <f>IF(((Table1[[#This Row],[Arrived]]-Table1[[#This Row],[Delivery]])*24-Table1[[#This Row],[Promised]])&lt;0, 0, (Table1[[#This Row],[Arrived]]-Table1[[#This Row],[Delivery]])*24-Table1[[#This Row],[Promised]])</f>
        <v>0</v>
      </c>
      <c r="Q460"/>
    </row>
    <row r="461" spans="1:17" x14ac:dyDescent="0.45">
      <c r="A461" s="3">
        <v>45295.583333333336</v>
      </c>
      <c r="B461" t="s">
        <v>14</v>
      </c>
      <c r="C461">
        <v>7</v>
      </c>
      <c r="D461">
        <v>1009</v>
      </c>
      <c r="E461" t="s">
        <v>16</v>
      </c>
      <c r="F461">
        <v>18</v>
      </c>
      <c r="G461">
        <v>3650</v>
      </c>
      <c r="H461">
        <v>65700</v>
      </c>
      <c r="I461" s="3">
        <v>45295.75</v>
      </c>
      <c r="J461">
        <v>96</v>
      </c>
      <c r="K461" s="3">
        <v>45298.75</v>
      </c>
      <c r="L461" s="4">
        <f>ROUNDDOWN(Table1[[#This Row],[Ordered]],0)</f>
        <v>45295</v>
      </c>
      <c r="M461" s="4">
        <f>Table1[[#This Row],[Date ]]</f>
        <v>45295</v>
      </c>
      <c r="N461" s="5">
        <f>Table1[[#This Row],[Ordered]]-Table1[[#This Row],[Date ]]</f>
        <v>0.58333333333575865</v>
      </c>
      <c r="O461">
        <f>Table1[[#This Row],[Company]]</f>
        <v>7</v>
      </c>
      <c r="P461">
        <f>IF(((Table1[[#This Row],[Arrived]]-Table1[[#This Row],[Delivery]])*24-Table1[[#This Row],[Promised]])&lt;0, 0, (Table1[[#This Row],[Arrived]]-Table1[[#This Row],[Delivery]])*24-Table1[[#This Row],[Promised]])</f>
        <v>0</v>
      </c>
      <c r="Q461"/>
    </row>
    <row r="462" spans="1:17" x14ac:dyDescent="0.45">
      <c r="A462" s="3">
        <v>45295.583333333336</v>
      </c>
      <c r="B462" t="s">
        <v>14</v>
      </c>
      <c r="C462">
        <v>11</v>
      </c>
      <c r="D462">
        <v>1009</v>
      </c>
      <c r="E462" t="s">
        <v>16</v>
      </c>
      <c r="F462">
        <v>18</v>
      </c>
      <c r="G462">
        <v>3750</v>
      </c>
      <c r="H462">
        <v>67500</v>
      </c>
      <c r="I462" s="3">
        <v>45295.916666666664</v>
      </c>
      <c r="J462">
        <v>96</v>
      </c>
      <c r="K462" s="3">
        <v>45298.916666666664</v>
      </c>
      <c r="L462" s="4">
        <f>ROUNDDOWN(Table1[[#This Row],[Ordered]],0)</f>
        <v>45295</v>
      </c>
      <c r="M462" s="4">
        <f>Table1[[#This Row],[Date ]]</f>
        <v>45295</v>
      </c>
      <c r="N462" s="5">
        <f>Table1[[#This Row],[Ordered]]-Table1[[#This Row],[Date ]]</f>
        <v>0.58333333333575865</v>
      </c>
      <c r="O462">
        <f>Table1[[#This Row],[Company]]</f>
        <v>11</v>
      </c>
      <c r="P462">
        <f>IF(((Table1[[#This Row],[Arrived]]-Table1[[#This Row],[Delivery]])*24-Table1[[#This Row],[Promised]])&lt;0, 0, (Table1[[#This Row],[Arrived]]-Table1[[#This Row],[Delivery]])*24-Table1[[#This Row],[Promised]])</f>
        <v>0</v>
      </c>
      <c r="Q462"/>
    </row>
    <row r="463" spans="1:17" x14ac:dyDescent="0.45">
      <c r="A463" s="3">
        <v>45295.583333333336</v>
      </c>
      <c r="B463" t="s">
        <v>14</v>
      </c>
      <c r="C463">
        <v>13</v>
      </c>
      <c r="D463">
        <v>1009</v>
      </c>
      <c r="E463" t="s">
        <v>16</v>
      </c>
      <c r="F463">
        <v>18</v>
      </c>
      <c r="G463">
        <v>3750</v>
      </c>
      <c r="H463">
        <v>67500</v>
      </c>
      <c r="I463" s="3">
        <v>45296.375</v>
      </c>
      <c r="J463">
        <v>96</v>
      </c>
      <c r="K463" s="3">
        <v>45299.458333333336</v>
      </c>
      <c r="L463" s="4">
        <f>ROUNDDOWN(Table1[[#This Row],[Ordered]],0)</f>
        <v>45295</v>
      </c>
      <c r="M463" s="4">
        <f>Table1[[#This Row],[Date ]]</f>
        <v>45295</v>
      </c>
      <c r="N463" s="5">
        <f>Table1[[#This Row],[Ordered]]-Table1[[#This Row],[Date ]]</f>
        <v>0.58333333333575865</v>
      </c>
      <c r="O463">
        <f>Table1[[#This Row],[Company]]</f>
        <v>13</v>
      </c>
      <c r="P463">
        <f>IF(((Table1[[#This Row],[Arrived]]-Table1[[#This Row],[Delivery]])*24-Table1[[#This Row],[Promised]])&lt;0, 0, (Table1[[#This Row],[Arrived]]-Table1[[#This Row],[Delivery]])*24-Table1[[#This Row],[Promised]])</f>
        <v>0</v>
      </c>
      <c r="Q463"/>
    </row>
    <row r="464" spans="1:17" x14ac:dyDescent="0.45">
      <c r="A464" s="3">
        <v>45295.583333333336</v>
      </c>
      <c r="B464" t="s">
        <v>14</v>
      </c>
      <c r="C464">
        <v>16</v>
      </c>
      <c r="D464">
        <v>1009</v>
      </c>
      <c r="E464" t="s">
        <v>16</v>
      </c>
      <c r="F464">
        <v>18</v>
      </c>
      <c r="G464">
        <v>3750</v>
      </c>
      <c r="H464">
        <v>67500</v>
      </c>
      <c r="I464" s="3">
        <v>45296.25</v>
      </c>
      <c r="J464">
        <v>96</v>
      </c>
      <c r="K464" s="3">
        <v>45299.25</v>
      </c>
      <c r="L464" s="4">
        <f>ROUNDDOWN(Table1[[#This Row],[Ordered]],0)</f>
        <v>45295</v>
      </c>
      <c r="M464" s="4">
        <f>Table1[[#This Row],[Date ]]</f>
        <v>45295</v>
      </c>
      <c r="N464" s="5">
        <f>Table1[[#This Row],[Ordered]]-Table1[[#This Row],[Date ]]</f>
        <v>0.58333333333575865</v>
      </c>
      <c r="O464">
        <f>Table1[[#This Row],[Company]]</f>
        <v>16</v>
      </c>
      <c r="P464">
        <f>IF(((Table1[[#This Row],[Arrived]]-Table1[[#This Row],[Delivery]])*24-Table1[[#This Row],[Promised]])&lt;0, 0, (Table1[[#This Row],[Arrived]]-Table1[[#This Row],[Delivery]])*24-Table1[[#This Row],[Promised]])</f>
        <v>0</v>
      </c>
      <c r="Q464"/>
    </row>
    <row r="465" spans="1:17" hidden="1" x14ac:dyDescent="0.45">
      <c r="A465" s="3">
        <v>45295.625</v>
      </c>
      <c r="B465" t="s">
        <v>12</v>
      </c>
      <c r="C465">
        <v>4</v>
      </c>
      <c r="D465">
        <v>9</v>
      </c>
      <c r="E465" t="s">
        <v>13</v>
      </c>
      <c r="F465">
        <v>3000</v>
      </c>
      <c r="G465">
        <v>105</v>
      </c>
      <c r="H465">
        <v>315000</v>
      </c>
      <c r="I465" s="3">
        <v>45295.666666666664</v>
      </c>
      <c r="J465">
        <v>72</v>
      </c>
      <c r="K465" s="3">
        <v>45298.666666666664</v>
      </c>
      <c r="L465" s="4">
        <f>ROUNDDOWN(Table1[[#This Row],[Ordered]],0)</f>
        <v>45295</v>
      </c>
      <c r="M465" s="4">
        <f>Table1[[#This Row],[Date ]]</f>
        <v>45295</v>
      </c>
      <c r="N465" s="5">
        <f>Table1[[#This Row],[Ordered]]-Table1[[#This Row],[Date ]]</f>
        <v>0.625</v>
      </c>
      <c r="O465" s="5">
        <f>Table1[[#This Row],[Company]]</f>
        <v>4</v>
      </c>
      <c r="P465">
        <f>IF(((Table1[[#This Row],[Arrived]]-Table1[[#This Row],[Delivery]])*24-Table1[[#This Row],[Promised]])&lt;0, 0, (Table1[[#This Row],[Arrived]]-Table1[[#This Row],[Delivery]])*24-Table1[[#This Row],[Promised]])</f>
        <v>0</v>
      </c>
      <c r="Q465"/>
    </row>
    <row r="466" spans="1:17" hidden="1" x14ac:dyDescent="0.45">
      <c r="A466" s="3">
        <v>45295.708333333336</v>
      </c>
      <c r="B466" t="s">
        <v>12</v>
      </c>
      <c r="C466">
        <v>6</v>
      </c>
      <c r="D466">
        <v>15</v>
      </c>
      <c r="E466" t="s">
        <v>17</v>
      </c>
      <c r="F466">
        <v>157</v>
      </c>
      <c r="G466">
        <v>1100</v>
      </c>
      <c r="H466">
        <v>172700</v>
      </c>
      <c r="I466" s="3">
        <v>45295.833333333336</v>
      </c>
      <c r="J466">
        <v>72</v>
      </c>
      <c r="K466" s="3">
        <v>45298.833333333336</v>
      </c>
      <c r="L466" s="4">
        <f>ROUNDDOWN(Table1[[#This Row],[Ordered]],0)</f>
        <v>45295</v>
      </c>
      <c r="M466" s="4">
        <f>Table1[[#This Row],[Date ]]</f>
        <v>45295</v>
      </c>
      <c r="N466" s="5">
        <f>Table1[[#This Row],[Ordered]]-Table1[[#This Row],[Date ]]</f>
        <v>0.70833333333575865</v>
      </c>
      <c r="O466" s="5">
        <f>Table1[[#This Row],[Company]]</f>
        <v>6</v>
      </c>
      <c r="P466">
        <f>IF(((Table1[[#This Row],[Arrived]]-Table1[[#This Row],[Delivery]])*24-Table1[[#This Row],[Promised]])&lt;0, 0, (Table1[[#This Row],[Arrived]]-Table1[[#This Row],[Delivery]])*24-Table1[[#This Row],[Promised]])</f>
        <v>0</v>
      </c>
      <c r="Q466"/>
    </row>
    <row r="467" spans="1:17" x14ac:dyDescent="0.45">
      <c r="A467" s="3">
        <v>45295.75</v>
      </c>
      <c r="B467" t="s">
        <v>0</v>
      </c>
      <c r="C467">
        <v>13</v>
      </c>
      <c r="D467">
        <v>2006</v>
      </c>
      <c r="E467" t="s">
        <v>15</v>
      </c>
      <c r="F467">
        <v>30</v>
      </c>
      <c r="G467">
        <v>6650</v>
      </c>
      <c r="H467">
        <v>199500</v>
      </c>
      <c r="I467" s="3">
        <v>45298.041666666664</v>
      </c>
      <c r="J467">
        <v>132</v>
      </c>
      <c r="K467" s="3">
        <v>45301.041666666664</v>
      </c>
      <c r="L467" s="4">
        <f>ROUNDDOWN(Table1[[#This Row],[Ordered]],0)</f>
        <v>45295</v>
      </c>
      <c r="M467" s="4">
        <f>Table1[[#This Row],[Date ]]</f>
        <v>45295</v>
      </c>
      <c r="N467" s="5">
        <f>Table1[[#This Row],[Ordered]]-Table1[[#This Row],[Date ]]</f>
        <v>0.75</v>
      </c>
      <c r="O467">
        <f>Table1[[#This Row],[Company]]</f>
        <v>13</v>
      </c>
      <c r="P467">
        <f>IF(((Table1[[#This Row],[Arrived]]-Table1[[#This Row],[Delivery]])*24-Table1[[#This Row],[Promised]])&lt;0, 0, (Table1[[#This Row],[Arrived]]-Table1[[#This Row],[Delivery]])*24-Table1[[#This Row],[Promised]])</f>
        <v>0</v>
      </c>
      <c r="Q467"/>
    </row>
    <row r="468" spans="1:17" x14ac:dyDescent="0.45">
      <c r="A468" s="3">
        <v>45295.75</v>
      </c>
      <c r="B468" t="s">
        <v>0</v>
      </c>
      <c r="C468">
        <v>9</v>
      </c>
      <c r="D468">
        <v>2006</v>
      </c>
      <c r="E468" t="s">
        <v>15</v>
      </c>
      <c r="F468">
        <v>30</v>
      </c>
      <c r="G468">
        <v>6650</v>
      </c>
      <c r="H468">
        <v>199500</v>
      </c>
      <c r="I468" s="3">
        <v>45296.666666666664</v>
      </c>
      <c r="J468">
        <v>132</v>
      </c>
      <c r="K468" s="3">
        <v>45301.166666666664</v>
      </c>
      <c r="L468" s="4">
        <f>ROUNDDOWN(Table1[[#This Row],[Ordered]],0)</f>
        <v>45295</v>
      </c>
      <c r="M468" s="4">
        <f>Table1[[#This Row],[Date ]]</f>
        <v>45295</v>
      </c>
      <c r="N468" s="5">
        <f>Table1[[#This Row],[Ordered]]-Table1[[#This Row],[Date ]]</f>
        <v>0.75</v>
      </c>
      <c r="O468">
        <f>Table1[[#This Row],[Company]]</f>
        <v>9</v>
      </c>
      <c r="P468">
        <f>IF(((Table1[[#This Row],[Arrived]]-Table1[[#This Row],[Delivery]])*24-Table1[[#This Row],[Promised]])&lt;0, 0, (Table1[[#This Row],[Arrived]]-Table1[[#This Row],[Delivery]])*24-Table1[[#This Row],[Promised]])</f>
        <v>0</v>
      </c>
      <c r="Q468"/>
    </row>
    <row r="469" spans="1:17" x14ac:dyDescent="0.45">
      <c r="A469" s="3">
        <v>45295.75</v>
      </c>
      <c r="B469" t="s">
        <v>0</v>
      </c>
      <c r="C469">
        <v>9</v>
      </c>
      <c r="D469">
        <v>2006</v>
      </c>
      <c r="E469" t="s">
        <v>16</v>
      </c>
      <c r="F469">
        <v>30</v>
      </c>
      <c r="G469">
        <v>3600</v>
      </c>
      <c r="H469">
        <v>108000</v>
      </c>
      <c r="I469" s="3">
        <v>45296.583333333336</v>
      </c>
      <c r="J469">
        <v>96</v>
      </c>
      <c r="K469" s="3">
        <v>45299.583333333336</v>
      </c>
      <c r="L469" s="4">
        <f>ROUNDDOWN(Table1[[#This Row],[Ordered]],0)</f>
        <v>45295</v>
      </c>
      <c r="M469" s="4">
        <f>Table1[[#This Row],[Date ]]</f>
        <v>45295</v>
      </c>
      <c r="N469" s="5">
        <f>Table1[[#This Row],[Ordered]]-Table1[[#This Row],[Date ]]</f>
        <v>0.75</v>
      </c>
      <c r="O469">
        <f>Table1[[#This Row],[Company]]</f>
        <v>9</v>
      </c>
      <c r="P469">
        <f>IF(((Table1[[#This Row],[Arrived]]-Table1[[#This Row],[Delivery]])*24-Table1[[#This Row],[Promised]])&lt;0, 0, (Table1[[#This Row],[Arrived]]-Table1[[#This Row],[Delivery]])*24-Table1[[#This Row],[Promised]])</f>
        <v>0</v>
      </c>
      <c r="Q469"/>
    </row>
    <row r="470" spans="1:17" x14ac:dyDescent="0.45">
      <c r="A470" s="3">
        <v>45295.75</v>
      </c>
      <c r="B470" t="s">
        <v>0</v>
      </c>
      <c r="C470">
        <v>11</v>
      </c>
      <c r="D470">
        <v>2006</v>
      </c>
      <c r="E470" t="s">
        <v>16</v>
      </c>
      <c r="F470">
        <v>30</v>
      </c>
      <c r="G470">
        <v>3750</v>
      </c>
      <c r="H470">
        <v>112500</v>
      </c>
      <c r="I470" s="3">
        <v>45296.125</v>
      </c>
      <c r="J470">
        <v>132</v>
      </c>
      <c r="K470" s="3">
        <v>45300.625</v>
      </c>
      <c r="L470" s="4">
        <f>ROUNDDOWN(Table1[[#This Row],[Ordered]],0)</f>
        <v>45295</v>
      </c>
      <c r="M470" s="4">
        <f>Table1[[#This Row],[Date ]]</f>
        <v>45295</v>
      </c>
      <c r="N470" s="5">
        <f>Table1[[#This Row],[Ordered]]-Table1[[#This Row],[Date ]]</f>
        <v>0.75</v>
      </c>
      <c r="O470">
        <f>Table1[[#This Row],[Company]]</f>
        <v>11</v>
      </c>
      <c r="P470">
        <f>IF(((Table1[[#This Row],[Arrived]]-Table1[[#This Row],[Delivery]])*24-Table1[[#This Row],[Promised]])&lt;0, 0, (Table1[[#This Row],[Arrived]]-Table1[[#This Row],[Delivery]])*24-Table1[[#This Row],[Promised]])</f>
        <v>0</v>
      </c>
      <c r="Q470"/>
    </row>
    <row r="471" spans="1:17" x14ac:dyDescent="0.45">
      <c r="A471" s="3">
        <v>45295.75</v>
      </c>
      <c r="B471" t="s">
        <v>0</v>
      </c>
      <c r="C471">
        <v>12</v>
      </c>
      <c r="D471">
        <v>2006</v>
      </c>
      <c r="E471" t="s">
        <v>15</v>
      </c>
      <c r="F471">
        <v>30</v>
      </c>
      <c r="G471">
        <v>6700</v>
      </c>
      <c r="H471">
        <v>201000</v>
      </c>
      <c r="I471" s="3">
        <v>45295.791666666664</v>
      </c>
      <c r="J471">
        <v>120</v>
      </c>
      <c r="K471" s="3">
        <v>45300.291666666664</v>
      </c>
      <c r="L471" s="4">
        <f>ROUNDDOWN(Table1[[#This Row],[Ordered]],0)</f>
        <v>45295</v>
      </c>
      <c r="M471" s="4">
        <f>Table1[[#This Row],[Date ]]</f>
        <v>45295</v>
      </c>
      <c r="N471" s="5">
        <f>Table1[[#This Row],[Ordered]]-Table1[[#This Row],[Date ]]</f>
        <v>0.75</v>
      </c>
      <c r="O471">
        <f>Table1[[#This Row],[Company]]</f>
        <v>12</v>
      </c>
      <c r="P471">
        <f>IF(((Table1[[#This Row],[Arrived]]-Table1[[#This Row],[Delivery]])*24-Table1[[#This Row],[Promised]])&lt;0, 0, (Table1[[#This Row],[Arrived]]-Table1[[#This Row],[Delivery]])*24-Table1[[#This Row],[Promised]])</f>
        <v>0</v>
      </c>
      <c r="Q471"/>
    </row>
    <row r="472" spans="1:17" x14ac:dyDescent="0.45">
      <c r="A472" s="3">
        <v>45295.75</v>
      </c>
      <c r="B472" t="s">
        <v>0</v>
      </c>
      <c r="C472">
        <v>13</v>
      </c>
      <c r="D472">
        <v>2006</v>
      </c>
      <c r="E472" t="s">
        <v>16</v>
      </c>
      <c r="F472">
        <v>30</v>
      </c>
      <c r="G472">
        <v>3750</v>
      </c>
      <c r="H472">
        <v>112500</v>
      </c>
      <c r="I472" s="3">
        <v>45298.041666666664</v>
      </c>
      <c r="J472">
        <v>132</v>
      </c>
      <c r="K472" s="3">
        <v>45301.083333333336</v>
      </c>
      <c r="L472" s="4">
        <f>ROUNDDOWN(Table1[[#This Row],[Ordered]],0)</f>
        <v>45295</v>
      </c>
      <c r="M472" s="4">
        <f>Table1[[#This Row],[Date ]]</f>
        <v>45295</v>
      </c>
      <c r="N472" s="5">
        <f>Table1[[#This Row],[Ordered]]-Table1[[#This Row],[Date ]]</f>
        <v>0.75</v>
      </c>
      <c r="O472">
        <f>Table1[[#This Row],[Company]]</f>
        <v>13</v>
      </c>
      <c r="P472">
        <f>IF(((Table1[[#This Row],[Arrived]]-Table1[[#This Row],[Delivery]])*24-Table1[[#This Row],[Promised]])&lt;0, 0, (Table1[[#This Row],[Arrived]]-Table1[[#This Row],[Delivery]])*24-Table1[[#This Row],[Promised]])</f>
        <v>0</v>
      </c>
      <c r="Q472"/>
    </row>
    <row r="473" spans="1:17" x14ac:dyDescent="0.45">
      <c r="A473" s="3">
        <v>45295.75</v>
      </c>
      <c r="B473" t="s">
        <v>0</v>
      </c>
      <c r="C473">
        <v>11</v>
      </c>
      <c r="D473">
        <v>2006</v>
      </c>
      <c r="E473" t="s">
        <v>15</v>
      </c>
      <c r="F473">
        <v>30</v>
      </c>
      <c r="G473">
        <v>6650</v>
      </c>
      <c r="H473">
        <v>199500</v>
      </c>
      <c r="I473" s="3">
        <v>45296.541666666664</v>
      </c>
      <c r="J473">
        <v>132</v>
      </c>
      <c r="K473" s="3">
        <v>45301.041666666664</v>
      </c>
      <c r="L473" s="4">
        <f>ROUNDDOWN(Table1[[#This Row],[Ordered]],0)</f>
        <v>45295</v>
      </c>
      <c r="M473" s="4">
        <f>Table1[[#This Row],[Date ]]</f>
        <v>45295</v>
      </c>
      <c r="N473" s="5">
        <f>Table1[[#This Row],[Ordered]]-Table1[[#This Row],[Date ]]</f>
        <v>0.75</v>
      </c>
      <c r="O473">
        <f>Table1[[#This Row],[Company]]</f>
        <v>11</v>
      </c>
      <c r="P473">
        <f>IF(((Table1[[#This Row],[Arrived]]-Table1[[#This Row],[Delivery]])*24-Table1[[#This Row],[Promised]])&lt;0, 0, (Table1[[#This Row],[Arrived]]-Table1[[#This Row],[Delivery]])*24-Table1[[#This Row],[Promised]])</f>
        <v>0</v>
      </c>
      <c r="Q473"/>
    </row>
    <row r="474" spans="1:17" x14ac:dyDescent="0.45">
      <c r="A474" s="3">
        <v>45295.75</v>
      </c>
      <c r="B474" t="s">
        <v>0</v>
      </c>
      <c r="C474">
        <v>8</v>
      </c>
      <c r="D474">
        <v>2006</v>
      </c>
      <c r="E474" t="s">
        <v>16</v>
      </c>
      <c r="F474">
        <v>30</v>
      </c>
      <c r="G474">
        <v>3500</v>
      </c>
      <c r="H474">
        <v>105000</v>
      </c>
      <c r="I474" s="3">
        <v>45296.458333333336</v>
      </c>
      <c r="J474">
        <v>132</v>
      </c>
      <c r="K474" s="3">
        <v>45300.958333333336</v>
      </c>
      <c r="L474" s="4">
        <f>ROUNDDOWN(Table1[[#This Row],[Ordered]],0)</f>
        <v>45295</v>
      </c>
      <c r="M474" s="4">
        <f>Table1[[#This Row],[Date ]]</f>
        <v>45295</v>
      </c>
      <c r="N474" s="5">
        <f>Table1[[#This Row],[Ordered]]-Table1[[#This Row],[Date ]]</f>
        <v>0.75</v>
      </c>
      <c r="O474">
        <f>Table1[[#This Row],[Company]]</f>
        <v>8</v>
      </c>
      <c r="P474">
        <f>IF(((Table1[[#This Row],[Arrived]]-Table1[[#This Row],[Delivery]])*24-Table1[[#This Row],[Promised]])&lt;0, 0, (Table1[[#This Row],[Arrived]]-Table1[[#This Row],[Delivery]])*24-Table1[[#This Row],[Promised]])</f>
        <v>0</v>
      </c>
      <c r="Q474"/>
    </row>
    <row r="475" spans="1:17" hidden="1" x14ac:dyDescent="0.45">
      <c r="A475" s="3">
        <v>45295.75</v>
      </c>
      <c r="B475" t="s">
        <v>12</v>
      </c>
      <c r="C475">
        <v>5</v>
      </c>
      <c r="D475">
        <v>16</v>
      </c>
      <c r="E475" t="s">
        <v>13</v>
      </c>
      <c r="F475">
        <v>1000</v>
      </c>
      <c r="G475">
        <v>120</v>
      </c>
      <c r="H475">
        <v>120000</v>
      </c>
      <c r="I475" s="3">
        <v>45295.75</v>
      </c>
      <c r="J475">
        <v>24</v>
      </c>
      <c r="K475" s="3">
        <v>45296.75</v>
      </c>
      <c r="L475" s="4">
        <f>ROUNDDOWN(Table1[[#This Row],[Ordered]],0)</f>
        <v>45295</v>
      </c>
      <c r="M475" s="4">
        <f>Table1[[#This Row],[Date ]]</f>
        <v>45295</v>
      </c>
      <c r="N475" s="5">
        <f>Table1[[#This Row],[Ordered]]-Table1[[#This Row],[Date ]]</f>
        <v>0.75</v>
      </c>
      <c r="O475">
        <f>Table1[[#This Row],[Company]]</f>
        <v>5</v>
      </c>
      <c r="P475">
        <f>IF(((Table1[[#This Row],[Arrived]]-Table1[[#This Row],[Delivery]])*24-Table1[[#This Row],[Promised]])&lt;0, 0, (Table1[[#This Row],[Arrived]]-Table1[[#This Row],[Delivery]])*24-Table1[[#This Row],[Promised]])</f>
        <v>0</v>
      </c>
      <c r="Q475"/>
    </row>
    <row r="476" spans="1:17" x14ac:dyDescent="0.45">
      <c r="A476" s="3">
        <v>45295.75</v>
      </c>
      <c r="B476" t="s">
        <v>0</v>
      </c>
      <c r="C476">
        <v>10</v>
      </c>
      <c r="D476">
        <v>2006</v>
      </c>
      <c r="E476" t="s">
        <v>16</v>
      </c>
      <c r="F476">
        <v>50</v>
      </c>
      <c r="G476">
        <v>3900</v>
      </c>
      <c r="H476">
        <v>195000</v>
      </c>
      <c r="I476" s="3">
        <v>45296.333333333336</v>
      </c>
      <c r="J476">
        <v>84</v>
      </c>
      <c r="K476" s="3">
        <v>45297.833333333336</v>
      </c>
      <c r="L476" s="4">
        <f>ROUNDDOWN(Table1[[#This Row],[Ordered]],0)</f>
        <v>45295</v>
      </c>
      <c r="M476" s="4">
        <f>Table1[[#This Row],[Date ]]</f>
        <v>45295</v>
      </c>
      <c r="N476" s="5">
        <f>Table1[[#This Row],[Ordered]]-Table1[[#This Row],[Date ]]</f>
        <v>0.75</v>
      </c>
      <c r="O476">
        <f>Table1[[#This Row],[Company]]</f>
        <v>10</v>
      </c>
      <c r="P476">
        <f>IF(((Table1[[#This Row],[Arrived]]-Table1[[#This Row],[Delivery]])*24-Table1[[#This Row],[Promised]])&lt;0, 0, (Table1[[#This Row],[Arrived]]-Table1[[#This Row],[Delivery]])*24-Table1[[#This Row],[Promised]])</f>
        <v>0</v>
      </c>
      <c r="Q476"/>
    </row>
    <row r="477" spans="1:17" x14ac:dyDescent="0.45">
      <c r="A477" s="3">
        <v>45295.75</v>
      </c>
      <c r="B477" t="s">
        <v>0</v>
      </c>
      <c r="C477">
        <v>16</v>
      </c>
      <c r="D477">
        <v>2006</v>
      </c>
      <c r="E477" t="s">
        <v>15</v>
      </c>
      <c r="F477">
        <v>30</v>
      </c>
      <c r="G477">
        <v>6650</v>
      </c>
      <c r="H477">
        <v>199500</v>
      </c>
      <c r="I477" s="3">
        <v>45295.75</v>
      </c>
      <c r="J477">
        <v>132</v>
      </c>
      <c r="K477" s="3">
        <v>45300.25</v>
      </c>
      <c r="L477" s="4">
        <f>ROUNDDOWN(Table1[[#This Row],[Ordered]],0)</f>
        <v>45295</v>
      </c>
      <c r="M477" s="4">
        <f>Table1[[#This Row],[Date ]]</f>
        <v>45295</v>
      </c>
      <c r="N477" s="5">
        <f>Table1[[#This Row],[Ordered]]-Table1[[#This Row],[Date ]]</f>
        <v>0.75</v>
      </c>
      <c r="O477">
        <f>Table1[[#This Row],[Company]]</f>
        <v>16</v>
      </c>
      <c r="P477">
        <f>IF(((Table1[[#This Row],[Arrived]]-Table1[[#This Row],[Delivery]])*24-Table1[[#This Row],[Promised]])&lt;0, 0, (Table1[[#This Row],[Arrived]]-Table1[[#This Row],[Delivery]])*24-Table1[[#This Row],[Promised]])</f>
        <v>0</v>
      </c>
      <c r="Q477"/>
    </row>
    <row r="478" spans="1:17" x14ac:dyDescent="0.45">
      <c r="A478" s="3">
        <v>45295.75</v>
      </c>
      <c r="B478" t="s">
        <v>0</v>
      </c>
      <c r="C478">
        <v>15</v>
      </c>
      <c r="D478">
        <v>2006</v>
      </c>
      <c r="E478" t="s">
        <v>15</v>
      </c>
      <c r="F478">
        <v>30</v>
      </c>
      <c r="G478">
        <v>6900</v>
      </c>
      <c r="H478">
        <v>207000</v>
      </c>
      <c r="I478" s="3">
        <v>45296.416666666664</v>
      </c>
      <c r="J478">
        <v>60</v>
      </c>
      <c r="K478" s="3">
        <v>45297.916666666664</v>
      </c>
      <c r="L478" s="4">
        <f>ROUNDDOWN(Table1[[#This Row],[Ordered]],0)</f>
        <v>45295</v>
      </c>
      <c r="M478" s="4">
        <f>Table1[[#This Row],[Date ]]</f>
        <v>45295</v>
      </c>
      <c r="N478" s="5">
        <f>Table1[[#This Row],[Ordered]]-Table1[[#This Row],[Date ]]</f>
        <v>0.75</v>
      </c>
      <c r="O478">
        <f>Table1[[#This Row],[Company]]</f>
        <v>15</v>
      </c>
      <c r="P478">
        <f>IF(((Table1[[#This Row],[Arrived]]-Table1[[#This Row],[Delivery]])*24-Table1[[#This Row],[Promised]])&lt;0, 0, (Table1[[#This Row],[Arrived]]-Table1[[#This Row],[Delivery]])*24-Table1[[#This Row],[Promised]])</f>
        <v>0</v>
      </c>
      <c r="Q478"/>
    </row>
    <row r="479" spans="1:17" x14ac:dyDescent="0.45">
      <c r="A479" s="3">
        <v>45295.75</v>
      </c>
      <c r="B479" t="s">
        <v>0</v>
      </c>
      <c r="C479">
        <v>10</v>
      </c>
      <c r="D479">
        <v>2006</v>
      </c>
      <c r="E479" t="s">
        <v>15</v>
      </c>
      <c r="F479">
        <v>38</v>
      </c>
      <c r="G479">
        <v>6550</v>
      </c>
      <c r="H479">
        <v>248900</v>
      </c>
      <c r="I479" s="3">
        <v>45295.791666666664</v>
      </c>
      <c r="J479">
        <v>156</v>
      </c>
      <c r="K479" s="3">
        <v>45300.291666666664</v>
      </c>
      <c r="L479" s="4">
        <f>ROUNDDOWN(Table1[[#This Row],[Ordered]],0)</f>
        <v>45295</v>
      </c>
      <c r="M479" s="4">
        <f>Table1[[#This Row],[Date ]]</f>
        <v>45295</v>
      </c>
      <c r="N479" s="5">
        <f>Table1[[#This Row],[Ordered]]-Table1[[#This Row],[Date ]]</f>
        <v>0.75</v>
      </c>
      <c r="O479">
        <f>Table1[[#This Row],[Company]]</f>
        <v>10</v>
      </c>
      <c r="P479">
        <f>IF(((Table1[[#This Row],[Arrived]]-Table1[[#This Row],[Delivery]])*24-Table1[[#This Row],[Promised]])&lt;0, 0, (Table1[[#This Row],[Arrived]]-Table1[[#This Row],[Delivery]])*24-Table1[[#This Row],[Promised]])</f>
        <v>0</v>
      </c>
      <c r="Q479"/>
    </row>
    <row r="480" spans="1:17" x14ac:dyDescent="0.45">
      <c r="A480" s="3">
        <v>45295.75</v>
      </c>
      <c r="B480" t="s">
        <v>0</v>
      </c>
      <c r="C480">
        <v>12</v>
      </c>
      <c r="D480">
        <v>2006</v>
      </c>
      <c r="E480" t="s">
        <v>16</v>
      </c>
      <c r="F480">
        <v>30</v>
      </c>
      <c r="G480">
        <v>3750</v>
      </c>
      <c r="H480">
        <v>112500</v>
      </c>
      <c r="I480" s="3">
        <v>45295.75</v>
      </c>
      <c r="J480">
        <v>120</v>
      </c>
      <c r="K480" s="3">
        <v>45300.291666666664</v>
      </c>
      <c r="L480" s="4">
        <f>ROUNDDOWN(Table1[[#This Row],[Ordered]],0)</f>
        <v>45295</v>
      </c>
      <c r="M480" s="4">
        <f>Table1[[#This Row],[Date ]]</f>
        <v>45295</v>
      </c>
      <c r="N480" s="5">
        <f>Table1[[#This Row],[Ordered]]-Table1[[#This Row],[Date ]]</f>
        <v>0.75</v>
      </c>
      <c r="O480">
        <f>Table1[[#This Row],[Company]]</f>
        <v>12</v>
      </c>
      <c r="P480">
        <f>IF(((Table1[[#This Row],[Arrived]]-Table1[[#This Row],[Delivery]])*24-Table1[[#This Row],[Promised]])&lt;0, 0, (Table1[[#This Row],[Arrived]]-Table1[[#This Row],[Delivery]])*24-Table1[[#This Row],[Promised]])</f>
        <v>0</v>
      </c>
      <c r="Q480"/>
    </row>
    <row r="481" spans="1:17" x14ac:dyDescent="0.45">
      <c r="A481" s="3">
        <v>45295.75</v>
      </c>
      <c r="B481" t="s">
        <v>0</v>
      </c>
      <c r="C481">
        <v>14</v>
      </c>
      <c r="D481">
        <v>2006</v>
      </c>
      <c r="E481" t="s">
        <v>15</v>
      </c>
      <c r="F481">
        <v>30</v>
      </c>
      <c r="G481">
        <v>6650</v>
      </c>
      <c r="H481">
        <v>199500</v>
      </c>
      <c r="I481" s="3">
        <v>45295.916666666664</v>
      </c>
      <c r="J481">
        <v>132</v>
      </c>
      <c r="K481" s="3">
        <v>45300.416666666664</v>
      </c>
      <c r="L481" s="4">
        <f>ROUNDDOWN(Table1[[#This Row],[Ordered]],0)</f>
        <v>45295</v>
      </c>
      <c r="M481" s="4">
        <f>Table1[[#This Row],[Date ]]</f>
        <v>45295</v>
      </c>
      <c r="N481" s="5">
        <f>Table1[[#This Row],[Ordered]]-Table1[[#This Row],[Date ]]</f>
        <v>0.75</v>
      </c>
      <c r="O481">
        <f>Table1[[#This Row],[Company]]</f>
        <v>14</v>
      </c>
      <c r="P481">
        <f>IF(((Table1[[#This Row],[Arrived]]-Table1[[#This Row],[Delivery]])*24-Table1[[#This Row],[Promised]])&lt;0, 0, (Table1[[#This Row],[Arrived]]-Table1[[#This Row],[Delivery]])*24-Table1[[#This Row],[Promised]])</f>
        <v>0</v>
      </c>
      <c r="Q481"/>
    </row>
    <row r="482" spans="1:17" x14ac:dyDescent="0.45">
      <c r="A482" s="3">
        <v>45295.75</v>
      </c>
      <c r="B482" t="s">
        <v>0</v>
      </c>
      <c r="C482">
        <v>7</v>
      </c>
      <c r="D482">
        <v>2006</v>
      </c>
      <c r="E482" t="s">
        <v>16</v>
      </c>
      <c r="F482">
        <v>30</v>
      </c>
      <c r="G482">
        <v>3650</v>
      </c>
      <c r="H482">
        <v>109500</v>
      </c>
      <c r="I482" s="3">
        <v>45296.25</v>
      </c>
      <c r="J482">
        <v>132</v>
      </c>
      <c r="K482" s="3">
        <v>45300.75</v>
      </c>
      <c r="L482" s="4">
        <f>ROUNDDOWN(Table1[[#This Row],[Ordered]],0)</f>
        <v>45295</v>
      </c>
      <c r="M482" s="4">
        <f>Table1[[#This Row],[Date ]]</f>
        <v>45295</v>
      </c>
      <c r="N482" s="5">
        <f>Table1[[#This Row],[Ordered]]-Table1[[#This Row],[Date ]]</f>
        <v>0.75</v>
      </c>
      <c r="O482">
        <f>Table1[[#This Row],[Company]]</f>
        <v>7</v>
      </c>
      <c r="P482">
        <f>IF(((Table1[[#This Row],[Arrived]]-Table1[[#This Row],[Delivery]])*24-Table1[[#This Row],[Promised]])&lt;0, 0, (Table1[[#This Row],[Arrived]]-Table1[[#This Row],[Delivery]])*24-Table1[[#This Row],[Promised]])</f>
        <v>0</v>
      </c>
      <c r="Q482"/>
    </row>
    <row r="483" spans="1:17" x14ac:dyDescent="0.45">
      <c r="A483" s="3">
        <v>45295.75</v>
      </c>
      <c r="B483" t="s">
        <v>0</v>
      </c>
      <c r="C483">
        <v>14</v>
      </c>
      <c r="D483">
        <v>2006</v>
      </c>
      <c r="E483" t="s">
        <v>16</v>
      </c>
      <c r="F483">
        <v>30</v>
      </c>
      <c r="G483">
        <v>3750</v>
      </c>
      <c r="H483">
        <v>112500</v>
      </c>
      <c r="I483" s="3">
        <v>45295.958333333336</v>
      </c>
      <c r="J483">
        <v>132</v>
      </c>
      <c r="K483" s="3">
        <v>45300.458333333336</v>
      </c>
      <c r="L483" s="4">
        <f>ROUNDDOWN(Table1[[#This Row],[Ordered]],0)</f>
        <v>45295</v>
      </c>
      <c r="M483" s="4">
        <f>Table1[[#This Row],[Date ]]</f>
        <v>45295</v>
      </c>
      <c r="N483" s="5">
        <f>Table1[[#This Row],[Ordered]]-Table1[[#This Row],[Date ]]</f>
        <v>0.75</v>
      </c>
      <c r="O483">
        <f>Table1[[#This Row],[Company]]</f>
        <v>14</v>
      </c>
      <c r="P483">
        <f>IF(((Table1[[#This Row],[Arrived]]-Table1[[#This Row],[Delivery]])*24-Table1[[#This Row],[Promised]])&lt;0, 0, (Table1[[#This Row],[Arrived]]-Table1[[#This Row],[Delivery]])*24-Table1[[#This Row],[Promised]])</f>
        <v>0</v>
      </c>
      <c r="Q483"/>
    </row>
    <row r="484" spans="1:17" x14ac:dyDescent="0.45">
      <c r="A484" s="3">
        <v>45295.75</v>
      </c>
      <c r="B484" t="s">
        <v>0</v>
      </c>
      <c r="C484">
        <v>7</v>
      </c>
      <c r="D484">
        <v>2006</v>
      </c>
      <c r="E484" t="s">
        <v>15</v>
      </c>
      <c r="F484">
        <v>30</v>
      </c>
      <c r="G484">
        <v>6650</v>
      </c>
      <c r="H484">
        <v>199500</v>
      </c>
      <c r="I484" s="3">
        <v>45296.208333333336</v>
      </c>
      <c r="J484">
        <v>132</v>
      </c>
      <c r="K484" s="3">
        <v>45300.708333333336</v>
      </c>
      <c r="L484" s="4">
        <f>ROUNDDOWN(Table1[[#This Row],[Ordered]],0)</f>
        <v>45295</v>
      </c>
      <c r="M484" s="4">
        <f>Table1[[#This Row],[Date ]]</f>
        <v>45295</v>
      </c>
      <c r="N484" s="5">
        <f>Table1[[#This Row],[Ordered]]-Table1[[#This Row],[Date ]]</f>
        <v>0.75</v>
      </c>
      <c r="O484">
        <f>Table1[[#This Row],[Company]]</f>
        <v>7</v>
      </c>
      <c r="P484">
        <f>IF(((Table1[[#This Row],[Arrived]]-Table1[[#This Row],[Delivery]])*24-Table1[[#This Row],[Promised]])&lt;0, 0, (Table1[[#This Row],[Arrived]]-Table1[[#This Row],[Delivery]])*24-Table1[[#This Row],[Promised]])</f>
        <v>0</v>
      </c>
      <c r="Q484"/>
    </row>
    <row r="485" spans="1:17" x14ac:dyDescent="0.45">
      <c r="A485" s="3">
        <v>45295.75</v>
      </c>
      <c r="B485" t="s">
        <v>0</v>
      </c>
      <c r="C485">
        <v>15</v>
      </c>
      <c r="D485">
        <v>2006</v>
      </c>
      <c r="E485" t="s">
        <v>16</v>
      </c>
      <c r="F485">
        <v>50</v>
      </c>
      <c r="G485">
        <v>3650</v>
      </c>
      <c r="H485">
        <v>182500</v>
      </c>
      <c r="I485" s="3">
        <v>45296.416666666664</v>
      </c>
      <c r="J485">
        <v>132</v>
      </c>
      <c r="K485" s="3">
        <v>45300.916666666664</v>
      </c>
      <c r="L485" s="4">
        <f>ROUNDDOWN(Table1[[#This Row],[Ordered]],0)</f>
        <v>45295</v>
      </c>
      <c r="M485" s="4">
        <f>Table1[[#This Row],[Date ]]</f>
        <v>45295</v>
      </c>
      <c r="N485" s="5">
        <f>Table1[[#This Row],[Ordered]]-Table1[[#This Row],[Date ]]</f>
        <v>0.75</v>
      </c>
      <c r="O485">
        <f>Table1[[#This Row],[Company]]</f>
        <v>15</v>
      </c>
      <c r="P485">
        <f>IF(((Table1[[#This Row],[Arrived]]-Table1[[#This Row],[Delivery]])*24-Table1[[#This Row],[Promised]])&lt;0, 0, (Table1[[#This Row],[Arrived]]-Table1[[#This Row],[Delivery]])*24-Table1[[#This Row],[Promised]])</f>
        <v>0</v>
      </c>
      <c r="Q485"/>
    </row>
    <row r="486" spans="1:17" hidden="1" x14ac:dyDescent="0.45">
      <c r="A486" s="3">
        <v>45295.875</v>
      </c>
      <c r="B486" t="s">
        <v>12</v>
      </c>
      <c r="C486">
        <v>1</v>
      </c>
      <c r="D486">
        <v>14</v>
      </c>
      <c r="E486" t="s">
        <v>17</v>
      </c>
      <c r="F486">
        <v>250</v>
      </c>
      <c r="G486">
        <v>1600</v>
      </c>
      <c r="H486">
        <v>400000</v>
      </c>
      <c r="I486" s="3">
        <v>45295.916666666664</v>
      </c>
      <c r="J486">
        <v>24</v>
      </c>
      <c r="K486" s="3">
        <v>45296.916666666664</v>
      </c>
      <c r="L486" s="4">
        <f>ROUNDDOWN(Table1[[#This Row],[Ordered]],0)</f>
        <v>45295</v>
      </c>
      <c r="M486" s="4">
        <f>Table1[[#This Row],[Date ]]</f>
        <v>45295</v>
      </c>
      <c r="N486" s="5">
        <f>Table1[[#This Row],[Ordered]]-Table1[[#This Row],[Date ]]</f>
        <v>0.875</v>
      </c>
      <c r="O486" s="5">
        <f>Table1[[#This Row],[Company]]</f>
        <v>1</v>
      </c>
      <c r="P486">
        <f>IF(((Table1[[#This Row],[Arrived]]-Table1[[#This Row],[Delivery]])*24-Table1[[#This Row],[Promised]])&lt;0, 0, (Table1[[#This Row],[Arrived]]-Table1[[#This Row],[Delivery]])*24-Table1[[#This Row],[Promised]])</f>
        <v>0</v>
      </c>
      <c r="Q486"/>
    </row>
    <row r="487" spans="1:17" hidden="1" x14ac:dyDescent="0.45">
      <c r="A487" s="3">
        <v>45295.958333333336</v>
      </c>
      <c r="B487" t="s">
        <v>12</v>
      </c>
      <c r="C487">
        <v>5</v>
      </c>
      <c r="D487">
        <v>7</v>
      </c>
      <c r="E487" t="s">
        <v>13</v>
      </c>
      <c r="F487">
        <v>1800</v>
      </c>
      <c r="G487">
        <v>120</v>
      </c>
      <c r="H487">
        <v>216000</v>
      </c>
      <c r="I487" s="3">
        <v>45296</v>
      </c>
      <c r="J487">
        <v>24</v>
      </c>
      <c r="K487" s="3">
        <v>45297</v>
      </c>
      <c r="L487" s="4">
        <f>ROUNDDOWN(Table1[[#This Row],[Ordered]],0)</f>
        <v>45295</v>
      </c>
      <c r="M487" s="4">
        <f>Table1[[#This Row],[Date ]]</f>
        <v>45295</v>
      </c>
      <c r="N487" s="5">
        <f>Table1[[#This Row],[Ordered]]-Table1[[#This Row],[Date ]]</f>
        <v>0.95833333333575865</v>
      </c>
      <c r="O487" s="5">
        <f>Table1[[#This Row],[Company]]</f>
        <v>5</v>
      </c>
      <c r="P487">
        <f>IF(((Table1[[#This Row],[Arrived]]-Table1[[#This Row],[Delivery]])*24-Table1[[#This Row],[Promised]])&lt;0, 0, (Table1[[#This Row],[Arrived]]-Table1[[#This Row],[Delivery]])*24-Table1[[#This Row],[Promised]])</f>
        <v>0</v>
      </c>
      <c r="Q487"/>
    </row>
    <row r="488" spans="1:17" x14ac:dyDescent="0.45">
      <c r="A488" s="3">
        <v>45296</v>
      </c>
      <c r="B488" t="s">
        <v>14</v>
      </c>
      <c r="C488">
        <v>16</v>
      </c>
      <c r="D488">
        <v>1007</v>
      </c>
      <c r="E488" t="s">
        <v>16</v>
      </c>
      <c r="F488">
        <v>30</v>
      </c>
      <c r="G488">
        <v>3750</v>
      </c>
      <c r="H488">
        <v>112500</v>
      </c>
      <c r="I488" s="3">
        <v>45296.25</v>
      </c>
      <c r="J488">
        <v>96</v>
      </c>
      <c r="K488" s="3">
        <v>45299.25</v>
      </c>
      <c r="L488" s="4">
        <f>ROUNDDOWN(Table1[[#This Row],[Ordered]],0)</f>
        <v>45296</v>
      </c>
      <c r="M488" s="4">
        <f>Table1[[#This Row],[Date ]]</f>
        <v>45296</v>
      </c>
      <c r="N488" s="5">
        <f>Table1[[#This Row],[Ordered]]-Table1[[#This Row],[Date ]]</f>
        <v>0</v>
      </c>
      <c r="O488">
        <f>Table1[[#This Row],[Company]]</f>
        <v>16</v>
      </c>
      <c r="P488">
        <f>IF(((Table1[[#This Row],[Arrived]]-Table1[[#This Row],[Delivery]])*24-Table1[[#This Row],[Promised]])&lt;0, 0, (Table1[[#This Row],[Arrived]]-Table1[[#This Row],[Delivery]])*24-Table1[[#This Row],[Promised]])</f>
        <v>0</v>
      </c>
      <c r="Q488"/>
    </row>
    <row r="489" spans="1:17" x14ac:dyDescent="0.45">
      <c r="A489" s="3">
        <v>45296</v>
      </c>
      <c r="B489" t="s">
        <v>14</v>
      </c>
      <c r="C489">
        <v>15</v>
      </c>
      <c r="D489">
        <v>1007</v>
      </c>
      <c r="E489" t="s">
        <v>16</v>
      </c>
      <c r="F489">
        <v>30</v>
      </c>
      <c r="G489">
        <v>3750</v>
      </c>
      <c r="H489">
        <v>112500</v>
      </c>
      <c r="I489" s="3">
        <v>45296.25</v>
      </c>
      <c r="J489">
        <v>92</v>
      </c>
      <c r="K489" s="3">
        <v>45299.25</v>
      </c>
      <c r="L489" s="4">
        <f>ROUNDDOWN(Table1[[#This Row],[Ordered]],0)</f>
        <v>45296</v>
      </c>
      <c r="M489" s="4">
        <f>Table1[[#This Row],[Date ]]</f>
        <v>45296</v>
      </c>
      <c r="N489" s="5">
        <f>Table1[[#This Row],[Ordered]]-Table1[[#This Row],[Date ]]</f>
        <v>0</v>
      </c>
      <c r="O489">
        <f>Table1[[#This Row],[Company]]</f>
        <v>15</v>
      </c>
      <c r="P489">
        <f>IF(((Table1[[#This Row],[Arrived]]-Table1[[#This Row],[Delivery]])*24-Table1[[#This Row],[Promised]])&lt;0, 0, (Table1[[#This Row],[Arrived]]-Table1[[#This Row],[Delivery]])*24-Table1[[#This Row],[Promised]])</f>
        <v>0</v>
      </c>
      <c r="Q489"/>
    </row>
    <row r="490" spans="1:17" x14ac:dyDescent="0.45">
      <c r="A490" s="3">
        <v>45296</v>
      </c>
      <c r="B490" t="s">
        <v>14</v>
      </c>
      <c r="C490">
        <v>8</v>
      </c>
      <c r="D490">
        <v>1007</v>
      </c>
      <c r="E490" t="s">
        <v>16</v>
      </c>
      <c r="F490">
        <v>30</v>
      </c>
      <c r="G490">
        <v>3750</v>
      </c>
      <c r="H490">
        <v>112500</v>
      </c>
      <c r="I490" s="3">
        <v>45296.75</v>
      </c>
      <c r="J490">
        <v>96</v>
      </c>
      <c r="K490" s="3">
        <v>45299.75</v>
      </c>
      <c r="L490" s="4">
        <f>ROUNDDOWN(Table1[[#This Row],[Ordered]],0)</f>
        <v>45296</v>
      </c>
      <c r="M490" s="4">
        <f>Table1[[#This Row],[Date ]]</f>
        <v>45296</v>
      </c>
      <c r="N490" s="5">
        <f>Table1[[#This Row],[Ordered]]-Table1[[#This Row],[Date ]]</f>
        <v>0</v>
      </c>
      <c r="O490">
        <f>Table1[[#This Row],[Company]]</f>
        <v>8</v>
      </c>
      <c r="P490">
        <f>IF(((Table1[[#This Row],[Arrived]]-Table1[[#This Row],[Delivery]])*24-Table1[[#This Row],[Promised]])&lt;0, 0, (Table1[[#This Row],[Arrived]]-Table1[[#This Row],[Delivery]])*24-Table1[[#This Row],[Promised]])</f>
        <v>0</v>
      </c>
      <c r="Q490"/>
    </row>
    <row r="491" spans="1:17" x14ac:dyDescent="0.45">
      <c r="A491" s="3">
        <v>45296</v>
      </c>
      <c r="B491" t="s">
        <v>14</v>
      </c>
      <c r="C491">
        <v>12</v>
      </c>
      <c r="D491">
        <v>1007</v>
      </c>
      <c r="E491" t="s">
        <v>16</v>
      </c>
      <c r="F491">
        <v>15</v>
      </c>
      <c r="G491">
        <v>3950</v>
      </c>
      <c r="H491">
        <v>59250</v>
      </c>
      <c r="I491" s="3">
        <v>45296.041666666664</v>
      </c>
      <c r="J491">
        <v>60</v>
      </c>
      <c r="K491" s="3">
        <v>45298.041666666664</v>
      </c>
      <c r="L491" s="4">
        <f>ROUNDDOWN(Table1[[#This Row],[Ordered]],0)</f>
        <v>45296</v>
      </c>
      <c r="M491" s="4">
        <f>Table1[[#This Row],[Date ]]</f>
        <v>45296</v>
      </c>
      <c r="N491" s="5">
        <f>Table1[[#This Row],[Ordered]]-Table1[[#This Row],[Date ]]</f>
        <v>0</v>
      </c>
      <c r="O491">
        <f>Table1[[#This Row],[Company]]</f>
        <v>12</v>
      </c>
      <c r="P491">
        <f>IF(((Table1[[#This Row],[Arrived]]-Table1[[#This Row],[Delivery]])*24-Table1[[#This Row],[Promised]])&lt;0, 0, (Table1[[#This Row],[Arrived]]-Table1[[#This Row],[Delivery]])*24-Table1[[#This Row],[Promised]])</f>
        <v>0</v>
      </c>
      <c r="Q491"/>
    </row>
    <row r="492" spans="1:17" x14ac:dyDescent="0.45">
      <c r="A492" s="3">
        <v>45296</v>
      </c>
      <c r="B492" t="s">
        <v>14</v>
      </c>
      <c r="C492">
        <v>14</v>
      </c>
      <c r="D492">
        <v>1007</v>
      </c>
      <c r="E492" t="s">
        <v>16</v>
      </c>
      <c r="F492">
        <v>30</v>
      </c>
      <c r="G492">
        <v>3750</v>
      </c>
      <c r="H492">
        <v>112500</v>
      </c>
      <c r="I492" s="3">
        <v>45296.25</v>
      </c>
      <c r="J492">
        <v>96</v>
      </c>
      <c r="K492" s="3">
        <v>45299.25</v>
      </c>
      <c r="L492" s="4">
        <f>ROUNDDOWN(Table1[[#This Row],[Ordered]],0)</f>
        <v>45296</v>
      </c>
      <c r="M492" s="4">
        <f>Table1[[#This Row],[Date ]]</f>
        <v>45296</v>
      </c>
      <c r="N492" s="5">
        <f>Table1[[#This Row],[Ordered]]-Table1[[#This Row],[Date ]]</f>
        <v>0</v>
      </c>
      <c r="O492">
        <f>Table1[[#This Row],[Company]]</f>
        <v>14</v>
      </c>
      <c r="P492">
        <f>IF(((Table1[[#This Row],[Arrived]]-Table1[[#This Row],[Delivery]])*24-Table1[[#This Row],[Promised]])&lt;0, 0, (Table1[[#This Row],[Arrived]]-Table1[[#This Row],[Delivery]])*24-Table1[[#This Row],[Promised]])</f>
        <v>0</v>
      </c>
      <c r="Q492"/>
    </row>
    <row r="493" spans="1:17" hidden="1" x14ac:dyDescent="0.45">
      <c r="A493" s="3">
        <v>45296</v>
      </c>
      <c r="B493" t="s">
        <v>12</v>
      </c>
      <c r="C493">
        <v>4</v>
      </c>
      <c r="D493">
        <v>8</v>
      </c>
      <c r="E493" t="s">
        <v>13</v>
      </c>
      <c r="F493">
        <v>2000</v>
      </c>
      <c r="G493">
        <v>110</v>
      </c>
      <c r="H493">
        <v>220000</v>
      </c>
      <c r="I493" s="3">
        <v>45296.166666666664</v>
      </c>
      <c r="J493">
        <v>72</v>
      </c>
      <c r="K493" s="3">
        <v>45299.166666666664</v>
      </c>
      <c r="L493" s="4">
        <f>ROUNDDOWN(Table1[[#This Row],[Ordered]],0)</f>
        <v>45296</v>
      </c>
      <c r="M493" s="4">
        <f>Table1[[#This Row],[Date ]]</f>
        <v>45296</v>
      </c>
      <c r="N493" s="5">
        <f>Table1[[#This Row],[Ordered]]-Table1[[#This Row],[Date ]]</f>
        <v>0</v>
      </c>
      <c r="O493">
        <f>Table1[[#This Row],[Company]]</f>
        <v>4</v>
      </c>
      <c r="P493">
        <f>IF(((Table1[[#This Row],[Arrived]]-Table1[[#This Row],[Delivery]])*24-Table1[[#This Row],[Promised]])&lt;0, 0, (Table1[[#This Row],[Arrived]]-Table1[[#This Row],[Delivery]])*24-Table1[[#This Row],[Promised]])</f>
        <v>0</v>
      </c>
      <c r="Q493"/>
    </row>
    <row r="494" spans="1:17" x14ac:dyDescent="0.45">
      <c r="A494" s="3">
        <v>45296</v>
      </c>
      <c r="B494" t="s">
        <v>14</v>
      </c>
      <c r="C494">
        <v>11</v>
      </c>
      <c r="D494">
        <v>1007</v>
      </c>
      <c r="E494" t="s">
        <v>16</v>
      </c>
      <c r="F494">
        <v>30</v>
      </c>
      <c r="G494">
        <v>3750</v>
      </c>
      <c r="H494">
        <v>112500</v>
      </c>
      <c r="I494" s="3">
        <v>45296.25</v>
      </c>
      <c r="J494">
        <v>96</v>
      </c>
      <c r="K494" s="3">
        <v>45299.25</v>
      </c>
      <c r="L494" s="4">
        <f>ROUNDDOWN(Table1[[#This Row],[Ordered]],0)</f>
        <v>45296</v>
      </c>
      <c r="M494" s="4">
        <f>Table1[[#This Row],[Date ]]</f>
        <v>45296</v>
      </c>
      <c r="N494" s="5">
        <f>Table1[[#This Row],[Ordered]]-Table1[[#This Row],[Date ]]</f>
        <v>0</v>
      </c>
      <c r="O494">
        <f>Table1[[#This Row],[Company]]</f>
        <v>11</v>
      </c>
      <c r="P494">
        <f>IF(((Table1[[#This Row],[Arrived]]-Table1[[#This Row],[Delivery]])*24-Table1[[#This Row],[Promised]])&lt;0, 0, (Table1[[#This Row],[Arrived]]-Table1[[#This Row],[Delivery]])*24-Table1[[#This Row],[Promised]])</f>
        <v>0</v>
      </c>
      <c r="Q494"/>
    </row>
    <row r="495" spans="1:17" x14ac:dyDescent="0.45">
      <c r="A495" s="3">
        <v>45296</v>
      </c>
      <c r="B495" t="s">
        <v>14</v>
      </c>
      <c r="C495">
        <v>7</v>
      </c>
      <c r="D495">
        <v>1007</v>
      </c>
      <c r="E495" t="s">
        <v>16</v>
      </c>
      <c r="F495">
        <v>30</v>
      </c>
      <c r="G495">
        <v>3650</v>
      </c>
      <c r="H495">
        <v>109500</v>
      </c>
      <c r="I495" s="3">
        <v>45296.041666666664</v>
      </c>
      <c r="J495">
        <v>96</v>
      </c>
      <c r="K495" s="3">
        <v>45299.041666666664</v>
      </c>
      <c r="L495" s="4">
        <f>ROUNDDOWN(Table1[[#This Row],[Ordered]],0)</f>
        <v>45296</v>
      </c>
      <c r="M495" s="4">
        <f>Table1[[#This Row],[Date ]]</f>
        <v>45296</v>
      </c>
      <c r="N495" s="5">
        <f>Table1[[#This Row],[Ordered]]-Table1[[#This Row],[Date ]]</f>
        <v>0</v>
      </c>
      <c r="O495">
        <f>Table1[[#This Row],[Company]]</f>
        <v>7</v>
      </c>
      <c r="P495">
        <f>IF(((Table1[[#This Row],[Arrived]]-Table1[[#This Row],[Delivery]])*24-Table1[[#This Row],[Promised]])&lt;0, 0, (Table1[[#This Row],[Arrived]]-Table1[[#This Row],[Delivery]])*24-Table1[[#This Row],[Promised]])</f>
        <v>0</v>
      </c>
      <c r="Q495"/>
    </row>
    <row r="496" spans="1:17" hidden="1" x14ac:dyDescent="0.45">
      <c r="A496" s="3">
        <v>45296</v>
      </c>
      <c r="B496" t="s">
        <v>12</v>
      </c>
      <c r="C496">
        <v>4</v>
      </c>
      <c r="D496">
        <v>8</v>
      </c>
      <c r="E496" t="s">
        <v>13</v>
      </c>
      <c r="F496">
        <v>2000</v>
      </c>
      <c r="G496">
        <v>110</v>
      </c>
      <c r="H496">
        <v>220000</v>
      </c>
      <c r="I496" s="3">
        <v>45296.541666666664</v>
      </c>
      <c r="J496">
        <v>72</v>
      </c>
      <c r="K496" s="3">
        <v>45299.541666666664</v>
      </c>
      <c r="L496" s="4">
        <f>ROUNDDOWN(Table1[[#This Row],[Ordered]],0)</f>
        <v>45296</v>
      </c>
      <c r="M496" s="4">
        <f>Table1[[#This Row],[Date ]]</f>
        <v>45296</v>
      </c>
      <c r="N496" s="5">
        <f>Table1[[#This Row],[Ordered]]-Table1[[#This Row],[Date ]]</f>
        <v>0</v>
      </c>
      <c r="O496" s="5">
        <f>Table1[[#This Row],[Company]]</f>
        <v>4</v>
      </c>
      <c r="P496">
        <f>IF(((Table1[[#This Row],[Arrived]]-Table1[[#This Row],[Delivery]])*24-Table1[[#This Row],[Promised]])&lt;0, 0, (Table1[[#This Row],[Arrived]]-Table1[[#This Row],[Delivery]])*24-Table1[[#This Row],[Promised]])</f>
        <v>0</v>
      </c>
      <c r="Q496"/>
    </row>
    <row r="497" spans="1:17" x14ac:dyDescent="0.45">
      <c r="A497" s="3">
        <v>45296</v>
      </c>
      <c r="B497" t="s">
        <v>14</v>
      </c>
      <c r="C497">
        <v>10</v>
      </c>
      <c r="D497">
        <v>1007</v>
      </c>
      <c r="E497" t="s">
        <v>16</v>
      </c>
      <c r="F497">
        <v>30</v>
      </c>
      <c r="G497">
        <v>3900</v>
      </c>
      <c r="H497">
        <v>117000</v>
      </c>
      <c r="I497" s="3">
        <v>45296.041666666664</v>
      </c>
      <c r="J497">
        <v>48</v>
      </c>
      <c r="K497" s="3">
        <v>45297.041666666664</v>
      </c>
      <c r="L497" s="4">
        <f>ROUNDDOWN(Table1[[#This Row],[Ordered]],0)</f>
        <v>45296</v>
      </c>
      <c r="M497" s="4">
        <f>Table1[[#This Row],[Date ]]</f>
        <v>45296</v>
      </c>
      <c r="N497" s="5">
        <f>Table1[[#This Row],[Ordered]]-Table1[[#This Row],[Date ]]</f>
        <v>0</v>
      </c>
      <c r="O497">
        <f>Table1[[#This Row],[Company]]</f>
        <v>10</v>
      </c>
      <c r="P497">
        <f>IF(((Table1[[#This Row],[Arrived]]-Table1[[#This Row],[Delivery]])*24-Table1[[#This Row],[Promised]])&lt;0, 0, (Table1[[#This Row],[Arrived]]-Table1[[#This Row],[Delivery]])*24-Table1[[#This Row],[Promised]])</f>
        <v>0</v>
      </c>
      <c r="Q497"/>
    </row>
    <row r="498" spans="1:17" x14ac:dyDescent="0.45">
      <c r="A498" s="3">
        <v>45296</v>
      </c>
      <c r="B498" t="s">
        <v>14</v>
      </c>
      <c r="C498">
        <v>9</v>
      </c>
      <c r="D498">
        <v>1007</v>
      </c>
      <c r="E498" t="s">
        <v>16</v>
      </c>
      <c r="F498">
        <v>30</v>
      </c>
      <c r="G498">
        <v>3550</v>
      </c>
      <c r="H498">
        <v>106500</v>
      </c>
      <c r="I498" s="3">
        <v>45296.708333333336</v>
      </c>
      <c r="J498">
        <v>96</v>
      </c>
      <c r="K498" s="3">
        <v>45299.708333333336</v>
      </c>
      <c r="L498" s="4">
        <f>ROUNDDOWN(Table1[[#This Row],[Ordered]],0)</f>
        <v>45296</v>
      </c>
      <c r="M498" s="4">
        <f>Table1[[#This Row],[Date ]]</f>
        <v>45296</v>
      </c>
      <c r="N498" s="5">
        <f>Table1[[#This Row],[Ordered]]-Table1[[#This Row],[Date ]]</f>
        <v>0</v>
      </c>
      <c r="O498">
        <f>Table1[[#This Row],[Company]]</f>
        <v>9</v>
      </c>
      <c r="P498">
        <f>IF(((Table1[[#This Row],[Arrived]]-Table1[[#This Row],[Delivery]])*24-Table1[[#This Row],[Promised]])&lt;0, 0, (Table1[[#This Row],[Arrived]]-Table1[[#This Row],[Delivery]])*24-Table1[[#This Row],[Promised]])</f>
        <v>0</v>
      </c>
      <c r="Q498"/>
    </row>
    <row r="499" spans="1:17" x14ac:dyDescent="0.45">
      <c r="A499" s="3">
        <v>45296</v>
      </c>
      <c r="B499" t="s">
        <v>14</v>
      </c>
      <c r="C499">
        <v>13</v>
      </c>
      <c r="D499">
        <v>1007</v>
      </c>
      <c r="E499" t="s">
        <v>16</v>
      </c>
      <c r="F499">
        <v>30</v>
      </c>
      <c r="G499">
        <v>3750</v>
      </c>
      <c r="H499">
        <v>112500</v>
      </c>
      <c r="I499" s="3">
        <v>45297.75</v>
      </c>
      <c r="J499">
        <v>96</v>
      </c>
      <c r="K499" s="3">
        <v>45299.75</v>
      </c>
      <c r="L499" s="4">
        <f>ROUNDDOWN(Table1[[#This Row],[Ordered]],0)</f>
        <v>45296</v>
      </c>
      <c r="M499" s="4">
        <f>Table1[[#This Row],[Date ]]</f>
        <v>45296</v>
      </c>
      <c r="N499" s="5">
        <f>Table1[[#This Row],[Ordered]]-Table1[[#This Row],[Date ]]</f>
        <v>0</v>
      </c>
      <c r="O499">
        <f>Table1[[#This Row],[Company]]</f>
        <v>13</v>
      </c>
      <c r="P499">
        <f>IF(((Table1[[#This Row],[Arrived]]-Table1[[#This Row],[Delivery]])*24-Table1[[#This Row],[Promised]])&lt;0, 0, (Table1[[#This Row],[Arrived]]-Table1[[#This Row],[Delivery]])*24-Table1[[#This Row],[Promised]])</f>
        <v>0</v>
      </c>
      <c r="Q499"/>
    </row>
    <row r="500" spans="1:17" x14ac:dyDescent="0.45">
      <c r="A500" s="3">
        <v>45296.166666666664</v>
      </c>
      <c r="B500" t="s">
        <v>0</v>
      </c>
      <c r="C500">
        <v>13</v>
      </c>
      <c r="D500">
        <v>2007</v>
      </c>
      <c r="E500" t="s">
        <v>15</v>
      </c>
      <c r="F500">
        <v>9</v>
      </c>
      <c r="G500">
        <v>6650</v>
      </c>
      <c r="H500">
        <v>59850</v>
      </c>
      <c r="I500" s="3">
        <v>45299.833333333336</v>
      </c>
      <c r="J500">
        <v>132</v>
      </c>
      <c r="K500" s="3">
        <v>45301.333333333336</v>
      </c>
      <c r="L500" s="4">
        <f>ROUNDDOWN(Table1[[#This Row],[Ordered]],0)</f>
        <v>45296</v>
      </c>
      <c r="M500" s="4">
        <f>Table1[[#This Row],[Date ]]</f>
        <v>45296</v>
      </c>
      <c r="N500" s="5">
        <f>Table1[[#This Row],[Ordered]]-Table1[[#This Row],[Date ]]</f>
        <v>0.16666666666424135</v>
      </c>
      <c r="O500">
        <f>Table1[[#This Row],[Company]]</f>
        <v>13</v>
      </c>
      <c r="P500">
        <f>IF(((Table1[[#This Row],[Arrived]]-Table1[[#This Row],[Delivery]])*24-Table1[[#This Row],[Promised]])&lt;0, 0, (Table1[[#This Row],[Arrived]]-Table1[[#This Row],[Delivery]])*24-Table1[[#This Row],[Promised]])</f>
        <v>0</v>
      </c>
      <c r="Q500"/>
    </row>
    <row r="501" spans="1:17" x14ac:dyDescent="0.45">
      <c r="A501" s="3">
        <v>45296.166666666664</v>
      </c>
      <c r="B501" t="s">
        <v>14</v>
      </c>
      <c r="C501">
        <v>7</v>
      </c>
      <c r="D501">
        <v>1007</v>
      </c>
      <c r="E501" t="s">
        <v>15</v>
      </c>
      <c r="F501">
        <v>7</v>
      </c>
      <c r="G501">
        <v>6650</v>
      </c>
      <c r="H501">
        <v>46550</v>
      </c>
      <c r="I501" s="3">
        <v>45296.166666666664</v>
      </c>
      <c r="J501">
        <v>96</v>
      </c>
      <c r="K501" s="3">
        <v>45299.166666666664</v>
      </c>
      <c r="L501" s="4">
        <f>ROUNDDOWN(Table1[[#This Row],[Ordered]],0)</f>
        <v>45296</v>
      </c>
      <c r="M501" s="4">
        <f>Table1[[#This Row],[Date ]]</f>
        <v>45296</v>
      </c>
      <c r="N501" s="5">
        <f>Table1[[#This Row],[Ordered]]-Table1[[#This Row],[Date ]]</f>
        <v>0.16666666666424135</v>
      </c>
      <c r="O501">
        <f>Table1[[#This Row],[Company]]</f>
        <v>7</v>
      </c>
      <c r="P501">
        <f>IF(((Table1[[#This Row],[Arrived]]-Table1[[#This Row],[Delivery]])*24-Table1[[#This Row],[Promised]])&lt;0, 0, (Table1[[#This Row],[Arrived]]-Table1[[#This Row],[Delivery]])*24-Table1[[#This Row],[Promised]])</f>
        <v>0</v>
      </c>
      <c r="Q501"/>
    </row>
    <row r="502" spans="1:17" x14ac:dyDescent="0.45">
      <c r="A502" s="3">
        <v>45296.166666666664</v>
      </c>
      <c r="B502" t="s">
        <v>0</v>
      </c>
      <c r="C502">
        <v>14</v>
      </c>
      <c r="D502">
        <v>2007</v>
      </c>
      <c r="E502" t="s">
        <v>15</v>
      </c>
      <c r="F502">
        <v>9</v>
      </c>
      <c r="G502">
        <v>6650</v>
      </c>
      <c r="H502">
        <v>59850</v>
      </c>
      <c r="I502" s="3">
        <v>45296.291666666664</v>
      </c>
      <c r="J502">
        <v>132</v>
      </c>
      <c r="K502" s="3">
        <v>45300.791666666664</v>
      </c>
      <c r="L502" s="4">
        <f>ROUNDDOWN(Table1[[#This Row],[Ordered]],0)</f>
        <v>45296</v>
      </c>
      <c r="M502" s="4">
        <f>Table1[[#This Row],[Date ]]</f>
        <v>45296</v>
      </c>
      <c r="N502" s="5">
        <f>Table1[[#This Row],[Ordered]]-Table1[[#This Row],[Date ]]</f>
        <v>0.16666666666424135</v>
      </c>
      <c r="O502">
        <f>Table1[[#This Row],[Company]]</f>
        <v>14</v>
      </c>
      <c r="P502">
        <f>IF(((Table1[[#This Row],[Arrived]]-Table1[[#This Row],[Delivery]])*24-Table1[[#This Row],[Promised]])&lt;0, 0, (Table1[[#This Row],[Arrived]]-Table1[[#This Row],[Delivery]])*24-Table1[[#This Row],[Promised]])</f>
        <v>0</v>
      </c>
      <c r="Q502"/>
    </row>
    <row r="503" spans="1:17" x14ac:dyDescent="0.45">
      <c r="A503" s="3">
        <v>45296.166666666664</v>
      </c>
      <c r="B503" t="s">
        <v>14</v>
      </c>
      <c r="C503">
        <v>9</v>
      </c>
      <c r="D503">
        <v>1007</v>
      </c>
      <c r="E503" t="s">
        <v>15</v>
      </c>
      <c r="F503">
        <v>7</v>
      </c>
      <c r="G503">
        <v>6650</v>
      </c>
      <c r="H503">
        <v>46550</v>
      </c>
      <c r="I503" s="3">
        <v>45297</v>
      </c>
      <c r="J503">
        <v>96</v>
      </c>
      <c r="K503" s="3">
        <v>45300</v>
      </c>
      <c r="L503" s="4">
        <f>ROUNDDOWN(Table1[[#This Row],[Ordered]],0)</f>
        <v>45296</v>
      </c>
      <c r="M503" s="4">
        <f>Table1[[#This Row],[Date ]]</f>
        <v>45296</v>
      </c>
      <c r="N503" s="5">
        <f>Table1[[#This Row],[Ordered]]-Table1[[#This Row],[Date ]]</f>
        <v>0.16666666666424135</v>
      </c>
      <c r="O503">
        <f>Table1[[#This Row],[Company]]</f>
        <v>9</v>
      </c>
      <c r="P503">
        <f>IF(((Table1[[#This Row],[Arrived]]-Table1[[#This Row],[Delivery]])*24-Table1[[#This Row],[Promised]])&lt;0, 0, (Table1[[#This Row],[Arrived]]-Table1[[#This Row],[Delivery]])*24-Table1[[#This Row],[Promised]])</f>
        <v>0</v>
      </c>
      <c r="Q503"/>
    </row>
    <row r="504" spans="1:17" x14ac:dyDescent="0.45">
      <c r="A504" s="3">
        <v>45296.166666666664</v>
      </c>
      <c r="B504" t="s">
        <v>0</v>
      </c>
      <c r="C504">
        <v>15</v>
      </c>
      <c r="D504">
        <v>2007</v>
      </c>
      <c r="E504" t="s">
        <v>15</v>
      </c>
      <c r="F504">
        <v>9</v>
      </c>
      <c r="G504">
        <v>6900</v>
      </c>
      <c r="H504">
        <v>62100</v>
      </c>
      <c r="I504" s="3">
        <v>45296.458333333336</v>
      </c>
      <c r="J504">
        <v>60</v>
      </c>
      <c r="K504" s="3">
        <v>45297.958333333336</v>
      </c>
      <c r="L504" s="4">
        <f>ROUNDDOWN(Table1[[#This Row],[Ordered]],0)</f>
        <v>45296</v>
      </c>
      <c r="M504" s="4">
        <f>Table1[[#This Row],[Date ]]</f>
        <v>45296</v>
      </c>
      <c r="N504" s="5">
        <f>Table1[[#This Row],[Ordered]]-Table1[[#This Row],[Date ]]</f>
        <v>0.16666666666424135</v>
      </c>
      <c r="O504">
        <f>Table1[[#This Row],[Company]]</f>
        <v>15</v>
      </c>
      <c r="P504">
        <f>IF(((Table1[[#This Row],[Arrived]]-Table1[[#This Row],[Delivery]])*24-Table1[[#This Row],[Promised]])&lt;0, 0, (Table1[[#This Row],[Arrived]]-Table1[[#This Row],[Delivery]])*24-Table1[[#This Row],[Promised]])</f>
        <v>0</v>
      </c>
      <c r="Q504"/>
    </row>
    <row r="505" spans="1:17" x14ac:dyDescent="0.45">
      <c r="A505" s="3">
        <v>45296.166666666664</v>
      </c>
      <c r="B505" t="s">
        <v>14</v>
      </c>
      <c r="C505">
        <v>10</v>
      </c>
      <c r="D505">
        <v>1007</v>
      </c>
      <c r="E505" t="s">
        <v>15</v>
      </c>
      <c r="F505">
        <v>7</v>
      </c>
      <c r="G505">
        <v>6800</v>
      </c>
      <c r="H505">
        <v>47600</v>
      </c>
      <c r="I505" s="3">
        <v>45296.166666666664</v>
      </c>
      <c r="J505">
        <v>96</v>
      </c>
      <c r="K505" s="3">
        <v>45299.166666666664</v>
      </c>
      <c r="L505" s="4">
        <f>ROUNDDOWN(Table1[[#This Row],[Ordered]],0)</f>
        <v>45296</v>
      </c>
      <c r="M505" s="4">
        <f>Table1[[#This Row],[Date ]]</f>
        <v>45296</v>
      </c>
      <c r="N505" s="5">
        <f>Table1[[#This Row],[Ordered]]-Table1[[#This Row],[Date ]]</f>
        <v>0.16666666666424135</v>
      </c>
      <c r="O505">
        <f>Table1[[#This Row],[Company]]</f>
        <v>10</v>
      </c>
      <c r="P505">
        <f>IF(((Table1[[#This Row],[Arrived]]-Table1[[#This Row],[Delivery]])*24-Table1[[#This Row],[Promised]])&lt;0, 0, (Table1[[#This Row],[Arrived]]-Table1[[#This Row],[Delivery]])*24-Table1[[#This Row],[Promised]])</f>
        <v>0</v>
      </c>
      <c r="Q505"/>
    </row>
    <row r="506" spans="1:17" x14ac:dyDescent="0.45">
      <c r="A506" s="3">
        <v>45296.166666666664</v>
      </c>
      <c r="B506" t="s">
        <v>0</v>
      </c>
      <c r="C506">
        <v>11</v>
      </c>
      <c r="D506">
        <v>2007</v>
      </c>
      <c r="E506" t="s">
        <v>16</v>
      </c>
      <c r="F506">
        <v>30</v>
      </c>
      <c r="G506">
        <v>3750</v>
      </c>
      <c r="H506">
        <v>112500</v>
      </c>
      <c r="I506" s="3">
        <v>45296.541666666664</v>
      </c>
      <c r="J506">
        <v>132</v>
      </c>
      <c r="K506" s="3">
        <v>45301.041666666664</v>
      </c>
      <c r="L506" s="4">
        <f>ROUNDDOWN(Table1[[#This Row],[Ordered]],0)</f>
        <v>45296</v>
      </c>
      <c r="M506" s="4">
        <f>Table1[[#This Row],[Date ]]</f>
        <v>45296</v>
      </c>
      <c r="N506" s="5">
        <f>Table1[[#This Row],[Ordered]]-Table1[[#This Row],[Date ]]</f>
        <v>0.16666666666424135</v>
      </c>
      <c r="O506">
        <f>Table1[[#This Row],[Company]]</f>
        <v>11</v>
      </c>
      <c r="P506">
        <f>IF(((Table1[[#This Row],[Arrived]]-Table1[[#This Row],[Delivery]])*24-Table1[[#This Row],[Promised]])&lt;0, 0, (Table1[[#This Row],[Arrived]]-Table1[[#This Row],[Delivery]])*24-Table1[[#This Row],[Promised]])</f>
        <v>0</v>
      </c>
      <c r="Q506"/>
    </row>
    <row r="507" spans="1:17" x14ac:dyDescent="0.45">
      <c r="A507" s="3">
        <v>45296.166666666664</v>
      </c>
      <c r="B507" t="s">
        <v>0</v>
      </c>
      <c r="C507">
        <v>11</v>
      </c>
      <c r="D507">
        <v>2007</v>
      </c>
      <c r="E507" t="s">
        <v>15</v>
      </c>
      <c r="F507">
        <v>9</v>
      </c>
      <c r="G507">
        <v>6650</v>
      </c>
      <c r="H507">
        <v>59850</v>
      </c>
      <c r="I507" s="3">
        <v>45296.583333333336</v>
      </c>
      <c r="J507">
        <v>132</v>
      </c>
      <c r="K507" s="3">
        <v>45301.083333333336</v>
      </c>
      <c r="L507" s="4">
        <f>ROUNDDOWN(Table1[[#This Row],[Ordered]],0)</f>
        <v>45296</v>
      </c>
      <c r="M507" s="4">
        <f>Table1[[#This Row],[Date ]]</f>
        <v>45296</v>
      </c>
      <c r="N507" s="5">
        <f>Table1[[#This Row],[Ordered]]-Table1[[#This Row],[Date ]]</f>
        <v>0.16666666666424135</v>
      </c>
      <c r="O507">
        <f>Table1[[#This Row],[Company]]</f>
        <v>11</v>
      </c>
      <c r="P507">
        <f>IF(((Table1[[#This Row],[Arrived]]-Table1[[#This Row],[Delivery]])*24-Table1[[#This Row],[Promised]])&lt;0, 0, (Table1[[#This Row],[Arrived]]-Table1[[#This Row],[Delivery]])*24-Table1[[#This Row],[Promised]])</f>
        <v>0</v>
      </c>
      <c r="Q507"/>
    </row>
    <row r="508" spans="1:17" x14ac:dyDescent="0.45">
      <c r="A508" s="3">
        <v>45296.166666666664</v>
      </c>
      <c r="B508" t="s">
        <v>0</v>
      </c>
      <c r="C508">
        <v>14</v>
      </c>
      <c r="D508">
        <v>2007</v>
      </c>
      <c r="E508" t="s">
        <v>16</v>
      </c>
      <c r="F508">
        <v>30</v>
      </c>
      <c r="G508">
        <v>3750</v>
      </c>
      <c r="H508">
        <v>112500</v>
      </c>
      <c r="I508" s="3">
        <v>45296.291666666664</v>
      </c>
      <c r="J508">
        <v>132</v>
      </c>
      <c r="K508" s="3">
        <v>45300.791666666664</v>
      </c>
      <c r="L508" s="4">
        <f>ROUNDDOWN(Table1[[#This Row],[Ordered]],0)</f>
        <v>45296</v>
      </c>
      <c r="M508" s="4">
        <f>Table1[[#This Row],[Date ]]</f>
        <v>45296</v>
      </c>
      <c r="N508" s="5">
        <f>Table1[[#This Row],[Ordered]]-Table1[[#This Row],[Date ]]</f>
        <v>0.16666666666424135</v>
      </c>
      <c r="O508">
        <f>Table1[[#This Row],[Company]]</f>
        <v>14</v>
      </c>
      <c r="P508">
        <f>IF(((Table1[[#This Row],[Arrived]]-Table1[[#This Row],[Delivery]])*24-Table1[[#This Row],[Promised]])&lt;0, 0, (Table1[[#This Row],[Arrived]]-Table1[[#This Row],[Delivery]])*24-Table1[[#This Row],[Promised]])</f>
        <v>0</v>
      </c>
      <c r="Q508"/>
    </row>
    <row r="509" spans="1:17" x14ac:dyDescent="0.45">
      <c r="A509" s="3">
        <v>45296.166666666664</v>
      </c>
      <c r="B509" t="s">
        <v>14</v>
      </c>
      <c r="C509">
        <v>15</v>
      </c>
      <c r="D509">
        <v>1007</v>
      </c>
      <c r="E509" t="s">
        <v>15</v>
      </c>
      <c r="F509">
        <v>7</v>
      </c>
      <c r="G509">
        <v>6650</v>
      </c>
      <c r="H509">
        <v>46550</v>
      </c>
      <c r="I509" s="3">
        <v>45296.416666666664</v>
      </c>
      <c r="J509">
        <v>96</v>
      </c>
      <c r="K509" s="3">
        <v>45299.416666666664</v>
      </c>
      <c r="L509" s="4">
        <f>ROUNDDOWN(Table1[[#This Row],[Ordered]],0)</f>
        <v>45296</v>
      </c>
      <c r="M509" s="4">
        <f>Table1[[#This Row],[Date ]]</f>
        <v>45296</v>
      </c>
      <c r="N509" s="5">
        <f>Table1[[#This Row],[Ordered]]-Table1[[#This Row],[Date ]]</f>
        <v>0.16666666666424135</v>
      </c>
      <c r="O509">
        <f>Table1[[#This Row],[Company]]</f>
        <v>15</v>
      </c>
      <c r="P509">
        <f>IF(((Table1[[#This Row],[Arrived]]-Table1[[#This Row],[Delivery]])*24-Table1[[#This Row],[Promised]])&lt;0, 0, (Table1[[#This Row],[Arrived]]-Table1[[#This Row],[Delivery]])*24-Table1[[#This Row],[Promised]])</f>
        <v>0</v>
      </c>
      <c r="Q509"/>
    </row>
    <row r="510" spans="1:17" x14ac:dyDescent="0.45">
      <c r="A510" s="3">
        <v>45296.166666666664</v>
      </c>
      <c r="B510" t="s">
        <v>0</v>
      </c>
      <c r="C510">
        <v>16</v>
      </c>
      <c r="D510">
        <v>2007</v>
      </c>
      <c r="E510" t="s">
        <v>15</v>
      </c>
      <c r="F510">
        <v>9</v>
      </c>
      <c r="G510">
        <v>6650</v>
      </c>
      <c r="H510">
        <v>59850</v>
      </c>
      <c r="I510" s="3">
        <v>45296.166666666664</v>
      </c>
      <c r="J510">
        <v>132</v>
      </c>
      <c r="K510" s="3">
        <v>45300.666666666664</v>
      </c>
      <c r="L510" s="4">
        <f>ROUNDDOWN(Table1[[#This Row],[Ordered]],0)</f>
        <v>45296</v>
      </c>
      <c r="M510" s="4">
        <f>Table1[[#This Row],[Date ]]</f>
        <v>45296</v>
      </c>
      <c r="N510" s="5">
        <f>Table1[[#This Row],[Ordered]]-Table1[[#This Row],[Date ]]</f>
        <v>0.16666666666424135</v>
      </c>
      <c r="O510">
        <f>Table1[[#This Row],[Company]]</f>
        <v>16</v>
      </c>
      <c r="P510">
        <f>IF(((Table1[[#This Row],[Arrived]]-Table1[[#This Row],[Delivery]])*24-Table1[[#This Row],[Promised]])&lt;0, 0, (Table1[[#This Row],[Arrived]]-Table1[[#This Row],[Delivery]])*24-Table1[[#This Row],[Promised]])</f>
        <v>0</v>
      </c>
      <c r="Q510"/>
    </row>
    <row r="511" spans="1:17" x14ac:dyDescent="0.45">
      <c r="A511" s="3">
        <v>45296.166666666664</v>
      </c>
      <c r="B511" t="s">
        <v>14</v>
      </c>
      <c r="C511">
        <v>16</v>
      </c>
      <c r="D511">
        <v>1007</v>
      </c>
      <c r="E511" t="s">
        <v>15</v>
      </c>
      <c r="F511">
        <v>7</v>
      </c>
      <c r="G511">
        <v>6650</v>
      </c>
      <c r="H511">
        <v>46550</v>
      </c>
      <c r="I511" s="3">
        <v>45296.166666666664</v>
      </c>
      <c r="J511">
        <v>96</v>
      </c>
      <c r="K511" s="3">
        <v>45299.166666666664</v>
      </c>
      <c r="L511" s="4">
        <f>ROUNDDOWN(Table1[[#This Row],[Ordered]],0)</f>
        <v>45296</v>
      </c>
      <c r="M511" s="4">
        <f>Table1[[#This Row],[Date ]]</f>
        <v>45296</v>
      </c>
      <c r="N511" s="5">
        <f>Table1[[#This Row],[Ordered]]-Table1[[#This Row],[Date ]]</f>
        <v>0.16666666666424135</v>
      </c>
      <c r="O511">
        <f>Table1[[#This Row],[Company]]</f>
        <v>16</v>
      </c>
      <c r="P511">
        <f>IF(((Table1[[#This Row],[Arrived]]-Table1[[#This Row],[Delivery]])*24-Table1[[#This Row],[Promised]])&lt;0, 0, (Table1[[#This Row],[Arrived]]-Table1[[#This Row],[Delivery]])*24-Table1[[#This Row],[Promised]])</f>
        <v>0</v>
      </c>
      <c r="Q511"/>
    </row>
    <row r="512" spans="1:17" x14ac:dyDescent="0.45">
      <c r="A512" s="3">
        <v>45296.166666666664</v>
      </c>
      <c r="B512" t="s">
        <v>0</v>
      </c>
      <c r="C512">
        <v>9</v>
      </c>
      <c r="D512">
        <v>2007</v>
      </c>
      <c r="E512" t="s">
        <v>16</v>
      </c>
      <c r="F512">
        <v>30</v>
      </c>
      <c r="G512">
        <v>3600</v>
      </c>
      <c r="H512">
        <v>108000</v>
      </c>
      <c r="I512" s="3">
        <v>45297.083333333336</v>
      </c>
      <c r="J512">
        <v>96</v>
      </c>
      <c r="K512" s="3">
        <v>45301.583333333336</v>
      </c>
      <c r="L512" s="4">
        <f>ROUNDDOWN(Table1[[#This Row],[Ordered]],0)</f>
        <v>45296</v>
      </c>
      <c r="M512" s="4">
        <f>Table1[[#This Row],[Date ]]</f>
        <v>45296</v>
      </c>
      <c r="N512" s="5">
        <f>Table1[[#This Row],[Ordered]]-Table1[[#This Row],[Date ]]</f>
        <v>0.16666666666424135</v>
      </c>
      <c r="O512">
        <f>Table1[[#This Row],[Company]]</f>
        <v>9</v>
      </c>
      <c r="P512">
        <f>IF(((Table1[[#This Row],[Arrived]]-Table1[[#This Row],[Delivery]])*24-Table1[[#This Row],[Promised]])&lt;0, 0, (Table1[[#This Row],[Arrived]]-Table1[[#This Row],[Delivery]])*24-Table1[[#This Row],[Promised]])</f>
        <v>12</v>
      </c>
      <c r="Q512"/>
    </row>
    <row r="513" spans="1:17" x14ac:dyDescent="0.45">
      <c r="A513" s="3">
        <v>45296.166666666664</v>
      </c>
      <c r="B513" t="s">
        <v>14</v>
      </c>
      <c r="C513">
        <v>14</v>
      </c>
      <c r="D513">
        <v>1007</v>
      </c>
      <c r="E513" t="s">
        <v>15</v>
      </c>
      <c r="F513">
        <v>7</v>
      </c>
      <c r="G513">
        <v>6650</v>
      </c>
      <c r="H513">
        <v>46550</v>
      </c>
      <c r="I513" s="3">
        <v>45296.25</v>
      </c>
      <c r="J513">
        <v>96</v>
      </c>
      <c r="K513" s="3">
        <v>45299.25</v>
      </c>
      <c r="L513" s="4">
        <f>ROUNDDOWN(Table1[[#This Row],[Ordered]],0)</f>
        <v>45296</v>
      </c>
      <c r="M513" s="4">
        <f>Table1[[#This Row],[Date ]]</f>
        <v>45296</v>
      </c>
      <c r="N513" s="5">
        <f>Table1[[#This Row],[Ordered]]-Table1[[#This Row],[Date ]]</f>
        <v>0.16666666666424135</v>
      </c>
      <c r="O513">
        <f>Table1[[#This Row],[Company]]</f>
        <v>14</v>
      </c>
      <c r="P513">
        <f>IF(((Table1[[#This Row],[Arrived]]-Table1[[#This Row],[Delivery]])*24-Table1[[#This Row],[Promised]])&lt;0, 0, (Table1[[#This Row],[Arrived]]-Table1[[#This Row],[Delivery]])*24-Table1[[#This Row],[Promised]])</f>
        <v>0</v>
      </c>
      <c r="Q513"/>
    </row>
    <row r="514" spans="1:17" x14ac:dyDescent="0.45">
      <c r="A514" s="3">
        <v>45296.166666666664</v>
      </c>
      <c r="B514" t="s">
        <v>14</v>
      </c>
      <c r="C514">
        <v>12</v>
      </c>
      <c r="D514">
        <v>1007</v>
      </c>
      <c r="E514" t="s">
        <v>15</v>
      </c>
      <c r="F514">
        <v>7</v>
      </c>
      <c r="G514">
        <v>6800</v>
      </c>
      <c r="H514">
        <v>47600</v>
      </c>
      <c r="I514" s="3">
        <v>45296.25</v>
      </c>
      <c r="J514">
        <v>72</v>
      </c>
      <c r="K514" s="3">
        <v>45298.25</v>
      </c>
      <c r="L514" s="4">
        <f>ROUNDDOWN(Table1[[#This Row],[Ordered]],0)</f>
        <v>45296</v>
      </c>
      <c r="M514" s="4">
        <f>Table1[[#This Row],[Date ]]</f>
        <v>45296</v>
      </c>
      <c r="N514" s="5">
        <f>Table1[[#This Row],[Ordered]]-Table1[[#This Row],[Date ]]</f>
        <v>0.16666666666424135</v>
      </c>
      <c r="O514">
        <f>Table1[[#This Row],[Company]]</f>
        <v>12</v>
      </c>
      <c r="P514">
        <f>IF(((Table1[[#This Row],[Arrived]]-Table1[[#This Row],[Delivery]])*24-Table1[[#This Row],[Promised]])&lt;0, 0, (Table1[[#This Row],[Arrived]]-Table1[[#This Row],[Delivery]])*24-Table1[[#This Row],[Promised]])</f>
        <v>0</v>
      </c>
      <c r="Q514"/>
    </row>
    <row r="515" spans="1:17" x14ac:dyDescent="0.45">
      <c r="A515" s="3">
        <v>45296.166666666664</v>
      </c>
      <c r="B515" t="s">
        <v>0</v>
      </c>
      <c r="C515">
        <v>10</v>
      </c>
      <c r="D515">
        <v>2007</v>
      </c>
      <c r="E515" t="s">
        <v>15</v>
      </c>
      <c r="F515">
        <v>9</v>
      </c>
      <c r="G515">
        <v>6800</v>
      </c>
      <c r="H515">
        <v>61200</v>
      </c>
      <c r="I515" s="3">
        <v>45296.166666666664</v>
      </c>
      <c r="J515">
        <v>132</v>
      </c>
      <c r="K515" s="3">
        <v>45300.666666666664</v>
      </c>
      <c r="L515" s="4">
        <f>ROUNDDOWN(Table1[[#This Row],[Ordered]],0)</f>
        <v>45296</v>
      </c>
      <c r="M515" s="4">
        <f>Table1[[#This Row],[Date ]]</f>
        <v>45296</v>
      </c>
      <c r="N515" s="5">
        <f>Table1[[#This Row],[Ordered]]-Table1[[#This Row],[Date ]]</f>
        <v>0.16666666666424135</v>
      </c>
      <c r="O515">
        <f>Table1[[#This Row],[Company]]</f>
        <v>10</v>
      </c>
      <c r="P515">
        <f>IF(((Table1[[#This Row],[Arrived]]-Table1[[#This Row],[Delivery]])*24-Table1[[#This Row],[Promised]])&lt;0, 0, (Table1[[#This Row],[Arrived]]-Table1[[#This Row],[Delivery]])*24-Table1[[#This Row],[Promised]])</f>
        <v>0</v>
      </c>
      <c r="Q515"/>
    </row>
    <row r="516" spans="1:17" x14ac:dyDescent="0.45">
      <c r="A516" s="3">
        <v>45296.166666666664</v>
      </c>
      <c r="B516" t="s">
        <v>0</v>
      </c>
      <c r="C516">
        <v>12</v>
      </c>
      <c r="D516">
        <v>2007</v>
      </c>
      <c r="E516" t="s">
        <v>15</v>
      </c>
      <c r="F516">
        <v>9</v>
      </c>
      <c r="G516">
        <v>6700</v>
      </c>
      <c r="H516">
        <v>60300</v>
      </c>
      <c r="I516" s="3">
        <v>45296.25</v>
      </c>
      <c r="J516">
        <v>120</v>
      </c>
      <c r="K516" s="3">
        <v>45300.75</v>
      </c>
      <c r="L516" s="4">
        <f>ROUNDDOWN(Table1[[#This Row],[Ordered]],0)</f>
        <v>45296</v>
      </c>
      <c r="M516" s="4">
        <f>Table1[[#This Row],[Date ]]</f>
        <v>45296</v>
      </c>
      <c r="N516" s="5">
        <f>Table1[[#This Row],[Ordered]]-Table1[[#This Row],[Date ]]</f>
        <v>0.16666666666424135</v>
      </c>
      <c r="O516">
        <f>Table1[[#This Row],[Company]]</f>
        <v>12</v>
      </c>
      <c r="P516">
        <f>IF(((Table1[[#This Row],[Arrived]]-Table1[[#This Row],[Delivery]])*24-Table1[[#This Row],[Promised]])&lt;0, 0, (Table1[[#This Row],[Arrived]]-Table1[[#This Row],[Delivery]])*24-Table1[[#This Row],[Promised]])</f>
        <v>0</v>
      </c>
      <c r="Q516"/>
    </row>
    <row r="517" spans="1:17" x14ac:dyDescent="0.45">
      <c r="A517" s="3">
        <v>45296.166666666664</v>
      </c>
      <c r="B517" t="s">
        <v>0</v>
      </c>
      <c r="C517">
        <v>7</v>
      </c>
      <c r="D517">
        <v>2007</v>
      </c>
      <c r="E517" t="s">
        <v>16</v>
      </c>
      <c r="F517">
        <v>30</v>
      </c>
      <c r="G517">
        <v>3650</v>
      </c>
      <c r="H517">
        <v>109500</v>
      </c>
      <c r="I517" s="3">
        <v>45296.291666666664</v>
      </c>
      <c r="J517">
        <v>132</v>
      </c>
      <c r="K517" s="3">
        <v>45300.791666666664</v>
      </c>
      <c r="L517" s="4">
        <f>ROUNDDOWN(Table1[[#This Row],[Ordered]],0)</f>
        <v>45296</v>
      </c>
      <c r="M517" s="4">
        <f>Table1[[#This Row],[Date ]]</f>
        <v>45296</v>
      </c>
      <c r="N517" s="5">
        <f>Table1[[#This Row],[Ordered]]-Table1[[#This Row],[Date ]]</f>
        <v>0.16666666666424135</v>
      </c>
      <c r="O517">
        <f>Table1[[#This Row],[Company]]</f>
        <v>7</v>
      </c>
      <c r="P517">
        <f>IF(((Table1[[#This Row],[Arrived]]-Table1[[#This Row],[Delivery]])*24-Table1[[#This Row],[Promised]])&lt;0, 0, (Table1[[#This Row],[Arrived]]-Table1[[#This Row],[Delivery]])*24-Table1[[#This Row],[Promised]])</f>
        <v>0</v>
      </c>
      <c r="Q517"/>
    </row>
    <row r="518" spans="1:17" x14ac:dyDescent="0.45">
      <c r="A518" s="3">
        <v>45296.166666666664</v>
      </c>
      <c r="B518" t="s">
        <v>0</v>
      </c>
      <c r="C518">
        <v>9</v>
      </c>
      <c r="D518">
        <v>2007</v>
      </c>
      <c r="E518" t="s">
        <v>15</v>
      </c>
      <c r="F518">
        <v>9</v>
      </c>
      <c r="G518">
        <v>6650</v>
      </c>
      <c r="H518">
        <v>59850</v>
      </c>
      <c r="I518" s="3">
        <v>45296.791666666664</v>
      </c>
      <c r="J518">
        <v>132</v>
      </c>
      <c r="K518" s="3">
        <v>45301.291666666664</v>
      </c>
      <c r="L518" s="4">
        <f>ROUNDDOWN(Table1[[#This Row],[Ordered]],0)</f>
        <v>45296</v>
      </c>
      <c r="M518" s="4">
        <f>Table1[[#This Row],[Date ]]</f>
        <v>45296</v>
      </c>
      <c r="N518" s="5">
        <f>Table1[[#This Row],[Ordered]]-Table1[[#This Row],[Date ]]</f>
        <v>0.16666666666424135</v>
      </c>
      <c r="O518">
        <f>Table1[[#This Row],[Company]]</f>
        <v>9</v>
      </c>
      <c r="P518">
        <f>IF(((Table1[[#This Row],[Arrived]]-Table1[[#This Row],[Delivery]])*24-Table1[[#This Row],[Promised]])&lt;0, 0, (Table1[[#This Row],[Arrived]]-Table1[[#This Row],[Delivery]])*24-Table1[[#This Row],[Promised]])</f>
        <v>0</v>
      </c>
      <c r="Q518"/>
    </row>
    <row r="519" spans="1:17" x14ac:dyDescent="0.45">
      <c r="A519" s="3">
        <v>45296.166666666664</v>
      </c>
      <c r="B519" t="s">
        <v>14</v>
      </c>
      <c r="C519">
        <v>13</v>
      </c>
      <c r="D519">
        <v>1007</v>
      </c>
      <c r="E519" t="s">
        <v>15</v>
      </c>
      <c r="F519">
        <v>7</v>
      </c>
      <c r="G519">
        <v>6650</v>
      </c>
      <c r="H519">
        <v>46550</v>
      </c>
      <c r="I519" s="3">
        <v>45296.875</v>
      </c>
      <c r="J519">
        <v>96</v>
      </c>
      <c r="K519" s="3">
        <v>45299.875</v>
      </c>
      <c r="L519" s="4">
        <f>ROUNDDOWN(Table1[[#This Row],[Ordered]],0)</f>
        <v>45296</v>
      </c>
      <c r="M519" s="4">
        <f>Table1[[#This Row],[Date ]]</f>
        <v>45296</v>
      </c>
      <c r="N519" s="5">
        <f>Table1[[#This Row],[Ordered]]-Table1[[#This Row],[Date ]]</f>
        <v>0.16666666666424135</v>
      </c>
      <c r="O519">
        <f>Table1[[#This Row],[Company]]</f>
        <v>13</v>
      </c>
      <c r="P519">
        <f>IF(((Table1[[#This Row],[Arrived]]-Table1[[#This Row],[Delivery]])*24-Table1[[#This Row],[Promised]])&lt;0, 0, (Table1[[#This Row],[Arrived]]-Table1[[#This Row],[Delivery]])*24-Table1[[#This Row],[Promised]])</f>
        <v>0</v>
      </c>
      <c r="Q519"/>
    </row>
    <row r="520" spans="1:17" x14ac:dyDescent="0.45">
      <c r="A520" s="3">
        <v>45296.166666666664</v>
      </c>
      <c r="B520" t="s">
        <v>0</v>
      </c>
      <c r="C520">
        <v>12</v>
      </c>
      <c r="D520">
        <v>2007</v>
      </c>
      <c r="E520" t="s">
        <v>16</v>
      </c>
      <c r="F520">
        <v>30</v>
      </c>
      <c r="G520">
        <v>3750</v>
      </c>
      <c r="H520">
        <v>112500</v>
      </c>
      <c r="I520" s="3">
        <v>45296.25</v>
      </c>
      <c r="J520">
        <v>120</v>
      </c>
      <c r="K520" s="3">
        <v>45300.75</v>
      </c>
      <c r="L520" s="4">
        <f>ROUNDDOWN(Table1[[#This Row],[Ordered]],0)</f>
        <v>45296</v>
      </c>
      <c r="M520" s="4">
        <f>Table1[[#This Row],[Date ]]</f>
        <v>45296</v>
      </c>
      <c r="N520" s="5">
        <f>Table1[[#This Row],[Ordered]]-Table1[[#This Row],[Date ]]</f>
        <v>0.16666666666424135</v>
      </c>
      <c r="O520">
        <f>Table1[[#This Row],[Company]]</f>
        <v>12</v>
      </c>
      <c r="P520">
        <f>IF(((Table1[[#This Row],[Arrived]]-Table1[[#This Row],[Delivery]])*24-Table1[[#This Row],[Promised]])&lt;0, 0, (Table1[[#This Row],[Arrived]]-Table1[[#This Row],[Delivery]])*24-Table1[[#This Row],[Promised]])</f>
        <v>0</v>
      </c>
      <c r="Q520"/>
    </row>
    <row r="521" spans="1:17" x14ac:dyDescent="0.45">
      <c r="A521" s="3">
        <v>45296.166666666664</v>
      </c>
      <c r="B521" t="s">
        <v>0</v>
      </c>
      <c r="C521">
        <v>15</v>
      </c>
      <c r="D521">
        <v>2007</v>
      </c>
      <c r="E521" t="s">
        <v>16</v>
      </c>
      <c r="F521">
        <v>30</v>
      </c>
      <c r="G521">
        <v>3750</v>
      </c>
      <c r="H521">
        <v>112500</v>
      </c>
      <c r="I521" s="3">
        <v>45296.166666666664</v>
      </c>
      <c r="J521">
        <v>120</v>
      </c>
      <c r="K521" s="3">
        <v>45300.666666666664</v>
      </c>
      <c r="L521" s="4">
        <f>ROUNDDOWN(Table1[[#This Row],[Ordered]],0)</f>
        <v>45296</v>
      </c>
      <c r="M521" s="4">
        <f>Table1[[#This Row],[Date ]]</f>
        <v>45296</v>
      </c>
      <c r="N521" s="5">
        <f>Table1[[#This Row],[Ordered]]-Table1[[#This Row],[Date ]]</f>
        <v>0.16666666666424135</v>
      </c>
      <c r="O521">
        <f>Table1[[#This Row],[Company]]</f>
        <v>15</v>
      </c>
      <c r="P521">
        <f>IF(((Table1[[#This Row],[Arrived]]-Table1[[#This Row],[Delivery]])*24-Table1[[#This Row],[Promised]])&lt;0, 0, (Table1[[#This Row],[Arrived]]-Table1[[#This Row],[Delivery]])*24-Table1[[#This Row],[Promised]])</f>
        <v>0</v>
      </c>
      <c r="Q521"/>
    </row>
    <row r="522" spans="1:17" x14ac:dyDescent="0.45">
      <c r="A522" s="3">
        <v>45296.166666666664</v>
      </c>
      <c r="B522" t="s">
        <v>0</v>
      </c>
      <c r="C522">
        <v>13</v>
      </c>
      <c r="D522">
        <v>2007</v>
      </c>
      <c r="E522" t="s">
        <v>16</v>
      </c>
      <c r="F522">
        <v>30</v>
      </c>
      <c r="G522">
        <v>3750</v>
      </c>
      <c r="H522">
        <v>112500</v>
      </c>
      <c r="I522" s="3">
        <v>45298.416666666664</v>
      </c>
      <c r="J522">
        <v>132</v>
      </c>
      <c r="K522" s="3">
        <v>45301.416666666664</v>
      </c>
      <c r="L522" s="4">
        <f>ROUNDDOWN(Table1[[#This Row],[Ordered]],0)</f>
        <v>45296</v>
      </c>
      <c r="M522" s="4">
        <f>Table1[[#This Row],[Date ]]</f>
        <v>45296</v>
      </c>
      <c r="N522" s="5">
        <f>Table1[[#This Row],[Ordered]]-Table1[[#This Row],[Date ]]</f>
        <v>0.16666666666424135</v>
      </c>
      <c r="O522">
        <f>Table1[[#This Row],[Company]]</f>
        <v>13</v>
      </c>
      <c r="P522">
        <f>IF(((Table1[[#This Row],[Arrived]]-Table1[[#This Row],[Delivery]])*24-Table1[[#This Row],[Promised]])&lt;0, 0, (Table1[[#This Row],[Arrived]]-Table1[[#This Row],[Delivery]])*24-Table1[[#This Row],[Promised]])</f>
        <v>0</v>
      </c>
      <c r="Q522"/>
    </row>
    <row r="523" spans="1:17" x14ac:dyDescent="0.45">
      <c r="A523" s="3">
        <v>45296.166666666664</v>
      </c>
      <c r="B523" t="s">
        <v>0</v>
      </c>
      <c r="C523">
        <v>10</v>
      </c>
      <c r="D523">
        <v>2007</v>
      </c>
      <c r="E523" t="s">
        <v>16</v>
      </c>
      <c r="F523">
        <v>50</v>
      </c>
      <c r="G523">
        <v>3900</v>
      </c>
      <c r="H523">
        <v>195000</v>
      </c>
      <c r="I523" s="3">
        <v>45296.541666666664</v>
      </c>
      <c r="J523">
        <v>84</v>
      </c>
      <c r="K523" s="3">
        <v>45299.541666666664</v>
      </c>
      <c r="L523" s="4">
        <f>ROUNDDOWN(Table1[[#This Row],[Ordered]],0)</f>
        <v>45296</v>
      </c>
      <c r="M523" s="4">
        <f>Table1[[#This Row],[Date ]]</f>
        <v>45296</v>
      </c>
      <c r="N523" s="5">
        <f>Table1[[#This Row],[Ordered]]-Table1[[#This Row],[Date ]]</f>
        <v>0.16666666666424135</v>
      </c>
      <c r="O523">
        <f>Table1[[#This Row],[Company]]</f>
        <v>10</v>
      </c>
      <c r="P523">
        <f>IF(((Table1[[#This Row],[Arrived]]-Table1[[#This Row],[Delivery]])*24-Table1[[#This Row],[Promised]])&lt;0, 0, (Table1[[#This Row],[Arrived]]-Table1[[#This Row],[Delivery]])*24-Table1[[#This Row],[Promised]])</f>
        <v>0</v>
      </c>
      <c r="Q523"/>
    </row>
    <row r="524" spans="1:17" x14ac:dyDescent="0.45">
      <c r="A524" s="3">
        <v>45296.166666666664</v>
      </c>
      <c r="B524" t="s">
        <v>0</v>
      </c>
      <c r="C524">
        <v>7</v>
      </c>
      <c r="D524">
        <v>2007</v>
      </c>
      <c r="E524" t="s">
        <v>15</v>
      </c>
      <c r="F524">
        <v>9</v>
      </c>
      <c r="G524">
        <v>6650</v>
      </c>
      <c r="H524">
        <v>59850</v>
      </c>
      <c r="I524" s="3">
        <v>45296.291666666664</v>
      </c>
      <c r="J524">
        <v>132</v>
      </c>
      <c r="K524" s="3">
        <v>45300.791666666664</v>
      </c>
      <c r="L524" s="4">
        <f>ROUNDDOWN(Table1[[#This Row],[Ordered]],0)</f>
        <v>45296</v>
      </c>
      <c r="M524" s="4">
        <f>Table1[[#This Row],[Date ]]</f>
        <v>45296</v>
      </c>
      <c r="N524" s="5">
        <f>Table1[[#This Row],[Ordered]]-Table1[[#This Row],[Date ]]</f>
        <v>0.16666666666424135</v>
      </c>
      <c r="O524">
        <f>Table1[[#This Row],[Company]]</f>
        <v>7</v>
      </c>
      <c r="P524">
        <f>IF(((Table1[[#This Row],[Arrived]]-Table1[[#This Row],[Delivery]])*24-Table1[[#This Row],[Promised]])&lt;0, 0, (Table1[[#This Row],[Arrived]]-Table1[[#This Row],[Delivery]])*24-Table1[[#This Row],[Promised]])</f>
        <v>0</v>
      </c>
      <c r="Q524"/>
    </row>
    <row r="525" spans="1:17" x14ac:dyDescent="0.45">
      <c r="A525" s="3">
        <v>45296.166666666664</v>
      </c>
      <c r="B525" t="s">
        <v>0</v>
      </c>
      <c r="C525">
        <v>8</v>
      </c>
      <c r="D525">
        <v>2007</v>
      </c>
      <c r="E525" t="s">
        <v>16</v>
      </c>
      <c r="F525">
        <v>30</v>
      </c>
      <c r="G525">
        <v>3400</v>
      </c>
      <c r="H525">
        <v>102000</v>
      </c>
      <c r="I525" s="3">
        <v>45297</v>
      </c>
      <c r="J525">
        <v>132</v>
      </c>
      <c r="K525" s="3">
        <v>45301.5</v>
      </c>
      <c r="L525" s="4">
        <f>ROUNDDOWN(Table1[[#This Row],[Ordered]],0)</f>
        <v>45296</v>
      </c>
      <c r="M525" s="4">
        <f>Table1[[#This Row],[Date ]]</f>
        <v>45296</v>
      </c>
      <c r="N525" s="5">
        <f>Table1[[#This Row],[Ordered]]-Table1[[#This Row],[Date ]]</f>
        <v>0.16666666666424135</v>
      </c>
      <c r="O525">
        <f>Table1[[#This Row],[Company]]</f>
        <v>8</v>
      </c>
      <c r="P525">
        <f>IF(((Table1[[#This Row],[Arrived]]-Table1[[#This Row],[Delivery]])*24-Table1[[#This Row],[Promised]])&lt;0, 0, (Table1[[#This Row],[Arrived]]-Table1[[#This Row],[Delivery]])*24-Table1[[#This Row],[Promised]])</f>
        <v>0</v>
      </c>
      <c r="Q525"/>
    </row>
    <row r="526" spans="1:17" hidden="1" x14ac:dyDescent="0.45">
      <c r="A526" s="3">
        <v>45296.25</v>
      </c>
      <c r="B526" t="s">
        <v>12</v>
      </c>
      <c r="C526">
        <v>2</v>
      </c>
      <c r="D526">
        <v>15</v>
      </c>
      <c r="E526" t="s">
        <v>13</v>
      </c>
      <c r="F526">
        <v>1800</v>
      </c>
      <c r="G526">
        <v>140</v>
      </c>
      <c r="H526">
        <v>252000</v>
      </c>
      <c r="I526" s="3">
        <v>45296.375</v>
      </c>
      <c r="J526">
        <v>72</v>
      </c>
      <c r="K526" s="3">
        <v>45299.375</v>
      </c>
      <c r="L526" s="4">
        <f>ROUNDDOWN(Table1[[#This Row],[Ordered]],0)</f>
        <v>45296</v>
      </c>
      <c r="M526" s="4">
        <f>Table1[[#This Row],[Date ]]</f>
        <v>45296</v>
      </c>
      <c r="N526" s="5">
        <f>Table1[[#This Row],[Ordered]]-Table1[[#This Row],[Date ]]</f>
        <v>0.25</v>
      </c>
      <c r="O526" s="5">
        <f>Table1[[#This Row],[Company]]</f>
        <v>2</v>
      </c>
      <c r="P526">
        <f>IF(((Table1[[#This Row],[Arrived]]-Table1[[#This Row],[Delivery]])*24-Table1[[#This Row],[Promised]])&lt;0, 0, (Table1[[#This Row],[Arrived]]-Table1[[#This Row],[Delivery]])*24-Table1[[#This Row],[Promised]])</f>
        <v>0</v>
      </c>
      <c r="Q526"/>
    </row>
    <row r="527" spans="1:17" hidden="1" x14ac:dyDescent="0.45">
      <c r="A527" s="3">
        <v>45296.291666666664</v>
      </c>
      <c r="B527" t="s">
        <v>12</v>
      </c>
      <c r="C527">
        <v>3</v>
      </c>
      <c r="D527">
        <v>12</v>
      </c>
      <c r="E527" t="s">
        <v>13</v>
      </c>
      <c r="F527">
        <v>2700</v>
      </c>
      <c r="G527">
        <v>120</v>
      </c>
      <c r="H527">
        <v>324000</v>
      </c>
      <c r="I527" s="3">
        <v>45296.5</v>
      </c>
      <c r="J527">
        <v>72</v>
      </c>
      <c r="K527" s="3">
        <v>45299.5</v>
      </c>
      <c r="L527" s="4">
        <f>ROUNDDOWN(Table1[[#This Row],[Ordered]],0)</f>
        <v>45296</v>
      </c>
      <c r="M527" s="4">
        <f>Table1[[#This Row],[Date ]]</f>
        <v>45296</v>
      </c>
      <c r="N527" s="5">
        <f>Table1[[#This Row],[Ordered]]-Table1[[#This Row],[Date ]]</f>
        <v>0.29166666666424135</v>
      </c>
      <c r="O527" s="5">
        <f>Table1[[#This Row],[Company]]</f>
        <v>3</v>
      </c>
      <c r="P527">
        <f>IF(((Table1[[#This Row],[Arrived]]-Table1[[#This Row],[Delivery]])*24-Table1[[#This Row],[Promised]])&lt;0, 0, (Table1[[#This Row],[Arrived]]-Table1[[#This Row],[Delivery]])*24-Table1[[#This Row],[Promised]])</f>
        <v>0</v>
      </c>
      <c r="Q527"/>
    </row>
    <row r="528" spans="1:17" hidden="1" x14ac:dyDescent="0.45">
      <c r="A528" s="3">
        <v>45296.375</v>
      </c>
      <c r="B528" t="s">
        <v>12</v>
      </c>
      <c r="C528">
        <v>12</v>
      </c>
      <c r="D528">
        <v>3</v>
      </c>
      <c r="E528" t="s">
        <v>20</v>
      </c>
      <c r="F528">
        <v>150</v>
      </c>
      <c r="G528">
        <v>5</v>
      </c>
      <c r="H528">
        <v>750</v>
      </c>
      <c r="I528" s="3">
        <v>45296.541666666664</v>
      </c>
      <c r="J528">
        <v>72</v>
      </c>
      <c r="K528" s="3">
        <v>45299.541666666664</v>
      </c>
      <c r="L528" s="4">
        <f>ROUNDDOWN(Table1[[#This Row],[Ordered]],0)</f>
        <v>45296</v>
      </c>
      <c r="M528" s="4">
        <f>Table1[[#This Row],[Date ]]</f>
        <v>45296</v>
      </c>
      <c r="N528" s="5">
        <f>Table1[[#This Row],[Ordered]]-Table1[[#This Row],[Date ]]</f>
        <v>0.375</v>
      </c>
      <c r="O528" s="5">
        <f>Table1[[#This Row],[Company]]</f>
        <v>12</v>
      </c>
      <c r="P528">
        <f>IF(((Table1[[#This Row],[Arrived]]-Table1[[#This Row],[Delivery]])*24-Table1[[#This Row],[Promised]])&lt;0, 0, (Table1[[#This Row],[Arrived]]-Table1[[#This Row],[Delivery]])*24-Table1[[#This Row],[Promised]])</f>
        <v>0</v>
      </c>
      <c r="Q528"/>
    </row>
    <row r="529" spans="1:17" hidden="1" x14ac:dyDescent="0.45">
      <c r="A529" s="3">
        <v>45296.416666666664</v>
      </c>
      <c r="B529" t="s">
        <v>12</v>
      </c>
      <c r="C529">
        <v>4</v>
      </c>
      <c r="D529">
        <v>8</v>
      </c>
      <c r="E529" t="s">
        <v>17</v>
      </c>
      <c r="F529">
        <v>400</v>
      </c>
      <c r="G529">
        <v>1350</v>
      </c>
      <c r="H529">
        <v>540000</v>
      </c>
      <c r="I529" s="3">
        <v>45296.416666666664</v>
      </c>
      <c r="J529">
        <v>48</v>
      </c>
      <c r="K529" s="3">
        <v>45298.416666666664</v>
      </c>
      <c r="L529" s="4">
        <f>ROUNDDOWN(Table1[[#This Row],[Ordered]],0)</f>
        <v>45296</v>
      </c>
      <c r="M529" s="4">
        <f>Table1[[#This Row],[Date ]]</f>
        <v>45296</v>
      </c>
      <c r="N529" s="5">
        <f>Table1[[#This Row],[Ordered]]-Table1[[#This Row],[Date ]]</f>
        <v>0.41666666666424135</v>
      </c>
      <c r="O529">
        <f>Table1[[#This Row],[Company]]</f>
        <v>4</v>
      </c>
      <c r="P529">
        <f>IF(((Table1[[#This Row],[Arrived]]-Table1[[#This Row],[Delivery]])*24-Table1[[#This Row],[Promised]])&lt;0, 0, (Table1[[#This Row],[Arrived]]-Table1[[#This Row],[Delivery]])*24-Table1[[#This Row],[Promised]])</f>
        <v>0</v>
      </c>
      <c r="Q529"/>
    </row>
    <row r="530" spans="1:17" x14ac:dyDescent="0.45">
      <c r="A530" s="3">
        <v>45296.416666666664</v>
      </c>
      <c r="B530" t="s">
        <v>14</v>
      </c>
      <c r="C530">
        <v>9</v>
      </c>
      <c r="D530">
        <v>1011</v>
      </c>
      <c r="E530" t="s">
        <v>15</v>
      </c>
      <c r="F530">
        <v>3</v>
      </c>
      <c r="G530">
        <v>6650</v>
      </c>
      <c r="H530">
        <v>19950</v>
      </c>
      <c r="I530" s="3">
        <v>45297.333333333336</v>
      </c>
      <c r="J530">
        <v>96</v>
      </c>
      <c r="K530" s="3">
        <v>45300.333333333336</v>
      </c>
      <c r="L530" s="4">
        <f>ROUNDDOWN(Table1[[#This Row],[Ordered]],0)</f>
        <v>45296</v>
      </c>
      <c r="M530" s="4">
        <f>Table1[[#This Row],[Date ]]</f>
        <v>45296</v>
      </c>
      <c r="N530" s="5">
        <f>Table1[[#This Row],[Ordered]]-Table1[[#This Row],[Date ]]</f>
        <v>0.41666666666424135</v>
      </c>
      <c r="O530">
        <f>Table1[[#This Row],[Company]]</f>
        <v>9</v>
      </c>
      <c r="P530">
        <f>IF(((Table1[[#This Row],[Arrived]]-Table1[[#This Row],[Delivery]])*24-Table1[[#This Row],[Promised]])&lt;0, 0, (Table1[[#This Row],[Arrived]]-Table1[[#This Row],[Delivery]])*24-Table1[[#This Row],[Promised]])</f>
        <v>0</v>
      </c>
      <c r="Q530"/>
    </row>
    <row r="531" spans="1:17" x14ac:dyDescent="0.45">
      <c r="A531" s="3">
        <v>45296.416666666664</v>
      </c>
      <c r="B531" t="s">
        <v>14</v>
      </c>
      <c r="C531">
        <v>16</v>
      </c>
      <c r="D531">
        <v>1011</v>
      </c>
      <c r="E531" t="s">
        <v>15</v>
      </c>
      <c r="F531">
        <v>3</v>
      </c>
      <c r="G531">
        <v>6650</v>
      </c>
      <c r="H531">
        <v>19950</v>
      </c>
      <c r="I531" s="3">
        <v>45296.5</v>
      </c>
      <c r="J531">
        <v>96</v>
      </c>
      <c r="K531" s="3">
        <v>45299.5</v>
      </c>
      <c r="L531" s="4">
        <f>ROUNDDOWN(Table1[[#This Row],[Ordered]],0)</f>
        <v>45296</v>
      </c>
      <c r="M531" s="4">
        <f>Table1[[#This Row],[Date ]]</f>
        <v>45296</v>
      </c>
      <c r="N531" s="5">
        <f>Table1[[#This Row],[Ordered]]-Table1[[#This Row],[Date ]]</f>
        <v>0.41666666666424135</v>
      </c>
      <c r="O531">
        <f>Table1[[#This Row],[Company]]</f>
        <v>16</v>
      </c>
      <c r="P531">
        <f>IF(((Table1[[#This Row],[Arrived]]-Table1[[#This Row],[Delivery]])*24-Table1[[#This Row],[Promised]])&lt;0, 0, (Table1[[#This Row],[Arrived]]-Table1[[#This Row],[Delivery]])*24-Table1[[#This Row],[Promised]])</f>
        <v>0</v>
      </c>
      <c r="Q531"/>
    </row>
    <row r="532" spans="1:17" x14ac:dyDescent="0.45">
      <c r="A532" s="3">
        <v>45296.416666666664</v>
      </c>
      <c r="B532" t="s">
        <v>14</v>
      </c>
      <c r="C532">
        <v>7</v>
      </c>
      <c r="D532">
        <v>1011</v>
      </c>
      <c r="E532" t="s">
        <v>15</v>
      </c>
      <c r="F532">
        <v>3</v>
      </c>
      <c r="G532">
        <v>6650</v>
      </c>
      <c r="H532">
        <v>19950</v>
      </c>
      <c r="I532" s="3">
        <v>45296.541666666664</v>
      </c>
      <c r="J532">
        <v>96</v>
      </c>
      <c r="K532" s="3">
        <v>45299.541666666664</v>
      </c>
      <c r="L532" s="4">
        <f>ROUNDDOWN(Table1[[#This Row],[Ordered]],0)</f>
        <v>45296</v>
      </c>
      <c r="M532" s="4">
        <f>Table1[[#This Row],[Date ]]</f>
        <v>45296</v>
      </c>
      <c r="N532" s="5">
        <f>Table1[[#This Row],[Ordered]]-Table1[[#This Row],[Date ]]</f>
        <v>0.41666666666424135</v>
      </c>
      <c r="O532">
        <f>Table1[[#This Row],[Company]]</f>
        <v>7</v>
      </c>
      <c r="P532">
        <f>IF(((Table1[[#This Row],[Arrived]]-Table1[[#This Row],[Delivery]])*24-Table1[[#This Row],[Promised]])&lt;0, 0, (Table1[[#This Row],[Arrived]]-Table1[[#This Row],[Delivery]])*24-Table1[[#This Row],[Promised]])</f>
        <v>0</v>
      </c>
      <c r="Q532"/>
    </row>
    <row r="533" spans="1:17" x14ac:dyDescent="0.45">
      <c r="A533" s="3">
        <v>45296.416666666664</v>
      </c>
      <c r="B533" t="s">
        <v>14</v>
      </c>
      <c r="C533">
        <v>13</v>
      </c>
      <c r="D533">
        <v>1011</v>
      </c>
      <c r="E533" t="s">
        <v>15</v>
      </c>
      <c r="F533">
        <v>3</v>
      </c>
      <c r="G533">
        <v>6650</v>
      </c>
      <c r="H533">
        <v>19950</v>
      </c>
      <c r="I533" s="3">
        <v>45297.166666666664</v>
      </c>
      <c r="J533">
        <v>96</v>
      </c>
      <c r="K533" s="3">
        <v>45300.166666666664</v>
      </c>
      <c r="L533" s="4">
        <f>ROUNDDOWN(Table1[[#This Row],[Ordered]],0)</f>
        <v>45296</v>
      </c>
      <c r="M533" s="4">
        <f>Table1[[#This Row],[Date ]]</f>
        <v>45296</v>
      </c>
      <c r="N533" s="5">
        <f>Table1[[#This Row],[Ordered]]-Table1[[#This Row],[Date ]]</f>
        <v>0.41666666666424135</v>
      </c>
      <c r="O533">
        <f>Table1[[#This Row],[Company]]</f>
        <v>13</v>
      </c>
      <c r="P533">
        <f>IF(((Table1[[#This Row],[Arrived]]-Table1[[#This Row],[Delivery]])*24-Table1[[#This Row],[Promised]])&lt;0, 0, (Table1[[#This Row],[Arrived]]-Table1[[#This Row],[Delivery]])*24-Table1[[#This Row],[Promised]])</f>
        <v>0</v>
      </c>
      <c r="Q533"/>
    </row>
    <row r="534" spans="1:17" x14ac:dyDescent="0.45">
      <c r="A534" s="3">
        <v>45296.416666666664</v>
      </c>
      <c r="B534" t="s">
        <v>14</v>
      </c>
      <c r="C534">
        <v>14</v>
      </c>
      <c r="D534">
        <v>1011</v>
      </c>
      <c r="E534" t="s">
        <v>15</v>
      </c>
      <c r="F534">
        <v>3</v>
      </c>
      <c r="G534">
        <v>6650</v>
      </c>
      <c r="H534">
        <v>19950</v>
      </c>
      <c r="I534" s="3">
        <v>45296.583333333336</v>
      </c>
      <c r="J534">
        <v>96</v>
      </c>
      <c r="K534" s="3">
        <v>45299.583333333336</v>
      </c>
      <c r="L534" s="4">
        <f>ROUNDDOWN(Table1[[#This Row],[Ordered]],0)</f>
        <v>45296</v>
      </c>
      <c r="M534" s="4">
        <f>Table1[[#This Row],[Date ]]</f>
        <v>45296</v>
      </c>
      <c r="N534" s="5">
        <f>Table1[[#This Row],[Ordered]]-Table1[[#This Row],[Date ]]</f>
        <v>0.41666666666424135</v>
      </c>
      <c r="O534">
        <f>Table1[[#This Row],[Company]]</f>
        <v>14</v>
      </c>
      <c r="P534">
        <f>IF(((Table1[[#This Row],[Arrived]]-Table1[[#This Row],[Delivery]])*24-Table1[[#This Row],[Promised]])&lt;0, 0, (Table1[[#This Row],[Arrived]]-Table1[[#This Row],[Delivery]])*24-Table1[[#This Row],[Promised]])</f>
        <v>0</v>
      </c>
      <c r="Q534"/>
    </row>
    <row r="535" spans="1:17" x14ac:dyDescent="0.45">
      <c r="A535" s="3">
        <v>45296.416666666664</v>
      </c>
      <c r="B535" t="s">
        <v>14</v>
      </c>
      <c r="C535">
        <v>10</v>
      </c>
      <c r="D535">
        <v>1011</v>
      </c>
      <c r="E535" t="s">
        <v>15</v>
      </c>
      <c r="F535">
        <v>3</v>
      </c>
      <c r="G535">
        <v>6800</v>
      </c>
      <c r="H535">
        <v>20400</v>
      </c>
      <c r="I535" s="3">
        <v>45296.416666666664</v>
      </c>
      <c r="J535">
        <v>96</v>
      </c>
      <c r="K535" s="3">
        <v>45299.416666666664</v>
      </c>
      <c r="L535" s="4">
        <f>ROUNDDOWN(Table1[[#This Row],[Ordered]],0)</f>
        <v>45296</v>
      </c>
      <c r="M535" s="4">
        <f>Table1[[#This Row],[Date ]]</f>
        <v>45296</v>
      </c>
      <c r="N535" s="5">
        <f>Table1[[#This Row],[Ordered]]-Table1[[#This Row],[Date ]]</f>
        <v>0.41666666666424135</v>
      </c>
      <c r="O535">
        <f>Table1[[#This Row],[Company]]</f>
        <v>10</v>
      </c>
      <c r="P535">
        <f>IF(((Table1[[#This Row],[Arrived]]-Table1[[#This Row],[Delivery]])*24-Table1[[#This Row],[Promised]])&lt;0, 0, (Table1[[#This Row],[Arrived]]-Table1[[#This Row],[Delivery]])*24-Table1[[#This Row],[Promised]])</f>
        <v>0</v>
      </c>
      <c r="Q535"/>
    </row>
    <row r="536" spans="1:17" x14ac:dyDescent="0.45">
      <c r="A536" s="3">
        <v>45296.416666666664</v>
      </c>
      <c r="B536" t="s">
        <v>14</v>
      </c>
      <c r="C536">
        <v>12</v>
      </c>
      <c r="D536">
        <v>1011</v>
      </c>
      <c r="E536" t="s">
        <v>15</v>
      </c>
      <c r="F536">
        <v>3</v>
      </c>
      <c r="G536">
        <v>6650</v>
      </c>
      <c r="H536">
        <v>19950</v>
      </c>
      <c r="I536" s="3">
        <v>45296.625</v>
      </c>
      <c r="J536">
        <v>96</v>
      </c>
      <c r="K536" s="3">
        <v>45299.625</v>
      </c>
      <c r="L536" s="4">
        <f>ROUNDDOWN(Table1[[#This Row],[Ordered]],0)</f>
        <v>45296</v>
      </c>
      <c r="M536" s="4">
        <f>Table1[[#This Row],[Date ]]</f>
        <v>45296</v>
      </c>
      <c r="N536" s="5">
        <f>Table1[[#This Row],[Ordered]]-Table1[[#This Row],[Date ]]</f>
        <v>0.41666666666424135</v>
      </c>
      <c r="O536">
        <f>Table1[[#This Row],[Company]]</f>
        <v>12</v>
      </c>
      <c r="P536">
        <f>IF(((Table1[[#This Row],[Arrived]]-Table1[[#This Row],[Delivery]])*24-Table1[[#This Row],[Promised]])&lt;0, 0, (Table1[[#This Row],[Arrived]]-Table1[[#This Row],[Delivery]])*24-Table1[[#This Row],[Promised]])</f>
        <v>0</v>
      </c>
      <c r="Q536"/>
    </row>
    <row r="537" spans="1:17" hidden="1" x14ac:dyDescent="0.45">
      <c r="A537" s="3">
        <v>45296.458333333336</v>
      </c>
      <c r="B537" t="s">
        <v>12</v>
      </c>
      <c r="C537">
        <v>2</v>
      </c>
      <c r="D537">
        <v>8</v>
      </c>
      <c r="E537" t="s">
        <v>13</v>
      </c>
      <c r="F537">
        <v>1000</v>
      </c>
      <c r="G537">
        <v>120</v>
      </c>
      <c r="H537">
        <v>120000</v>
      </c>
      <c r="I537" s="3">
        <v>45296.458333333336</v>
      </c>
      <c r="J537">
        <v>48</v>
      </c>
      <c r="K537" s="3">
        <v>45298.458333333336</v>
      </c>
      <c r="L537" s="4">
        <f>ROUNDDOWN(Table1[[#This Row],[Ordered]],0)</f>
        <v>45296</v>
      </c>
      <c r="M537" s="4">
        <f>Table1[[#This Row],[Date ]]</f>
        <v>45296</v>
      </c>
      <c r="N537" s="5">
        <f>Table1[[#This Row],[Ordered]]-Table1[[#This Row],[Date ]]</f>
        <v>0.45833333333575865</v>
      </c>
      <c r="O537" s="5">
        <f>Table1[[#This Row],[Company]]</f>
        <v>2</v>
      </c>
      <c r="P537">
        <f>IF(((Table1[[#This Row],[Arrived]]-Table1[[#This Row],[Delivery]])*24-Table1[[#This Row],[Promised]])&lt;0, 0, (Table1[[#This Row],[Arrived]]-Table1[[#This Row],[Delivery]])*24-Table1[[#This Row],[Promised]])</f>
        <v>0</v>
      </c>
      <c r="Q537"/>
    </row>
    <row r="538" spans="1:17" hidden="1" x14ac:dyDescent="0.45">
      <c r="A538" s="3">
        <v>45296.458333333336</v>
      </c>
      <c r="B538" t="s">
        <v>12</v>
      </c>
      <c r="C538">
        <v>3</v>
      </c>
      <c r="D538">
        <v>12</v>
      </c>
      <c r="E538" t="s">
        <v>17</v>
      </c>
      <c r="F538">
        <v>450</v>
      </c>
      <c r="G538">
        <v>1200</v>
      </c>
      <c r="H538">
        <v>540000</v>
      </c>
      <c r="I538" s="3">
        <v>45296.5</v>
      </c>
      <c r="J538">
        <v>72</v>
      </c>
      <c r="K538" s="3">
        <v>45299.5</v>
      </c>
      <c r="L538" s="4">
        <f>ROUNDDOWN(Table1[[#This Row],[Ordered]],0)</f>
        <v>45296</v>
      </c>
      <c r="M538" s="4">
        <f>Table1[[#This Row],[Date ]]</f>
        <v>45296</v>
      </c>
      <c r="N538" s="5">
        <f>Table1[[#This Row],[Ordered]]-Table1[[#This Row],[Date ]]</f>
        <v>0.45833333333575865</v>
      </c>
      <c r="O538" s="5">
        <f>Table1[[#This Row],[Company]]</f>
        <v>3</v>
      </c>
      <c r="P538">
        <f>IF(((Table1[[#This Row],[Arrived]]-Table1[[#This Row],[Delivery]])*24-Table1[[#This Row],[Promised]])&lt;0, 0, (Table1[[#This Row],[Arrived]]-Table1[[#This Row],[Delivery]])*24-Table1[[#This Row],[Promised]])</f>
        <v>0</v>
      </c>
      <c r="Q538"/>
    </row>
    <row r="539" spans="1:17" x14ac:dyDescent="0.45">
      <c r="A539" s="3">
        <v>45296.583333333336</v>
      </c>
      <c r="B539" t="s">
        <v>0</v>
      </c>
      <c r="C539">
        <v>15</v>
      </c>
      <c r="D539">
        <v>2008</v>
      </c>
      <c r="E539" t="s">
        <v>16</v>
      </c>
      <c r="F539">
        <v>30</v>
      </c>
      <c r="G539">
        <v>3750</v>
      </c>
      <c r="H539">
        <v>112500</v>
      </c>
      <c r="I539" s="3">
        <v>45296.625</v>
      </c>
      <c r="J539">
        <v>120</v>
      </c>
      <c r="K539" s="3">
        <v>45301.125</v>
      </c>
      <c r="L539" s="4">
        <f>ROUNDDOWN(Table1[[#This Row],[Ordered]],0)</f>
        <v>45296</v>
      </c>
      <c r="M539" s="4">
        <f>Table1[[#This Row],[Date ]]</f>
        <v>45296</v>
      </c>
      <c r="N539" s="5">
        <f>Table1[[#This Row],[Ordered]]-Table1[[#This Row],[Date ]]</f>
        <v>0.58333333333575865</v>
      </c>
      <c r="O539">
        <f>Table1[[#This Row],[Company]]</f>
        <v>15</v>
      </c>
      <c r="P539">
        <f>IF(((Table1[[#This Row],[Arrived]]-Table1[[#This Row],[Delivery]])*24-Table1[[#This Row],[Promised]])&lt;0, 0, (Table1[[#This Row],[Arrived]]-Table1[[#This Row],[Delivery]])*24-Table1[[#This Row],[Promised]])</f>
        <v>0</v>
      </c>
      <c r="Q539"/>
    </row>
    <row r="540" spans="1:17" x14ac:dyDescent="0.45">
      <c r="A540" s="3">
        <v>45296.583333333336</v>
      </c>
      <c r="B540" t="s">
        <v>14</v>
      </c>
      <c r="C540">
        <v>11</v>
      </c>
      <c r="D540">
        <v>1011</v>
      </c>
      <c r="E540" t="s">
        <v>16</v>
      </c>
      <c r="F540">
        <v>20</v>
      </c>
      <c r="G540">
        <v>3750</v>
      </c>
      <c r="H540">
        <v>75000</v>
      </c>
      <c r="I540" s="3">
        <v>45296.791666666664</v>
      </c>
      <c r="J540">
        <v>96</v>
      </c>
      <c r="K540" s="3">
        <v>45299.833333333336</v>
      </c>
      <c r="L540" s="4">
        <f>ROUNDDOWN(Table1[[#This Row],[Ordered]],0)</f>
        <v>45296</v>
      </c>
      <c r="M540" s="4">
        <f>Table1[[#This Row],[Date ]]</f>
        <v>45296</v>
      </c>
      <c r="N540" s="5">
        <f>Table1[[#This Row],[Ordered]]-Table1[[#This Row],[Date ]]</f>
        <v>0.58333333333575865</v>
      </c>
      <c r="O540">
        <f>Table1[[#This Row],[Company]]</f>
        <v>11</v>
      </c>
      <c r="P540">
        <f>IF(((Table1[[#This Row],[Arrived]]-Table1[[#This Row],[Delivery]])*24-Table1[[#This Row],[Promised]])&lt;0, 0, (Table1[[#This Row],[Arrived]]-Table1[[#This Row],[Delivery]])*24-Table1[[#This Row],[Promised]])</f>
        <v>0</v>
      </c>
      <c r="Q540"/>
    </row>
    <row r="541" spans="1:17" x14ac:dyDescent="0.45">
      <c r="A541" s="3">
        <v>45296.583333333336</v>
      </c>
      <c r="B541" t="s">
        <v>0</v>
      </c>
      <c r="C541">
        <v>14</v>
      </c>
      <c r="D541">
        <v>2008</v>
      </c>
      <c r="E541" t="s">
        <v>16</v>
      </c>
      <c r="F541">
        <v>30</v>
      </c>
      <c r="G541">
        <v>3750</v>
      </c>
      <c r="H541">
        <v>112500</v>
      </c>
      <c r="I541" s="3">
        <v>45296.708333333336</v>
      </c>
      <c r="J541">
        <v>132</v>
      </c>
      <c r="K541" s="3">
        <v>45301.208333333336</v>
      </c>
      <c r="L541" s="4">
        <f>ROUNDDOWN(Table1[[#This Row],[Ordered]],0)</f>
        <v>45296</v>
      </c>
      <c r="M541" s="4">
        <f>Table1[[#This Row],[Date ]]</f>
        <v>45296</v>
      </c>
      <c r="N541" s="5">
        <f>Table1[[#This Row],[Ordered]]-Table1[[#This Row],[Date ]]</f>
        <v>0.58333333333575865</v>
      </c>
      <c r="O541">
        <f>Table1[[#This Row],[Company]]</f>
        <v>14</v>
      </c>
      <c r="P541">
        <f>IF(((Table1[[#This Row],[Arrived]]-Table1[[#This Row],[Delivery]])*24-Table1[[#This Row],[Promised]])&lt;0, 0, (Table1[[#This Row],[Arrived]]-Table1[[#This Row],[Delivery]])*24-Table1[[#This Row],[Promised]])</f>
        <v>0</v>
      </c>
      <c r="Q541"/>
    </row>
    <row r="542" spans="1:17" x14ac:dyDescent="0.45">
      <c r="A542" s="3">
        <v>45296.583333333336</v>
      </c>
      <c r="B542" t="s">
        <v>14</v>
      </c>
      <c r="C542">
        <v>13</v>
      </c>
      <c r="D542">
        <v>1011</v>
      </c>
      <c r="E542" t="s">
        <v>16</v>
      </c>
      <c r="F542">
        <v>20</v>
      </c>
      <c r="G542">
        <v>3750</v>
      </c>
      <c r="H542">
        <v>75000</v>
      </c>
      <c r="I542" s="3">
        <v>45297.375</v>
      </c>
      <c r="J542">
        <v>96</v>
      </c>
      <c r="K542" s="3">
        <v>45300.375</v>
      </c>
      <c r="L542" s="4">
        <f>ROUNDDOWN(Table1[[#This Row],[Ordered]],0)</f>
        <v>45296</v>
      </c>
      <c r="M542" s="4">
        <f>Table1[[#This Row],[Date ]]</f>
        <v>45296</v>
      </c>
      <c r="N542" s="5">
        <f>Table1[[#This Row],[Ordered]]-Table1[[#This Row],[Date ]]</f>
        <v>0.58333333333575865</v>
      </c>
      <c r="O542">
        <f>Table1[[#This Row],[Company]]</f>
        <v>13</v>
      </c>
      <c r="P542">
        <f>IF(((Table1[[#This Row],[Arrived]]-Table1[[#This Row],[Delivery]])*24-Table1[[#This Row],[Promised]])&lt;0, 0, (Table1[[#This Row],[Arrived]]-Table1[[#This Row],[Delivery]])*24-Table1[[#This Row],[Promised]])</f>
        <v>0</v>
      </c>
      <c r="Q542"/>
    </row>
    <row r="543" spans="1:17" x14ac:dyDescent="0.45">
      <c r="A543" s="3">
        <v>45296.583333333336</v>
      </c>
      <c r="B543" t="s">
        <v>14</v>
      </c>
      <c r="C543">
        <v>14</v>
      </c>
      <c r="D543">
        <v>1011</v>
      </c>
      <c r="E543" t="s">
        <v>16</v>
      </c>
      <c r="F543">
        <v>20</v>
      </c>
      <c r="G543">
        <v>3750</v>
      </c>
      <c r="H543">
        <v>75000</v>
      </c>
      <c r="I543" s="3">
        <v>45296.958333333336</v>
      </c>
      <c r="J543">
        <v>96</v>
      </c>
      <c r="K543" s="3">
        <v>45299.958333333336</v>
      </c>
      <c r="L543" s="4">
        <f>ROUNDDOWN(Table1[[#This Row],[Ordered]],0)</f>
        <v>45296</v>
      </c>
      <c r="M543" s="4">
        <f>Table1[[#This Row],[Date ]]</f>
        <v>45296</v>
      </c>
      <c r="N543" s="5">
        <f>Table1[[#This Row],[Ordered]]-Table1[[#This Row],[Date ]]</f>
        <v>0.58333333333575865</v>
      </c>
      <c r="O543">
        <f>Table1[[#This Row],[Company]]</f>
        <v>14</v>
      </c>
      <c r="P543">
        <f>IF(((Table1[[#This Row],[Arrived]]-Table1[[#This Row],[Delivery]])*24-Table1[[#This Row],[Promised]])&lt;0, 0, (Table1[[#This Row],[Arrived]]-Table1[[#This Row],[Delivery]])*24-Table1[[#This Row],[Promised]])</f>
        <v>0</v>
      </c>
      <c r="Q543"/>
    </row>
    <row r="544" spans="1:17" x14ac:dyDescent="0.45">
      <c r="A544" s="3">
        <v>45296.583333333336</v>
      </c>
      <c r="B544" t="s">
        <v>0</v>
      </c>
      <c r="C544">
        <v>14</v>
      </c>
      <c r="D544">
        <v>2008</v>
      </c>
      <c r="E544" t="s">
        <v>15</v>
      </c>
      <c r="F544">
        <v>21</v>
      </c>
      <c r="G544">
        <v>6650</v>
      </c>
      <c r="H544">
        <v>139650</v>
      </c>
      <c r="I544" s="3">
        <v>45296.708333333336</v>
      </c>
      <c r="J544">
        <v>132</v>
      </c>
      <c r="K544" s="3">
        <v>45301.208333333336</v>
      </c>
      <c r="L544" s="4">
        <f>ROUNDDOWN(Table1[[#This Row],[Ordered]],0)</f>
        <v>45296</v>
      </c>
      <c r="M544" s="4">
        <f>Table1[[#This Row],[Date ]]</f>
        <v>45296</v>
      </c>
      <c r="N544" s="5">
        <f>Table1[[#This Row],[Ordered]]-Table1[[#This Row],[Date ]]</f>
        <v>0.58333333333575865</v>
      </c>
      <c r="O544">
        <f>Table1[[#This Row],[Company]]</f>
        <v>14</v>
      </c>
      <c r="P544">
        <f>IF(((Table1[[#This Row],[Arrived]]-Table1[[#This Row],[Delivery]])*24-Table1[[#This Row],[Promised]])&lt;0, 0, (Table1[[#This Row],[Arrived]]-Table1[[#This Row],[Delivery]])*24-Table1[[#This Row],[Promised]])</f>
        <v>0</v>
      </c>
      <c r="Q544"/>
    </row>
    <row r="545" spans="1:17" x14ac:dyDescent="0.45">
      <c r="A545" s="3">
        <v>45296.583333333336</v>
      </c>
      <c r="B545" t="s">
        <v>0</v>
      </c>
      <c r="C545">
        <v>7</v>
      </c>
      <c r="D545">
        <v>2008</v>
      </c>
      <c r="E545" t="s">
        <v>15</v>
      </c>
      <c r="F545">
        <v>21</v>
      </c>
      <c r="G545">
        <v>6650</v>
      </c>
      <c r="H545">
        <v>139650</v>
      </c>
      <c r="I545" s="3">
        <v>45296.666666666664</v>
      </c>
      <c r="J545">
        <v>132</v>
      </c>
      <c r="K545" s="3">
        <v>45301.166666666664</v>
      </c>
      <c r="L545" s="4">
        <f>ROUNDDOWN(Table1[[#This Row],[Ordered]],0)</f>
        <v>45296</v>
      </c>
      <c r="M545" s="4">
        <f>Table1[[#This Row],[Date ]]</f>
        <v>45296</v>
      </c>
      <c r="N545" s="5">
        <f>Table1[[#This Row],[Ordered]]-Table1[[#This Row],[Date ]]</f>
        <v>0.58333333333575865</v>
      </c>
      <c r="O545">
        <f>Table1[[#This Row],[Company]]</f>
        <v>7</v>
      </c>
      <c r="P545">
        <f>IF(((Table1[[#This Row],[Arrived]]-Table1[[#This Row],[Delivery]])*24-Table1[[#This Row],[Promised]])&lt;0, 0, (Table1[[#This Row],[Arrived]]-Table1[[#This Row],[Delivery]])*24-Table1[[#This Row],[Promised]])</f>
        <v>0</v>
      </c>
      <c r="Q545"/>
    </row>
    <row r="546" spans="1:17" x14ac:dyDescent="0.45">
      <c r="A546" s="3">
        <v>45296.583333333336</v>
      </c>
      <c r="B546" t="s">
        <v>14</v>
      </c>
      <c r="C546">
        <v>12</v>
      </c>
      <c r="D546">
        <v>1011</v>
      </c>
      <c r="E546" t="s">
        <v>16</v>
      </c>
      <c r="F546">
        <v>15</v>
      </c>
      <c r="G546">
        <v>3950</v>
      </c>
      <c r="H546">
        <v>59250</v>
      </c>
      <c r="I546" s="3">
        <v>45296.583333333336</v>
      </c>
      <c r="J546">
        <v>60</v>
      </c>
      <c r="K546" s="3">
        <v>45298.583333333336</v>
      </c>
      <c r="L546" s="4">
        <f>ROUNDDOWN(Table1[[#This Row],[Ordered]],0)</f>
        <v>45296</v>
      </c>
      <c r="M546" s="4">
        <f>Table1[[#This Row],[Date ]]</f>
        <v>45296</v>
      </c>
      <c r="N546" s="5">
        <f>Table1[[#This Row],[Ordered]]-Table1[[#This Row],[Date ]]</f>
        <v>0.58333333333575865</v>
      </c>
      <c r="O546">
        <f>Table1[[#This Row],[Company]]</f>
        <v>12</v>
      </c>
      <c r="P546">
        <f>IF(((Table1[[#This Row],[Arrived]]-Table1[[#This Row],[Delivery]])*24-Table1[[#This Row],[Promised]])&lt;0, 0, (Table1[[#This Row],[Arrived]]-Table1[[#This Row],[Delivery]])*24-Table1[[#This Row],[Promised]])</f>
        <v>0</v>
      </c>
      <c r="Q546"/>
    </row>
    <row r="547" spans="1:17" x14ac:dyDescent="0.45">
      <c r="A547" s="3">
        <v>45296.583333333336</v>
      </c>
      <c r="B547" t="s">
        <v>0</v>
      </c>
      <c r="C547">
        <v>10</v>
      </c>
      <c r="D547">
        <v>2008</v>
      </c>
      <c r="E547" t="s">
        <v>15</v>
      </c>
      <c r="F547">
        <v>21</v>
      </c>
      <c r="G547">
        <v>6800</v>
      </c>
      <c r="H547">
        <v>142800</v>
      </c>
      <c r="I547" s="3">
        <v>45296.583333333336</v>
      </c>
      <c r="J547">
        <v>132</v>
      </c>
      <c r="K547" s="3">
        <v>45301.083333333336</v>
      </c>
      <c r="L547" s="4">
        <f>ROUNDDOWN(Table1[[#This Row],[Ordered]],0)</f>
        <v>45296</v>
      </c>
      <c r="M547" s="4">
        <f>Table1[[#This Row],[Date ]]</f>
        <v>45296</v>
      </c>
      <c r="N547" s="5">
        <f>Table1[[#This Row],[Ordered]]-Table1[[#This Row],[Date ]]</f>
        <v>0.58333333333575865</v>
      </c>
      <c r="O547">
        <f>Table1[[#This Row],[Company]]</f>
        <v>10</v>
      </c>
      <c r="P547">
        <f>IF(((Table1[[#This Row],[Arrived]]-Table1[[#This Row],[Delivery]])*24-Table1[[#This Row],[Promised]])&lt;0, 0, (Table1[[#This Row],[Arrived]]-Table1[[#This Row],[Delivery]])*24-Table1[[#This Row],[Promised]])</f>
        <v>0</v>
      </c>
      <c r="Q547"/>
    </row>
    <row r="548" spans="1:17" x14ac:dyDescent="0.45">
      <c r="A548" s="3">
        <v>45296.583333333336</v>
      </c>
      <c r="B548" t="s">
        <v>0</v>
      </c>
      <c r="C548">
        <v>12</v>
      </c>
      <c r="D548">
        <v>2008</v>
      </c>
      <c r="E548" t="s">
        <v>16</v>
      </c>
      <c r="F548">
        <v>30</v>
      </c>
      <c r="G548">
        <v>3750</v>
      </c>
      <c r="H548">
        <v>112500</v>
      </c>
      <c r="I548" s="3">
        <v>45296.583333333336</v>
      </c>
      <c r="J548">
        <v>120</v>
      </c>
      <c r="K548" s="3">
        <v>45301.083333333336</v>
      </c>
      <c r="L548" s="4">
        <f>ROUNDDOWN(Table1[[#This Row],[Ordered]],0)</f>
        <v>45296</v>
      </c>
      <c r="M548" s="4">
        <f>Table1[[#This Row],[Date ]]</f>
        <v>45296</v>
      </c>
      <c r="N548" s="5">
        <f>Table1[[#This Row],[Ordered]]-Table1[[#This Row],[Date ]]</f>
        <v>0.58333333333575865</v>
      </c>
      <c r="O548">
        <f>Table1[[#This Row],[Company]]</f>
        <v>12</v>
      </c>
      <c r="P548">
        <f>IF(((Table1[[#This Row],[Arrived]]-Table1[[#This Row],[Delivery]])*24-Table1[[#This Row],[Promised]])&lt;0, 0, (Table1[[#This Row],[Arrived]]-Table1[[#This Row],[Delivery]])*24-Table1[[#This Row],[Promised]])</f>
        <v>0</v>
      </c>
      <c r="Q548"/>
    </row>
    <row r="549" spans="1:17" x14ac:dyDescent="0.45">
      <c r="A549" s="3">
        <v>45296.583333333336</v>
      </c>
      <c r="B549" t="s">
        <v>0</v>
      </c>
      <c r="C549">
        <v>13</v>
      </c>
      <c r="D549">
        <v>2008</v>
      </c>
      <c r="E549" t="s">
        <v>15</v>
      </c>
      <c r="F549">
        <v>21</v>
      </c>
      <c r="G549">
        <v>6650</v>
      </c>
      <c r="H549">
        <v>139650</v>
      </c>
      <c r="I549" s="3">
        <v>45297.541666666664</v>
      </c>
      <c r="J549">
        <v>132</v>
      </c>
      <c r="K549" s="3">
        <v>45302.041666666664</v>
      </c>
      <c r="L549" s="4">
        <f>ROUNDDOWN(Table1[[#This Row],[Ordered]],0)</f>
        <v>45296</v>
      </c>
      <c r="M549" s="4">
        <f>Table1[[#This Row],[Date ]]</f>
        <v>45296</v>
      </c>
      <c r="N549" s="5">
        <f>Table1[[#This Row],[Ordered]]-Table1[[#This Row],[Date ]]</f>
        <v>0.58333333333575865</v>
      </c>
      <c r="O549">
        <f>Table1[[#This Row],[Company]]</f>
        <v>13</v>
      </c>
      <c r="P549">
        <f>IF(((Table1[[#This Row],[Arrived]]-Table1[[#This Row],[Delivery]])*24-Table1[[#This Row],[Promised]])&lt;0, 0, (Table1[[#This Row],[Arrived]]-Table1[[#This Row],[Delivery]])*24-Table1[[#This Row],[Promised]])</f>
        <v>0</v>
      </c>
      <c r="Q549"/>
    </row>
    <row r="550" spans="1:17" x14ac:dyDescent="0.45">
      <c r="A550" s="3">
        <v>45296.583333333336</v>
      </c>
      <c r="B550" t="s">
        <v>0</v>
      </c>
      <c r="C550">
        <v>13</v>
      </c>
      <c r="D550">
        <v>2008</v>
      </c>
      <c r="E550" t="s">
        <v>16</v>
      </c>
      <c r="F550">
        <v>30</v>
      </c>
      <c r="G550">
        <v>3500</v>
      </c>
      <c r="H550">
        <v>105000</v>
      </c>
      <c r="I550" s="3">
        <v>45297.583333333336</v>
      </c>
      <c r="J550">
        <v>132</v>
      </c>
      <c r="K550" s="3">
        <v>45302.083333333336</v>
      </c>
      <c r="L550" s="4">
        <f>ROUNDDOWN(Table1[[#This Row],[Ordered]],0)</f>
        <v>45296</v>
      </c>
      <c r="M550" s="4">
        <f>Table1[[#This Row],[Date ]]</f>
        <v>45296</v>
      </c>
      <c r="N550" s="5">
        <f>Table1[[#This Row],[Ordered]]-Table1[[#This Row],[Date ]]</f>
        <v>0.58333333333575865</v>
      </c>
      <c r="O550">
        <f>Table1[[#This Row],[Company]]</f>
        <v>13</v>
      </c>
      <c r="P550">
        <f>IF(((Table1[[#This Row],[Arrived]]-Table1[[#This Row],[Delivery]])*24-Table1[[#This Row],[Promised]])&lt;0, 0, (Table1[[#This Row],[Arrived]]-Table1[[#This Row],[Delivery]])*24-Table1[[#This Row],[Promised]])</f>
        <v>0</v>
      </c>
      <c r="Q550"/>
    </row>
    <row r="551" spans="1:17" x14ac:dyDescent="0.45">
      <c r="A551" s="3">
        <v>45296.583333333336</v>
      </c>
      <c r="B551" t="s">
        <v>14</v>
      </c>
      <c r="C551">
        <v>16</v>
      </c>
      <c r="D551">
        <v>1011</v>
      </c>
      <c r="E551" t="s">
        <v>16</v>
      </c>
      <c r="F551">
        <v>20</v>
      </c>
      <c r="G551">
        <v>3750</v>
      </c>
      <c r="H551">
        <v>75000</v>
      </c>
      <c r="I551" s="3">
        <v>45296.583333333336</v>
      </c>
      <c r="J551">
        <v>96</v>
      </c>
      <c r="K551" s="3">
        <v>45299.583333333336</v>
      </c>
      <c r="L551" s="4">
        <f>ROUNDDOWN(Table1[[#This Row],[Ordered]],0)</f>
        <v>45296</v>
      </c>
      <c r="M551" s="4">
        <f>Table1[[#This Row],[Date ]]</f>
        <v>45296</v>
      </c>
      <c r="N551" s="5">
        <f>Table1[[#This Row],[Ordered]]-Table1[[#This Row],[Date ]]</f>
        <v>0.58333333333575865</v>
      </c>
      <c r="O551">
        <f>Table1[[#This Row],[Company]]</f>
        <v>16</v>
      </c>
      <c r="P551">
        <f>IF(((Table1[[#This Row],[Arrived]]-Table1[[#This Row],[Delivery]])*24-Table1[[#This Row],[Promised]])&lt;0, 0, (Table1[[#This Row],[Arrived]]-Table1[[#This Row],[Delivery]])*24-Table1[[#This Row],[Promised]])</f>
        <v>0</v>
      </c>
      <c r="Q551"/>
    </row>
    <row r="552" spans="1:17" x14ac:dyDescent="0.45">
      <c r="A552" s="3">
        <v>45296.583333333336</v>
      </c>
      <c r="B552" t="s">
        <v>0</v>
      </c>
      <c r="C552">
        <v>16</v>
      </c>
      <c r="D552">
        <v>2008</v>
      </c>
      <c r="E552" t="s">
        <v>15</v>
      </c>
      <c r="F552">
        <v>21</v>
      </c>
      <c r="G552">
        <v>6650</v>
      </c>
      <c r="H552">
        <v>139650</v>
      </c>
      <c r="I552" s="3">
        <v>45296.583333333336</v>
      </c>
      <c r="J552">
        <v>132</v>
      </c>
      <c r="K552" s="3">
        <v>45301.083333333336</v>
      </c>
      <c r="L552" s="4">
        <f>ROUNDDOWN(Table1[[#This Row],[Ordered]],0)</f>
        <v>45296</v>
      </c>
      <c r="M552" s="4">
        <f>Table1[[#This Row],[Date ]]</f>
        <v>45296</v>
      </c>
      <c r="N552" s="5">
        <f>Table1[[#This Row],[Ordered]]-Table1[[#This Row],[Date ]]</f>
        <v>0.58333333333575865</v>
      </c>
      <c r="O552">
        <f>Table1[[#This Row],[Company]]</f>
        <v>16</v>
      </c>
      <c r="P552">
        <f>IF(((Table1[[#This Row],[Arrived]]-Table1[[#This Row],[Delivery]])*24-Table1[[#This Row],[Promised]])&lt;0, 0, (Table1[[#This Row],[Arrived]]-Table1[[#This Row],[Delivery]])*24-Table1[[#This Row],[Promised]])</f>
        <v>0</v>
      </c>
      <c r="Q552"/>
    </row>
    <row r="553" spans="1:17" x14ac:dyDescent="0.45">
      <c r="A553" s="3">
        <v>45296.583333333336</v>
      </c>
      <c r="B553" t="s">
        <v>0</v>
      </c>
      <c r="C553">
        <v>16</v>
      </c>
      <c r="D553">
        <v>2008</v>
      </c>
      <c r="E553" t="s">
        <v>16</v>
      </c>
      <c r="F553">
        <v>30</v>
      </c>
      <c r="G553">
        <v>3750</v>
      </c>
      <c r="H553">
        <v>112500</v>
      </c>
      <c r="I553" s="3">
        <v>45296.583333333336</v>
      </c>
      <c r="J553">
        <v>132</v>
      </c>
      <c r="K553" s="3">
        <v>45301.083333333336</v>
      </c>
      <c r="L553" s="4">
        <f>ROUNDDOWN(Table1[[#This Row],[Ordered]],0)</f>
        <v>45296</v>
      </c>
      <c r="M553" s="4">
        <f>Table1[[#This Row],[Date ]]</f>
        <v>45296</v>
      </c>
      <c r="N553" s="5">
        <f>Table1[[#This Row],[Ordered]]-Table1[[#This Row],[Date ]]</f>
        <v>0.58333333333575865</v>
      </c>
      <c r="O553">
        <f>Table1[[#This Row],[Company]]</f>
        <v>16</v>
      </c>
      <c r="P553">
        <f>IF(((Table1[[#This Row],[Arrived]]-Table1[[#This Row],[Delivery]])*24-Table1[[#This Row],[Promised]])&lt;0, 0, (Table1[[#This Row],[Arrived]]-Table1[[#This Row],[Delivery]])*24-Table1[[#This Row],[Promised]])</f>
        <v>0</v>
      </c>
      <c r="Q553"/>
    </row>
    <row r="554" spans="1:17" x14ac:dyDescent="0.45">
      <c r="A554" s="3">
        <v>45296.583333333336</v>
      </c>
      <c r="B554" t="s">
        <v>0</v>
      </c>
      <c r="C554">
        <v>11</v>
      </c>
      <c r="D554">
        <v>2008</v>
      </c>
      <c r="E554" t="s">
        <v>16</v>
      </c>
      <c r="F554">
        <v>30</v>
      </c>
      <c r="G554">
        <v>3750</v>
      </c>
      <c r="H554">
        <v>112500</v>
      </c>
      <c r="I554" s="3">
        <v>45299.833333333336</v>
      </c>
      <c r="J554">
        <v>132</v>
      </c>
      <c r="K554" s="3">
        <v>45301.333333333336</v>
      </c>
      <c r="L554" s="4">
        <f>ROUNDDOWN(Table1[[#This Row],[Ordered]],0)</f>
        <v>45296</v>
      </c>
      <c r="M554" s="4">
        <f>Table1[[#This Row],[Date ]]</f>
        <v>45296</v>
      </c>
      <c r="N554" s="5">
        <f>Table1[[#This Row],[Ordered]]-Table1[[#This Row],[Date ]]</f>
        <v>0.58333333333575865</v>
      </c>
      <c r="O554">
        <f>Table1[[#This Row],[Company]]</f>
        <v>11</v>
      </c>
      <c r="P554">
        <f>IF(((Table1[[#This Row],[Arrived]]-Table1[[#This Row],[Delivery]])*24-Table1[[#This Row],[Promised]])&lt;0, 0, (Table1[[#This Row],[Arrived]]-Table1[[#This Row],[Delivery]])*24-Table1[[#This Row],[Promised]])</f>
        <v>0</v>
      </c>
      <c r="Q554"/>
    </row>
    <row r="555" spans="1:17" x14ac:dyDescent="0.45">
      <c r="A555" s="3">
        <v>45296.583333333336</v>
      </c>
      <c r="B555" t="s">
        <v>14</v>
      </c>
      <c r="C555">
        <v>8</v>
      </c>
      <c r="D555">
        <v>1011</v>
      </c>
      <c r="E555" t="s">
        <v>16</v>
      </c>
      <c r="F555">
        <v>20</v>
      </c>
      <c r="G555">
        <v>3300</v>
      </c>
      <c r="H555">
        <v>66000</v>
      </c>
      <c r="I555" s="3">
        <v>45297.291666666664</v>
      </c>
      <c r="J555">
        <v>96</v>
      </c>
      <c r="K555" s="3">
        <v>45300.291666666664</v>
      </c>
      <c r="L555" s="4">
        <f>ROUNDDOWN(Table1[[#This Row],[Ordered]],0)</f>
        <v>45296</v>
      </c>
      <c r="M555" s="4">
        <f>Table1[[#This Row],[Date ]]</f>
        <v>45296</v>
      </c>
      <c r="N555" s="5">
        <f>Table1[[#This Row],[Ordered]]-Table1[[#This Row],[Date ]]</f>
        <v>0.58333333333575865</v>
      </c>
      <c r="O555">
        <f>Table1[[#This Row],[Company]]</f>
        <v>8</v>
      </c>
      <c r="P555">
        <f>IF(((Table1[[#This Row],[Arrived]]-Table1[[#This Row],[Delivery]])*24-Table1[[#This Row],[Promised]])&lt;0, 0, (Table1[[#This Row],[Arrived]]-Table1[[#This Row],[Delivery]])*24-Table1[[#This Row],[Promised]])</f>
        <v>0</v>
      </c>
      <c r="Q555"/>
    </row>
    <row r="556" spans="1:17" x14ac:dyDescent="0.45">
      <c r="A556" s="3">
        <v>45296.583333333336</v>
      </c>
      <c r="B556" t="s">
        <v>0</v>
      </c>
      <c r="C556">
        <v>8</v>
      </c>
      <c r="D556">
        <v>2008</v>
      </c>
      <c r="E556" t="s">
        <v>16</v>
      </c>
      <c r="F556">
        <v>30</v>
      </c>
      <c r="G556">
        <v>3400</v>
      </c>
      <c r="H556">
        <v>102000</v>
      </c>
      <c r="I556" s="3">
        <v>45297.416666666664</v>
      </c>
      <c r="J556">
        <v>132</v>
      </c>
      <c r="K556" s="3">
        <v>45301.916666666664</v>
      </c>
      <c r="L556" s="4">
        <f>ROUNDDOWN(Table1[[#This Row],[Ordered]],0)</f>
        <v>45296</v>
      </c>
      <c r="M556" s="4">
        <f>Table1[[#This Row],[Date ]]</f>
        <v>45296</v>
      </c>
      <c r="N556" s="5">
        <f>Table1[[#This Row],[Ordered]]-Table1[[#This Row],[Date ]]</f>
        <v>0.58333333333575865</v>
      </c>
      <c r="O556">
        <f>Table1[[#This Row],[Company]]</f>
        <v>8</v>
      </c>
      <c r="P556">
        <f>IF(((Table1[[#This Row],[Arrived]]-Table1[[#This Row],[Delivery]])*24-Table1[[#This Row],[Promised]])&lt;0, 0, (Table1[[#This Row],[Arrived]]-Table1[[#This Row],[Delivery]])*24-Table1[[#This Row],[Promised]])</f>
        <v>0</v>
      </c>
      <c r="Q556"/>
    </row>
    <row r="557" spans="1:17" x14ac:dyDescent="0.45">
      <c r="A557" s="3">
        <v>45296.583333333336</v>
      </c>
      <c r="B557" t="s">
        <v>0</v>
      </c>
      <c r="C557">
        <v>12</v>
      </c>
      <c r="D557">
        <v>2008</v>
      </c>
      <c r="E557" t="s">
        <v>15</v>
      </c>
      <c r="F557">
        <v>21</v>
      </c>
      <c r="G557">
        <v>6700</v>
      </c>
      <c r="H557">
        <v>140700</v>
      </c>
      <c r="I557" s="3">
        <v>45296.583333333336</v>
      </c>
      <c r="J557">
        <v>120</v>
      </c>
      <c r="K557" s="3">
        <v>45301.083333333336</v>
      </c>
      <c r="L557" s="4">
        <f>ROUNDDOWN(Table1[[#This Row],[Ordered]],0)</f>
        <v>45296</v>
      </c>
      <c r="M557" s="4">
        <f>Table1[[#This Row],[Date ]]</f>
        <v>45296</v>
      </c>
      <c r="N557" s="5">
        <f>Table1[[#This Row],[Ordered]]-Table1[[#This Row],[Date ]]</f>
        <v>0.58333333333575865</v>
      </c>
      <c r="O557">
        <f>Table1[[#This Row],[Company]]</f>
        <v>12</v>
      </c>
      <c r="P557">
        <f>IF(((Table1[[#This Row],[Arrived]]-Table1[[#This Row],[Delivery]])*24-Table1[[#This Row],[Promised]])&lt;0, 0, (Table1[[#This Row],[Arrived]]-Table1[[#This Row],[Delivery]])*24-Table1[[#This Row],[Promised]])</f>
        <v>0</v>
      </c>
      <c r="Q557"/>
    </row>
    <row r="558" spans="1:17" x14ac:dyDescent="0.45">
      <c r="A558" s="3">
        <v>45296.583333333336</v>
      </c>
      <c r="B558" t="s">
        <v>0</v>
      </c>
      <c r="C558">
        <v>9</v>
      </c>
      <c r="D558">
        <v>2008</v>
      </c>
      <c r="E558" t="s">
        <v>16</v>
      </c>
      <c r="F558">
        <v>30</v>
      </c>
      <c r="G558">
        <v>3600</v>
      </c>
      <c r="H558">
        <v>108000</v>
      </c>
      <c r="I558" s="3">
        <v>45297.541666666664</v>
      </c>
      <c r="J558">
        <v>96</v>
      </c>
      <c r="K558" s="3">
        <v>45300.666666666664</v>
      </c>
      <c r="L558" s="4">
        <f>ROUNDDOWN(Table1[[#This Row],[Ordered]],0)</f>
        <v>45296</v>
      </c>
      <c r="M558" s="4">
        <f>Table1[[#This Row],[Date ]]</f>
        <v>45296</v>
      </c>
      <c r="N558" s="5">
        <f>Table1[[#This Row],[Ordered]]-Table1[[#This Row],[Date ]]</f>
        <v>0.58333333333575865</v>
      </c>
      <c r="O558">
        <f>Table1[[#This Row],[Company]]</f>
        <v>9</v>
      </c>
      <c r="P558">
        <f>IF(((Table1[[#This Row],[Arrived]]-Table1[[#This Row],[Delivery]])*24-Table1[[#This Row],[Promised]])&lt;0, 0, (Table1[[#This Row],[Arrived]]-Table1[[#This Row],[Delivery]])*24-Table1[[#This Row],[Promised]])</f>
        <v>0</v>
      </c>
      <c r="Q558"/>
    </row>
    <row r="559" spans="1:17" x14ac:dyDescent="0.45">
      <c r="A559" s="3">
        <v>45296.583333333336</v>
      </c>
      <c r="B559" t="s">
        <v>14</v>
      </c>
      <c r="C559">
        <v>9</v>
      </c>
      <c r="D559">
        <v>1011</v>
      </c>
      <c r="E559" t="s">
        <v>16</v>
      </c>
      <c r="F559">
        <v>20</v>
      </c>
      <c r="G559">
        <v>3550</v>
      </c>
      <c r="H559">
        <v>71000</v>
      </c>
      <c r="I559" s="3">
        <v>45297.416666666664</v>
      </c>
      <c r="J559">
        <v>96</v>
      </c>
      <c r="K559" s="3">
        <v>45300.416666666664</v>
      </c>
      <c r="L559" s="4">
        <f>ROUNDDOWN(Table1[[#This Row],[Ordered]],0)</f>
        <v>45296</v>
      </c>
      <c r="M559" s="4">
        <f>Table1[[#This Row],[Date ]]</f>
        <v>45296</v>
      </c>
      <c r="N559" s="5">
        <f>Table1[[#This Row],[Ordered]]-Table1[[#This Row],[Date ]]</f>
        <v>0.58333333333575865</v>
      </c>
      <c r="O559">
        <f>Table1[[#This Row],[Company]]</f>
        <v>9</v>
      </c>
      <c r="P559">
        <f>IF(((Table1[[#This Row],[Arrived]]-Table1[[#This Row],[Delivery]])*24-Table1[[#This Row],[Promised]])&lt;0, 0, (Table1[[#This Row],[Arrived]]-Table1[[#This Row],[Delivery]])*24-Table1[[#This Row],[Promised]])</f>
        <v>0</v>
      </c>
      <c r="Q559"/>
    </row>
    <row r="560" spans="1:17" x14ac:dyDescent="0.45">
      <c r="A560" s="3">
        <v>45296.583333333336</v>
      </c>
      <c r="B560" t="s">
        <v>0</v>
      </c>
      <c r="C560">
        <v>11</v>
      </c>
      <c r="D560">
        <v>2008</v>
      </c>
      <c r="E560" t="s">
        <v>15</v>
      </c>
      <c r="F560">
        <v>21</v>
      </c>
      <c r="G560">
        <v>6650</v>
      </c>
      <c r="H560">
        <v>139650</v>
      </c>
      <c r="I560" s="3">
        <v>45296.875</v>
      </c>
      <c r="J560">
        <v>132</v>
      </c>
      <c r="K560" s="3">
        <v>45301.375</v>
      </c>
      <c r="L560" s="4">
        <f>ROUNDDOWN(Table1[[#This Row],[Ordered]],0)</f>
        <v>45296</v>
      </c>
      <c r="M560" s="4">
        <f>Table1[[#This Row],[Date ]]</f>
        <v>45296</v>
      </c>
      <c r="N560" s="5">
        <f>Table1[[#This Row],[Ordered]]-Table1[[#This Row],[Date ]]</f>
        <v>0.58333333333575865</v>
      </c>
      <c r="O560">
        <f>Table1[[#This Row],[Company]]</f>
        <v>11</v>
      </c>
      <c r="P560">
        <f>IF(((Table1[[#This Row],[Arrived]]-Table1[[#This Row],[Delivery]])*24-Table1[[#This Row],[Promised]])&lt;0, 0, (Table1[[#This Row],[Arrived]]-Table1[[#This Row],[Delivery]])*24-Table1[[#This Row],[Promised]])</f>
        <v>0</v>
      </c>
      <c r="Q560"/>
    </row>
    <row r="561" spans="1:17" x14ac:dyDescent="0.45">
      <c r="A561" s="3">
        <v>45296.583333333336</v>
      </c>
      <c r="B561" t="s">
        <v>0</v>
      </c>
      <c r="C561">
        <v>7</v>
      </c>
      <c r="D561">
        <v>2008</v>
      </c>
      <c r="E561" t="s">
        <v>16</v>
      </c>
      <c r="F561">
        <v>30</v>
      </c>
      <c r="G561">
        <v>3650</v>
      </c>
      <c r="H561">
        <v>109500</v>
      </c>
      <c r="I561" s="3">
        <v>45296.666666666664</v>
      </c>
      <c r="J561">
        <v>132</v>
      </c>
      <c r="K561" s="3">
        <v>45301.166666666664</v>
      </c>
      <c r="L561" s="4">
        <f>ROUNDDOWN(Table1[[#This Row],[Ordered]],0)</f>
        <v>45296</v>
      </c>
      <c r="M561" s="4">
        <f>Table1[[#This Row],[Date ]]</f>
        <v>45296</v>
      </c>
      <c r="N561" s="5">
        <f>Table1[[#This Row],[Ordered]]-Table1[[#This Row],[Date ]]</f>
        <v>0.58333333333575865</v>
      </c>
      <c r="O561">
        <f>Table1[[#This Row],[Company]]</f>
        <v>7</v>
      </c>
      <c r="P561">
        <f>IF(((Table1[[#This Row],[Arrived]]-Table1[[#This Row],[Delivery]])*24-Table1[[#This Row],[Promised]])&lt;0, 0, (Table1[[#This Row],[Arrived]]-Table1[[#This Row],[Delivery]])*24-Table1[[#This Row],[Promised]])</f>
        <v>0</v>
      </c>
      <c r="Q561"/>
    </row>
    <row r="562" spans="1:17" x14ac:dyDescent="0.45">
      <c r="A562" s="3">
        <v>45296.583333333336</v>
      </c>
      <c r="B562" t="s">
        <v>0</v>
      </c>
      <c r="C562">
        <v>15</v>
      </c>
      <c r="D562">
        <v>2008</v>
      </c>
      <c r="E562" t="s">
        <v>15</v>
      </c>
      <c r="F562">
        <v>21</v>
      </c>
      <c r="G562">
        <v>6900</v>
      </c>
      <c r="H562">
        <v>144900</v>
      </c>
      <c r="I562" s="3">
        <v>45296.875</v>
      </c>
      <c r="J562">
        <v>60</v>
      </c>
      <c r="K562" s="3">
        <v>45298.375</v>
      </c>
      <c r="L562" s="4">
        <f>ROUNDDOWN(Table1[[#This Row],[Ordered]],0)</f>
        <v>45296</v>
      </c>
      <c r="M562" s="4">
        <f>Table1[[#This Row],[Date ]]</f>
        <v>45296</v>
      </c>
      <c r="N562" s="5">
        <f>Table1[[#This Row],[Ordered]]-Table1[[#This Row],[Date ]]</f>
        <v>0.58333333333575865</v>
      </c>
      <c r="O562">
        <f>Table1[[#This Row],[Company]]</f>
        <v>15</v>
      </c>
      <c r="P562">
        <f>IF(((Table1[[#This Row],[Arrived]]-Table1[[#This Row],[Delivery]])*24-Table1[[#This Row],[Promised]])&lt;0, 0, (Table1[[#This Row],[Arrived]]-Table1[[#This Row],[Delivery]])*24-Table1[[#This Row],[Promised]])</f>
        <v>0</v>
      </c>
      <c r="Q562"/>
    </row>
    <row r="563" spans="1:17" x14ac:dyDescent="0.45">
      <c r="A563" s="3">
        <v>45296.583333333336</v>
      </c>
      <c r="B563" t="s">
        <v>14</v>
      </c>
      <c r="C563">
        <v>10</v>
      </c>
      <c r="D563">
        <v>1011</v>
      </c>
      <c r="E563" t="s">
        <v>16</v>
      </c>
      <c r="F563">
        <v>20</v>
      </c>
      <c r="G563">
        <v>3900</v>
      </c>
      <c r="H563">
        <v>78000</v>
      </c>
      <c r="I563" s="3">
        <v>45296.791666666664</v>
      </c>
      <c r="J563">
        <v>48</v>
      </c>
      <c r="K563" s="3">
        <v>45297.791666666664</v>
      </c>
      <c r="L563" s="4">
        <f>ROUNDDOWN(Table1[[#This Row],[Ordered]],0)</f>
        <v>45296</v>
      </c>
      <c r="M563" s="4">
        <f>Table1[[#This Row],[Date ]]</f>
        <v>45296</v>
      </c>
      <c r="N563" s="5">
        <f>Table1[[#This Row],[Ordered]]-Table1[[#This Row],[Date ]]</f>
        <v>0.58333333333575865</v>
      </c>
      <c r="O563">
        <f>Table1[[#This Row],[Company]]</f>
        <v>10</v>
      </c>
      <c r="P563">
        <f>IF(((Table1[[#This Row],[Arrived]]-Table1[[#This Row],[Delivery]])*24-Table1[[#This Row],[Promised]])&lt;0, 0, (Table1[[#This Row],[Arrived]]-Table1[[#This Row],[Delivery]])*24-Table1[[#This Row],[Promised]])</f>
        <v>0</v>
      </c>
      <c r="Q563"/>
    </row>
    <row r="564" spans="1:17" x14ac:dyDescent="0.45">
      <c r="A564" s="3">
        <v>45296.583333333336</v>
      </c>
      <c r="B564" t="s">
        <v>0</v>
      </c>
      <c r="C564">
        <v>10</v>
      </c>
      <c r="D564">
        <v>2008</v>
      </c>
      <c r="E564" t="s">
        <v>16</v>
      </c>
      <c r="F564">
        <v>50</v>
      </c>
      <c r="G564">
        <v>3900</v>
      </c>
      <c r="H564">
        <v>195000</v>
      </c>
      <c r="I564" s="3">
        <v>45296.791666666664</v>
      </c>
      <c r="J564">
        <v>84</v>
      </c>
      <c r="K564" s="3">
        <v>45299.791666666664</v>
      </c>
      <c r="L564" s="4">
        <f>ROUNDDOWN(Table1[[#This Row],[Ordered]],0)</f>
        <v>45296</v>
      </c>
      <c r="M564" s="4">
        <f>Table1[[#This Row],[Date ]]</f>
        <v>45296</v>
      </c>
      <c r="N564" s="5">
        <f>Table1[[#This Row],[Ordered]]-Table1[[#This Row],[Date ]]</f>
        <v>0.58333333333575865</v>
      </c>
      <c r="O564">
        <f>Table1[[#This Row],[Company]]</f>
        <v>10</v>
      </c>
      <c r="P564">
        <f>IF(((Table1[[#This Row],[Arrived]]-Table1[[#This Row],[Delivery]])*24-Table1[[#This Row],[Promised]])&lt;0, 0, (Table1[[#This Row],[Arrived]]-Table1[[#This Row],[Delivery]])*24-Table1[[#This Row],[Promised]])</f>
        <v>0</v>
      </c>
      <c r="Q564"/>
    </row>
    <row r="565" spans="1:17" x14ac:dyDescent="0.45">
      <c r="A565" s="3">
        <v>45296.583333333336</v>
      </c>
      <c r="B565" t="s">
        <v>14</v>
      </c>
      <c r="C565">
        <v>7</v>
      </c>
      <c r="D565">
        <v>1011</v>
      </c>
      <c r="E565" t="s">
        <v>16</v>
      </c>
      <c r="F565">
        <v>20</v>
      </c>
      <c r="G565">
        <v>3650</v>
      </c>
      <c r="H565">
        <v>73000</v>
      </c>
      <c r="I565" s="3">
        <v>45296.625</v>
      </c>
      <c r="J565">
        <v>96</v>
      </c>
      <c r="K565" s="3">
        <v>45299.625</v>
      </c>
      <c r="L565" s="4">
        <f>ROUNDDOWN(Table1[[#This Row],[Ordered]],0)</f>
        <v>45296</v>
      </c>
      <c r="M565" s="4">
        <f>Table1[[#This Row],[Date ]]</f>
        <v>45296</v>
      </c>
      <c r="N565" s="5">
        <f>Table1[[#This Row],[Ordered]]-Table1[[#This Row],[Date ]]</f>
        <v>0.58333333333575865</v>
      </c>
      <c r="O565">
        <f>Table1[[#This Row],[Company]]</f>
        <v>7</v>
      </c>
      <c r="P565">
        <f>IF(((Table1[[#This Row],[Arrived]]-Table1[[#This Row],[Delivery]])*24-Table1[[#This Row],[Promised]])&lt;0, 0, (Table1[[#This Row],[Arrived]]-Table1[[#This Row],[Delivery]])*24-Table1[[#This Row],[Promised]])</f>
        <v>0</v>
      </c>
      <c r="Q565"/>
    </row>
    <row r="566" spans="1:17" x14ac:dyDescent="0.45">
      <c r="A566" s="3">
        <v>45296.583333333336</v>
      </c>
      <c r="B566" t="s">
        <v>0</v>
      </c>
      <c r="C566">
        <v>9</v>
      </c>
      <c r="D566">
        <v>2008</v>
      </c>
      <c r="E566" t="s">
        <v>15</v>
      </c>
      <c r="F566">
        <v>21</v>
      </c>
      <c r="G566">
        <v>6650</v>
      </c>
      <c r="H566">
        <v>139650</v>
      </c>
      <c r="I566" s="3">
        <v>45297.5</v>
      </c>
      <c r="J566">
        <v>132</v>
      </c>
      <c r="K566" s="3">
        <v>45302</v>
      </c>
      <c r="L566" s="4">
        <f>ROUNDDOWN(Table1[[#This Row],[Ordered]],0)</f>
        <v>45296</v>
      </c>
      <c r="M566" s="4">
        <f>Table1[[#This Row],[Date ]]</f>
        <v>45296</v>
      </c>
      <c r="N566" s="5">
        <f>Table1[[#This Row],[Ordered]]-Table1[[#This Row],[Date ]]</f>
        <v>0.58333333333575865</v>
      </c>
      <c r="O566">
        <f>Table1[[#This Row],[Company]]</f>
        <v>9</v>
      </c>
      <c r="P566">
        <f>IF(((Table1[[#This Row],[Arrived]]-Table1[[#This Row],[Delivery]])*24-Table1[[#This Row],[Promised]])&lt;0, 0, (Table1[[#This Row],[Arrived]]-Table1[[#This Row],[Delivery]])*24-Table1[[#This Row],[Promised]])</f>
        <v>0</v>
      </c>
      <c r="Q566"/>
    </row>
    <row r="567" spans="1:17" x14ac:dyDescent="0.45">
      <c r="A567" s="3">
        <v>45296.625</v>
      </c>
      <c r="B567" t="s">
        <v>14</v>
      </c>
      <c r="C567">
        <v>7</v>
      </c>
      <c r="D567">
        <v>1001</v>
      </c>
      <c r="E567" t="s">
        <v>16</v>
      </c>
      <c r="F567">
        <v>30</v>
      </c>
      <c r="G567">
        <v>3650</v>
      </c>
      <c r="H567">
        <v>109500</v>
      </c>
      <c r="I567" s="3">
        <v>45296.666666666664</v>
      </c>
      <c r="J567">
        <v>96</v>
      </c>
      <c r="K567" s="3">
        <v>45299.666666666664</v>
      </c>
      <c r="L567" s="4">
        <f>ROUNDDOWN(Table1[[#This Row],[Ordered]],0)</f>
        <v>45296</v>
      </c>
      <c r="M567" s="4">
        <f>Table1[[#This Row],[Date ]]</f>
        <v>45296</v>
      </c>
      <c r="N567" s="5">
        <f>Table1[[#This Row],[Ordered]]-Table1[[#This Row],[Date ]]</f>
        <v>0.625</v>
      </c>
      <c r="O567">
        <f>Table1[[#This Row],[Company]]</f>
        <v>7</v>
      </c>
      <c r="P567">
        <f>IF(((Table1[[#This Row],[Arrived]]-Table1[[#This Row],[Delivery]])*24-Table1[[#This Row],[Promised]])&lt;0, 0, (Table1[[#This Row],[Arrived]]-Table1[[#This Row],[Delivery]])*24-Table1[[#This Row],[Promised]])</f>
        <v>0</v>
      </c>
      <c r="Q567"/>
    </row>
    <row r="568" spans="1:17" x14ac:dyDescent="0.45">
      <c r="A568" s="3">
        <v>45296.625</v>
      </c>
      <c r="B568" t="s">
        <v>14</v>
      </c>
      <c r="C568">
        <v>9</v>
      </c>
      <c r="D568">
        <v>1001</v>
      </c>
      <c r="E568" t="s">
        <v>16</v>
      </c>
      <c r="F568">
        <v>30</v>
      </c>
      <c r="G568">
        <v>3550</v>
      </c>
      <c r="H568">
        <v>106500</v>
      </c>
      <c r="I568" s="3">
        <v>45297.666666666664</v>
      </c>
      <c r="J568">
        <v>96</v>
      </c>
      <c r="K568" s="3">
        <v>45300.666666666664</v>
      </c>
      <c r="L568" s="4">
        <f>ROUNDDOWN(Table1[[#This Row],[Ordered]],0)</f>
        <v>45296</v>
      </c>
      <c r="M568" s="4">
        <f>Table1[[#This Row],[Date ]]</f>
        <v>45296</v>
      </c>
      <c r="N568" s="5">
        <f>Table1[[#This Row],[Ordered]]-Table1[[#This Row],[Date ]]</f>
        <v>0.625</v>
      </c>
      <c r="O568">
        <f>Table1[[#This Row],[Company]]</f>
        <v>9</v>
      </c>
      <c r="P568">
        <f>IF(((Table1[[#This Row],[Arrived]]-Table1[[#This Row],[Delivery]])*24-Table1[[#This Row],[Promised]])&lt;0, 0, (Table1[[#This Row],[Arrived]]-Table1[[#This Row],[Delivery]])*24-Table1[[#This Row],[Promised]])</f>
        <v>0</v>
      </c>
      <c r="Q568"/>
    </row>
    <row r="569" spans="1:17" x14ac:dyDescent="0.45">
      <c r="A569" s="3">
        <v>45296.625</v>
      </c>
      <c r="B569" t="s">
        <v>14</v>
      </c>
      <c r="C569">
        <v>15</v>
      </c>
      <c r="D569">
        <v>1001</v>
      </c>
      <c r="E569" t="s">
        <v>16</v>
      </c>
      <c r="F569">
        <v>34</v>
      </c>
      <c r="G569">
        <v>3650</v>
      </c>
      <c r="H569">
        <v>124100</v>
      </c>
      <c r="I569" s="3">
        <v>45296.958333333336</v>
      </c>
      <c r="J569">
        <v>96</v>
      </c>
      <c r="K569" s="3">
        <v>45299.958333333336</v>
      </c>
      <c r="L569" s="4">
        <f>ROUNDDOWN(Table1[[#This Row],[Ordered]],0)</f>
        <v>45296</v>
      </c>
      <c r="M569" s="4">
        <f>Table1[[#This Row],[Date ]]</f>
        <v>45296</v>
      </c>
      <c r="N569" s="5">
        <f>Table1[[#This Row],[Ordered]]-Table1[[#This Row],[Date ]]</f>
        <v>0.625</v>
      </c>
      <c r="O569">
        <f>Table1[[#This Row],[Company]]</f>
        <v>15</v>
      </c>
      <c r="P569">
        <f>IF(((Table1[[#This Row],[Arrived]]-Table1[[#This Row],[Delivery]])*24-Table1[[#This Row],[Promised]])&lt;0, 0, (Table1[[#This Row],[Arrived]]-Table1[[#This Row],[Delivery]])*24-Table1[[#This Row],[Promised]])</f>
        <v>0</v>
      </c>
      <c r="Q569"/>
    </row>
    <row r="570" spans="1:17" x14ac:dyDescent="0.45">
      <c r="A570" s="3">
        <v>45296.625</v>
      </c>
      <c r="B570" t="s">
        <v>14</v>
      </c>
      <c r="C570">
        <v>8</v>
      </c>
      <c r="D570">
        <v>1001</v>
      </c>
      <c r="E570" t="s">
        <v>16</v>
      </c>
      <c r="F570">
        <v>30</v>
      </c>
      <c r="G570">
        <v>3300</v>
      </c>
      <c r="H570">
        <v>99000</v>
      </c>
      <c r="I570" s="3">
        <v>45297.458333333336</v>
      </c>
      <c r="J570">
        <v>96</v>
      </c>
      <c r="K570" s="3">
        <v>45300.5</v>
      </c>
      <c r="L570" s="4">
        <f>ROUNDDOWN(Table1[[#This Row],[Ordered]],0)</f>
        <v>45296</v>
      </c>
      <c r="M570" s="4">
        <f>Table1[[#This Row],[Date ]]</f>
        <v>45296</v>
      </c>
      <c r="N570" s="5">
        <f>Table1[[#This Row],[Ordered]]-Table1[[#This Row],[Date ]]</f>
        <v>0.625</v>
      </c>
      <c r="O570">
        <f>Table1[[#This Row],[Company]]</f>
        <v>8</v>
      </c>
      <c r="P570">
        <f>IF(((Table1[[#This Row],[Arrived]]-Table1[[#This Row],[Delivery]])*24-Table1[[#This Row],[Promised]])&lt;0, 0, (Table1[[#This Row],[Arrived]]-Table1[[#This Row],[Delivery]])*24-Table1[[#This Row],[Promised]])</f>
        <v>0</v>
      </c>
      <c r="Q570"/>
    </row>
    <row r="571" spans="1:17" x14ac:dyDescent="0.45">
      <c r="A571" s="3">
        <v>45296.625</v>
      </c>
      <c r="B571" t="s">
        <v>14</v>
      </c>
      <c r="C571">
        <v>16</v>
      </c>
      <c r="D571">
        <v>1001</v>
      </c>
      <c r="E571" t="s">
        <v>16</v>
      </c>
      <c r="F571">
        <v>30</v>
      </c>
      <c r="G571">
        <v>3750</v>
      </c>
      <c r="H571">
        <v>112500</v>
      </c>
      <c r="I571" s="3">
        <v>45296.625</v>
      </c>
      <c r="J571">
        <v>96</v>
      </c>
      <c r="K571" s="3">
        <v>45299.625</v>
      </c>
      <c r="L571" s="4">
        <f>ROUNDDOWN(Table1[[#This Row],[Ordered]],0)</f>
        <v>45296</v>
      </c>
      <c r="M571" s="4">
        <f>Table1[[#This Row],[Date ]]</f>
        <v>45296</v>
      </c>
      <c r="N571" s="5">
        <f>Table1[[#This Row],[Ordered]]-Table1[[#This Row],[Date ]]</f>
        <v>0.625</v>
      </c>
      <c r="O571">
        <f>Table1[[#This Row],[Company]]</f>
        <v>16</v>
      </c>
      <c r="P571">
        <f>IF(((Table1[[#This Row],[Arrived]]-Table1[[#This Row],[Delivery]])*24-Table1[[#This Row],[Promised]])&lt;0, 0, (Table1[[#This Row],[Arrived]]-Table1[[#This Row],[Delivery]])*24-Table1[[#This Row],[Promised]])</f>
        <v>0</v>
      </c>
      <c r="Q571"/>
    </row>
    <row r="572" spans="1:17" x14ac:dyDescent="0.45">
      <c r="A572" s="3">
        <v>45296.625</v>
      </c>
      <c r="B572" t="s">
        <v>14</v>
      </c>
      <c r="C572">
        <v>12</v>
      </c>
      <c r="D572">
        <v>1001</v>
      </c>
      <c r="E572" t="s">
        <v>16</v>
      </c>
      <c r="F572">
        <v>15</v>
      </c>
      <c r="G572">
        <v>3950</v>
      </c>
      <c r="H572">
        <v>59250</v>
      </c>
      <c r="I572" s="3">
        <v>45296.625</v>
      </c>
      <c r="J572">
        <v>60</v>
      </c>
      <c r="K572" s="3">
        <v>45298.625</v>
      </c>
      <c r="L572" s="4">
        <f>ROUNDDOWN(Table1[[#This Row],[Ordered]],0)</f>
        <v>45296</v>
      </c>
      <c r="M572" s="4">
        <f>Table1[[#This Row],[Date ]]</f>
        <v>45296</v>
      </c>
      <c r="N572" s="5">
        <f>Table1[[#This Row],[Ordered]]-Table1[[#This Row],[Date ]]</f>
        <v>0.625</v>
      </c>
      <c r="O572">
        <f>Table1[[#This Row],[Company]]</f>
        <v>12</v>
      </c>
      <c r="P572">
        <f>IF(((Table1[[#This Row],[Arrived]]-Table1[[#This Row],[Delivery]])*24-Table1[[#This Row],[Promised]])&lt;0, 0, (Table1[[#This Row],[Arrived]]-Table1[[#This Row],[Delivery]])*24-Table1[[#This Row],[Promised]])</f>
        <v>0</v>
      </c>
      <c r="Q572"/>
    </row>
    <row r="573" spans="1:17" x14ac:dyDescent="0.45">
      <c r="A573" s="3">
        <v>45296.625</v>
      </c>
      <c r="B573" t="s">
        <v>14</v>
      </c>
      <c r="C573">
        <v>11</v>
      </c>
      <c r="D573">
        <v>1001</v>
      </c>
      <c r="E573" t="s">
        <v>16</v>
      </c>
      <c r="F573">
        <v>30</v>
      </c>
      <c r="G573">
        <v>3750</v>
      </c>
      <c r="H573">
        <v>112500</v>
      </c>
      <c r="I573" s="3">
        <v>45297.833333333336</v>
      </c>
      <c r="J573">
        <v>96</v>
      </c>
      <c r="K573" s="3">
        <v>45299.833333333336</v>
      </c>
      <c r="L573" s="4">
        <f>ROUNDDOWN(Table1[[#This Row],[Ordered]],0)</f>
        <v>45296</v>
      </c>
      <c r="M573" s="4">
        <f>Table1[[#This Row],[Date ]]</f>
        <v>45296</v>
      </c>
      <c r="N573" s="5">
        <f>Table1[[#This Row],[Ordered]]-Table1[[#This Row],[Date ]]</f>
        <v>0.625</v>
      </c>
      <c r="O573">
        <f>Table1[[#This Row],[Company]]</f>
        <v>11</v>
      </c>
      <c r="P573">
        <f>IF(((Table1[[#This Row],[Arrived]]-Table1[[#This Row],[Delivery]])*24-Table1[[#This Row],[Promised]])&lt;0, 0, (Table1[[#This Row],[Arrived]]-Table1[[#This Row],[Delivery]])*24-Table1[[#This Row],[Promised]])</f>
        <v>0</v>
      </c>
      <c r="Q573"/>
    </row>
    <row r="574" spans="1:17" x14ac:dyDescent="0.45">
      <c r="A574" s="3">
        <v>45296.625</v>
      </c>
      <c r="B574" t="s">
        <v>14</v>
      </c>
      <c r="C574">
        <v>14</v>
      </c>
      <c r="D574">
        <v>1001</v>
      </c>
      <c r="E574" t="s">
        <v>16</v>
      </c>
      <c r="F574">
        <v>30</v>
      </c>
      <c r="G574">
        <v>3750</v>
      </c>
      <c r="H574">
        <v>112500</v>
      </c>
      <c r="I574" s="3">
        <v>45297</v>
      </c>
      <c r="J574">
        <v>96</v>
      </c>
      <c r="K574" s="3">
        <v>45300</v>
      </c>
      <c r="L574" s="4">
        <f>ROUNDDOWN(Table1[[#This Row],[Ordered]],0)</f>
        <v>45296</v>
      </c>
      <c r="M574" s="4">
        <f>Table1[[#This Row],[Date ]]</f>
        <v>45296</v>
      </c>
      <c r="N574" s="5">
        <f>Table1[[#This Row],[Ordered]]-Table1[[#This Row],[Date ]]</f>
        <v>0.625</v>
      </c>
      <c r="O574">
        <f>Table1[[#This Row],[Company]]</f>
        <v>14</v>
      </c>
      <c r="P574">
        <f>IF(((Table1[[#This Row],[Arrived]]-Table1[[#This Row],[Delivery]])*24-Table1[[#This Row],[Promised]])&lt;0, 0, (Table1[[#This Row],[Arrived]]-Table1[[#This Row],[Delivery]])*24-Table1[[#This Row],[Promised]])</f>
        <v>0</v>
      </c>
      <c r="Q574"/>
    </row>
    <row r="575" spans="1:17" x14ac:dyDescent="0.45">
      <c r="A575" s="3">
        <v>45296.625</v>
      </c>
      <c r="B575" t="s">
        <v>14</v>
      </c>
      <c r="C575">
        <v>10</v>
      </c>
      <c r="D575">
        <v>1001</v>
      </c>
      <c r="E575" t="s">
        <v>16</v>
      </c>
      <c r="F575">
        <v>30</v>
      </c>
      <c r="G575">
        <v>3900</v>
      </c>
      <c r="H575">
        <v>117000</v>
      </c>
      <c r="I575" s="3">
        <v>45296.75</v>
      </c>
      <c r="J575">
        <v>48</v>
      </c>
      <c r="K575" s="3">
        <v>45297.75</v>
      </c>
      <c r="L575" s="4">
        <f>ROUNDDOWN(Table1[[#This Row],[Ordered]],0)</f>
        <v>45296</v>
      </c>
      <c r="M575" s="4">
        <f>Table1[[#This Row],[Date ]]</f>
        <v>45296</v>
      </c>
      <c r="N575" s="5">
        <f>Table1[[#This Row],[Ordered]]-Table1[[#This Row],[Date ]]</f>
        <v>0.625</v>
      </c>
      <c r="O575">
        <f>Table1[[#This Row],[Company]]</f>
        <v>10</v>
      </c>
      <c r="P575">
        <f>IF(((Table1[[#This Row],[Arrived]]-Table1[[#This Row],[Delivery]])*24-Table1[[#This Row],[Promised]])&lt;0, 0, (Table1[[#This Row],[Arrived]]-Table1[[#This Row],[Delivery]])*24-Table1[[#This Row],[Promised]])</f>
        <v>0</v>
      </c>
      <c r="Q575"/>
    </row>
    <row r="576" spans="1:17" x14ac:dyDescent="0.45">
      <c r="A576" s="3">
        <v>45296.625</v>
      </c>
      <c r="B576" t="s">
        <v>14</v>
      </c>
      <c r="C576">
        <v>13</v>
      </c>
      <c r="D576">
        <v>1001</v>
      </c>
      <c r="E576" t="s">
        <v>16</v>
      </c>
      <c r="F576">
        <v>30</v>
      </c>
      <c r="G576">
        <v>3750</v>
      </c>
      <c r="H576">
        <v>112500</v>
      </c>
      <c r="I576" s="3">
        <v>45297.458333333336</v>
      </c>
      <c r="J576">
        <v>96</v>
      </c>
      <c r="K576" s="3">
        <v>45300.458333333336</v>
      </c>
      <c r="L576" s="4">
        <f>ROUNDDOWN(Table1[[#This Row],[Ordered]],0)</f>
        <v>45296</v>
      </c>
      <c r="M576" s="4">
        <f>Table1[[#This Row],[Date ]]</f>
        <v>45296</v>
      </c>
      <c r="N576" s="5">
        <f>Table1[[#This Row],[Ordered]]-Table1[[#This Row],[Date ]]</f>
        <v>0.625</v>
      </c>
      <c r="O576">
        <f>Table1[[#This Row],[Company]]</f>
        <v>13</v>
      </c>
      <c r="P576">
        <f>IF(((Table1[[#This Row],[Arrived]]-Table1[[#This Row],[Delivery]])*24-Table1[[#This Row],[Promised]])&lt;0, 0, (Table1[[#This Row],[Arrived]]-Table1[[#This Row],[Delivery]])*24-Table1[[#This Row],[Promised]])</f>
        <v>0</v>
      </c>
      <c r="Q576"/>
    </row>
    <row r="577" spans="1:17" x14ac:dyDescent="0.45">
      <c r="A577" s="3">
        <v>45296.708333333336</v>
      </c>
      <c r="B577" t="s">
        <v>14</v>
      </c>
      <c r="C577">
        <v>12</v>
      </c>
      <c r="D577">
        <v>1001</v>
      </c>
      <c r="E577" t="s">
        <v>15</v>
      </c>
      <c r="F577">
        <v>2</v>
      </c>
      <c r="G577">
        <v>6850</v>
      </c>
      <c r="H577">
        <v>13700</v>
      </c>
      <c r="I577" s="3">
        <v>45296.708333333336</v>
      </c>
      <c r="J577">
        <v>72</v>
      </c>
      <c r="K577" s="3">
        <v>45299.708333333336</v>
      </c>
      <c r="L577" s="4">
        <f>ROUNDDOWN(Table1[[#This Row],[Ordered]],0)</f>
        <v>45296</v>
      </c>
      <c r="M577" s="4">
        <f>Table1[[#This Row],[Date ]]</f>
        <v>45296</v>
      </c>
      <c r="N577" s="5">
        <f>Table1[[#This Row],[Ordered]]-Table1[[#This Row],[Date ]]</f>
        <v>0.70833333333575865</v>
      </c>
      <c r="O577">
        <f>Table1[[#This Row],[Company]]</f>
        <v>12</v>
      </c>
      <c r="P577">
        <f>IF(((Table1[[#This Row],[Arrived]]-Table1[[#This Row],[Delivery]])*24-Table1[[#This Row],[Promised]])&lt;0, 0, (Table1[[#This Row],[Arrived]]-Table1[[#This Row],[Delivery]])*24-Table1[[#This Row],[Promised]])</f>
        <v>0</v>
      </c>
      <c r="Q577"/>
    </row>
    <row r="578" spans="1:17" x14ac:dyDescent="0.45">
      <c r="A578" s="3">
        <v>45296.708333333336</v>
      </c>
      <c r="B578" t="s">
        <v>14</v>
      </c>
      <c r="C578">
        <v>9</v>
      </c>
      <c r="D578">
        <v>1001</v>
      </c>
      <c r="E578" t="s">
        <v>15</v>
      </c>
      <c r="F578">
        <v>2</v>
      </c>
      <c r="G578">
        <v>6650</v>
      </c>
      <c r="H578">
        <v>13300</v>
      </c>
      <c r="I578" s="3">
        <v>45297.666666666664</v>
      </c>
      <c r="J578">
        <v>96</v>
      </c>
      <c r="K578" s="3">
        <v>45300.666666666664</v>
      </c>
      <c r="L578" s="4">
        <f>ROUNDDOWN(Table1[[#This Row],[Ordered]],0)</f>
        <v>45296</v>
      </c>
      <c r="M578" s="4">
        <f>Table1[[#This Row],[Date ]]</f>
        <v>45296</v>
      </c>
      <c r="N578" s="5">
        <f>Table1[[#This Row],[Ordered]]-Table1[[#This Row],[Date ]]</f>
        <v>0.70833333333575865</v>
      </c>
      <c r="O578">
        <f>Table1[[#This Row],[Company]]</f>
        <v>9</v>
      </c>
      <c r="P578">
        <f>IF(((Table1[[#This Row],[Arrived]]-Table1[[#This Row],[Delivery]])*24-Table1[[#This Row],[Promised]])&lt;0, 0, (Table1[[#This Row],[Arrived]]-Table1[[#This Row],[Delivery]])*24-Table1[[#This Row],[Promised]])</f>
        <v>0</v>
      </c>
      <c r="Q578"/>
    </row>
    <row r="579" spans="1:17" x14ac:dyDescent="0.45">
      <c r="A579" s="3">
        <v>45296.708333333336</v>
      </c>
      <c r="B579" t="s">
        <v>14</v>
      </c>
      <c r="C579">
        <v>14</v>
      </c>
      <c r="D579">
        <v>1001</v>
      </c>
      <c r="E579" t="s">
        <v>15</v>
      </c>
      <c r="F579">
        <v>2</v>
      </c>
      <c r="G579">
        <v>6650</v>
      </c>
      <c r="H579">
        <v>13300</v>
      </c>
      <c r="I579" s="3">
        <v>45296.875</v>
      </c>
      <c r="J579">
        <v>96</v>
      </c>
      <c r="K579" s="3">
        <v>45299.875</v>
      </c>
      <c r="L579" s="4">
        <f>ROUNDDOWN(Table1[[#This Row],[Ordered]],0)</f>
        <v>45296</v>
      </c>
      <c r="M579" s="4">
        <f>Table1[[#This Row],[Date ]]</f>
        <v>45296</v>
      </c>
      <c r="N579" s="5">
        <f>Table1[[#This Row],[Ordered]]-Table1[[#This Row],[Date ]]</f>
        <v>0.70833333333575865</v>
      </c>
      <c r="O579">
        <f>Table1[[#This Row],[Company]]</f>
        <v>14</v>
      </c>
      <c r="P579">
        <f>IF(((Table1[[#This Row],[Arrived]]-Table1[[#This Row],[Delivery]])*24-Table1[[#This Row],[Promised]])&lt;0, 0, (Table1[[#This Row],[Arrived]]-Table1[[#This Row],[Delivery]])*24-Table1[[#This Row],[Promised]])</f>
        <v>0</v>
      </c>
      <c r="Q579"/>
    </row>
    <row r="580" spans="1:17" x14ac:dyDescent="0.45">
      <c r="A580" s="3">
        <v>45296.708333333336</v>
      </c>
      <c r="B580" t="s">
        <v>14</v>
      </c>
      <c r="C580">
        <v>10</v>
      </c>
      <c r="D580">
        <v>1001</v>
      </c>
      <c r="E580" t="s">
        <v>15</v>
      </c>
      <c r="F580">
        <v>2</v>
      </c>
      <c r="G580">
        <v>6800</v>
      </c>
      <c r="H580">
        <v>13600</v>
      </c>
      <c r="I580" s="3">
        <v>45296.75</v>
      </c>
      <c r="J580">
        <v>96</v>
      </c>
      <c r="K580" s="3">
        <v>45299.75</v>
      </c>
      <c r="L580" s="4">
        <f>ROUNDDOWN(Table1[[#This Row],[Ordered]],0)</f>
        <v>45296</v>
      </c>
      <c r="M580" s="4">
        <f>Table1[[#This Row],[Date ]]</f>
        <v>45296</v>
      </c>
      <c r="N580" s="5">
        <f>Table1[[#This Row],[Ordered]]-Table1[[#This Row],[Date ]]</f>
        <v>0.70833333333575865</v>
      </c>
      <c r="O580">
        <f>Table1[[#This Row],[Company]]</f>
        <v>10</v>
      </c>
      <c r="P580">
        <f>IF(((Table1[[#This Row],[Arrived]]-Table1[[#This Row],[Delivery]])*24-Table1[[#This Row],[Promised]])&lt;0, 0, (Table1[[#This Row],[Arrived]]-Table1[[#This Row],[Delivery]])*24-Table1[[#This Row],[Promised]])</f>
        <v>0</v>
      </c>
      <c r="Q580"/>
    </row>
    <row r="581" spans="1:17" x14ac:dyDescent="0.45">
      <c r="A581" s="3">
        <v>45296.708333333336</v>
      </c>
      <c r="B581" t="s">
        <v>14</v>
      </c>
      <c r="C581">
        <v>13</v>
      </c>
      <c r="D581">
        <v>1001</v>
      </c>
      <c r="E581" t="s">
        <v>15</v>
      </c>
      <c r="F581">
        <v>2</v>
      </c>
      <c r="G581">
        <v>6650</v>
      </c>
      <c r="H581">
        <v>13300</v>
      </c>
      <c r="I581" s="3">
        <v>45297.458333333336</v>
      </c>
      <c r="J581">
        <v>96</v>
      </c>
      <c r="K581" s="3">
        <v>45300.458333333336</v>
      </c>
      <c r="L581" s="4">
        <f>ROUNDDOWN(Table1[[#This Row],[Ordered]],0)</f>
        <v>45296</v>
      </c>
      <c r="M581" s="4">
        <f>Table1[[#This Row],[Date ]]</f>
        <v>45296</v>
      </c>
      <c r="N581" s="5">
        <f>Table1[[#This Row],[Ordered]]-Table1[[#This Row],[Date ]]</f>
        <v>0.70833333333575865</v>
      </c>
      <c r="O581">
        <f>Table1[[#This Row],[Company]]</f>
        <v>13</v>
      </c>
      <c r="P581">
        <f>IF(((Table1[[#This Row],[Arrived]]-Table1[[#This Row],[Delivery]])*24-Table1[[#This Row],[Promised]])&lt;0, 0, (Table1[[#This Row],[Arrived]]-Table1[[#This Row],[Delivery]])*24-Table1[[#This Row],[Promised]])</f>
        <v>0</v>
      </c>
      <c r="Q581"/>
    </row>
    <row r="582" spans="1:17" x14ac:dyDescent="0.45">
      <c r="A582" s="3">
        <v>45296.708333333336</v>
      </c>
      <c r="B582" t="s">
        <v>14</v>
      </c>
      <c r="C582">
        <v>16</v>
      </c>
      <c r="D582">
        <v>1001</v>
      </c>
      <c r="E582" t="s">
        <v>15</v>
      </c>
      <c r="F582">
        <v>2</v>
      </c>
      <c r="G582">
        <v>6650</v>
      </c>
      <c r="H582">
        <v>13300</v>
      </c>
      <c r="I582" s="3">
        <v>45297.125</v>
      </c>
      <c r="J582">
        <v>96</v>
      </c>
      <c r="K582" s="3">
        <v>45300.125</v>
      </c>
      <c r="L582" s="4">
        <f>ROUNDDOWN(Table1[[#This Row],[Ordered]],0)</f>
        <v>45296</v>
      </c>
      <c r="M582" s="4">
        <f>Table1[[#This Row],[Date ]]</f>
        <v>45296</v>
      </c>
      <c r="N582" s="5">
        <f>Table1[[#This Row],[Ordered]]-Table1[[#This Row],[Date ]]</f>
        <v>0.70833333333575865</v>
      </c>
      <c r="O582">
        <f>Table1[[#This Row],[Company]]</f>
        <v>16</v>
      </c>
      <c r="P582">
        <f>IF(((Table1[[#This Row],[Arrived]]-Table1[[#This Row],[Delivery]])*24-Table1[[#This Row],[Promised]])&lt;0, 0, (Table1[[#This Row],[Arrived]]-Table1[[#This Row],[Delivery]])*24-Table1[[#This Row],[Promised]])</f>
        <v>0</v>
      </c>
      <c r="Q582"/>
    </row>
    <row r="583" spans="1:17" x14ac:dyDescent="0.45">
      <c r="A583" s="3">
        <v>45296.708333333336</v>
      </c>
      <c r="B583" t="s">
        <v>14</v>
      </c>
      <c r="C583">
        <v>7</v>
      </c>
      <c r="D583">
        <v>1001</v>
      </c>
      <c r="E583" t="s">
        <v>15</v>
      </c>
      <c r="F583">
        <v>2</v>
      </c>
      <c r="G583">
        <v>6650</v>
      </c>
      <c r="H583">
        <v>13300</v>
      </c>
      <c r="I583" s="3">
        <v>45296.833333333336</v>
      </c>
      <c r="J583">
        <v>96</v>
      </c>
      <c r="K583" s="3">
        <v>45299.833333333336</v>
      </c>
      <c r="L583" s="4">
        <f>ROUNDDOWN(Table1[[#This Row],[Ordered]],0)</f>
        <v>45296</v>
      </c>
      <c r="M583" s="4">
        <f>Table1[[#This Row],[Date ]]</f>
        <v>45296</v>
      </c>
      <c r="N583" s="5">
        <f>Table1[[#This Row],[Ordered]]-Table1[[#This Row],[Date ]]</f>
        <v>0.70833333333575865</v>
      </c>
      <c r="O583">
        <f>Table1[[#This Row],[Company]]</f>
        <v>7</v>
      </c>
      <c r="P583">
        <f>IF(((Table1[[#This Row],[Arrived]]-Table1[[#This Row],[Delivery]])*24-Table1[[#This Row],[Promised]])&lt;0, 0, (Table1[[#This Row],[Arrived]]-Table1[[#This Row],[Delivery]])*24-Table1[[#This Row],[Promised]])</f>
        <v>0</v>
      </c>
      <c r="Q583"/>
    </row>
    <row r="584" spans="1:17" hidden="1" x14ac:dyDescent="0.45">
      <c r="A584" s="3">
        <v>45296.75</v>
      </c>
      <c r="B584" t="s">
        <v>12</v>
      </c>
      <c r="C584">
        <v>5</v>
      </c>
      <c r="D584">
        <v>16</v>
      </c>
      <c r="E584" t="s">
        <v>17</v>
      </c>
      <c r="F584">
        <v>200</v>
      </c>
      <c r="G584">
        <v>1020</v>
      </c>
      <c r="H584">
        <v>204000</v>
      </c>
      <c r="I584" s="3">
        <v>45297.041666666664</v>
      </c>
      <c r="J584">
        <v>24</v>
      </c>
      <c r="K584" s="3">
        <v>45298.041666666664</v>
      </c>
      <c r="L584" s="4">
        <f>ROUNDDOWN(Table1[[#This Row],[Ordered]],0)</f>
        <v>45296</v>
      </c>
      <c r="M584" s="4">
        <f>Table1[[#This Row],[Date ]]</f>
        <v>45296</v>
      </c>
      <c r="N584" s="5">
        <f>Table1[[#This Row],[Ordered]]-Table1[[#This Row],[Date ]]</f>
        <v>0.75</v>
      </c>
      <c r="O584" s="5">
        <f>Table1[[#This Row],[Company]]</f>
        <v>5</v>
      </c>
      <c r="P584">
        <f>IF(((Table1[[#This Row],[Arrived]]-Table1[[#This Row],[Delivery]])*24-Table1[[#This Row],[Promised]])&lt;0, 0, (Table1[[#This Row],[Arrived]]-Table1[[#This Row],[Delivery]])*24-Table1[[#This Row],[Promised]])</f>
        <v>0</v>
      </c>
      <c r="Q584"/>
    </row>
    <row r="585" spans="1:17" hidden="1" x14ac:dyDescent="0.45">
      <c r="A585" s="3">
        <v>45296.75</v>
      </c>
      <c r="B585" t="s">
        <v>12</v>
      </c>
      <c r="C585">
        <v>6</v>
      </c>
      <c r="D585">
        <v>15</v>
      </c>
      <c r="E585" t="s">
        <v>17</v>
      </c>
      <c r="F585">
        <v>157</v>
      </c>
      <c r="G585">
        <v>1200</v>
      </c>
      <c r="H585">
        <v>188400</v>
      </c>
      <c r="I585" s="3">
        <v>45296.833333333336</v>
      </c>
      <c r="J585">
        <v>72</v>
      </c>
      <c r="K585" s="3">
        <v>45299.833333333336</v>
      </c>
      <c r="L585" s="4">
        <f>ROUNDDOWN(Table1[[#This Row],[Ordered]],0)</f>
        <v>45296</v>
      </c>
      <c r="M585" s="4">
        <f>Table1[[#This Row],[Date ]]</f>
        <v>45296</v>
      </c>
      <c r="N585" s="5">
        <f>Table1[[#This Row],[Ordered]]-Table1[[#This Row],[Date ]]</f>
        <v>0.75</v>
      </c>
      <c r="O585" s="5">
        <f>Table1[[#This Row],[Company]]</f>
        <v>6</v>
      </c>
      <c r="P585">
        <f>IF(((Table1[[#This Row],[Arrived]]-Table1[[#This Row],[Delivery]])*24-Table1[[#This Row],[Promised]])&lt;0, 0, (Table1[[#This Row],[Arrived]]-Table1[[#This Row],[Delivery]])*24-Table1[[#This Row],[Promised]])</f>
        <v>0</v>
      </c>
      <c r="Q585"/>
    </row>
    <row r="586" spans="1:17" hidden="1" x14ac:dyDescent="0.45">
      <c r="A586" s="3">
        <v>45296.791666666664</v>
      </c>
      <c r="B586" t="s">
        <v>12</v>
      </c>
      <c r="C586">
        <v>4</v>
      </c>
      <c r="D586">
        <v>11</v>
      </c>
      <c r="E586" t="s">
        <v>13</v>
      </c>
      <c r="F586">
        <v>2500</v>
      </c>
      <c r="G586">
        <v>110</v>
      </c>
      <c r="H586">
        <v>275000</v>
      </c>
      <c r="I586" s="3">
        <v>45296.875</v>
      </c>
      <c r="J586">
        <v>72</v>
      </c>
      <c r="K586" s="3">
        <v>45299.875</v>
      </c>
      <c r="L586" s="4">
        <f>ROUNDDOWN(Table1[[#This Row],[Ordered]],0)</f>
        <v>45296</v>
      </c>
      <c r="M586" s="4">
        <f>Table1[[#This Row],[Date ]]</f>
        <v>45296</v>
      </c>
      <c r="N586" s="5">
        <f>Table1[[#This Row],[Ordered]]-Table1[[#This Row],[Date ]]</f>
        <v>0.79166666666424135</v>
      </c>
      <c r="O586" s="5">
        <f>Table1[[#This Row],[Company]]</f>
        <v>4</v>
      </c>
      <c r="P586">
        <f>IF(((Table1[[#This Row],[Arrived]]-Table1[[#This Row],[Delivery]])*24-Table1[[#This Row],[Promised]])&lt;0, 0, (Table1[[#This Row],[Arrived]]-Table1[[#This Row],[Delivery]])*24-Table1[[#This Row],[Promised]])</f>
        <v>0</v>
      </c>
      <c r="Q586"/>
    </row>
    <row r="587" spans="1:17" x14ac:dyDescent="0.45">
      <c r="A587" s="3">
        <v>45297</v>
      </c>
      <c r="B587" t="s">
        <v>14</v>
      </c>
      <c r="C587">
        <v>16</v>
      </c>
      <c r="D587">
        <v>1008</v>
      </c>
      <c r="E587" t="s">
        <v>16</v>
      </c>
      <c r="F587">
        <v>50</v>
      </c>
      <c r="G587">
        <v>3650</v>
      </c>
      <c r="H587">
        <v>182500</v>
      </c>
      <c r="I587" s="3">
        <v>45298.041666666664</v>
      </c>
      <c r="J587">
        <v>120</v>
      </c>
      <c r="K587" s="3">
        <v>45301.041666666664</v>
      </c>
      <c r="L587" s="4">
        <f>ROUNDDOWN(Table1[[#This Row],[Ordered]],0)</f>
        <v>45297</v>
      </c>
      <c r="M587" s="4">
        <f>Table1[[#This Row],[Date ]]</f>
        <v>45297</v>
      </c>
      <c r="N587" s="5">
        <f>Table1[[#This Row],[Ordered]]-Table1[[#This Row],[Date ]]</f>
        <v>0</v>
      </c>
      <c r="O587">
        <f>Table1[[#This Row],[Company]]</f>
        <v>16</v>
      </c>
      <c r="P587">
        <f>IF(((Table1[[#This Row],[Arrived]]-Table1[[#This Row],[Delivery]])*24-Table1[[#This Row],[Promised]])&lt;0, 0, (Table1[[#This Row],[Arrived]]-Table1[[#This Row],[Delivery]])*24-Table1[[#This Row],[Promised]])</f>
        <v>0</v>
      </c>
      <c r="Q587"/>
    </row>
    <row r="588" spans="1:17" x14ac:dyDescent="0.45">
      <c r="A588" s="3">
        <v>45297</v>
      </c>
      <c r="B588" t="s">
        <v>14</v>
      </c>
      <c r="C588">
        <v>14</v>
      </c>
      <c r="D588">
        <v>1008</v>
      </c>
      <c r="E588" t="s">
        <v>16</v>
      </c>
      <c r="F588">
        <v>44</v>
      </c>
      <c r="G588">
        <v>3650</v>
      </c>
      <c r="H588">
        <v>160600</v>
      </c>
      <c r="I588" s="3">
        <v>45297</v>
      </c>
      <c r="J588">
        <v>120</v>
      </c>
      <c r="K588" s="3">
        <v>45300</v>
      </c>
      <c r="L588" s="4">
        <f>ROUNDDOWN(Table1[[#This Row],[Ordered]],0)</f>
        <v>45297</v>
      </c>
      <c r="M588" s="4">
        <f>Table1[[#This Row],[Date ]]</f>
        <v>45297</v>
      </c>
      <c r="N588" s="5">
        <f>Table1[[#This Row],[Ordered]]-Table1[[#This Row],[Date ]]</f>
        <v>0</v>
      </c>
      <c r="O588">
        <f>Table1[[#This Row],[Company]]</f>
        <v>14</v>
      </c>
      <c r="P588">
        <f>IF(((Table1[[#This Row],[Arrived]]-Table1[[#This Row],[Delivery]])*24-Table1[[#This Row],[Promised]])&lt;0, 0, (Table1[[#This Row],[Arrived]]-Table1[[#This Row],[Delivery]])*24-Table1[[#This Row],[Promised]])</f>
        <v>0</v>
      </c>
      <c r="Q588"/>
    </row>
    <row r="589" spans="1:17" x14ac:dyDescent="0.45">
      <c r="A589" s="3">
        <v>45297</v>
      </c>
      <c r="B589" t="s">
        <v>14</v>
      </c>
      <c r="C589">
        <v>10</v>
      </c>
      <c r="D589">
        <v>1008</v>
      </c>
      <c r="E589" t="s">
        <v>16</v>
      </c>
      <c r="F589">
        <v>23</v>
      </c>
      <c r="G589">
        <v>3900</v>
      </c>
      <c r="H589">
        <v>89700</v>
      </c>
      <c r="I589" s="3">
        <v>45297.083333333336</v>
      </c>
      <c r="J589">
        <v>48</v>
      </c>
      <c r="K589" s="3">
        <v>45298.083333333336</v>
      </c>
      <c r="L589" s="4">
        <f>ROUNDDOWN(Table1[[#This Row],[Ordered]],0)</f>
        <v>45297</v>
      </c>
      <c r="M589" s="4">
        <f>Table1[[#This Row],[Date ]]</f>
        <v>45297</v>
      </c>
      <c r="N589" s="5">
        <f>Table1[[#This Row],[Ordered]]-Table1[[#This Row],[Date ]]</f>
        <v>0</v>
      </c>
      <c r="O589">
        <f>Table1[[#This Row],[Company]]</f>
        <v>10</v>
      </c>
      <c r="P589">
        <f>IF(((Table1[[#This Row],[Arrived]]-Table1[[#This Row],[Delivery]])*24-Table1[[#This Row],[Promised]])&lt;0, 0, (Table1[[#This Row],[Arrived]]-Table1[[#This Row],[Delivery]])*24-Table1[[#This Row],[Promised]])</f>
        <v>0</v>
      </c>
      <c r="Q589"/>
    </row>
    <row r="590" spans="1:17" x14ac:dyDescent="0.45">
      <c r="A590" s="3">
        <v>45297</v>
      </c>
      <c r="B590" t="s">
        <v>14</v>
      </c>
      <c r="C590">
        <v>9</v>
      </c>
      <c r="D590">
        <v>1008</v>
      </c>
      <c r="E590" t="s">
        <v>16</v>
      </c>
      <c r="F590">
        <v>30</v>
      </c>
      <c r="G590">
        <v>3550</v>
      </c>
      <c r="H590">
        <v>106500</v>
      </c>
      <c r="I590" s="3">
        <v>45298</v>
      </c>
      <c r="J590">
        <v>96</v>
      </c>
      <c r="K590" s="3">
        <v>45301</v>
      </c>
      <c r="L590" s="4">
        <f>ROUNDDOWN(Table1[[#This Row],[Ordered]],0)</f>
        <v>45297</v>
      </c>
      <c r="M590" s="4">
        <f>Table1[[#This Row],[Date ]]</f>
        <v>45297</v>
      </c>
      <c r="N590" s="5">
        <f>Table1[[#This Row],[Ordered]]-Table1[[#This Row],[Date ]]</f>
        <v>0</v>
      </c>
      <c r="O590">
        <f>Table1[[#This Row],[Company]]</f>
        <v>9</v>
      </c>
      <c r="P590">
        <f>IF(((Table1[[#This Row],[Arrived]]-Table1[[#This Row],[Delivery]])*24-Table1[[#This Row],[Promised]])&lt;0, 0, (Table1[[#This Row],[Arrived]]-Table1[[#This Row],[Delivery]])*24-Table1[[#This Row],[Promised]])</f>
        <v>0</v>
      </c>
      <c r="Q590"/>
    </row>
    <row r="591" spans="1:17" x14ac:dyDescent="0.45">
      <c r="A591" s="3">
        <v>45297</v>
      </c>
      <c r="B591" t="s">
        <v>14</v>
      </c>
      <c r="C591">
        <v>12</v>
      </c>
      <c r="D591">
        <v>1008</v>
      </c>
      <c r="E591" t="s">
        <v>16</v>
      </c>
      <c r="F591">
        <v>30</v>
      </c>
      <c r="G591">
        <v>3700</v>
      </c>
      <c r="H591">
        <v>111000</v>
      </c>
      <c r="I591" s="3">
        <v>45298.25</v>
      </c>
      <c r="J591">
        <v>120</v>
      </c>
      <c r="K591" s="3">
        <v>45301.25</v>
      </c>
      <c r="L591" s="4">
        <f>ROUNDDOWN(Table1[[#This Row],[Ordered]],0)</f>
        <v>45297</v>
      </c>
      <c r="M591" s="4">
        <f>Table1[[#This Row],[Date ]]</f>
        <v>45297</v>
      </c>
      <c r="N591" s="5">
        <f>Table1[[#This Row],[Ordered]]-Table1[[#This Row],[Date ]]</f>
        <v>0</v>
      </c>
      <c r="O591">
        <f>Table1[[#This Row],[Company]]</f>
        <v>12</v>
      </c>
      <c r="P591">
        <f>IF(((Table1[[#This Row],[Arrived]]-Table1[[#This Row],[Delivery]])*24-Table1[[#This Row],[Promised]])&lt;0, 0, (Table1[[#This Row],[Arrived]]-Table1[[#This Row],[Delivery]])*24-Table1[[#This Row],[Promised]])</f>
        <v>0</v>
      </c>
      <c r="Q591"/>
    </row>
    <row r="592" spans="1:17" x14ac:dyDescent="0.45">
      <c r="A592" s="3">
        <v>45297</v>
      </c>
      <c r="B592" t="s">
        <v>14</v>
      </c>
      <c r="C592">
        <v>8</v>
      </c>
      <c r="D592">
        <v>1008</v>
      </c>
      <c r="E592" t="s">
        <v>16</v>
      </c>
      <c r="F592">
        <v>50</v>
      </c>
      <c r="G592">
        <v>3250</v>
      </c>
      <c r="H592">
        <v>162500</v>
      </c>
      <c r="I592" s="3">
        <v>45298.666666666664</v>
      </c>
      <c r="J592">
        <v>120</v>
      </c>
      <c r="K592" s="3">
        <v>45301.666666666664</v>
      </c>
      <c r="L592" s="4">
        <f>ROUNDDOWN(Table1[[#This Row],[Ordered]],0)</f>
        <v>45297</v>
      </c>
      <c r="M592" s="4">
        <f>Table1[[#This Row],[Date ]]</f>
        <v>45297</v>
      </c>
      <c r="N592" s="5">
        <f>Table1[[#This Row],[Ordered]]-Table1[[#This Row],[Date ]]</f>
        <v>0</v>
      </c>
      <c r="O592">
        <f>Table1[[#This Row],[Company]]</f>
        <v>8</v>
      </c>
      <c r="P592">
        <f>IF(((Table1[[#This Row],[Arrived]]-Table1[[#This Row],[Delivery]])*24-Table1[[#This Row],[Promised]])&lt;0, 0, (Table1[[#This Row],[Arrived]]-Table1[[#This Row],[Delivery]])*24-Table1[[#This Row],[Promised]])</f>
        <v>0</v>
      </c>
      <c r="Q592"/>
    </row>
    <row r="593" spans="1:17" x14ac:dyDescent="0.45">
      <c r="A593" s="3">
        <v>45297</v>
      </c>
      <c r="B593" t="s">
        <v>14</v>
      </c>
      <c r="C593">
        <v>11</v>
      </c>
      <c r="D593">
        <v>1008</v>
      </c>
      <c r="E593" t="s">
        <v>16</v>
      </c>
      <c r="F593">
        <v>39</v>
      </c>
      <c r="G593">
        <v>3650</v>
      </c>
      <c r="H593">
        <v>142350</v>
      </c>
      <c r="I593" s="3">
        <v>45298.541666666664</v>
      </c>
      <c r="J593">
        <v>120</v>
      </c>
      <c r="K593" s="3">
        <v>45301.541666666664</v>
      </c>
      <c r="L593" s="4">
        <f>ROUNDDOWN(Table1[[#This Row],[Ordered]],0)</f>
        <v>45297</v>
      </c>
      <c r="M593" s="4">
        <f>Table1[[#This Row],[Date ]]</f>
        <v>45297</v>
      </c>
      <c r="N593" s="5">
        <f>Table1[[#This Row],[Ordered]]-Table1[[#This Row],[Date ]]</f>
        <v>0</v>
      </c>
      <c r="O593">
        <f>Table1[[#This Row],[Company]]</f>
        <v>11</v>
      </c>
      <c r="P593">
        <f>IF(((Table1[[#This Row],[Arrived]]-Table1[[#This Row],[Delivery]])*24-Table1[[#This Row],[Promised]])&lt;0, 0, (Table1[[#This Row],[Arrived]]-Table1[[#This Row],[Delivery]])*24-Table1[[#This Row],[Promised]])</f>
        <v>0</v>
      </c>
      <c r="Q593"/>
    </row>
    <row r="594" spans="1:17" x14ac:dyDescent="0.45">
      <c r="A594" s="3">
        <v>45297</v>
      </c>
      <c r="B594" t="s">
        <v>14</v>
      </c>
      <c r="C594">
        <v>15</v>
      </c>
      <c r="D594">
        <v>1008</v>
      </c>
      <c r="E594" t="s">
        <v>16</v>
      </c>
      <c r="F594">
        <v>26</v>
      </c>
      <c r="G594">
        <v>3750</v>
      </c>
      <c r="H594">
        <v>97500</v>
      </c>
      <c r="I594" s="3">
        <v>45297.291666666664</v>
      </c>
      <c r="J594">
        <v>96</v>
      </c>
      <c r="K594" s="3">
        <v>45300.291666666664</v>
      </c>
      <c r="L594" s="4">
        <f>ROUNDDOWN(Table1[[#This Row],[Ordered]],0)</f>
        <v>45297</v>
      </c>
      <c r="M594" s="4">
        <f>Table1[[#This Row],[Date ]]</f>
        <v>45297</v>
      </c>
      <c r="N594" s="5">
        <f>Table1[[#This Row],[Ordered]]-Table1[[#This Row],[Date ]]</f>
        <v>0</v>
      </c>
      <c r="O594">
        <f>Table1[[#This Row],[Company]]</f>
        <v>15</v>
      </c>
      <c r="P594">
        <f>IF(((Table1[[#This Row],[Arrived]]-Table1[[#This Row],[Delivery]])*24-Table1[[#This Row],[Promised]])&lt;0, 0, (Table1[[#This Row],[Arrived]]-Table1[[#This Row],[Delivery]])*24-Table1[[#This Row],[Promised]])</f>
        <v>0</v>
      </c>
      <c r="Q594"/>
    </row>
    <row r="595" spans="1:17" x14ac:dyDescent="0.45">
      <c r="A595" s="3">
        <v>45297</v>
      </c>
      <c r="B595" t="s">
        <v>14</v>
      </c>
      <c r="C595">
        <v>13</v>
      </c>
      <c r="D595">
        <v>1008</v>
      </c>
      <c r="E595" t="s">
        <v>16</v>
      </c>
      <c r="F595">
        <v>34</v>
      </c>
      <c r="G595">
        <v>3650</v>
      </c>
      <c r="H595">
        <v>124100</v>
      </c>
      <c r="I595" s="3">
        <v>45298.75</v>
      </c>
      <c r="J595">
        <v>120</v>
      </c>
      <c r="K595" s="3">
        <v>45301.75</v>
      </c>
      <c r="L595" s="4">
        <f>ROUNDDOWN(Table1[[#This Row],[Ordered]],0)</f>
        <v>45297</v>
      </c>
      <c r="M595" s="4">
        <f>Table1[[#This Row],[Date ]]</f>
        <v>45297</v>
      </c>
      <c r="N595" s="5">
        <f>Table1[[#This Row],[Ordered]]-Table1[[#This Row],[Date ]]</f>
        <v>0</v>
      </c>
      <c r="O595">
        <f>Table1[[#This Row],[Company]]</f>
        <v>13</v>
      </c>
      <c r="P595">
        <f>IF(((Table1[[#This Row],[Arrived]]-Table1[[#This Row],[Delivery]])*24-Table1[[#This Row],[Promised]])&lt;0, 0, (Table1[[#This Row],[Arrived]]-Table1[[#This Row],[Delivery]])*24-Table1[[#This Row],[Promised]])</f>
        <v>0</v>
      </c>
      <c r="Q595"/>
    </row>
    <row r="596" spans="1:17" hidden="1" x14ac:dyDescent="0.45">
      <c r="A596" s="3">
        <v>45297</v>
      </c>
      <c r="B596" t="s">
        <v>12</v>
      </c>
      <c r="C596">
        <v>13</v>
      </c>
      <c r="D596">
        <v>4</v>
      </c>
      <c r="E596" t="s">
        <v>20</v>
      </c>
      <c r="F596">
        <v>391</v>
      </c>
      <c r="G596">
        <v>5</v>
      </c>
      <c r="H596">
        <v>1955</v>
      </c>
      <c r="I596" s="3">
        <v>45297.416666666664</v>
      </c>
      <c r="J596">
        <v>72</v>
      </c>
      <c r="K596" s="3">
        <v>45300.416666666664</v>
      </c>
      <c r="L596" s="4">
        <f>ROUNDDOWN(Table1[[#This Row],[Ordered]],0)</f>
        <v>45297</v>
      </c>
      <c r="M596" s="4">
        <f>Table1[[#This Row],[Date ]]</f>
        <v>45297</v>
      </c>
      <c r="N596" s="5">
        <f>Table1[[#This Row],[Ordered]]-Table1[[#This Row],[Date ]]</f>
        <v>0</v>
      </c>
      <c r="O596">
        <f>Table1[[#This Row],[Company]]</f>
        <v>13</v>
      </c>
      <c r="P596">
        <f>IF(((Table1[[#This Row],[Arrived]]-Table1[[#This Row],[Delivery]])*24-Table1[[#This Row],[Promised]])&lt;0, 0, (Table1[[#This Row],[Arrived]]-Table1[[#This Row],[Delivery]])*24-Table1[[#This Row],[Promised]])</f>
        <v>0</v>
      </c>
      <c r="Q596"/>
    </row>
    <row r="597" spans="1:17" x14ac:dyDescent="0.45">
      <c r="A597" s="3">
        <v>45297</v>
      </c>
      <c r="B597" t="s">
        <v>14</v>
      </c>
      <c r="C597">
        <v>7</v>
      </c>
      <c r="D597">
        <v>1008</v>
      </c>
      <c r="E597" t="s">
        <v>16</v>
      </c>
      <c r="F597">
        <v>50</v>
      </c>
      <c r="G597">
        <v>3550</v>
      </c>
      <c r="H597">
        <v>177500</v>
      </c>
      <c r="I597" s="3">
        <v>45298</v>
      </c>
      <c r="J597">
        <v>120</v>
      </c>
      <c r="K597" s="3">
        <v>45301</v>
      </c>
      <c r="L597" s="4">
        <f>ROUNDDOWN(Table1[[#This Row],[Ordered]],0)</f>
        <v>45297</v>
      </c>
      <c r="M597" s="4">
        <f>Table1[[#This Row],[Date ]]</f>
        <v>45297</v>
      </c>
      <c r="N597" s="5">
        <f>Table1[[#This Row],[Ordered]]-Table1[[#This Row],[Date ]]</f>
        <v>0</v>
      </c>
      <c r="O597">
        <f>Table1[[#This Row],[Company]]</f>
        <v>7</v>
      </c>
      <c r="P597">
        <f>IF(((Table1[[#This Row],[Arrived]]-Table1[[#This Row],[Delivery]])*24-Table1[[#This Row],[Promised]])&lt;0, 0, (Table1[[#This Row],[Arrived]]-Table1[[#This Row],[Delivery]])*24-Table1[[#This Row],[Promised]])</f>
        <v>0</v>
      </c>
      <c r="Q597"/>
    </row>
    <row r="598" spans="1:17" x14ac:dyDescent="0.45">
      <c r="A598" s="3">
        <v>45297.041666666664</v>
      </c>
      <c r="B598" t="s">
        <v>14</v>
      </c>
      <c r="C598">
        <v>12</v>
      </c>
      <c r="D598">
        <v>1003</v>
      </c>
      <c r="E598" t="s">
        <v>15</v>
      </c>
      <c r="F598">
        <v>4</v>
      </c>
      <c r="G598">
        <v>6850</v>
      </c>
      <c r="H598">
        <v>27400</v>
      </c>
      <c r="I598" s="3">
        <v>45297.166666666664</v>
      </c>
      <c r="J598">
        <v>72</v>
      </c>
      <c r="K598" s="3">
        <v>45299.166666666664</v>
      </c>
      <c r="L598" s="4">
        <f>ROUNDDOWN(Table1[[#This Row],[Ordered]],0)</f>
        <v>45297</v>
      </c>
      <c r="M598" s="4">
        <f>Table1[[#This Row],[Date ]]</f>
        <v>45297</v>
      </c>
      <c r="N598" s="5">
        <f>Table1[[#This Row],[Ordered]]-Table1[[#This Row],[Date ]]</f>
        <v>4.1666666664241347E-2</v>
      </c>
      <c r="O598">
        <f>Table1[[#This Row],[Company]]</f>
        <v>12</v>
      </c>
      <c r="P598">
        <f>IF(((Table1[[#This Row],[Arrived]]-Table1[[#This Row],[Delivery]])*24-Table1[[#This Row],[Promised]])&lt;0, 0, (Table1[[#This Row],[Arrived]]-Table1[[#This Row],[Delivery]])*24-Table1[[#This Row],[Promised]])</f>
        <v>0</v>
      </c>
      <c r="Q598"/>
    </row>
    <row r="599" spans="1:17" x14ac:dyDescent="0.45">
      <c r="A599" s="3">
        <v>45297.041666666664</v>
      </c>
      <c r="B599" t="s">
        <v>14</v>
      </c>
      <c r="C599">
        <v>9</v>
      </c>
      <c r="D599">
        <v>1003</v>
      </c>
      <c r="E599" t="s">
        <v>15</v>
      </c>
      <c r="F599">
        <v>2</v>
      </c>
      <c r="G599">
        <v>6650</v>
      </c>
      <c r="H599">
        <v>13300</v>
      </c>
      <c r="I599" s="3">
        <v>45298</v>
      </c>
      <c r="J599">
        <v>96</v>
      </c>
      <c r="K599" s="3">
        <v>45301</v>
      </c>
      <c r="L599" s="4">
        <f>ROUNDDOWN(Table1[[#This Row],[Ordered]],0)</f>
        <v>45297</v>
      </c>
      <c r="M599" s="4">
        <f>Table1[[#This Row],[Date ]]</f>
        <v>45297</v>
      </c>
      <c r="N599" s="5">
        <f>Table1[[#This Row],[Ordered]]-Table1[[#This Row],[Date ]]</f>
        <v>4.1666666664241347E-2</v>
      </c>
      <c r="O599">
        <f>Table1[[#This Row],[Company]]</f>
        <v>9</v>
      </c>
      <c r="P599">
        <f>IF(((Table1[[#This Row],[Arrived]]-Table1[[#This Row],[Delivery]])*24-Table1[[#This Row],[Promised]])&lt;0, 0, (Table1[[#This Row],[Arrived]]-Table1[[#This Row],[Delivery]])*24-Table1[[#This Row],[Promised]])</f>
        <v>0</v>
      </c>
      <c r="Q599"/>
    </row>
    <row r="600" spans="1:17" x14ac:dyDescent="0.45">
      <c r="A600" s="3">
        <v>45297.041666666664</v>
      </c>
      <c r="B600" t="s">
        <v>14</v>
      </c>
      <c r="C600">
        <v>16</v>
      </c>
      <c r="D600">
        <v>1003</v>
      </c>
      <c r="E600" t="s">
        <v>15</v>
      </c>
      <c r="F600">
        <v>3</v>
      </c>
      <c r="G600">
        <v>6650</v>
      </c>
      <c r="H600">
        <v>19950</v>
      </c>
      <c r="I600" s="3">
        <v>45297.166666666664</v>
      </c>
      <c r="J600">
        <v>96</v>
      </c>
      <c r="K600" s="3">
        <v>45300.166666666664</v>
      </c>
      <c r="L600" s="4">
        <f>ROUNDDOWN(Table1[[#This Row],[Ordered]],0)</f>
        <v>45297</v>
      </c>
      <c r="M600" s="4">
        <f>Table1[[#This Row],[Date ]]</f>
        <v>45297</v>
      </c>
      <c r="N600" s="5">
        <f>Table1[[#This Row],[Ordered]]-Table1[[#This Row],[Date ]]</f>
        <v>4.1666666664241347E-2</v>
      </c>
      <c r="O600">
        <f>Table1[[#This Row],[Company]]</f>
        <v>16</v>
      </c>
      <c r="P600">
        <f>IF(((Table1[[#This Row],[Arrived]]-Table1[[#This Row],[Delivery]])*24-Table1[[#This Row],[Promised]])&lt;0, 0, (Table1[[#This Row],[Arrived]]-Table1[[#This Row],[Delivery]])*24-Table1[[#This Row],[Promised]])</f>
        <v>0</v>
      </c>
      <c r="Q600"/>
    </row>
    <row r="601" spans="1:17" x14ac:dyDescent="0.45">
      <c r="A601" s="3">
        <v>45297.041666666664</v>
      </c>
      <c r="B601" t="s">
        <v>14</v>
      </c>
      <c r="C601">
        <v>7</v>
      </c>
      <c r="D601">
        <v>1003</v>
      </c>
      <c r="E601" t="s">
        <v>15</v>
      </c>
      <c r="F601">
        <v>3</v>
      </c>
      <c r="G601">
        <v>6650</v>
      </c>
      <c r="H601">
        <v>19950</v>
      </c>
      <c r="I601" s="3">
        <v>45297.333333333336</v>
      </c>
      <c r="J601">
        <v>96</v>
      </c>
      <c r="K601" s="3">
        <v>45300.333333333336</v>
      </c>
      <c r="L601" s="4">
        <f>ROUNDDOWN(Table1[[#This Row],[Ordered]],0)</f>
        <v>45297</v>
      </c>
      <c r="M601" s="4">
        <f>Table1[[#This Row],[Date ]]</f>
        <v>45297</v>
      </c>
      <c r="N601" s="5">
        <f>Table1[[#This Row],[Ordered]]-Table1[[#This Row],[Date ]]</f>
        <v>4.1666666664241347E-2</v>
      </c>
      <c r="O601">
        <f>Table1[[#This Row],[Company]]</f>
        <v>7</v>
      </c>
      <c r="P601">
        <f>IF(((Table1[[#This Row],[Arrived]]-Table1[[#This Row],[Delivery]])*24-Table1[[#This Row],[Promised]])&lt;0, 0, (Table1[[#This Row],[Arrived]]-Table1[[#This Row],[Delivery]])*24-Table1[[#This Row],[Promised]])</f>
        <v>0</v>
      </c>
      <c r="Q601"/>
    </row>
    <row r="602" spans="1:17" x14ac:dyDescent="0.45">
      <c r="A602" s="3">
        <v>45297.041666666664</v>
      </c>
      <c r="B602" t="s">
        <v>14</v>
      </c>
      <c r="C602">
        <v>14</v>
      </c>
      <c r="D602">
        <v>1003</v>
      </c>
      <c r="E602" t="s">
        <v>15</v>
      </c>
      <c r="F602">
        <v>2</v>
      </c>
      <c r="G602">
        <v>6650</v>
      </c>
      <c r="H602">
        <v>13300</v>
      </c>
      <c r="I602" s="3">
        <v>45297.458333333336</v>
      </c>
      <c r="J602">
        <v>96</v>
      </c>
      <c r="K602" s="3">
        <v>45300.458333333336</v>
      </c>
      <c r="L602" s="4">
        <f>ROUNDDOWN(Table1[[#This Row],[Ordered]],0)</f>
        <v>45297</v>
      </c>
      <c r="M602" s="4">
        <f>Table1[[#This Row],[Date ]]</f>
        <v>45297</v>
      </c>
      <c r="N602" s="5">
        <f>Table1[[#This Row],[Ordered]]-Table1[[#This Row],[Date ]]</f>
        <v>4.1666666664241347E-2</v>
      </c>
      <c r="O602">
        <f>Table1[[#This Row],[Company]]</f>
        <v>14</v>
      </c>
      <c r="P602">
        <f>IF(((Table1[[#This Row],[Arrived]]-Table1[[#This Row],[Delivery]])*24-Table1[[#This Row],[Promised]])&lt;0, 0, (Table1[[#This Row],[Arrived]]-Table1[[#This Row],[Delivery]])*24-Table1[[#This Row],[Promised]])</f>
        <v>0</v>
      </c>
      <c r="Q602"/>
    </row>
    <row r="603" spans="1:17" hidden="1" x14ac:dyDescent="0.45">
      <c r="A603" s="3">
        <v>45297.166666666664</v>
      </c>
      <c r="B603" t="s">
        <v>12</v>
      </c>
      <c r="C603">
        <v>2</v>
      </c>
      <c r="D603">
        <v>8</v>
      </c>
      <c r="E603" t="s">
        <v>13</v>
      </c>
      <c r="F603">
        <v>1000</v>
      </c>
      <c r="G603">
        <v>120</v>
      </c>
      <c r="H603">
        <v>120000</v>
      </c>
      <c r="I603" s="3">
        <v>45297.25</v>
      </c>
      <c r="J603">
        <v>72</v>
      </c>
      <c r="K603" s="3">
        <v>45300.25</v>
      </c>
      <c r="L603" s="4">
        <f>ROUNDDOWN(Table1[[#This Row],[Ordered]],0)</f>
        <v>45297</v>
      </c>
      <c r="M603" s="4">
        <f>Table1[[#This Row],[Date ]]</f>
        <v>45297</v>
      </c>
      <c r="N603" s="5">
        <f>Table1[[#This Row],[Ordered]]-Table1[[#This Row],[Date ]]</f>
        <v>0.16666666666424135</v>
      </c>
      <c r="O603">
        <f>Table1[[#This Row],[Company]]</f>
        <v>2</v>
      </c>
      <c r="P603">
        <f>IF(((Table1[[#This Row],[Arrived]]-Table1[[#This Row],[Delivery]])*24-Table1[[#This Row],[Promised]])&lt;0, 0, (Table1[[#This Row],[Arrived]]-Table1[[#This Row],[Delivery]])*24-Table1[[#This Row],[Promised]])</f>
        <v>0</v>
      </c>
      <c r="Q603"/>
    </row>
    <row r="604" spans="1:17" x14ac:dyDescent="0.45">
      <c r="A604" s="3">
        <v>45297.166666666664</v>
      </c>
      <c r="B604" t="s">
        <v>14</v>
      </c>
      <c r="C604">
        <v>16</v>
      </c>
      <c r="D604">
        <v>1010</v>
      </c>
      <c r="E604" t="s">
        <v>15</v>
      </c>
      <c r="F604">
        <v>8</v>
      </c>
      <c r="G604">
        <v>6650</v>
      </c>
      <c r="H604">
        <v>53200</v>
      </c>
      <c r="I604" s="3">
        <v>45297.166666666664</v>
      </c>
      <c r="J604">
        <v>96</v>
      </c>
      <c r="K604" s="3">
        <v>45300.166666666664</v>
      </c>
      <c r="L604" s="4">
        <f>ROUNDDOWN(Table1[[#This Row],[Ordered]],0)</f>
        <v>45297</v>
      </c>
      <c r="M604" s="4">
        <f>Table1[[#This Row],[Date ]]</f>
        <v>45297</v>
      </c>
      <c r="N604" s="5">
        <f>Table1[[#This Row],[Ordered]]-Table1[[#This Row],[Date ]]</f>
        <v>0.16666666666424135</v>
      </c>
      <c r="O604">
        <f>Table1[[#This Row],[Company]]</f>
        <v>16</v>
      </c>
      <c r="P604">
        <f>IF(((Table1[[#This Row],[Arrived]]-Table1[[#This Row],[Delivery]])*24-Table1[[#This Row],[Promised]])&lt;0, 0, (Table1[[#This Row],[Arrived]]-Table1[[#This Row],[Delivery]])*24-Table1[[#This Row],[Promised]])</f>
        <v>0</v>
      </c>
      <c r="Q604"/>
    </row>
    <row r="605" spans="1:17" x14ac:dyDescent="0.45">
      <c r="A605" s="3">
        <v>45297.166666666664</v>
      </c>
      <c r="B605" t="s">
        <v>14</v>
      </c>
      <c r="C605">
        <v>10</v>
      </c>
      <c r="D605">
        <v>1010</v>
      </c>
      <c r="E605" t="s">
        <v>15</v>
      </c>
      <c r="F605">
        <v>3</v>
      </c>
      <c r="G605">
        <v>6800</v>
      </c>
      <c r="H605">
        <v>20400</v>
      </c>
      <c r="I605" s="3">
        <v>45297.166666666664</v>
      </c>
      <c r="J605">
        <v>96</v>
      </c>
      <c r="K605" s="3">
        <v>45300.166666666664</v>
      </c>
      <c r="L605" s="4">
        <f>ROUNDDOWN(Table1[[#This Row],[Ordered]],0)</f>
        <v>45297</v>
      </c>
      <c r="M605" s="4">
        <f>Table1[[#This Row],[Date ]]</f>
        <v>45297</v>
      </c>
      <c r="N605" s="5">
        <f>Table1[[#This Row],[Ordered]]-Table1[[#This Row],[Date ]]</f>
        <v>0.16666666666424135</v>
      </c>
      <c r="O605">
        <f>Table1[[#This Row],[Company]]</f>
        <v>10</v>
      </c>
      <c r="P605">
        <f>IF(((Table1[[#This Row],[Arrived]]-Table1[[#This Row],[Delivery]])*24-Table1[[#This Row],[Promised]])&lt;0, 0, (Table1[[#This Row],[Arrived]]-Table1[[#This Row],[Delivery]])*24-Table1[[#This Row],[Promised]])</f>
        <v>0</v>
      </c>
      <c r="Q605"/>
    </row>
    <row r="606" spans="1:17" x14ac:dyDescent="0.45">
      <c r="A606" s="3">
        <v>45297.166666666664</v>
      </c>
      <c r="B606" t="s">
        <v>14</v>
      </c>
      <c r="C606">
        <v>14</v>
      </c>
      <c r="D606">
        <v>1010</v>
      </c>
      <c r="E606" t="s">
        <v>15</v>
      </c>
      <c r="F606">
        <v>4</v>
      </c>
      <c r="G606">
        <v>6650</v>
      </c>
      <c r="H606">
        <v>26600</v>
      </c>
      <c r="I606" s="3">
        <v>45297.5</v>
      </c>
      <c r="J606">
        <v>96</v>
      </c>
      <c r="K606" s="3">
        <v>45300.541666666664</v>
      </c>
      <c r="L606" s="4">
        <f>ROUNDDOWN(Table1[[#This Row],[Ordered]],0)</f>
        <v>45297</v>
      </c>
      <c r="M606" s="4">
        <f>Table1[[#This Row],[Date ]]</f>
        <v>45297</v>
      </c>
      <c r="N606" s="5">
        <f>Table1[[#This Row],[Ordered]]-Table1[[#This Row],[Date ]]</f>
        <v>0.16666666666424135</v>
      </c>
      <c r="O606">
        <f>Table1[[#This Row],[Company]]</f>
        <v>14</v>
      </c>
      <c r="P606">
        <f>IF(((Table1[[#This Row],[Arrived]]-Table1[[#This Row],[Delivery]])*24-Table1[[#This Row],[Promised]])&lt;0, 0, (Table1[[#This Row],[Arrived]]-Table1[[#This Row],[Delivery]])*24-Table1[[#This Row],[Promised]])</f>
        <v>0</v>
      </c>
      <c r="Q606"/>
    </row>
    <row r="607" spans="1:17" x14ac:dyDescent="0.45">
      <c r="A607" s="3">
        <v>45297.166666666664</v>
      </c>
      <c r="B607" t="s">
        <v>14</v>
      </c>
      <c r="C607">
        <v>12</v>
      </c>
      <c r="D607">
        <v>1010</v>
      </c>
      <c r="E607" t="s">
        <v>15</v>
      </c>
      <c r="F607">
        <v>9</v>
      </c>
      <c r="G607">
        <v>6850</v>
      </c>
      <c r="H607">
        <v>61650</v>
      </c>
      <c r="I607" s="3">
        <v>45297.5</v>
      </c>
      <c r="J607">
        <v>72</v>
      </c>
      <c r="K607" s="3">
        <v>45299.5</v>
      </c>
      <c r="L607" s="4">
        <f>ROUNDDOWN(Table1[[#This Row],[Ordered]],0)</f>
        <v>45297</v>
      </c>
      <c r="M607" s="4">
        <f>Table1[[#This Row],[Date ]]</f>
        <v>45297</v>
      </c>
      <c r="N607" s="5">
        <f>Table1[[#This Row],[Ordered]]-Table1[[#This Row],[Date ]]</f>
        <v>0.16666666666424135</v>
      </c>
      <c r="O607">
        <f>Table1[[#This Row],[Company]]</f>
        <v>12</v>
      </c>
      <c r="P607">
        <f>IF(((Table1[[#This Row],[Arrived]]-Table1[[#This Row],[Delivery]])*24-Table1[[#This Row],[Promised]])&lt;0, 0, (Table1[[#This Row],[Arrived]]-Table1[[#This Row],[Delivery]])*24-Table1[[#This Row],[Promised]])</f>
        <v>0</v>
      </c>
      <c r="Q607"/>
    </row>
    <row r="608" spans="1:17" x14ac:dyDescent="0.45">
      <c r="A608" s="3">
        <v>45297.166666666664</v>
      </c>
      <c r="B608" t="s">
        <v>14</v>
      </c>
      <c r="C608">
        <v>15</v>
      </c>
      <c r="D608">
        <v>1010</v>
      </c>
      <c r="E608" t="s">
        <v>15</v>
      </c>
      <c r="F608">
        <v>4</v>
      </c>
      <c r="G608">
        <v>6650</v>
      </c>
      <c r="H608">
        <v>26600</v>
      </c>
      <c r="I608" s="3">
        <v>45297.541666666664</v>
      </c>
      <c r="J608">
        <v>96</v>
      </c>
      <c r="K608" s="3">
        <v>45300.541666666664</v>
      </c>
      <c r="L608" s="4">
        <f>ROUNDDOWN(Table1[[#This Row],[Ordered]],0)</f>
        <v>45297</v>
      </c>
      <c r="M608" s="4">
        <f>Table1[[#This Row],[Date ]]</f>
        <v>45297</v>
      </c>
      <c r="N608" s="5">
        <f>Table1[[#This Row],[Ordered]]-Table1[[#This Row],[Date ]]</f>
        <v>0.16666666666424135</v>
      </c>
      <c r="O608">
        <f>Table1[[#This Row],[Company]]</f>
        <v>15</v>
      </c>
      <c r="P608">
        <f>IF(((Table1[[#This Row],[Arrived]]-Table1[[#This Row],[Delivery]])*24-Table1[[#This Row],[Promised]])&lt;0, 0, (Table1[[#This Row],[Arrived]]-Table1[[#This Row],[Delivery]])*24-Table1[[#This Row],[Promised]])</f>
        <v>0</v>
      </c>
      <c r="Q608"/>
    </row>
    <row r="609" spans="1:17" x14ac:dyDescent="0.45">
      <c r="A609" s="3">
        <v>45297.166666666664</v>
      </c>
      <c r="B609" t="s">
        <v>14</v>
      </c>
      <c r="C609">
        <v>13</v>
      </c>
      <c r="D609">
        <v>1010</v>
      </c>
      <c r="E609" t="s">
        <v>15</v>
      </c>
      <c r="F609">
        <v>3</v>
      </c>
      <c r="G609">
        <v>6650</v>
      </c>
      <c r="H609">
        <v>19950</v>
      </c>
      <c r="I609" s="3">
        <v>45297.833333333336</v>
      </c>
      <c r="J609">
        <v>96</v>
      </c>
      <c r="K609" s="3">
        <v>45300.833333333336</v>
      </c>
      <c r="L609" s="4">
        <f>ROUNDDOWN(Table1[[#This Row],[Ordered]],0)</f>
        <v>45297</v>
      </c>
      <c r="M609" s="4">
        <f>Table1[[#This Row],[Date ]]</f>
        <v>45297</v>
      </c>
      <c r="N609" s="5">
        <f>Table1[[#This Row],[Ordered]]-Table1[[#This Row],[Date ]]</f>
        <v>0.16666666666424135</v>
      </c>
      <c r="O609">
        <f>Table1[[#This Row],[Company]]</f>
        <v>13</v>
      </c>
      <c r="P609">
        <f>IF(((Table1[[#This Row],[Arrived]]-Table1[[#This Row],[Delivery]])*24-Table1[[#This Row],[Promised]])&lt;0, 0, (Table1[[#This Row],[Arrived]]-Table1[[#This Row],[Delivery]])*24-Table1[[#This Row],[Promised]])</f>
        <v>0</v>
      </c>
      <c r="Q609"/>
    </row>
    <row r="610" spans="1:17" x14ac:dyDescent="0.45">
      <c r="A610" s="3">
        <v>45297.166666666664</v>
      </c>
      <c r="B610" t="s">
        <v>14</v>
      </c>
      <c r="C610">
        <v>9</v>
      </c>
      <c r="D610">
        <v>1010</v>
      </c>
      <c r="E610" t="s">
        <v>15</v>
      </c>
      <c r="F610">
        <v>6</v>
      </c>
      <c r="G610">
        <v>6650</v>
      </c>
      <c r="H610">
        <v>39900</v>
      </c>
      <c r="I610" s="3">
        <v>45298</v>
      </c>
      <c r="J610">
        <v>96</v>
      </c>
      <c r="K610" s="3">
        <v>45301</v>
      </c>
      <c r="L610" s="4">
        <f>ROUNDDOWN(Table1[[#This Row],[Ordered]],0)</f>
        <v>45297</v>
      </c>
      <c r="M610" s="4">
        <f>Table1[[#This Row],[Date ]]</f>
        <v>45297</v>
      </c>
      <c r="N610" s="5">
        <f>Table1[[#This Row],[Ordered]]-Table1[[#This Row],[Date ]]</f>
        <v>0.16666666666424135</v>
      </c>
      <c r="O610">
        <f>Table1[[#This Row],[Company]]</f>
        <v>9</v>
      </c>
      <c r="P610">
        <f>IF(((Table1[[#This Row],[Arrived]]-Table1[[#This Row],[Delivery]])*24-Table1[[#This Row],[Promised]])&lt;0, 0, (Table1[[#This Row],[Arrived]]-Table1[[#This Row],[Delivery]])*24-Table1[[#This Row],[Promised]])</f>
        <v>0</v>
      </c>
      <c r="Q610"/>
    </row>
    <row r="611" spans="1:17" hidden="1" x14ac:dyDescent="0.45">
      <c r="A611" s="3">
        <v>45297.166666666664</v>
      </c>
      <c r="B611" t="s">
        <v>12</v>
      </c>
      <c r="C611">
        <v>6</v>
      </c>
      <c r="D611">
        <v>7</v>
      </c>
      <c r="E611" t="s">
        <v>18</v>
      </c>
      <c r="F611">
        <v>2000</v>
      </c>
      <c r="G611">
        <v>10</v>
      </c>
      <c r="H611">
        <v>20000</v>
      </c>
      <c r="I611" s="3">
        <v>45297.291666666664</v>
      </c>
      <c r="J611">
        <v>72</v>
      </c>
      <c r="K611" s="3">
        <v>45300.291666666664</v>
      </c>
      <c r="L611" s="4">
        <f>ROUNDDOWN(Table1[[#This Row],[Ordered]],0)</f>
        <v>45297</v>
      </c>
      <c r="M611" s="4">
        <f>Table1[[#This Row],[Date ]]</f>
        <v>45297</v>
      </c>
      <c r="N611" s="5">
        <f>Table1[[#This Row],[Ordered]]-Table1[[#This Row],[Date ]]</f>
        <v>0.16666666666424135</v>
      </c>
      <c r="O611">
        <f>Table1[[#This Row],[Company]]</f>
        <v>6</v>
      </c>
      <c r="P611">
        <f>IF(((Table1[[#This Row],[Arrived]]-Table1[[#This Row],[Delivery]])*24-Table1[[#This Row],[Promised]])&lt;0, 0, (Table1[[#This Row],[Arrived]]-Table1[[#This Row],[Delivery]])*24-Table1[[#This Row],[Promised]])</f>
        <v>0</v>
      </c>
      <c r="Q611"/>
    </row>
    <row r="612" spans="1:17" x14ac:dyDescent="0.45">
      <c r="A612" s="3">
        <v>45297.166666666664</v>
      </c>
      <c r="B612" t="s">
        <v>14</v>
      </c>
      <c r="C612">
        <v>7</v>
      </c>
      <c r="D612">
        <v>1010</v>
      </c>
      <c r="E612" t="s">
        <v>15</v>
      </c>
      <c r="F612">
        <v>7</v>
      </c>
      <c r="G612">
        <v>6650</v>
      </c>
      <c r="H612">
        <v>46550</v>
      </c>
      <c r="I612" s="3">
        <v>45297.375</v>
      </c>
      <c r="J612">
        <v>96</v>
      </c>
      <c r="K612" s="3">
        <v>45300.375</v>
      </c>
      <c r="L612" s="4">
        <f>ROUNDDOWN(Table1[[#This Row],[Ordered]],0)</f>
        <v>45297</v>
      </c>
      <c r="M612" s="4">
        <f>Table1[[#This Row],[Date ]]</f>
        <v>45297</v>
      </c>
      <c r="N612" s="5">
        <f>Table1[[#This Row],[Ordered]]-Table1[[#This Row],[Date ]]</f>
        <v>0.16666666666424135</v>
      </c>
      <c r="O612">
        <f>Table1[[#This Row],[Company]]</f>
        <v>7</v>
      </c>
      <c r="P612">
        <f>IF(((Table1[[#This Row],[Arrived]]-Table1[[#This Row],[Delivery]])*24-Table1[[#This Row],[Promised]])&lt;0, 0, (Table1[[#This Row],[Arrived]]-Table1[[#This Row],[Delivery]])*24-Table1[[#This Row],[Promised]])</f>
        <v>0</v>
      </c>
      <c r="Q612"/>
    </row>
    <row r="613" spans="1:17" hidden="1" x14ac:dyDescent="0.45">
      <c r="A613" s="3">
        <v>45297.208333333336</v>
      </c>
      <c r="B613" t="s">
        <v>12</v>
      </c>
      <c r="C613">
        <v>3</v>
      </c>
      <c r="D613">
        <v>10</v>
      </c>
      <c r="E613" t="s">
        <v>13</v>
      </c>
      <c r="F613">
        <v>2500</v>
      </c>
      <c r="G613">
        <v>128</v>
      </c>
      <c r="H613">
        <v>320000</v>
      </c>
      <c r="I613" s="3">
        <v>45297.291666666664</v>
      </c>
      <c r="J613">
        <v>24</v>
      </c>
      <c r="K613" s="3">
        <v>45298.291666666664</v>
      </c>
      <c r="L613" s="4">
        <f>ROUNDDOWN(Table1[[#This Row],[Ordered]],0)</f>
        <v>45297</v>
      </c>
      <c r="M613" s="4">
        <f>Table1[[#This Row],[Date ]]</f>
        <v>45297</v>
      </c>
      <c r="N613" s="5">
        <f>Table1[[#This Row],[Ordered]]-Table1[[#This Row],[Date ]]</f>
        <v>0.20833333333575865</v>
      </c>
      <c r="O613" s="5">
        <f>Table1[[#This Row],[Company]]</f>
        <v>3</v>
      </c>
      <c r="P613">
        <f>IF(((Table1[[#This Row],[Arrived]]-Table1[[#This Row],[Delivery]])*24-Table1[[#This Row],[Promised]])&lt;0, 0, (Table1[[#This Row],[Arrived]]-Table1[[#This Row],[Delivery]])*24-Table1[[#This Row],[Promised]])</f>
        <v>0</v>
      </c>
      <c r="Q613"/>
    </row>
    <row r="614" spans="1:17" x14ac:dyDescent="0.45">
      <c r="A614" s="3">
        <v>45297.25</v>
      </c>
      <c r="B614" t="s">
        <v>14</v>
      </c>
      <c r="C614">
        <v>14</v>
      </c>
      <c r="D614">
        <v>1010</v>
      </c>
      <c r="E614" t="s">
        <v>16</v>
      </c>
      <c r="F614">
        <v>24</v>
      </c>
      <c r="G614">
        <v>3750</v>
      </c>
      <c r="H614">
        <v>90000</v>
      </c>
      <c r="I614" s="3">
        <v>45297.75</v>
      </c>
      <c r="J614">
        <v>96</v>
      </c>
      <c r="K614" s="3">
        <v>45300.75</v>
      </c>
      <c r="L614" s="4">
        <f>ROUNDDOWN(Table1[[#This Row],[Ordered]],0)</f>
        <v>45297</v>
      </c>
      <c r="M614" s="4">
        <f>Table1[[#This Row],[Date ]]</f>
        <v>45297</v>
      </c>
      <c r="N614" s="5">
        <f>Table1[[#This Row],[Ordered]]-Table1[[#This Row],[Date ]]</f>
        <v>0.25</v>
      </c>
      <c r="O614">
        <f>Table1[[#This Row],[Company]]</f>
        <v>14</v>
      </c>
      <c r="P614">
        <f>IF(((Table1[[#This Row],[Arrived]]-Table1[[#This Row],[Delivery]])*24-Table1[[#This Row],[Promised]])&lt;0, 0, (Table1[[#This Row],[Arrived]]-Table1[[#This Row],[Delivery]])*24-Table1[[#This Row],[Promised]])</f>
        <v>0</v>
      </c>
      <c r="Q614"/>
    </row>
    <row r="615" spans="1:17" x14ac:dyDescent="0.45">
      <c r="A615" s="3">
        <v>45297.25</v>
      </c>
      <c r="B615" t="s">
        <v>14</v>
      </c>
      <c r="C615">
        <v>8</v>
      </c>
      <c r="D615">
        <v>1010</v>
      </c>
      <c r="E615" t="s">
        <v>16</v>
      </c>
      <c r="F615">
        <v>30</v>
      </c>
      <c r="G615">
        <v>3300</v>
      </c>
      <c r="H615">
        <v>99000</v>
      </c>
      <c r="I615" s="3">
        <v>45298.041666666664</v>
      </c>
      <c r="J615">
        <v>96</v>
      </c>
      <c r="K615" s="3">
        <v>45301.041666666664</v>
      </c>
      <c r="L615" s="4">
        <f>ROUNDDOWN(Table1[[#This Row],[Ordered]],0)</f>
        <v>45297</v>
      </c>
      <c r="M615" s="4">
        <f>Table1[[#This Row],[Date ]]</f>
        <v>45297</v>
      </c>
      <c r="N615" s="5">
        <f>Table1[[#This Row],[Ordered]]-Table1[[#This Row],[Date ]]</f>
        <v>0.25</v>
      </c>
      <c r="O615">
        <f>Table1[[#This Row],[Company]]</f>
        <v>8</v>
      </c>
      <c r="P615">
        <f>IF(((Table1[[#This Row],[Arrived]]-Table1[[#This Row],[Delivery]])*24-Table1[[#This Row],[Promised]])&lt;0, 0, (Table1[[#This Row],[Arrived]]-Table1[[#This Row],[Delivery]])*24-Table1[[#This Row],[Promised]])</f>
        <v>0</v>
      </c>
      <c r="Q615"/>
    </row>
    <row r="616" spans="1:17" x14ac:dyDescent="0.45">
      <c r="A616" s="3">
        <v>45297.25</v>
      </c>
      <c r="B616" t="s">
        <v>14</v>
      </c>
      <c r="C616">
        <v>15</v>
      </c>
      <c r="D616">
        <v>1010</v>
      </c>
      <c r="E616" t="s">
        <v>16</v>
      </c>
      <c r="F616">
        <v>16</v>
      </c>
      <c r="G616">
        <v>3850</v>
      </c>
      <c r="H616">
        <v>61600</v>
      </c>
      <c r="I616" s="3">
        <v>45297.458333333336</v>
      </c>
      <c r="J616">
        <v>92</v>
      </c>
      <c r="K616" s="3">
        <v>45300.458333333336</v>
      </c>
      <c r="L616" s="4">
        <f>ROUNDDOWN(Table1[[#This Row],[Ordered]],0)</f>
        <v>45297</v>
      </c>
      <c r="M616" s="4">
        <f>Table1[[#This Row],[Date ]]</f>
        <v>45297</v>
      </c>
      <c r="N616" s="5">
        <f>Table1[[#This Row],[Ordered]]-Table1[[#This Row],[Date ]]</f>
        <v>0.25</v>
      </c>
      <c r="O616">
        <f>Table1[[#This Row],[Company]]</f>
        <v>15</v>
      </c>
      <c r="P616">
        <f>IF(((Table1[[#This Row],[Arrived]]-Table1[[#This Row],[Delivery]])*24-Table1[[#This Row],[Promised]])&lt;0, 0, (Table1[[#This Row],[Arrived]]-Table1[[#This Row],[Delivery]])*24-Table1[[#This Row],[Promised]])</f>
        <v>0</v>
      </c>
      <c r="Q616"/>
    </row>
    <row r="617" spans="1:17" x14ac:dyDescent="0.45">
      <c r="A617" s="3">
        <v>45297.25</v>
      </c>
      <c r="B617" t="s">
        <v>14</v>
      </c>
      <c r="C617">
        <v>16</v>
      </c>
      <c r="D617">
        <v>1010</v>
      </c>
      <c r="E617" t="s">
        <v>16</v>
      </c>
      <c r="F617">
        <v>30</v>
      </c>
      <c r="G617">
        <v>3750</v>
      </c>
      <c r="H617">
        <v>112500</v>
      </c>
      <c r="I617" s="3">
        <v>45297.458333333336</v>
      </c>
      <c r="J617">
        <v>96</v>
      </c>
      <c r="K617" s="3">
        <v>45300.458333333336</v>
      </c>
      <c r="L617" s="4">
        <f>ROUNDDOWN(Table1[[#This Row],[Ordered]],0)</f>
        <v>45297</v>
      </c>
      <c r="M617" s="4">
        <f>Table1[[#This Row],[Date ]]</f>
        <v>45297</v>
      </c>
      <c r="N617" s="5">
        <f>Table1[[#This Row],[Ordered]]-Table1[[#This Row],[Date ]]</f>
        <v>0.25</v>
      </c>
      <c r="O617">
        <f>Table1[[#This Row],[Company]]</f>
        <v>16</v>
      </c>
      <c r="P617">
        <f>IF(((Table1[[#This Row],[Arrived]]-Table1[[#This Row],[Delivery]])*24-Table1[[#This Row],[Promised]])&lt;0, 0, (Table1[[#This Row],[Arrived]]-Table1[[#This Row],[Delivery]])*24-Table1[[#This Row],[Promised]])</f>
        <v>0</v>
      </c>
      <c r="Q617"/>
    </row>
    <row r="618" spans="1:17" x14ac:dyDescent="0.45">
      <c r="A618" s="3">
        <v>45297.25</v>
      </c>
      <c r="B618" t="s">
        <v>14</v>
      </c>
      <c r="C618">
        <v>7</v>
      </c>
      <c r="D618">
        <v>1010</v>
      </c>
      <c r="E618" t="s">
        <v>16</v>
      </c>
      <c r="F618">
        <v>28</v>
      </c>
      <c r="G618">
        <v>3650</v>
      </c>
      <c r="H618">
        <v>102200</v>
      </c>
      <c r="I618" s="3">
        <v>45297.375</v>
      </c>
      <c r="J618">
        <v>96</v>
      </c>
      <c r="K618" s="3">
        <v>45300.375</v>
      </c>
      <c r="L618" s="4">
        <f>ROUNDDOWN(Table1[[#This Row],[Ordered]],0)</f>
        <v>45297</v>
      </c>
      <c r="M618" s="4">
        <f>Table1[[#This Row],[Date ]]</f>
        <v>45297</v>
      </c>
      <c r="N618" s="5">
        <f>Table1[[#This Row],[Ordered]]-Table1[[#This Row],[Date ]]</f>
        <v>0.25</v>
      </c>
      <c r="O618">
        <f>Table1[[#This Row],[Company]]</f>
        <v>7</v>
      </c>
      <c r="P618">
        <f>IF(((Table1[[#This Row],[Arrived]]-Table1[[#This Row],[Delivery]])*24-Table1[[#This Row],[Promised]])&lt;0, 0, (Table1[[#This Row],[Arrived]]-Table1[[#This Row],[Delivery]])*24-Table1[[#This Row],[Promised]])</f>
        <v>0</v>
      </c>
      <c r="Q618"/>
    </row>
    <row r="619" spans="1:17" x14ac:dyDescent="0.45">
      <c r="A619" s="3">
        <v>45297.25</v>
      </c>
      <c r="B619" t="s">
        <v>14</v>
      </c>
      <c r="C619">
        <v>10</v>
      </c>
      <c r="D619">
        <v>1010</v>
      </c>
      <c r="E619" t="s">
        <v>16</v>
      </c>
      <c r="F619">
        <v>30</v>
      </c>
      <c r="G619">
        <v>3900</v>
      </c>
      <c r="H619">
        <v>117000</v>
      </c>
      <c r="I619" s="3">
        <v>45297.25</v>
      </c>
      <c r="J619">
        <v>48</v>
      </c>
      <c r="K619" s="3">
        <v>45299.25</v>
      </c>
      <c r="L619" s="4">
        <f>ROUNDDOWN(Table1[[#This Row],[Ordered]],0)</f>
        <v>45297</v>
      </c>
      <c r="M619" s="4">
        <f>Table1[[#This Row],[Date ]]</f>
        <v>45297</v>
      </c>
      <c r="N619" s="5">
        <f>Table1[[#This Row],[Ordered]]-Table1[[#This Row],[Date ]]</f>
        <v>0.25</v>
      </c>
      <c r="O619">
        <f>Table1[[#This Row],[Company]]</f>
        <v>10</v>
      </c>
      <c r="P619">
        <f>IF(((Table1[[#This Row],[Arrived]]-Table1[[#This Row],[Delivery]])*24-Table1[[#This Row],[Promised]])&lt;0, 0, (Table1[[#This Row],[Arrived]]-Table1[[#This Row],[Delivery]])*24-Table1[[#This Row],[Promised]])</f>
        <v>0</v>
      </c>
      <c r="Q619"/>
    </row>
    <row r="620" spans="1:17" x14ac:dyDescent="0.45">
      <c r="A620" s="3">
        <v>45297.25</v>
      </c>
      <c r="B620" t="s">
        <v>14</v>
      </c>
      <c r="C620">
        <v>11</v>
      </c>
      <c r="D620">
        <v>1010</v>
      </c>
      <c r="E620" t="s">
        <v>16</v>
      </c>
      <c r="F620">
        <v>21</v>
      </c>
      <c r="G620">
        <v>3750</v>
      </c>
      <c r="H620">
        <v>78750</v>
      </c>
      <c r="I620" s="3">
        <v>45298.791666666664</v>
      </c>
      <c r="J620">
        <v>96</v>
      </c>
      <c r="K620" s="3">
        <v>45300.791666666664</v>
      </c>
      <c r="L620" s="4">
        <f>ROUNDDOWN(Table1[[#This Row],[Ordered]],0)</f>
        <v>45297</v>
      </c>
      <c r="M620" s="4">
        <f>Table1[[#This Row],[Date ]]</f>
        <v>45297</v>
      </c>
      <c r="N620" s="5">
        <f>Table1[[#This Row],[Ordered]]-Table1[[#This Row],[Date ]]</f>
        <v>0.25</v>
      </c>
      <c r="O620">
        <f>Table1[[#This Row],[Company]]</f>
        <v>11</v>
      </c>
      <c r="P620">
        <f>IF(((Table1[[#This Row],[Arrived]]-Table1[[#This Row],[Delivery]])*24-Table1[[#This Row],[Promised]])&lt;0, 0, (Table1[[#This Row],[Arrived]]-Table1[[#This Row],[Delivery]])*24-Table1[[#This Row],[Promised]])</f>
        <v>0</v>
      </c>
      <c r="Q620"/>
    </row>
    <row r="621" spans="1:17" x14ac:dyDescent="0.45">
      <c r="A621" s="3">
        <v>45297.25</v>
      </c>
      <c r="B621" t="s">
        <v>14</v>
      </c>
      <c r="C621">
        <v>9</v>
      </c>
      <c r="D621">
        <v>1010</v>
      </c>
      <c r="E621" t="s">
        <v>16</v>
      </c>
      <c r="F621">
        <v>30</v>
      </c>
      <c r="G621">
        <v>3550</v>
      </c>
      <c r="H621">
        <v>106500</v>
      </c>
      <c r="I621" s="3">
        <v>45298.166666666664</v>
      </c>
      <c r="J621">
        <v>96</v>
      </c>
      <c r="K621" s="3">
        <v>45301.166666666664</v>
      </c>
      <c r="L621" s="4">
        <f>ROUNDDOWN(Table1[[#This Row],[Ordered]],0)</f>
        <v>45297</v>
      </c>
      <c r="M621" s="4">
        <f>Table1[[#This Row],[Date ]]</f>
        <v>45297</v>
      </c>
      <c r="N621" s="5">
        <f>Table1[[#This Row],[Ordered]]-Table1[[#This Row],[Date ]]</f>
        <v>0.25</v>
      </c>
      <c r="O621">
        <f>Table1[[#This Row],[Company]]</f>
        <v>9</v>
      </c>
      <c r="P621">
        <f>IF(((Table1[[#This Row],[Arrived]]-Table1[[#This Row],[Delivery]])*24-Table1[[#This Row],[Promised]])&lt;0, 0, (Table1[[#This Row],[Arrived]]-Table1[[#This Row],[Delivery]])*24-Table1[[#This Row],[Promised]])</f>
        <v>0</v>
      </c>
      <c r="Q621"/>
    </row>
    <row r="622" spans="1:17" x14ac:dyDescent="0.45">
      <c r="A622" s="3">
        <v>45297.25</v>
      </c>
      <c r="B622" t="s">
        <v>14</v>
      </c>
      <c r="C622">
        <v>12</v>
      </c>
      <c r="D622">
        <v>1010</v>
      </c>
      <c r="E622" t="s">
        <v>16</v>
      </c>
      <c r="F622">
        <v>15</v>
      </c>
      <c r="G622">
        <v>3950</v>
      </c>
      <c r="H622">
        <v>59250</v>
      </c>
      <c r="I622" s="3">
        <v>45297.25</v>
      </c>
      <c r="J622">
        <v>60</v>
      </c>
      <c r="K622" s="3">
        <v>45299.416666666664</v>
      </c>
      <c r="L622" s="4">
        <f>ROUNDDOWN(Table1[[#This Row],[Ordered]],0)</f>
        <v>45297</v>
      </c>
      <c r="M622" s="4">
        <f>Table1[[#This Row],[Date ]]</f>
        <v>45297</v>
      </c>
      <c r="N622" s="5">
        <f>Table1[[#This Row],[Ordered]]-Table1[[#This Row],[Date ]]</f>
        <v>0.25</v>
      </c>
      <c r="O622">
        <f>Table1[[#This Row],[Company]]</f>
        <v>12</v>
      </c>
      <c r="P622">
        <f>IF(((Table1[[#This Row],[Arrived]]-Table1[[#This Row],[Delivery]])*24-Table1[[#This Row],[Promised]])&lt;0, 0, (Table1[[#This Row],[Arrived]]-Table1[[#This Row],[Delivery]])*24-Table1[[#This Row],[Promised]])</f>
        <v>0</v>
      </c>
      <c r="Q622"/>
    </row>
    <row r="623" spans="1:17" x14ac:dyDescent="0.45">
      <c r="A623" s="3">
        <v>45297.25</v>
      </c>
      <c r="B623" t="s">
        <v>14</v>
      </c>
      <c r="C623">
        <v>13</v>
      </c>
      <c r="D623">
        <v>1010</v>
      </c>
      <c r="E623" t="s">
        <v>16</v>
      </c>
      <c r="F623">
        <v>19</v>
      </c>
      <c r="G623">
        <v>3750</v>
      </c>
      <c r="H623">
        <v>71250</v>
      </c>
      <c r="I623" s="3">
        <v>45297.958333333336</v>
      </c>
      <c r="J623">
        <v>96</v>
      </c>
      <c r="K623" s="3">
        <v>45300.958333333336</v>
      </c>
      <c r="L623" s="4">
        <f>ROUNDDOWN(Table1[[#This Row],[Ordered]],0)</f>
        <v>45297</v>
      </c>
      <c r="M623" s="4">
        <f>Table1[[#This Row],[Date ]]</f>
        <v>45297</v>
      </c>
      <c r="N623" s="5">
        <f>Table1[[#This Row],[Ordered]]-Table1[[#This Row],[Date ]]</f>
        <v>0.25</v>
      </c>
      <c r="O623">
        <f>Table1[[#This Row],[Company]]</f>
        <v>13</v>
      </c>
      <c r="P623">
        <f>IF(((Table1[[#This Row],[Arrived]]-Table1[[#This Row],[Delivery]])*24-Table1[[#This Row],[Promised]])&lt;0, 0, (Table1[[#This Row],[Arrived]]-Table1[[#This Row],[Delivery]])*24-Table1[[#This Row],[Promised]])</f>
        <v>0</v>
      </c>
      <c r="Q623"/>
    </row>
    <row r="624" spans="1:17" x14ac:dyDescent="0.45">
      <c r="A624" s="3">
        <v>45297.291666666664</v>
      </c>
      <c r="B624" t="s">
        <v>14</v>
      </c>
      <c r="C624">
        <v>11</v>
      </c>
      <c r="D624">
        <v>1002</v>
      </c>
      <c r="E624" t="s">
        <v>16</v>
      </c>
      <c r="F624">
        <v>30</v>
      </c>
      <c r="G624">
        <v>3750</v>
      </c>
      <c r="H624">
        <v>112500</v>
      </c>
      <c r="I624" s="3">
        <v>45298</v>
      </c>
      <c r="J624">
        <v>96</v>
      </c>
      <c r="K624" s="3">
        <v>45301</v>
      </c>
      <c r="L624" s="4">
        <f>ROUNDDOWN(Table1[[#This Row],[Ordered]],0)</f>
        <v>45297</v>
      </c>
      <c r="M624" s="4">
        <f>Table1[[#This Row],[Date ]]</f>
        <v>45297</v>
      </c>
      <c r="N624" s="5">
        <f>Table1[[#This Row],[Ordered]]-Table1[[#This Row],[Date ]]</f>
        <v>0.29166666666424135</v>
      </c>
      <c r="O624">
        <f>Table1[[#This Row],[Company]]</f>
        <v>11</v>
      </c>
      <c r="P624">
        <f>IF(((Table1[[#This Row],[Arrived]]-Table1[[#This Row],[Delivery]])*24-Table1[[#This Row],[Promised]])&lt;0, 0, (Table1[[#This Row],[Arrived]]-Table1[[#This Row],[Delivery]])*24-Table1[[#This Row],[Promised]])</f>
        <v>0</v>
      </c>
      <c r="Q624"/>
    </row>
    <row r="625" spans="1:17" x14ac:dyDescent="0.45">
      <c r="A625" s="3">
        <v>45297.291666666664</v>
      </c>
      <c r="B625" t="s">
        <v>14</v>
      </c>
      <c r="C625">
        <v>12</v>
      </c>
      <c r="D625">
        <v>1002</v>
      </c>
      <c r="E625" t="s">
        <v>16</v>
      </c>
      <c r="F625">
        <v>15</v>
      </c>
      <c r="G625">
        <v>3950</v>
      </c>
      <c r="H625">
        <v>59250</v>
      </c>
      <c r="I625" s="3">
        <v>45297.375</v>
      </c>
      <c r="J625">
        <v>60</v>
      </c>
      <c r="K625" s="3">
        <v>45299.375</v>
      </c>
      <c r="L625" s="4">
        <f>ROUNDDOWN(Table1[[#This Row],[Ordered]],0)</f>
        <v>45297</v>
      </c>
      <c r="M625" s="4">
        <f>Table1[[#This Row],[Date ]]</f>
        <v>45297</v>
      </c>
      <c r="N625" s="5">
        <f>Table1[[#This Row],[Ordered]]-Table1[[#This Row],[Date ]]</f>
        <v>0.29166666666424135</v>
      </c>
      <c r="O625">
        <f>Table1[[#This Row],[Company]]</f>
        <v>12</v>
      </c>
      <c r="P625">
        <f>IF(((Table1[[#This Row],[Arrived]]-Table1[[#This Row],[Delivery]])*24-Table1[[#This Row],[Promised]])&lt;0, 0, (Table1[[#This Row],[Arrived]]-Table1[[#This Row],[Delivery]])*24-Table1[[#This Row],[Promised]])</f>
        <v>0</v>
      </c>
      <c r="Q625"/>
    </row>
    <row r="626" spans="1:17" x14ac:dyDescent="0.45">
      <c r="A626" s="3">
        <v>45297.291666666664</v>
      </c>
      <c r="B626" t="s">
        <v>14</v>
      </c>
      <c r="C626">
        <v>14</v>
      </c>
      <c r="D626">
        <v>1002</v>
      </c>
      <c r="E626" t="s">
        <v>16</v>
      </c>
      <c r="F626">
        <v>30</v>
      </c>
      <c r="G626">
        <v>3750</v>
      </c>
      <c r="H626">
        <v>112500</v>
      </c>
      <c r="I626" s="3">
        <v>45297.791666666664</v>
      </c>
      <c r="J626">
        <v>96</v>
      </c>
      <c r="K626" s="3">
        <v>45300.791666666664</v>
      </c>
      <c r="L626" s="4">
        <f>ROUNDDOWN(Table1[[#This Row],[Ordered]],0)</f>
        <v>45297</v>
      </c>
      <c r="M626" s="4">
        <f>Table1[[#This Row],[Date ]]</f>
        <v>45297</v>
      </c>
      <c r="N626" s="5">
        <f>Table1[[#This Row],[Ordered]]-Table1[[#This Row],[Date ]]</f>
        <v>0.29166666666424135</v>
      </c>
      <c r="O626">
        <f>Table1[[#This Row],[Company]]</f>
        <v>14</v>
      </c>
      <c r="P626">
        <f>IF(((Table1[[#This Row],[Arrived]]-Table1[[#This Row],[Delivery]])*24-Table1[[#This Row],[Promised]])&lt;0, 0, (Table1[[#This Row],[Arrived]]-Table1[[#This Row],[Delivery]])*24-Table1[[#This Row],[Promised]])</f>
        <v>0</v>
      </c>
      <c r="Q626"/>
    </row>
    <row r="627" spans="1:17" x14ac:dyDescent="0.45">
      <c r="A627" s="3">
        <v>45297.291666666664</v>
      </c>
      <c r="B627" t="s">
        <v>14</v>
      </c>
      <c r="C627">
        <v>10</v>
      </c>
      <c r="D627">
        <v>1002</v>
      </c>
      <c r="E627" t="s">
        <v>16</v>
      </c>
      <c r="F627">
        <v>30</v>
      </c>
      <c r="G627">
        <v>3900</v>
      </c>
      <c r="H627">
        <v>117000</v>
      </c>
      <c r="I627" s="3">
        <v>45297.291666666664</v>
      </c>
      <c r="J627">
        <v>48</v>
      </c>
      <c r="K627" s="3">
        <v>45299.291666666664</v>
      </c>
      <c r="L627" s="4">
        <f>ROUNDDOWN(Table1[[#This Row],[Ordered]],0)</f>
        <v>45297</v>
      </c>
      <c r="M627" s="4">
        <f>Table1[[#This Row],[Date ]]</f>
        <v>45297</v>
      </c>
      <c r="N627" s="5">
        <f>Table1[[#This Row],[Ordered]]-Table1[[#This Row],[Date ]]</f>
        <v>0.29166666666424135</v>
      </c>
      <c r="O627">
        <f>Table1[[#This Row],[Company]]</f>
        <v>10</v>
      </c>
      <c r="P627">
        <f>IF(((Table1[[#This Row],[Arrived]]-Table1[[#This Row],[Delivery]])*24-Table1[[#This Row],[Promised]])&lt;0, 0, (Table1[[#This Row],[Arrived]]-Table1[[#This Row],[Delivery]])*24-Table1[[#This Row],[Promised]])</f>
        <v>0</v>
      </c>
      <c r="Q627"/>
    </row>
    <row r="628" spans="1:17" x14ac:dyDescent="0.45">
      <c r="A628" s="3">
        <v>45297.291666666664</v>
      </c>
      <c r="B628" t="s">
        <v>14</v>
      </c>
      <c r="C628">
        <v>15</v>
      </c>
      <c r="D628">
        <v>1002</v>
      </c>
      <c r="E628" t="s">
        <v>16</v>
      </c>
      <c r="F628">
        <v>20</v>
      </c>
      <c r="G628">
        <v>3850</v>
      </c>
      <c r="H628">
        <v>77000</v>
      </c>
      <c r="I628" s="3">
        <v>45297.458333333336</v>
      </c>
      <c r="J628">
        <v>92</v>
      </c>
      <c r="K628" s="3">
        <v>45300.458333333336</v>
      </c>
      <c r="L628" s="4">
        <f>ROUNDDOWN(Table1[[#This Row],[Ordered]],0)</f>
        <v>45297</v>
      </c>
      <c r="M628" s="4">
        <f>Table1[[#This Row],[Date ]]</f>
        <v>45297</v>
      </c>
      <c r="N628" s="5">
        <f>Table1[[#This Row],[Ordered]]-Table1[[#This Row],[Date ]]</f>
        <v>0.29166666666424135</v>
      </c>
      <c r="O628">
        <f>Table1[[#This Row],[Company]]</f>
        <v>15</v>
      </c>
      <c r="P628">
        <f>IF(((Table1[[#This Row],[Arrived]]-Table1[[#This Row],[Delivery]])*24-Table1[[#This Row],[Promised]])&lt;0, 0, (Table1[[#This Row],[Arrived]]-Table1[[#This Row],[Delivery]])*24-Table1[[#This Row],[Promised]])</f>
        <v>0</v>
      </c>
      <c r="Q628"/>
    </row>
    <row r="629" spans="1:17" x14ac:dyDescent="0.45">
      <c r="A629" s="3">
        <v>45297.291666666664</v>
      </c>
      <c r="B629" t="s">
        <v>14</v>
      </c>
      <c r="C629">
        <v>8</v>
      </c>
      <c r="D629">
        <v>1002</v>
      </c>
      <c r="E629" t="s">
        <v>16</v>
      </c>
      <c r="F629">
        <v>30</v>
      </c>
      <c r="G629">
        <v>3300</v>
      </c>
      <c r="H629">
        <v>99000</v>
      </c>
      <c r="I629" s="3">
        <v>45298.083333333336</v>
      </c>
      <c r="J629">
        <v>96</v>
      </c>
      <c r="K629" s="3">
        <v>45301.083333333336</v>
      </c>
      <c r="L629" s="4">
        <f>ROUNDDOWN(Table1[[#This Row],[Ordered]],0)</f>
        <v>45297</v>
      </c>
      <c r="M629" s="4">
        <f>Table1[[#This Row],[Date ]]</f>
        <v>45297</v>
      </c>
      <c r="N629" s="5">
        <f>Table1[[#This Row],[Ordered]]-Table1[[#This Row],[Date ]]</f>
        <v>0.29166666666424135</v>
      </c>
      <c r="O629">
        <f>Table1[[#This Row],[Company]]</f>
        <v>8</v>
      </c>
      <c r="P629">
        <f>IF(((Table1[[#This Row],[Arrived]]-Table1[[#This Row],[Delivery]])*24-Table1[[#This Row],[Promised]])&lt;0, 0, (Table1[[#This Row],[Arrived]]-Table1[[#This Row],[Delivery]])*24-Table1[[#This Row],[Promised]])</f>
        <v>0</v>
      </c>
      <c r="Q629"/>
    </row>
    <row r="630" spans="1:17" x14ac:dyDescent="0.45">
      <c r="A630" s="3">
        <v>45297.291666666664</v>
      </c>
      <c r="B630" t="s">
        <v>14</v>
      </c>
      <c r="C630">
        <v>13</v>
      </c>
      <c r="D630">
        <v>1002</v>
      </c>
      <c r="E630" t="s">
        <v>16</v>
      </c>
      <c r="F630">
        <v>23</v>
      </c>
      <c r="G630">
        <v>3750</v>
      </c>
      <c r="H630">
        <v>86250</v>
      </c>
      <c r="I630" s="3">
        <v>45298.083333333336</v>
      </c>
      <c r="J630">
        <v>96</v>
      </c>
      <c r="K630" s="3">
        <v>45301.083333333336</v>
      </c>
      <c r="L630" s="4">
        <f>ROUNDDOWN(Table1[[#This Row],[Ordered]],0)</f>
        <v>45297</v>
      </c>
      <c r="M630" s="4">
        <f>Table1[[#This Row],[Date ]]</f>
        <v>45297</v>
      </c>
      <c r="N630" s="5">
        <f>Table1[[#This Row],[Ordered]]-Table1[[#This Row],[Date ]]</f>
        <v>0.29166666666424135</v>
      </c>
      <c r="O630">
        <f>Table1[[#This Row],[Company]]</f>
        <v>13</v>
      </c>
      <c r="P630">
        <f>IF(((Table1[[#This Row],[Arrived]]-Table1[[#This Row],[Delivery]])*24-Table1[[#This Row],[Promised]])&lt;0, 0, (Table1[[#This Row],[Arrived]]-Table1[[#This Row],[Delivery]])*24-Table1[[#This Row],[Promised]])</f>
        <v>0</v>
      </c>
      <c r="Q630"/>
    </row>
    <row r="631" spans="1:17" x14ac:dyDescent="0.45">
      <c r="A631" s="3">
        <v>45297.291666666664</v>
      </c>
      <c r="B631" t="s">
        <v>14</v>
      </c>
      <c r="C631">
        <v>9</v>
      </c>
      <c r="D631">
        <v>1002</v>
      </c>
      <c r="E631" t="s">
        <v>16</v>
      </c>
      <c r="F631">
        <v>26</v>
      </c>
      <c r="G631">
        <v>3750</v>
      </c>
      <c r="H631">
        <v>97500</v>
      </c>
      <c r="I631" s="3">
        <v>45298.166666666664</v>
      </c>
      <c r="J631">
        <v>96</v>
      </c>
      <c r="K631" s="3">
        <v>45301.166666666664</v>
      </c>
      <c r="L631" s="4">
        <f>ROUNDDOWN(Table1[[#This Row],[Ordered]],0)</f>
        <v>45297</v>
      </c>
      <c r="M631" s="4">
        <f>Table1[[#This Row],[Date ]]</f>
        <v>45297</v>
      </c>
      <c r="N631" s="5">
        <f>Table1[[#This Row],[Ordered]]-Table1[[#This Row],[Date ]]</f>
        <v>0.29166666666424135</v>
      </c>
      <c r="O631">
        <f>Table1[[#This Row],[Company]]</f>
        <v>9</v>
      </c>
      <c r="P631">
        <f>IF(((Table1[[#This Row],[Arrived]]-Table1[[#This Row],[Delivery]])*24-Table1[[#This Row],[Promised]])&lt;0, 0, (Table1[[#This Row],[Arrived]]-Table1[[#This Row],[Delivery]])*24-Table1[[#This Row],[Promised]])</f>
        <v>0</v>
      </c>
      <c r="Q631"/>
    </row>
    <row r="632" spans="1:17" x14ac:dyDescent="0.45">
      <c r="A632" s="3">
        <v>45297.291666666664</v>
      </c>
      <c r="B632" t="s">
        <v>14</v>
      </c>
      <c r="C632">
        <v>7</v>
      </c>
      <c r="D632">
        <v>1002</v>
      </c>
      <c r="E632" t="s">
        <v>16</v>
      </c>
      <c r="F632">
        <v>17</v>
      </c>
      <c r="G632">
        <v>3650</v>
      </c>
      <c r="H632">
        <v>62050</v>
      </c>
      <c r="I632" s="3">
        <v>45297.375</v>
      </c>
      <c r="J632">
        <v>96</v>
      </c>
      <c r="K632" s="3">
        <v>45300.375</v>
      </c>
      <c r="L632" s="4">
        <f>ROUNDDOWN(Table1[[#This Row],[Ordered]],0)</f>
        <v>45297</v>
      </c>
      <c r="M632" s="4">
        <f>Table1[[#This Row],[Date ]]</f>
        <v>45297</v>
      </c>
      <c r="N632" s="5">
        <f>Table1[[#This Row],[Ordered]]-Table1[[#This Row],[Date ]]</f>
        <v>0.29166666666424135</v>
      </c>
      <c r="O632">
        <f>Table1[[#This Row],[Company]]</f>
        <v>7</v>
      </c>
      <c r="P632">
        <f>IF(((Table1[[#This Row],[Arrived]]-Table1[[#This Row],[Delivery]])*24-Table1[[#This Row],[Promised]])&lt;0, 0, (Table1[[#This Row],[Arrived]]-Table1[[#This Row],[Delivery]])*24-Table1[[#This Row],[Promised]])</f>
        <v>0</v>
      </c>
      <c r="Q632"/>
    </row>
    <row r="633" spans="1:17" x14ac:dyDescent="0.45">
      <c r="A633" s="3">
        <v>45297.291666666664</v>
      </c>
      <c r="B633" t="s">
        <v>14</v>
      </c>
      <c r="C633">
        <v>16</v>
      </c>
      <c r="D633">
        <v>1002</v>
      </c>
      <c r="E633" t="s">
        <v>16</v>
      </c>
      <c r="F633">
        <v>30</v>
      </c>
      <c r="G633">
        <v>3750</v>
      </c>
      <c r="H633">
        <v>112500</v>
      </c>
      <c r="I633" s="3">
        <v>45297.458333333336</v>
      </c>
      <c r="J633">
        <v>96</v>
      </c>
      <c r="K633" s="3">
        <v>45300.458333333336</v>
      </c>
      <c r="L633" s="4">
        <f>ROUNDDOWN(Table1[[#This Row],[Ordered]],0)</f>
        <v>45297</v>
      </c>
      <c r="M633" s="4">
        <f>Table1[[#This Row],[Date ]]</f>
        <v>45297</v>
      </c>
      <c r="N633" s="5">
        <f>Table1[[#This Row],[Ordered]]-Table1[[#This Row],[Date ]]</f>
        <v>0.29166666666424135</v>
      </c>
      <c r="O633">
        <f>Table1[[#This Row],[Company]]</f>
        <v>16</v>
      </c>
      <c r="P633">
        <f>IF(((Table1[[#This Row],[Arrived]]-Table1[[#This Row],[Delivery]])*24-Table1[[#This Row],[Promised]])&lt;0, 0, (Table1[[#This Row],[Arrived]]-Table1[[#This Row],[Delivery]])*24-Table1[[#This Row],[Promised]])</f>
        <v>0</v>
      </c>
      <c r="Q633"/>
    </row>
    <row r="634" spans="1:17" hidden="1" x14ac:dyDescent="0.45">
      <c r="A634" s="3">
        <v>45297.291666666664</v>
      </c>
      <c r="B634" t="s">
        <v>12</v>
      </c>
      <c r="C634">
        <v>2</v>
      </c>
      <c r="D634">
        <v>15</v>
      </c>
      <c r="E634" t="s">
        <v>13</v>
      </c>
      <c r="F634">
        <v>1800</v>
      </c>
      <c r="G634">
        <v>140</v>
      </c>
      <c r="H634">
        <v>252000</v>
      </c>
      <c r="I634" s="3">
        <v>45297.333333333336</v>
      </c>
      <c r="J634">
        <v>72</v>
      </c>
      <c r="K634" s="3">
        <v>45300.333333333336</v>
      </c>
      <c r="L634" s="4">
        <f>ROUNDDOWN(Table1[[#This Row],[Ordered]],0)</f>
        <v>45297</v>
      </c>
      <c r="M634" s="4">
        <f>Table1[[#This Row],[Date ]]</f>
        <v>45297</v>
      </c>
      <c r="N634" s="5">
        <f>Table1[[#This Row],[Ordered]]-Table1[[#This Row],[Date ]]</f>
        <v>0.29166666666424135</v>
      </c>
      <c r="O634" s="5">
        <f>Table1[[#This Row],[Company]]</f>
        <v>2</v>
      </c>
      <c r="P634">
        <f>IF(((Table1[[#This Row],[Arrived]]-Table1[[#This Row],[Delivery]])*24-Table1[[#This Row],[Promised]])&lt;0, 0, (Table1[[#This Row],[Arrived]]-Table1[[#This Row],[Delivery]])*24-Table1[[#This Row],[Promised]])</f>
        <v>0</v>
      </c>
      <c r="Q634"/>
    </row>
    <row r="635" spans="1:17" x14ac:dyDescent="0.45">
      <c r="A635" s="3">
        <v>45297.375</v>
      </c>
      <c r="B635" t="s">
        <v>14</v>
      </c>
      <c r="C635">
        <v>13</v>
      </c>
      <c r="D635">
        <v>1008</v>
      </c>
      <c r="E635" t="s">
        <v>15</v>
      </c>
      <c r="F635">
        <v>23</v>
      </c>
      <c r="G635">
        <v>6300</v>
      </c>
      <c r="H635">
        <v>144900</v>
      </c>
      <c r="I635" s="3">
        <v>45300</v>
      </c>
      <c r="J635">
        <v>120</v>
      </c>
      <c r="K635" s="3">
        <v>45302</v>
      </c>
      <c r="L635" s="4">
        <f>ROUNDDOWN(Table1[[#This Row],[Ordered]],0)</f>
        <v>45297</v>
      </c>
      <c r="M635" s="4">
        <f>Table1[[#This Row],[Date ]]</f>
        <v>45297</v>
      </c>
      <c r="N635" s="5">
        <f>Table1[[#This Row],[Ordered]]-Table1[[#This Row],[Date ]]</f>
        <v>0.375</v>
      </c>
      <c r="O635">
        <f>Table1[[#This Row],[Company]]</f>
        <v>13</v>
      </c>
      <c r="P635">
        <f>IF(((Table1[[#This Row],[Arrived]]-Table1[[#This Row],[Delivery]])*24-Table1[[#This Row],[Promised]])&lt;0, 0, (Table1[[#This Row],[Arrived]]-Table1[[#This Row],[Delivery]])*24-Table1[[#This Row],[Promised]])</f>
        <v>0</v>
      </c>
      <c r="Q635"/>
    </row>
    <row r="636" spans="1:17" x14ac:dyDescent="0.45">
      <c r="A636" s="3">
        <v>45297.416666666664</v>
      </c>
      <c r="B636" t="s">
        <v>0</v>
      </c>
      <c r="C636">
        <v>9</v>
      </c>
      <c r="D636">
        <v>2009</v>
      </c>
      <c r="E636" t="s">
        <v>16</v>
      </c>
      <c r="F636">
        <v>30</v>
      </c>
      <c r="G636">
        <v>3600</v>
      </c>
      <c r="H636">
        <v>108000</v>
      </c>
      <c r="I636" s="3">
        <v>45298.208333333336</v>
      </c>
      <c r="J636">
        <v>96</v>
      </c>
      <c r="K636" s="3">
        <v>45301.208333333336</v>
      </c>
      <c r="L636" s="4">
        <f>ROUNDDOWN(Table1[[#This Row],[Ordered]],0)</f>
        <v>45297</v>
      </c>
      <c r="M636" s="4">
        <f>Table1[[#This Row],[Date ]]</f>
        <v>45297</v>
      </c>
      <c r="N636" s="5">
        <f>Table1[[#This Row],[Ordered]]-Table1[[#This Row],[Date ]]</f>
        <v>0.41666666666424135</v>
      </c>
      <c r="O636">
        <f>Table1[[#This Row],[Company]]</f>
        <v>9</v>
      </c>
      <c r="P636">
        <f>IF(((Table1[[#This Row],[Arrived]]-Table1[[#This Row],[Delivery]])*24-Table1[[#This Row],[Promised]])&lt;0, 0, (Table1[[#This Row],[Arrived]]-Table1[[#This Row],[Delivery]])*24-Table1[[#This Row],[Promised]])</f>
        <v>0</v>
      </c>
      <c r="Q636"/>
    </row>
    <row r="637" spans="1:17" x14ac:dyDescent="0.45">
      <c r="A637" s="3">
        <v>45297.416666666664</v>
      </c>
      <c r="B637" t="s">
        <v>0</v>
      </c>
      <c r="C637">
        <v>15</v>
      </c>
      <c r="D637">
        <v>2009</v>
      </c>
      <c r="E637" t="s">
        <v>15</v>
      </c>
      <c r="F637">
        <v>30</v>
      </c>
      <c r="G637">
        <v>6900</v>
      </c>
      <c r="H637">
        <v>207000</v>
      </c>
      <c r="I637" s="3">
        <v>45297.708333333336</v>
      </c>
      <c r="J637">
        <v>60</v>
      </c>
      <c r="K637" s="3">
        <v>45299.208333333336</v>
      </c>
      <c r="L637" s="4">
        <f>ROUNDDOWN(Table1[[#This Row],[Ordered]],0)</f>
        <v>45297</v>
      </c>
      <c r="M637" s="4">
        <f>Table1[[#This Row],[Date ]]</f>
        <v>45297</v>
      </c>
      <c r="N637" s="5">
        <f>Table1[[#This Row],[Ordered]]-Table1[[#This Row],[Date ]]</f>
        <v>0.41666666666424135</v>
      </c>
      <c r="O637">
        <f>Table1[[#This Row],[Company]]</f>
        <v>15</v>
      </c>
      <c r="P637">
        <f>IF(((Table1[[#This Row],[Arrived]]-Table1[[#This Row],[Delivery]])*24-Table1[[#This Row],[Promised]])&lt;0, 0, (Table1[[#This Row],[Arrived]]-Table1[[#This Row],[Delivery]])*24-Table1[[#This Row],[Promised]])</f>
        <v>0</v>
      </c>
      <c r="Q637"/>
    </row>
    <row r="638" spans="1:17" x14ac:dyDescent="0.45">
      <c r="A638" s="3">
        <v>45297.416666666664</v>
      </c>
      <c r="B638" t="s">
        <v>0</v>
      </c>
      <c r="C638">
        <v>15</v>
      </c>
      <c r="D638">
        <v>2009</v>
      </c>
      <c r="E638" t="s">
        <v>16</v>
      </c>
      <c r="F638">
        <v>30</v>
      </c>
      <c r="G638">
        <v>3850</v>
      </c>
      <c r="H638">
        <v>115500</v>
      </c>
      <c r="I638" s="3">
        <v>45297.583333333336</v>
      </c>
      <c r="J638">
        <v>120</v>
      </c>
      <c r="K638" s="3">
        <v>45302.083333333336</v>
      </c>
      <c r="L638" s="4">
        <f>ROUNDDOWN(Table1[[#This Row],[Ordered]],0)</f>
        <v>45297</v>
      </c>
      <c r="M638" s="4">
        <f>Table1[[#This Row],[Date ]]</f>
        <v>45297</v>
      </c>
      <c r="N638" s="5">
        <f>Table1[[#This Row],[Ordered]]-Table1[[#This Row],[Date ]]</f>
        <v>0.41666666666424135</v>
      </c>
      <c r="O638">
        <f>Table1[[#This Row],[Company]]</f>
        <v>15</v>
      </c>
      <c r="P638">
        <f>IF(((Table1[[#This Row],[Arrived]]-Table1[[#This Row],[Delivery]])*24-Table1[[#This Row],[Promised]])&lt;0, 0, (Table1[[#This Row],[Arrived]]-Table1[[#This Row],[Delivery]])*24-Table1[[#This Row],[Promised]])</f>
        <v>0</v>
      </c>
      <c r="Q638"/>
    </row>
    <row r="639" spans="1:17" x14ac:dyDescent="0.45">
      <c r="A639" s="3">
        <v>45297.416666666664</v>
      </c>
      <c r="B639" t="s">
        <v>0</v>
      </c>
      <c r="C639">
        <v>13</v>
      </c>
      <c r="D639">
        <v>2009</v>
      </c>
      <c r="E639" t="s">
        <v>16</v>
      </c>
      <c r="F639">
        <v>30</v>
      </c>
      <c r="G639">
        <v>3500</v>
      </c>
      <c r="H639">
        <v>105000</v>
      </c>
      <c r="I639" s="3">
        <v>45298.166666666664</v>
      </c>
      <c r="J639">
        <v>132</v>
      </c>
      <c r="K639" s="3">
        <v>45302.666666666664</v>
      </c>
      <c r="L639" s="4">
        <f>ROUNDDOWN(Table1[[#This Row],[Ordered]],0)</f>
        <v>45297</v>
      </c>
      <c r="M639" s="4">
        <f>Table1[[#This Row],[Date ]]</f>
        <v>45297</v>
      </c>
      <c r="N639" s="5">
        <f>Table1[[#This Row],[Ordered]]-Table1[[#This Row],[Date ]]</f>
        <v>0.41666666666424135</v>
      </c>
      <c r="O639">
        <f>Table1[[#This Row],[Company]]</f>
        <v>13</v>
      </c>
      <c r="P639">
        <f>IF(((Table1[[#This Row],[Arrived]]-Table1[[#This Row],[Delivery]])*24-Table1[[#This Row],[Promised]])&lt;0, 0, (Table1[[#This Row],[Arrived]]-Table1[[#This Row],[Delivery]])*24-Table1[[#This Row],[Promised]])</f>
        <v>0</v>
      </c>
      <c r="Q639"/>
    </row>
    <row r="640" spans="1:17" x14ac:dyDescent="0.45">
      <c r="A640" s="3">
        <v>45297.416666666664</v>
      </c>
      <c r="B640" t="s">
        <v>0</v>
      </c>
      <c r="C640">
        <v>14</v>
      </c>
      <c r="D640">
        <v>2009</v>
      </c>
      <c r="E640" t="s">
        <v>15</v>
      </c>
      <c r="F640">
        <v>30</v>
      </c>
      <c r="G640">
        <v>6650</v>
      </c>
      <c r="H640">
        <v>199500</v>
      </c>
      <c r="I640" s="3">
        <v>45297.666666666664</v>
      </c>
      <c r="J640">
        <v>132</v>
      </c>
      <c r="K640" s="3">
        <v>45302.166666666664</v>
      </c>
      <c r="L640" s="4">
        <f>ROUNDDOWN(Table1[[#This Row],[Ordered]],0)</f>
        <v>45297</v>
      </c>
      <c r="M640" s="4">
        <f>Table1[[#This Row],[Date ]]</f>
        <v>45297</v>
      </c>
      <c r="N640" s="5">
        <f>Table1[[#This Row],[Ordered]]-Table1[[#This Row],[Date ]]</f>
        <v>0.41666666666424135</v>
      </c>
      <c r="O640">
        <f>Table1[[#This Row],[Company]]</f>
        <v>14</v>
      </c>
      <c r="P640">
        <f>IF(((Table1[[#This Row],[Arrived]]-Table1[[#This Row],[Delivery]])*24-Table1[[#This Row],[Promised]])&lt;0, 0, (Table1[[#This Row],[Arrived]]-Table1[[#This Row],[Delivery]])*24-Table1[[#This Row],[Promised]])</f>
        <v>0</v>
      </c>
      <c r="Q640"/>
    </row>
    <row r="641" spans="1:17" x14ac:dyDescent="0.45">
      <c r="A641" s="3">
        <v>45297.416666666664</v>
      </c>
      <c r="B641" t="s">
        <v>0</v>
      </c>
      <c r="C641">
        <v>11</v>
      </c>
      <c r="D641">
        <v>2009</v>
      </c>
      <c r="E641" t="s">
        <v>16</v>
      </c>
      <c r="F641">
        <v>30</v>
      </c>
      <c r="G641">
        <v>3750</v>
      </c>
      <c r="H641">
        <v>112500</v>
      </c>
      <c r="I641" s="3">
        <v>45297.916666666664</v>
      </c>
      <c r="J641">
        <v>132</v>
      </c>
      <c r="K641" s="3">
        <v>45302.416666666664</v>
      </c>
      <c r="L641" s="4">
        <f>ROUNDDOWN(Table1[[#This Row],[Ordered]],0)</f>
        <v>45297</v>
      </c>
      <c r="M641" s="4">
        <f>Table1[[#This Row],[Date ]]</f>
        <v>45297</v>
      </c>
      <c r="N641" s="5">
        <f>Table1[[#This Row],[Ordered]]-Table1[[#This Row],[Date ]]</f>
        <v>0.41666666666424135</v>
      </c>
      <c r="O641">
        <f>Table1[[#This Row],[Company]]</f>
        <v>11</v>
      </c>
      <c r="P641">
        <f>IF(((Table1[[#This Row],[Arrived]]-Table1[[#This Row],[Delivery]])*24-Table1[[#This Row],[Promised]])&lt;0, 0, (Table1[[#This Row],[Arrived]]-Table1[[#This Row],[Delivery]])*24-Table1[[#This Row],[Promised]])</f>
        <v>0</v>
      </c>
      <c r="Q641"/>
    </row>
    <row r="642" spans="1:17" x14ac:dyDescent="0.45">
      <c r="A642" s="3">
        <v>45297.416666666664</v>
      </c>
      <c r="B642" t="s">
        <v>0</v>
      </c>
      <c r="C642">
        <v>14</v>
      </c>
      <c r="D642">
        <v>2009</v>
      </c>
      <c r="E642" t="s">
        <v>16</v>
      </c>
      <c r="F642">
        <v>30</v>
      </c>
      <c r="G642">
        <v>3750</v>
      </c>
      <c r="H642">
        <v>112500</v>
      </c>
      <c r="I642" s="3">
        <v>45297.833333333336</v>
      </c>
      <c r="J642">
        <v>132</v>
      </c>
      <c r="K642" s="3">
        <v>45302.333333333336</v>
      </c>
      <c r="L642" s="4">
        <f>ROUNDDOWN(Table1[[#This Row],[Ordered]],0)</f>
        <v>45297</v>
      </c>
      <c r="M642" s="4">
        <f>Table1[[#This Row],[Date ]]</f>
        <v>45297</v>
      </c>
      <c r="N642" s="5">
        <f>Table1[[#This Row],[Ordered]]-Table1[[#This Row],[Date ]]</f>
        <v>0.41666666666424135</v>
      </c>
      <c r="O642">
        <f>Table1[[#This Row],[Company]]</f>
        <v>14</v>
      </c>
      <c r="P642">
        <f>IF(((Table1[[#This Row],[Arrived]]-Table1[[#This Row],[Delivery]])*24-Table1[[#This Row],[Promised]])&lt;0, 0, (Table1[[#This Row],[Arrived]]-Table1[[#This Row],[Delivery]])*24-Table1[[#This Row],[Promised]])</f>
        <v>0</v>
      </c>
      <c r="Q642"/>
    </row>
    <row r="643" spans="1:17" x14ac:dyDescent="0.45">
      <c r="A643" s="3">
        <v>45297.416666666664</v>
      </c>
      <c r="B643" t="s">
        <v>0</v>
      </c>
      <c r="C643">
        <v>13</v>
      </c>
      <c r="D643">
        <v>2009</v>
      </c>
      <c r="E643" t="s">
        <v>15</v>
      </c>
      <c r="F643">
        <v>30</v>
      </c>
      <c r="G643">
        <v>6400</v>
      </c>
      <c r="H643">
        <v>192000</v>
      </c>
      <c r="I643" s="3">
        <v>45298.208333333336</v>
      </c>
      <c r="J643">
        <v>132</v>
      </c>
      <c r="K643" s="3">
        <v>45302.875</v>
      </c>
      <c r="L643" s="4">
        <f>ROUNDDOWN(Table1[[#This Row],[Ordered]],0)</f>
        <v>45297</v>
      </c>
      <c r="M643" s="4">
        <f>Table1[[#This Row],[Date ]]</f>
        <v>45297</v>
      </c>
      <c r="N643" s="5">
        <f>Table1[[#This Row],[Ordered]]-Table1[[#This Row],[Date ]]</f>
        <v>0.41666666666424135</v>
      </c>
      <c r="O643">
        <f>Table1[[#This Row],[Company]]</f>
        <v>13</v>
      </c>
      <c r="P643">
        <f>IF(((Table1[[#This Row],[Arrived]]-Table1[[#This Row],[Delivery]])*24-Table1[[#This Row],[Promised]])&lt;0, 0, (Table1[[#This Row],[Arrived]]-Table1[[#This Row],[Delivery]])*24-Table1[[#This Row],[Promised]])</f>
        <v>0</v>
      </c>
      <c r="Q643"/>
    </row>
    <row r="644" spans="1:17" x14ac:dyDescent="0.45">
      <c r="A644" s="3">
        <v>45297.416666666664</v>
      </c>
      <c r="B644" t="s">
        <v>0</v>
      </c>
      <c r="C644">
        <v>9</v>
      </c>
      <c r="D644">
        <v>2009</v>
      </c>
      <c r="E644" t="s">
        <v>15</v>
      </c>
      <c r="F644">
        <v>30</v>
      </c>
      <c r="G644">
        <v>6650</v>
      </c>
      <c r="H644">
        <v>199500</v>
      </c>
      <c r="I644" s="3">
        <v>45298.25</v>
      </c>
      <c r="J644">
        <v>132</v>
      </c>
      <c r="K644" s="3">
        <v>45302.75</v>
      </c>
      <c r="L644" s="4">
        <f>ROUNDDOWN(Table1[[#This Row],[Ordered]],0)</f>
        <v>45297</v>
      </c>
      <c r="M644" s="4">
        <f>Table1[[#This Row],[Date ]]</f>
        <v>45297</v>
      </c>
      <c r="N644" s="5">
        <f>Table1[[#This Row],[Ordered]]-Table1[[#This Row],[Date ]]</f>
        <v>0.41666666666424135</v>
      </c>
      <c r="O644">
        <f>Table1[[#This Row],[Company]]</f>
        <v>9</v>
      </c>
      <c r="P644">
        <f>IF(((Table1[[#This Row],[Arrived]]-Table1[[#This Row],[Delivery]])*24-Table1[[#This Row],[Promised]])&lt;0, 0, (Table1[[#This Row],[Arrived]]-Table1[[#This Row],[Delivery]])*24-Table1[[#This Row],[Promised]])</f>
        <v>0</v>
      </c>
      <c r="Q644"/>
    </row>
    <row r="645" spans="1:17" x14ac:dyDescent="0.45">
      <c r="A645" s="3">
        <v>45297.416666666664</v>
      </c>
      <c r="B645" t="s">
        <v>0</v>
      </c>
      <c r="C645">
        <v>8</v>
      </c>
      <c r="D645">
        <v>2009</v>
      </c>
      <c r="E645" t="s">
        <v>16</v>
      </c>
      <c r="F645">
        <v>30</v>
      </c>
      <c r="G645">
        <v>3380</v>
      </c>
      <c r="H645">
        <v>101400</v>
      </c>
      <c r="I645" s="3">
        <v>45298.291666666664</v>
      </c>
      <c r="J645">
        <v>132</v>
      </c>
      <c r="K645" s="3">
        <v>45302.791666666664</v>
      </c>
      <c r="L645" s="4">
        <f>ROUNDDOWN(Table1[[#This Row],[Ordered]],0)</f>
        <v>45297</v>
      </c>
      <c r="M645" s="4">
        <f>Table1[[#This Row],[Date ]]</f>
        <v>45297</v>
      </c>
      <c r="N645" s="5">
        <f>Table1[[#This Row],[Ordered]]-Table1[[#This Row],[Date ]]</f>
        <v>0.41666666666424135</v>
      </c>
      <c r="O645">
        <f>Table1[[#This Row],[Company]]</f>
        <v>8</v>
      </c>
      <c r="P645">
        <f>IF(((Table1[[#This Row],[Arrived]]-Table1[[#This Row],[Delivery]])*24-Table1[[#This Row],[Promised]])&lt;0, 0, (Table1[[#This Row],[Arrived]]-Table1[[#This Row],[Delivery]])*24-Table1[[#This Row],[Promised]])</f>
        <v>0</v>
      </c>
      <c r="Q645"/>
    </row>
    <row r="646" spans="1:17" x14ac:dyDescent="0.45">
      <c r="A646" s="3">
        <v>45297.416666666664</v>
      </c>
      <c r="B646" t="s">
        <v>0</v>
      </c>
      <c r="C646">
        <v>11</v>
      </c>
      <c r="D646">
        <v>2009</v>
      </c>
      <c r="E646" t="s">
        <v>15</v>
      </c>
      <c r="F646">
        <v>30</v>
      </c>
      <c r="G646">
        <v>6650</v>
      </c>
      <c r="H646">
        <v>199500</v>
      </c>
      <c r="I646" s="3">
        <v>45297.666666666664</v>
      </c>
      <c r="J646">
        <v>132</v>
      </c>
      <c r="K646" s="3">
        <v>45302.166666666664</v>
      </c>
      <c r="L646" s="4">
        <f>ROUNDDOWN(Table1[[#This Row],[Ordered]],0)</f>
        <v>45297</v>
      </c>
      <c r="M646" s="4">
        <f>Table1[[#This Row],[Date ]]</f>
        <v>45297</v>
      </c>
      <c r="N646" s="5">
        <f>Table1[[#This Row],[Ordered]]-Table1[[#This Row],[Date ]]</f>
        <v>0.41666666666424135</v>
      </c>
      <c r="O646">
        <f>Table1[[#This Row],[Company]]</f>
        <v>11</v>
      </c>
      <c r="P646">
        <f>IF(((Table1[[#This Row],[Arrived]]-Table1[[#This Row],[Delivery]])*24-Table1[[#This Row],[Promised]])&lt;0, 0, (Table1[[#This Row],[Arrived]]-Table1[[#This Row],[Delivery]])*24-Table1[[#This Row],[Promised]])</f>
        <v>0</v>
      </c>
      <c r="Q646"/>
    </row>
    <row r="647" spans="1:17" x14ac:dyDescent="0.45">
      <c r="A647" s="3">
        <v>45297.416666666664</v>
      </c>
      <c r="B647" t="s">
        <v>0</v>
      </c>
      <c r="C647">
        <v>16</v>
      </c>
      <c r="D647">
        <v>2009</v>
      </c>
      <c r="E647" t="s">
        <v>15</v>
      </c>
      <c r="F647">
        <v>30</v>
      </c>
      <c r="G647">
        <v>6650</v>
      </c>
      <c r="H647">
        <v>199500</v>
      </c>
      <c r="I647" s="3">
        <v>45297.458333333336</v>
      </c>
      <c r="J647">
        <v>132</v>
      </c>
      <c r="K647" s="3">
        <v>45301.958333333336</v>
      </c>
      <c r="L647" s="4">
        <f>ROUNDDOWN(Table1[[#This Row],[Ordered]],0)</f>
        <v>45297</v>
      </c>
      <c r="M647" s="4">
        <f>Table1[[#This Row],[Date ]]</f>
        <v>45297</v>
      </c>
      <c r="N647" s="5">
        <f>Table1[[#This Row],[Ordered]]-Table1[[#This Row],[Date ]]</f>
        <v>0.41666666666424135</v>
      </c>
      <c r="O647">
        <f>Table1[[#This Row],[Company]]</f>
        <v>16</v>
      </c>
      <c r="P647">
        <f>IF(((Table1[[#This Row],[Arrived]]-Table1[[#This Row],[Delivery]])*24-Table1[[#This Row],[Promised]])&lt;0, 0, (Table1[[#This Row],[Arrived]]-Table1[[#This Row],[Delivery]])*24-Table1[[#This Row],[Promised]])</f>
        <v>0</v>
      </c>
      <c r="Q647"/>
    </row>
    <row r="648" spans="1:17" x14ac:dyDescent="0.45">
      <c r="A648" s="3">
        <v>45297.416666666664</v>
      </c>
      <c r="B648" t="s">
        <v>0</v>
      </c>
      <c r="C648">
        <v>16</v>
      </c>
      <c r="D648">
        <v>2009</v>
      </c>
      <c r="E648" t="s">
        <v>16</v>
      </c>
      <c r="F648">
        <v>30</v>
      </c>
      <c r="G648">
        <v>3750</v>
      </c>
      <c r="H648">
        <v>112500</v>
      </c>
      <c r="I648" s="3">
        <v>45297.458333333336</v>
      </c>
      <c r="J648">
        <v>132</v>
      </c>
      <c r="K648" s="3">
        <v>45301.958333333336</v>
      </c>
      <c r="L648" s="4">
        <f>ROUNDDOWN(Table1[[#This Row],[Ordered]],0)</f>
        <v>45297</v>
      </c>
      <c r="M648" s="4">
        <f>Table1[[#This Row],[Date ]]</f>
        <v>45297</v>
      </c>
      <c r="N648" s="5">
        <f>Table1[[#This Row],[Ordered]]-Table1[[#This Row],[Date ]]</f>
        <v>0.41666666666424135</v>
      </c>
      <c r="O648">
        <f>Table1[[#This Row],[Company]]</f>
        <v>16</v>
      </c>
      <c r="P648">
        <f>IF(((Table1[[#This Row],[Arrived]]-Table1[[#This Row],[Delivery]])*24-Table1[[#This Row],[Promised]])&lt;0, 0, (Table1[[#This Row],[Arrived]]-Table1[[#This Row],[Delivery]])*24-Table1[[#This Row],[Promised]])</f>
        <v>0</v>
      </c>
      <c r="Q648"/>
    </row>
    <row r="649" spans="1:17" x14ac:dyDescent="0.45">
      <c r="A649" s="3">
        <v>45297.416666666664</v>
      </c>
      <c r="B649" t="s">
        <v>0</v>
      </c>
      <c r="C649">
        <v>10</v>
      </c>
      <c r="D649">
        <v>2009</v>
      </c>
      <c r="E649" t="s">
        <v>15</v>
      </c>
      <c r="F649">
        <v>27</v>
      </c>
      <c r="G649">
        <v>6800</v>
      </c>
      <c r="H649">
        <v>183600</v>
      </c>
      <c r="I649" s="3">
        <v>45297.458333333336</v>
      </c>
      <c r="J649">
        <v>132</v>
      </c>
      <c r="K649" s="3">
        <v>45301.958333333336</v>
      </c>
      <c r="L649" s="4">
        <f>ROUNDDOWN(Table1[[#This Row],[Ordered]],0)</f>
        <v>45297</v>
      </c>
      <c r="M649" s="4">
        <f>Table1[[#This Row],[Date ]]</f>
        <v>45297</v>
      </c>
      <c r="N649" s="5">
        <f>Table1[[#This Row],[Ordered]]-Table1[[#This Row],[Date ]]</f>
        <v>0.41666666666424135</v>
      </c>
      <c r="O649">
        <f>Table1[[#This Row],[Company]]</f>
        <v>10</v>
      </c>
      <c r="P649">
        <f>IF(((Table1[[#This Row],[Arrived]]-Table1[[#This Row],[Delivery]])*24-Table1[[#This Row],[Promised]])&lt;0, 0, (Table1[[#This Row],[Arrived]]-Table1[[#This Row],[Delivery]])*24-Table1[[#This Row],[Promised]])</f>
        <v>0</v>
      </c>
      <c r="Q649"/>
    </row>
    <row r="650" spans="1:17" x14ac:dyDescent="0.45">
      <c r="A650" s="3">
        <v>45297.416666666664</v>
      </c>
      <c r="B650" t="s">
        <v>0</v>
      </c>
      <c r="C650">
        <v>7</v>
      </c>
      <c r="D650">
        <v>2009</v>
      </c>
      <c r="E650" t="s">
        <v>16</v>
      </c>
      <c r="F650">
        <v>30</v>
      </c>
      <c r="G650">
        <v>3650</v>
      </c>
      <c r="H650">
        <v>109500</v>
      </c>
      <c r="I650" s="3">
        <v>45297.458333333336</v>
      </c>
      <c r="J650">
        <v>132</v>
      </c>
      <c r="K650" s="3">
        <v>45301.958333333336</v>
      </c>
      <c r="L650" s="4">
        <f>ROUNDDOWN(Table1[[#This Row],[Ordered]],0)</f>
        <v>45297</v>
      </c>
      <c r="M650" s="4">
        <f>Table1[[#This Row],[Date ]]</f>
        <v>45297</v>
      </c>
      <c r="N650" s="5">
        <f>Table1[[#This Row],[Ordered]]-Table1[[#This Row],[Date ]]</f>
        <v>0.41666666666424135</v>
      </c>
      <c r="O650">
        <f>Table1[[#This Row],[Company]]</f>
        <v>7</v>
      </c>
      <c r="P650">
        <f>IF(((Table1[[#This Row],[Arrived]]-Table1[[#This Row],[Delivery]])*24-Table1[[#This Row],[Promised]])&lt;0, 0, (Table1[[#This Row],[Arrived]]-Table1[[#This Row],[Delivery]])*24-Table1[[#This Row],[Promised]])</f>
        <v>0</v>
      </c>
      <c r="Q650"/>
    </row>
    <row r="651" spans="1:17" x14ac:dyDescent="0.45">
      <c r="A651" s="3">
        <v>45297.416666666664</v>
      </c>
      <c r="B651" t="s">
        <v>0</v>
      </c>
      <c r="C651">
        <v>12</v>
      </c>
      <c r="D651">
        <v>2009</v>
      </c>
      <c r="E651" t="s">
        <v>16</v>
      </c>
      <c r="F651">
        <v>30</v>
      </c>
      <c r="G651">
        <v>3750</v>
      </c>
      <c r="H651">
        <v>112500</v>
      </c>
      <c r="I651" s="3">
        <v>45297.458333333336</v>
      </c>
      <c r="J651">
        <v>120</v>
      </c>
      <c r="K651" s="3">
        <v>45301.958333333336</v>
      </c>
      <c r="L651" s="4">
        <f>ROUNDDOWN(Table1[[#This Row],[Ordered]],0)</f>
        <v>45297</v>
      </c>
      <c r="M651" s="4">
        <f>Table1[[#This Row],[Date ]]</f>
        <v>45297</v>
      </c>
      <c r="N651" s="5">
        <f>Table1[[#This Row],[Ordered]]-Table1[[#This Row],[Date ]]</f>
        <v>0.41666666666424135</v>
      </c>
      <c r="O651">
        <f>Table1[[#This Row],[Company]]</f>
        <v>12</v>
      </c>
      <c r="P651">
        <f>IF(((Table1[[#This Row],[Arrived]]-Table1[[#This Row],[Delivery]])*24-Table1[[#This Row],[Promised]])&lt;0, 0, (Table1[[#This Row],[Arrived]]-Table1[[#This Row],[Delivery]])*24-Table1[[#This Row],[Promised]])</f>
        <v>0</v>
      </c>
      <c r="Q651"/>
    </row>
    <row r="652" spans="1:17" x14ac:dyDescent="0.45">
      <c r="A652" s="3">
        <v>45297.416666666664</v>
      </c>
      <c r="B652" t="s">
        <v>0</v>
      </c>
      <c r="C652">
        <v>7</v>
      </c>
      <c r="D652">
        <v>2009</v>
      </c>
      <c r="E652" t="s">
        <v>15</v>
      </c>
      <c r="F652">
        <v>30</v>
      </c>
      <c r="G652">
        <v>6650</v>
      </c>
      <c r="H652">
        <v>199500</v>
      </c>
      <c r="I652" s="3">
        <v>45297.416666666664</v>
      </c>
      <c r="J652">
        <v>132</v>
      </c>
      <c r="K652" s="3">
        <v>45302.041666666664</v>
      </c>
      <c r="L652" s="4">
        <f>ROUNDDOWN(Table1[[#This Row],[Ordered]],0)</f>
        <v>45297</v>
      </c>
      <c r="M652" s="4">
        <f>Table1[[#This Row],[Date ]]</f>
        <v>45297</v>
      </c>
      <c r="N652" s="5">
        <f>Table1[[#This Row],[Ordered]]-Table1[[#This Row],[Date ]]</f>
        <v>0.41666666666424135</v>
      </c>
      <c r="O652">
        <f>Table1[[#This Row],[Company]]</f>
        <v>7</v>
      </c>
      <c r="P652">
        <f>IF(((Table1[[#This Row],[Arrived]]-Table1[[#This Row],[Delivery]])*24-Table1[[#This Row],[Promised]])&lt;0, 0, (Table1[[#This Row],[Arrived]]-Table1[[#This Row],[Delivery]])*24-Table1[[#This Row],[Promised]])</f>
        <v>0</v>
      </c>
      <c r="Q652"/>
    </row>
    <row r="653" spans="1:17" x14ac:dyDescent="0.45">
      <c r="A653" s="3">
        <v>45297.416666666664</v>
      </c>
      <c r="B653" t="s">
        <v>0</v>
      </c>
      <c r="C653">
        <v>12</v>
      </c>
      <c r="D653">
        <v>2009</v>
      </c>
      <c r="E653" t="s">
        <v>15</v>
      </c>
      <c r="F653">
        <v>30</v>
      </c>
      <c r="G653">
        <v>6700</v>
      </c>
      <c r="H653">
        <v>201000</v>
      </c>
      <c r="I653" s="3">
        <v>45298.666666666664</v>
      </c>
      <c r="J653">
        <v>120</v>
      </c>
      <c r="K653" s="3">
        <v>45301.666666666664</v>
      </c>
      <c r="L653" s="4">
        <f>ROUNDDOWN(Table1[[#This Row],[Ordered]],0)</f>
        <v>45297</v>
      </c>
      <c r="M653" s="4">
        <f>Table1[[#This Row],[Date ]]</f>
        <v>45297</v>
      </c>
      <c r="N653" s="5">
        <f>Table1[[#This Row],[Ordered]]-Table1[[#This Row],[Date ]]</f>
        <v>0.41666666666424135</v>
      </c>
      <c r="O653">
        <f>Table1[[#This Row],[Company]]</f>
        <v>12</v>
      </c>
      <c r="P653">
        <f>IF(((Table1[[#This Row],[Arrived]]-Table1[[#This Row],[Delivery]])*24-Table1[[#This Row],[Promised]])&lt;0, 0, (Table1[[#This Row],[Arrived]]-Table1[[#This Row],[Delivery]])*24-Table1[[#This Row],[Promised]])</f>
        <v>0</v>
      </c>
      <c r="Q653"/>
    </row>
    <row r="654" spans="1:17" x14ac:dyDescent="0.45">
      <c r="A654" s="3">
        <v>45297.416666666664</v>
      </c>
      <c r="B654" t="s">
        <v>0</v>
      </c>
      <c r="C654">
        <v>10</v>
      </c>
      <c r="D654">
        <v>2009</v>
      </c>
      <c r="E654" t="s">
        <v>16</v>
      </c>
      <c r="F654">
        <v>50</v>
      </c>
      <c r="G654">
        <v>3900</v>
      </c>
      <c r="H654">
        <v>195000</v>
      </c>
      <c r="I654" s="3">
        <v>45297.458333333336</v>
      </c>
      <c r="J654">
        <v>84</v>
      </c>
      <c r="K654" s="3">
        <v>45300.458333333336</v>
      </c>
      <c r="L654" s="4">
        <f>ROUNDDOWN(Table1[[#This Row],[Ordered]],0)</f>
        <v>45297</v>
      </c>
      <c r="M654" s="4">
        <f>Table1[[#This Row],[Date ]]</f>
        <v>45297</v>
      </c>
      <c r="N654" s="5">
        <f>Table1[[#This Row],[Ordered]]-Table1[[#This Row],[Date ]]</f>
        <v>0.41666666666424135</v>
      </c>
      <c r="O654">
        <f>Table1[[#This Row],[Company]]</f>
        <v>10</v>
      </c>
      <c r="P654">
        <f>IF(((Table1[[#This Row],[Arrived]]-Table1[[#This Row],[Delivery]])*24-Table1[[#This Row],[Promised]])&lt;0, 0, (Table1[[#This Row],[Arrived]]-Table1[[#This Row],[Delivery]])*24-Table1[[#This Row],[Promised]])</f>
        <v>0</v>
      </c>
      <c r="Q654"/>
    </row>
    <row r="655" spans="1:17" x14ac:dyDescent="0.45">
      <c r="A655" s="3">
        <v>45297.458333333336</v>
      </c>
      <c r="B655" t="s">
        <v>19</v>
      </c>
      <c r="C655">
        <v>7</v>
      </c>
      <c r="D655">
        <v>3002</v>
      </c>
      <c r="E655" t="s">
        <v>16</v>
      </c>
      <c r="F655">
        <v>4</v>
      </c>
      <c r="G655">
        <v>4200</v>
      </c>
      <c r="H655">
        <v>16800</v>
      </c>
      <c r="I655" s="3">
        <v>45298.458333333336</v>
      </c>
      <c r="J655">
        <v>288</v>
      </c>
      <c r="K655" s="3">
        <v>45308.458333333336</v>
      </c>
      <c r="L655" s="4">
        <f>ROUNDDOWN(Table1[[#This Row],[Ordered]],0)</f>
        <v>45297</v>
      </c>
      <c r="M655" s="4">
        <f>Table1[[#This Row],[Date ]]</f>
        <v>45297</v>
      </c>
      <c r="N655" s="5">
        <f>Table1[[#This Row],[Ordered]]-Table1[[#This Row],[Date ]]</f>
        <v>0.45833333333575865</v>
      </c>
      <c r="O655">
        <f>Table1[[#This Row],[Company]]</f>
        <v>7</v>
      </c>
      <c r="P655">
        <f>IF(((Table1[[#This Row],[Arrived]]-Table1[[#This Row],[Delivery]])*24-Table1[[#This Row],[Promised]])&lt;0, 0, (Table1[[#This Row],[Arrived]]-Table1[[#This Row],[Delivery]])*24-Table1[[#This Row],[Promised]])</f>
        <v>0</v>
      </c>
      <c r="Q655"/>
    </row>
    <row r="656" spans="1:17" x14ac:dyDescent="0.45">
      <c r="A656" s="3">
        <v>45297.458333333336</v>
      </c>
      <c r="B656" t="s">
        <v>19</v>
      </c>
      <c r="C656">
        <v>10</v>
      </c>
      <c r="D656">
        <v>3006</v>
      </c>
      <c r="E656" t="s">
        <v>16</v>
      </c>
      <c r="F656">
        <v>7</v>
      </c>
      <c r="G656">
        <v>4300</v>
      </c>
      <c r="H656">
        <v>30100</v>
      </c>
      <c r="I656" s="3">
        <v>45297.5</v>
      </c>
      <c r="J656">
        <v>288</v>
      </c>
      <c r="K656" s="3">
        <v>45307.5</v>
      </c>
      <c r="L656" s="4">
        <f>ROUNDDOWN(Table1[[#This Row],[Ordered]],0)</f>
        <v>45297</v>
      </c>
      <c r="M656" s="4">
        <f>Table1[[#This Row],[Date ]]</f>
        <v>45297</v>
      </c>
      <c r="N656" s="5">
        <f>Table1[[#This Row],[Ordered]]-Table1[[#This Row],[Date ]]</f>
        <v>0.45833333333575865</v>
      </c>
      <c r="O656">
        <f>Table1[[#This Row],[Company]]</f>
        <v>10</v>
      </c>
      <c r="P656">
        <f>IF(((Table1[[#This Row],[Arrived]]-Table1[[#This Row],[Delivery]])*24-Table1[[#This Row],[Promised]])&lt;0, 0, (Table1[[#This Row],[Arrived]]-Table1[[#This Row],[Delivery]])*24-Table1[[#This Row],[Promised]])</f>
        <v>0</v>
      </c>
      <c r="Q656"/>
    </row>
    <row r="657" spans="1:17" x14ac:dyDescent="0.45">
      <c r="A657" s="3">
        <v>45297.458333333336</v>
      </c>
      <c r="B657" t="s">
        <v>19</v>
      </c>
      <c r="C657">
        <v>10</v>
      </c>
      <c r="D657">
        <v>3005</v>
      </c>
      <c r="E657" t="s">
        <v>16</v>
      </c>
      <c r="F657">
        <v>12</v>
      </c>
      <c r="G657">
        <v>4300</v>
      </c>
      <c r="H657">
        <v>51600</v>
      </c>
      <c r="I657" s="3">
        <v>45297.5</v>
      </c>
      <c r="J657">
        <v>288</v>
      </c>
      <c r="K657" s="3">
        <v>45307.5</v>
      </c>
      <c r="L657" s="4">
        <f>ROUNDDOWN(Table1[[#This Row],[Ordered]],0)</f>
        <v>45297</v>
      </c>
      <c r="M657" s="4">
        <f>Table1[[#This Row],[Date ]]</f>
        <v>45297</v>
      </c>
      <c r="N657" s="5">
        <f>Table1[[#This Row],[Ordered]]-Table1[[#This Row],[Date ]]</f>
        <v>0.45833333333575865</v>
      </c>
      <c r="O657">
        <f>Table1[[#This Row],[Company]]</f>
        <v>10</v>
      </c>
      <c r="P657">
        <f>IF(((Table1[[#This Row],[Arrived]]-Table1[[#This Row],[Delivery]])*24-Table1[[#This Row],[Promised]])&lt;0, 0, (Table1[[#This Row],[Arrived]]-Table1[[#This Row],[Delivery]])*24-Table1[[#This Row],[Promised]])</f>
        <v>0</v>
      </c>
      <c r="Q657"/>
    </row>
    <row r="658" spans="1:17" x14ac:dyDescent="0.45">
      <c r="A658" s="3">
        <v>45297.458333333336</v>
      </c>
      <c r="B658" t="s">
        <v>19</v>
      </c>
      <c r="C658">
        <v>7</v>
      </c>
      <c r="D658">
        <v>3001</v>
      </c>
      <c r="E658" t="s">
        <v>16</v>
      </c>
      <c r="F658">
        <v>4</v>
      </c>
      <c r="G658">
        <v>4200</v>
      </c>
      <c r="H658">
        <v>16800</v>
      </c>
      <c r="I658" s="3">
        <v>45298.458333333336</v>
      </c>
      <c r="J658">
        <v>288</v>
      </c>
      <c r="K658" s="3">
        <v>45308.458333333336</v>
      </c>
      <c r="L658" s="4">
        <f>ROUNDDOWN(Table1[[#This Row],[Ordered]],0)</f>
        <v>45297</v>
      </c>
      <c r="M658" s="4">
        <f>Table1[[#This Row],[Date ]]</f>
        <v>45297</v>
      </c>
      <c r="N658" s="5">
        <f>Table1[[#This Row],[Ordered]]-Table1[[#This Row],[Date ]]</f>
        <v>0.45833333333575865</v>
      </c>
      <c r="O658">
        <f>Table1[[#This Row],[Company]]</f>
        <v>7</v>
      </c>
      <c r="P658">
        <f>IF(((Table1[[#This Row],[Arrived]]-Table1[[#This Row],[Delivery]])*24-Table1[[#This Row],[Promised]])&lt;0, 0, (Table1[[#This Row],[Arrived]]-Table1[[#This Row],[Delivery]])*24-Table1[[#This Row],[Promised]])</f>
        <v>0</v>
      </c>
      <c r="Q658"/>
    </row>
    <row r="659" spans="1:17" x14ac:dyDescent="0.45">
      <c r="A659" s="3">
        <v>45297.458333333336</v>
      </c>
      <c r="B659" t="s">
        <v>14</v>
      </c>
      <c r="C659">
        <v>16</v>
      </c>
      <c r="D659">
        <v>1002</v>
      </c>
      <c r="E659" t="s">
        <v>15</v>
      </c>
      <c r="F659">
        <v>8</v>
      </c>
      <c r="G659">
        <v>6650</v>
      </c>
      <c r="H659">
        <v>53200</v>
      </c>
      <c r="I659" s="3">
        <v>45297.5</v>
      </c>
      <c r="J659">
        <v>96</v>
      </c>
      <c r="K659" s="3">
        <v>45300.5</v>
      </c>
      <c r="L659" s="4">
        <f>ROUNDDOWN(Table1[[#This Row],[Ordered]],0)</f>
        <v>45297</v>
      </c>
      <c r="M659" s="4">
        <f>Table1[[#This Row],[Date ]]</f>
        <v>45297</v>
      </c>
      <c r="N659" s="5">
        <f>Table1[[#This Row],[Ordered]]-Table1[[#This Row],[Date ]]</f>
        <v>0.45833333333575865</v>
      </c>
      <c r="O659">
        <f>Table1[[#This Row],[Company]]</f>
        <v>16</v>
      </c>
      <c r="P659">
        <f>IF(((Table1[[#This Row],[Arrived]]-Table1[[#This Row],[Delivery]])*24-Table1[[#This Row],[Promised]])&lt;0, 0, (Table1[[#This Row],[Arrived]]-Table1[[#This Row],[Delivery]])*24-Table1[[#This Row],[Promised]])</f>
        <v>0</v>
      </c>
      <c r="Q659"/>
    </row>
    <row r="660" spans="1:17" x14ac:dyDescent="0.45">
      <c r="A660" s="3">
        <v>45297.458333333336</v>
      </c>
      <c r="B660" t="s">
        <v>14</v>
      </c>
      <c r="C660">
        <v>7</v>
      </c>
      <c r="D660">
        <v>1002</v>
      </c>
      <c r="E660" t="s">
        <v>15</v>
      </c>
      <c r="F660">
        <v>7</v>
      </c>
      <c r="G660">
        <v>6650</v>
      </c>
      <c r="H660">
        <v>46550</v>
      </c>
      <c r="I660" s="3">
        <v>45297.541666666664</v>
      </c>
      <c r="J660">
        <v>96</v>
      </c>
      <c r="K660" s="3">
        <v>45300.541666666664</v>
      </c>
      <c r="L660" s="4">
        <f>ROUNDDOWN(Table1[[#This Row],[Ordered]],0)</f>
        <v>45297</v>
      </c>
      <c r="M660" s="4">
        <f>Table1[[#This Row],[Date ]]</f>
        <v>45297</v>
      </c>
      <c r="N660" s="5">
        <f>Table1[[#This Row],[Ordered]]-Table1[[#This Row],[Date ]]</f>
        <v>0.45833333333575865</v>
      </c>
      <c r="O660">
        <f>Table1[[#This Row],[Company]]</f>
        <v>7</v>
      </c>
      <c r="P660">
        <f>IF(((Table1[[#This Row],[Arrived]]-Table1[[#This Row],[Delivery]])*24-Table1[[#This Row],[Promised]])&lt;0, 0, (Table1[[#This Row],[Arrived]]-Table1[[#This Row],[Delivery]])*24-Table1[[#This Row],[Promised]])</f>
        <v>0</v>
      </c>
      <c r="Q660"/>
    </row>
    <row r="661" spans="1:17" x14ac:dyDescent="0.45">
      <c r="A661" s="3">
        <v>45297.458333333336</v>
      </c>
      <c r="B661" t="s">
        <v>19</v>
      </c>
      <c r="C661">
        <v>10</v>
      </c>
      <c r="D661">
        <v>3003</v>
      </c>
      <c r="E661" t="s">
        <v>16</v>
      </c>
      <c r="F661">
        <v>12</v>
      </c>
      <c r="G661">
        <v>4300</v>
      </c>
      <c r="H661">
        <v>51600</v>
      </c>
      <c r="I661" s="3">
        <v>45297.5</v>
      </c>
      <c r="J661">
        <v>288</v>
      </c>
      <c r="K661" s="3">
        <v>45307.5</v>
      </c>
      <c r="L661" s="4">
        <f>ROUNDDOWN(Table1[[#This Row],[Ordered]],0)</f>
        <v>45297</v>
      </c>
      <c r="M661" s="4">
        <f>Table1[[#This Row],[Date ]]</f>
        <v>45297</v>
      </c>
      <c r="N661" s="5">
        <f>Table1[[#This Row],[Ordered]]-Table1[[#This Row],[Date ]]</f>
        <v>0.45833333333575865</v>
      </c>
      <c r="O661">
        <f>Table1[[#This Row],[Company]]</f>
        <v>10</v>
      </c>
      <c r="P661">
        <f>IF(((Table1[[#This Row],[Arrived]]-Table1[[#This Row],[Delivery]])*24-Table1[[#This Row],[Promised]])&lt;0, 0, (Table1[[#This Row],[Arrived]]-Table1[[#This Row],[Delivery]])*24-Table1[[#This Row],[Promised]])</f>
        <v>0</v>
      </c>
      <c r="Q661"/>
    </row>
    <row r="662" spans="1:17" x14ac:dyDescent="0.45">
      <c r="A662" s="3">
        <v>45297.458333333336</v>
      </c>
      <c r="B662" t="s">
        <v>19</v>
      </c>
      <c r="C662">
        <v>7</v>
      </c>
      <c r="D662">
        <v>3005</v>
      </c>
      <c r="E662" t="s">
        <v>16</v>
      </c>
      <c r="F662">
        <v>16</v>
      </c>
      <c r="G662">
        <v>4200</v>
      </c>
      <c r="H662">
        <v>67200</v>
      </c>
      <c r="I662" s="3">
        <v>45298.458333333336</v>
      </c>
      <c r="J662">
        <v>288</v>
      </c>
      <c r="K662" s="3">
        <v>45308.625</v>
      </c>
      <c r="L662" s="4">
        <f>ROUNDDOWN(Table1[[#This Row],[Ordered]],0)</f>
        <v>45297</v>
      </c>
      <c r="M662" s="4">
        <f>Table1[[#This Row],[Date ]]</f>
        <v>45297</v>
      </c>
      <c r="N662" s="5">
        <f>Table1[[#This Row],[Ordered]]-Table1[[#This Row],[Date ]]</f>
        <v>0.45833333333575865</v>
      </c>
      <c r="O662">
        <f>Table1[[#This Row],[Company]]</f>
        <v>7</v>
      </c>
      <c r="P662">
        <f>IF(((Table1[[#This Row],[Arrived]]-Table1[[#This Row],[Delivery]])*24-Table1[[#This Row],[Promised]])&lt;0, 0, (Table1[[#This Row],[Arrived]]-Table1[[#This Row],[Delivery]])*24-Table1[[#This Row],[Promised]])</f>
        <v>0</v>
      </c>
      <c r="Q662"/>
    </row>
    <row r="663" spans="1:17" x14ac:dyDescent="0.45">
      <c r="A663" s="3">
        <v>45297.458333333336</v>
      </c>
      <c r="B663" t="s">
        <v>14</v>
      </c>
      <c r="C663">
        <v>13</v>
      </c>
      <c r="D663">
        <v>1002</v>
      </c>
      <c r="E663" t="s">
        <v>15</v>
      </c>
      <c r="F663">
        <v>6</v>
      </c>
      <c r="G663">
        <v>6400</v>
      </c>
      <c r="H663">
        <v>38400</v>
      </c>
      <c r="I663" s="3">
        <v>45298.333333333336</v>
      </c>
      <c r="J663">
        <v>96</v>
      </c>
      <c r="K663" s="3">
        <v>45301.416666666664</v>
      </c>
      <c r="L663" s="4">
        <f>ROUNDDOWN(Table1[[#This Row],[Ordered]],0)</f>
        <v>45297</v>
      </c>
      <c r="M663" s="4">
        <f>Table1[[#This Row],[Date ]]</f>
        <v>45297</v>
      </c>
      <c r="N663" s="5">
        <f>Table1[[#This Row],[Ordered]]-Table1[[#This Row],[Date ]]</f>
        <v>0.45833333333575865</v>
      </c>
      <c r="O663">
        <f>Table1[[#This Row],[Company]]</f>
        <v>13</v>
      </c>
      <c r="P663">
        <f>IF(((Table1[[#This Row],[Arrived]]-Table1[[#This Row],[Delivery]])*24-Table1[[#This Row],[Promised]])&lt;0, 0, (Table1[[#This Row],[Arrived]]-Table1[[#This Row],[Delivery]])*24-Table1[[#This Row],[Promised]])</f>
        <v>0</v>
      </c>
      <c r="Q663"/>
    </row>
    <row r="664" spans="1:17" x14ac:dyDescent="0.45">
      <c r="A664" s="3">
        <v>45297.458333333336</v>
      </c>
      <c r="B664" t="s">
        <v>19</v>
      </c>
      <c r="C664">
        <v>7</v>
      </c>
      <c r="D664">
        <v>3006</v>
      </c>
      <c r="E664" t="s">
        <v>16</v>
      </c>
      <c r="F664">
        <v>5</v>
      </c>
      <c r="G664">
        <v>4200</v>
      </c>
      <c r="H664">
        <v>21000</v>
      </c>
      <c r="I664" s="3">
        <v>45298.458333333336</v>
      </c>
      <c r="J664">
        <v>288</v>
      </c>
      <c r="K664" s="3">
        <v>45308.458333333336</v>
      </c>
      <c r="L664" s="4">
        <f>ROUNDDOWN(Table1[[#This Row],[Ordered]],0)</f>
        <v>45297</v>
      </c>
      <c r="M664" s="4">
        <f>Table1[[#This Row],[Date ]]</f>
        <v>45297</v>
      </c>
      <c r="N664" s="5">
        <f>Table1[[#This Row],[Ordered]]-Table1[[#This Row],[Date ]]</f>
        <v>0.45833333333575865</v>
      </c>
      <c r="O664">
        <f>Table1[[#This Row],[Company]]</f>
        <v>7</v>
      </c>
      <c r="P664">
        <f>IF(((Table1[[#This Row],[Arrived]]-Table1[[#This Row],[Delivery]])*24-Table1[[#This Row],[Promised]])&lt;0, 0, (Table1[[#This Row],[Arrived]]-Table1[[#This Row],[Delivery]])*24-Table1[[#This Row],[Promised]])</f>
        <v>0</v>
      </c>
      <c r="Q664"/>
    </row>
    <row r="665" spans="1:17" x14ac:dyDescent="0.45">
      <c r="A665" s="3">
        <v>45297.458333333336</v>
      </c>
      <c r="B665" t="s">
        <v>19</v>
      </c>
      <c r="C665">
        <v>10</v>
      </c>
      <c r="D665">
        <v>3002</v>
      </c>
      <c r="E665" t="s">
        <v>16</v>
      </c>
      <c r="F665">
        <v>5</v>
      </c>
      <c r="G665">
        <v>4300</v>
      </c>
      <c r="H665">
        <v>21500</v>
      </c>
      <c r="I665" s="3">
        <v>45297.5</v>
      </c>
      <c r="J665">
        <v>288</v>
      </c>
      <c r="K665" s="3">
        <v>45307.5</v>
      </c>
      <c r="L665" s="4">
        <f>ROUNDDOWN(Table1[[#This Row],[Ordered]],0)</f>
        <v>45297</v>
      </c>
      <c r="M665" s="4">
        <f>Table1[[#This Row],[Date ]]</f>
        <v>45297</v>
      </c>
      <c r="N665" s="5">
        <f>Table1[[#This Row],[Ordered]]-Table1[[#This Row],[Date ]]</f>
        <v>0.45833333333575865</v>
      </c>
      <c r="O665">
        <f>Table1[[#This Row],[Company]]</f>
        <v>10</v>
      </c>
      <c r="P665">
        <f>IF(((Table1[[#This Row],[Arrived]]-Table1[[#This Row],[Delivery]])*24-Table1[[#This Row],[Promised]])&lt;0, 0, (Table1[[#This Row],[Arrived]]-Table1[[#This Row],[Delivery]])*24-Table1[[#This Row],[Promised]])</f>
        <v>0</v>
      </c>
      <c r="Q665"/>
    </row>
    <row r="666" spans="1:17" x14ac:dyDescent="0.45">
      <c r="A666" s="3">
        <v>45297.458333333336</v>
      </c>
      <c r="B666" t="s">
        <v>14</v>
      </c>
      <c r="C666">
        <v>14</v>
      </c>
      <c r="D666">
        <v>1002</v>
      </c>
      <c r="E666" t="s">
        <v>15</v>
      </c>
      <c r="F666">
        <v>5</v>
      </c>
      <c r="G666">
        <v>6650</v>
      </c>
      <c r="H666">
        <v>33250</v>
      </c>
      <c r="I666" s="3">
        <v>45297.833333333336</v>
      </c>
      <c r="J666">
        <v>96</v>
      </c>
      <c r="K666" s="3">
        <v>45300.833333333336</v>
      </c>
      <c r="L666" s="4">
        <f>ROUNDDOWN(Table1[[#This Row],[Ordered]],0)</f>
        <v>45297</v>
      </c>
      <c r="M666" s="4">
        <f>Table1[[#This Row],[Date ]]</f>
        <v>45297</v>
      </c>
      <c r="N666" s="5">
        <f>Table1[[#This Row],[Ordered]]-Table1[[#This Row],[Date ]]</f>
        <v>0.45833333333575865</v>
      </c>
      <c r="O666">
        <f>Table1[[#This Row],[Company]]</f>
        <v>14</v>
      </c>
      <c r="P666">
        <f>IF(((Table1[[#This Row],[Arrived]]-Table1[[#This Row],[Delivery]])*24-Table1[[#This Row],[Promised]])&lt;0, 0, (Table1[[#This Row],[Arrived]]-Table1[[#This Row],[Delivery]])*24-Table1[[#This Row],[Promised]])</f>
        <v>0</v>
      </c>
      <c r="Q666"/>
    </row>
    <row r="667" spans="1:17" x14ac:dyDescent="0.45">
      <c r="A667" s="3">
        <v>45297.458333333336</v>
      </c>
      <c r="B667" t="s">
        <v>19</v>
      </c>
      <c r="C667">
        <v>7</v>
      </c>
      <c r="D667">
        <v>3003</v>
      </c>
      <c r="E667" t="s">
        <v>16</v>
      </c>
      <c r="F667">
        <v>16</v>
      </c>
      <c r="G667">
        <v>4200</v>
      </c>
      <c r="H667">
        <v>67200</v>
      </c>
      <c r="I667" s="3">
        <v>45298.458333333336</v>
      </c>
      <c r="J667">
        <v>288</v>
      </c>
      <c r="K667" s="3">
        <v>45308.458333333336</v>
      </c>
      <c r="L667" s="4">
        <f>ROUNDDOWN(Table1[[#This Row],[Ordered]],0)</f>
        <v>45297</v>
      </c>
      <c r="M667" s="4">
        <f>Table1[[#This Row],[Date ]]</f>
        <v>45297</v>
      </c>
      <c r="N667" s="5">
        <f>Table1[[#This Row],[Ordered]]-Table1[[#This Row],[Date ]]</f>
        <v>0.45833333333575865</v>
      </c>
      <c r="O667">
        <f>Table1[[#This Row],[Company]]</f>
        <v>7</v>
      </c>
      <c r="P667">
        <f>IF(((Table1[[#This Row],[Arrived]]-Table1[[#This Row],[Delivery]])*24-Table1[[#This Row],[Promised]])&lt;0, 0, (Table1[[#This Row],[Arrived]]-Table1[[#This Row],[Delivery]])*24-Table1[[#This Row],[Promised]])</f>
        <v>0</v>
      </c>
      <c r="Q667"/>
    </row>
    <row r="668" spans="1:17" x14ac:dyDescent="0.45">
      <c r="A668" s="3">
        <v>45297.458333333336</v>
      </c>
      <c r="B668" t="s">
        <v>14</v>
      </c>
      <c r="C668">
        <v>9</v>
      </c>
      <c r="D668">
        <v>1002</v>
      </c>
      <c r="E668" t="s">
        <v>15</v>
      </c>
      <c r="F668">
        <v>5</v>
      </c>
      <c r="G668">
        <v>6650</v>
      </c>
      <c r="H668">
        <v>33250</v>
      </c>
      <c r="I668" s="3">
        <v>45298.333333333336</v>
      </c>
      <c r="J668">
        <v>96</v>
      </c>
      <c r="K668" s="3">
        <v>45301.333333333336</v>
      </c>
      <c r="L668" s="4">
        <f>ROUNDDOWN(Table1[[#This Row],[Ordered]],0)</f>
        <v>45297</v>
      </c>
      <c r="M668" s="4">
        <f>Table1[[#This Row],[Date ]]</f>
        <v>45297</v>
      </c>
      <c r="N668" s="5">
        <f>Table1[[#This Row],[Ordered]]-Table1[[#This Row],[Date ]]</f>
        <v>0.45833333333575865</v>
      </c>
      <c r="O668">
        <f>Table1[[#This Row],[Company]]</f>
        <v>9</v>
      </c>
      <c r="P668">
        <f>IF(((Table1[[#This Row],[Arrived]]-Table1[[#This Row],[Delivery]])*24-Table1[[#This Row],[Promised]])&lt;0, 0, (Table1[[#This Row],[Arrived]]-Table1[[#This Row],[Delivery]])*24-Table1[[#This Row],[Promised]])</f>
        <v>0</v>
      </c>
      <c r="Q668"/>
    </row>
    <row r="669" spans="1:17" x14ac:dyDescent="0.45">
      <c r="A669" s="3">
        <v>45297.458333333336</v>
      </c>
      <c r="B669" t="s">
        <v>14</v>
      </c>
      <c r="C669">
        <v>12</v>
      </c>
      <c r="D669">
        <v>1002</v>
      </c>
      <c r="E669" t="s">
        <v>15</v>
      </c>
      <c r="F669">
        <v>9</v>
      </c>
      <c r="G669">
        <v>6850</v>
      </c>
      <c r="H669">
        <v>61650</v>
      </c>
      <c r="I669" s="3">
        <v>45297.541666666664</v>
      </c>
      <c r="J669">
        <v>84</v>
      </c>
      <c r="K669" s="3">
        <v>45300.708333333336</v>
      </c>
      <c r="L669" s="4">
        <f>ROUNDDOWN(Table1[[#This Row],[Ordered]],0)</f>
        <v>45297</v>
      </c>
      <c r="M669" s="4">
        <f>Table1[[#This Row],[Date ]]</f>
        <v>45297</v>
      </c>
      <c r="N669" s="5">
        <f>Table1[[#This Row],[Ordered]]-Table1[[#This Row],[Date ]]</f>
        <v>0.45833333333575865</v>
      </c>
      <c r="O669">
        <f>Table1[[#This Row],[Company]]</f>
        <v>12</v>
      </c>
      <c r="P669">
        <f>IF(((Table1[[#This Row],[Arrived]]-Table1[[#This Row],[Delivery]])*24-Table1[[#This Row],[Promised]])&lt;0, 0, (Table1[[#This Row],[Arrived]]-Table1[[#This Row],[Delivery]])*24-Table1[[#This Row],[Promised]])</f>
        <v>0</v>
      </c>
      <c r="Q669"/>
    </row>
    <row r="670" spans="1:17" x14ac:dyDescent="0.45">
      <c r="A670" s="3">
        <v>45297.458333333336</v>
      </c>
      <c r="B670" t="s">
        <v>14</v>
      </c>
      <c r="C670">
        <v>15</v>
      </c>
      <c r="D670">
        <v>1002</v>
      </c>
      <c r="E670" t="s">
        <v>15</v>
      </c>
      <c r="F670">
        <v>4</v>
      </c>
      <c r="G670">
        <v>6650</v>
      </c>
      <c r="H670">
        <v>26600</v>
      </c>
      <c r="I670" s="3">
        <v>45297.708333333336</v>
      </c>
      <c r="J670">
        <v>96</v>
      </c>
      <c r="K670" s="3">
        <v>45300.708333333336</v>
      </c>
      <c r="L670" s="4">
        <f>ROUNDDOWN(Table1[[#This Row],[Ordered]],0)</f>
        <v>45297</v>
      </c>
      <c r="M670" s="4">
        <f>Table1[[#This Row],[Date ]]</f>
        <v>45297</v>
      </c>
      <c r="N670" s="5">
        <f>Table1[[#This Row],[Ordered]]-Table1[[#This Row],[Date ]]</f>
        <v>0.45833333333575865</v>
      </c>
      <c r="O670">
        <f>Table1[[#This Row],[Company]]</f>
        <v>15</v>
      </c>
      <c r="P670">
        <f>IF(((Table1[[#This Row],[Arrived]]-Table1[[#This Row],[Delivery]])*24-Table1[[#This Row],[Promised]])&lt;0, 0, (Table1[[#This Row],[Arrived]]-Table1[[#This Row],[Delivery]])*24-Table1[[#This Row],[Promised]])</f>
        <v>0</v>
      </c>
      <c r="Q670"/>
    </row>
    <row r="671" spans="1:17" x14ac:dyDescent="0.45">
      <c r="A671" s="3">
        <v>45297.458333333336</v>
      </c>
      <c r="B671" t="s">
        <v>14</v>
      </c>
      <c r="C671">
        <v>10</v>
      </c>
      <c r="D671">
        <v>1002</v>
      </c>
      <c r="E671" t="s">
        <v>15</v>
      </c>
      <c r="F671">
        <v>3</v>
      </c>
      <c r="G671">
        <v>6800</v>
      </c>
      <c r="H671">
        <v>20400</v>
      </c>
      <c r="I671" s="3">
        <v>45297.458333333336</v>
      </c>
      <c r="J671">
        <v>96</v>
      </c>
      <c r="K671" s="3">
        <v>45300.458333333336</v>
      </c>
      <c r="L671" s="4">
        <f>ROUNDDOWN(Table1[[#This Row],[Ordered]],0)</f>
        <v>45297</v>
      </c>
      <c r="M671" s="4">
        <f>Table1[[#This Row],[Date ]]</f>
        <v>45297</v>
      </c>
      <c r="N671" s="5">
        <f>Table1[[#This Row],[Ordered]]-Table1[[#This Row],[Date ]]</f>
        <v>0.45833333333575865</v>
      </c>
      <c r="O671">
        <f>Table1[[#This Row],[Company]]</f>
        <v>10</v>
      </c>
      <c r="P671">
        <f>IF(((Table1[[#This Row],[Arrived]]-Table1[[#This Row],[Delivery]])*24-Table1[[#This Row],[Promised]])&lt;0, 0, (Table1[[#This Row],[Arrived]]-Table1[[#This Row],[Delivery]])*24-Table1[[#This Row],[Promised]])</f>
        <v>0</v>
      </c>
      <c r="Q671"/>
    </row>
    <row r="672" spans="1:17" hidden="1" x14ac:dyDescent="0.45">
      <c r="A672" s="3">
        <v>45297.5</v>
      </c>
      <c r="B672" t="s">
        <v>12</v>
      </c>
      <c r="C672">
        <v>5</v>
      </c>
      <c r="D672">
        <v>9</v>
      </c>
      <c r="E672" t="s">
        <v>13</v>
      </c>
      <c r="F672">
        <v>2000</v>
      </c>
      <c r="G672">
        <v>115</v>
      </c>
      <c r="H672">
        <v>230000</v>
      </c>
      <c r="I672" s="3">
        <v>45297.5</v>
      </c>
      <c r="J672">
        <v>48</v>
      </c>
      <c r="K672" s="3">
        <v>45299.5</v>
      </c>
      <c r="L672" s="4">
        <f>ROUNDDOWN(Table1[[#This Row],[Ordered]],0)</f>
        <v>45297</v>
      </c>
      <c r="M672" s="4">
        <f>Table1[[#This Row],[Date ]]</f>
        <v>45297</v>
      </c>
      <c r="N672" s="5">
        <f>Table1[[#This Row],[Ordered]]-Table1[[#This Row],[Date ]]</f>
        <v>0.5</v>
      </c>
      <c r="O672">
        <f>Table1[[#This Row],[Company]]</f>
        <v>5</v>
      </c>
      <c r="P672">
        <f>IF(((Table1[[#This Row],[Arrived]]-Table1[[#This Row],[Delivery]])*24-Table1[[#This Row],[Promised]])&lt;0, 0, (Table1[[#This Row],[Arrived]]-Table1[[#This Row],[Delivery]])*24-Table1[[#This Row],[Promised]])</f>
        <v>0</v>
      </c>
      <c r="Q672"/>
    </row>
    <row r="673" spans="1:17" hidden="1" x14ac:dyDescent="0.45">
      <c r="A673" s="3">
        <v>45297.5</v>
      </c>
      <c r="B673" t="s">
        <v>12</v>
      </c>
      <c r="C673">
        <v>1</v>
      </c>
      <c r="D673">
        <v>12</v>
      </c>
      <c r="E673" t="s">
        <v>17</v>
      </c>
      <c r="F673">
        <v>200</v>
      </c>
      <c r="G673">
        <v>1500</v>
      </c>
      <c r="H673">
        <v>300000</v>
      </c>
      <c r="I673" s="3">
        <v>45297.583333333336</v>
      </c>
      <c r="J673">
        <v>24</v>
      </c>
      <c r="K673" s="3">
        <v>45298.583333333336</v>
      </c>
      <c r="L673" s="4">
        <f>ROUNDDOWN(Table1[[#This Row],[Ordered]],0)</f>
        <v>45297</v>
      </c>
      <c r="M673" s="4">
        <f>Table1[[#This Row],[Date ]]</f>
        <v>45297</v>
      </c>
      <c r="N673" s="5">
        <f>Table1[[#This Row],[Ordered]]-Table1[[#This Row],[Date ]]</f>
        <v>0.5</v>
      </c>
      <c r="O673">
        <f>Table1[[#This Row],[Company]]</f>
        <v>1</v>
      </c>
      <c r="P673">
        <f>IF(((Table1[[#This Row],[Arrived]]-Table1[[#This Row],[Delivery]])*24-Table1[[#This Row],[Promised]])&lt;0, 0, (Table1[[#This Row],[Arrived]]-Table1[[#This Row],[Delivery]])*24-Table1[[#This Row],[Promised]])</f>
        <v>0</v>
      </c>
      <c r="Q673"/>
    </row>
    <row r="674" spans="1:17" hidden="1" x14ac:dyDescent="0.45">
      <c r="A674" s="3">
        <v>45297.541666666664</v>
      </c>
      <c r="B674" t="s">
        <v>12</v>
      </c>
      <c r="C674">
        <v>11</v>
      </c>
      <c r="D674">
        <v>1</v>
      </c>
      <c r="E674" t="s">
        <v>20</v>
      </c>
      <c r="F674">
        <v>243</v>
      </c>
      <c r="G674">
        <v>9</v>
      </c>
      <c r="H674">
        <v>2187</v>
      </c>
      <c r="I674" s="3">
        <v>45297.625</v>
      </c>
      <c r="J674">
        <v>72</v>
      </c>
      <c r="K674" s="3">
        <v>45300.625</v>
      </c>
      <c r="L674" s="4">
        <f>ROUNDDOWN(Table1[[#This Row],[Ordered]],0)</f>
        <v>45297</v>
      </c>
      <c r="M674" s="4">
        <f>Table1[[#This Row],[Date ]]</f>
        <v>45297</v>
      </c>
      <c r="N674" s="5">
        <f>Table1[[#This Row],[Ordered]]-Table1[[#This Row],[Date ]]</f>
        <v>0.54166666666424135</v>
      </c>
      <c r="O674">
        <f>Table1[[#This Row],[Company]]</f>
        <v>11</v>
      </c>
      <c r="P674">
        <f>IF(((Table1[[#This Row],[Arrived]]-Table1[[#This Row],[Delivery]])*24-Table1[[#This Row],[Promised]])&lt;0, 0, (Table1[[#This Row],[Arrived]]-Table1[[#This Row],[Delivery]])*24-Table1[[#This Row],[Promised]])</f>
        <v>0</v>
      </c>
      <c r="Q674"/>
    </row>
    <row r="675" spans="1:17" x14ac:dyDescent="0.45">
      <c r="A675" s="3">
        <v>45297.625</v>
      </c>
      <c r="B675" t="s">
        <v>14</v>
      </c>
      <c r="C675">
        <v>7</v>
      </c>
      <c r="D675">
        <v>1003</v>
      </c>
      <c r="E675" t="s">
        <v>16</v>
      </c>
      <c r="F675">
        <v>30</v>
      </c>
      <c r="G675">
        <v>3650</v>
      </c>
      <c r="H675">
        <v>109500</v>
      </c>
      <c r="I675" s="3">
        <v>45297.625</v>
      </c>
      <c r="J675">
        <v>96</v>
      </c>
      <c r="K675" s="3">
        <v>45300.625</v>
      </c>
      <c r="L675" s="4">
        <f>ROUNDDOWN(Table1[[#This Row],[Ordered]],0)</f>
        <v>45297</v>
      </c>
      <c r="M675" s="4">
        <f>Table1[[#This Row],[Date ]]</f>
        <v>45297</v>
      </c>
      <c r="N675" s="5">
        <f>Table1[[#This Row],[Ordered]]-Table1[[#This Row],[Date ]]</f>
        <v>0.625</v>
      </c>
      <c r="O675">
        <f>Table1[[#This Row],[Company]]</f>
        <v>7</v>
      </c>
      <c r="P675">
        <f>IF(((Table1[[#This Row],[Arrived]]-Table1[[#This Row],[Delivery]])*24-Table1[[#This Row],[Promised]])&lt;0, 0, (Table1[[#This Row],[Arrived]]-Table1[[#This Row],[Delivery]])*24-Table1[[#This Row],[Promised]])</f>
        <v>0</v>
      </c>
      <c r="Q675"/>
    </row>
    <row r="676" spans="1:17" x14ac:dyDescent="0.45">
      <c r="A676" s="3">
        <v>45297.625</v>
      </c>
      <c r="B676" t="s">
        <v>19</v>
      </c>
      <c r="C676">
        <v>10</v>
      </c>
      <c r="D676">
        <v>3010</v>
      </c>
      <c r="E676" t="s">
        <v>16</v>
      </c>
      <c r="F676">
        <v>3</v>
      </c>
      <c r="G676">
        <v>4700</v>
      </c>
      <c r="H676">
        <v>14100</v>
      </c>
      <c r="I676" s="3">
        <v>45297.708333333336</v>
      </c>
      <c r="J676">
        <v>288</v>
      </c>
      <c r="K676" s="3">
        <v>45307.708333333336</v>
      </c>
      <c r="L676" s="4">
        <f>ROUNDDOWN(Table1[[#This Row],[Ordered]],0)</f>
        <v>45297</v>
      </c>
      <c r="M676" s="4">
        <f>Table1[[#This Row],[Date ]]</f>
        <v>45297</v>
      </c>
      <c r="N676" s="5">
        <f>Table1[[#This Row],[Ordered]]-Table1[[#This Row],[Date ]]</f>
        <v>0.625</v>
      </c>
      <c r="O676">
        <f>Table1[[#This Row],[Company]]</f>
        <v>10</v>
      </c>
      <c r="P676">
        <f>IF(((Table1[[#This Row],[Arrived]]-Table1[[#This Row],[Delivery]])*24-Table1[[#This Row],[Promised]])&lt;0, 0, (Table1[[#This Row],[Arrived]]-Table1[[#This Row],[Delivery]])*24-Table1[[#This Row],[Promised]])</f>
        <v>0</v>
      </c>
      <c r="Q676"/>
    </row>
    <row r="677" spans="1:17" x14ac:dyDescent="0.45">
      <c r="A677" s="3">
        <v>45297.625</v>
      </c>
      <c r="B677" t="s">
        <v>14</v>
      </c>
      <c r="C677">
        <v>10</v>
      </c>
      <c r="D677">
        <v>1003</v>
      </c>
      <c r="E677" t="s">
        <v>16</v>
      </c>
      <c r="F677">
        <v>30</v>
      </c>
      <c r="G677">
        <v>3950</v>
      </c>
      <c r="H677">
        <v>118500</v>
      </c>
      <c r="I677" s="3">
        <v>45297.666666666664</v>
      </c>
      <c r="J677">
        <v>48</v>
      </c>
      <c r="K677" s="3">
        <v>45298.666666666664</v>
      </c>
      <c r="L677" s="4">
        <f>ROUNDDOWN(Table1[[#This Row],[Ordered]],0)</f>
        <v>45297</v>
      </c>
      <c r="M677" s="4">
        <f>Table1[[#This Row],[Date ]]</f>
        <v>45297</v>
      </c>
      <c r="N677" s="5">
        <f>Table1[[#This Row],[Ordered]]-Table1[[#This Row],[Date ]]</f>
        <v>0.625</v>
      </c>
      <c r="O677">
        <f>Table1[[#This Row],[Company]]</f>
        <v>10</v>
      </c>
      <c r="P677">
        <f>IF(((Table1[[#This Row],[Arrived]]-Table1[[#This Row],[Delivery]])*24-Table1[[#This Row],[Promised]])&lt;0, 0, (Table1[[#This Row],[Arrived]]-Table1[[#This Row],[Delivery]])*24-Table1[[#This Row],[Promised]])</f>
        <v>0</v>
      </c>
      <c r="Q677"/>
    </row>
    <row r="678" spans="1:17" x14ac:dyDescent="0.45">
      <c r="A678" s="3">
        <v>45297.625</v>
      </c>
      <c r="B678" t="s">
        <v>19</v>
      </c>
      <c r="C678">
        <v>10</v>
      </c>
      <c r="D678">
        <v>3008</v>
      </c>
      <c r="E678" t="s">
        <v>16</v>
      </c>
      <c r="F678">
        <v>4</v>
      </c>
      <c r="G678">
        <v>4700</v>
      </c>
      <c r="H678">
        <v>18800</v>
      </c>
      <c r="I678" s="3">
        <v>45297.708333333336</v>
      </c>
      <c r="J678">
        <v>288</v>
      </c>
      <c r="K678" s="3">
        <v>45307.708333333336</v>
      </c>
      <c r="L678" s="4">
        <f>ROUNDDOWN(Table1[[#This Row],[Ordered]],0)</f>
        <v>45297</v>
      </c>
      <c r="M678" s="4">
        <f>Table1[[#This Row],[Date ]]</f>
        <v>45297</v>
      </c>
      <c r="N678" s="5">
        <f>Table1[[#This Row],[Ordered]]-Table1[[#This Row],[Date ]]</f>
        <v>0.625</v>
      </c>
      <c r="O678">
        <f>Table1[[#This Row],[Company]]</f>
        <v>10</v>
      </c>
      <c r="P678">
        <f>IF(((Table1[[#This Row],[Arrived]]-Table1[[#This Row],[Delivery]])*24-Table1[[#This Row],[Promised]])&lt;0, 0, (Table1[[#This Row],[Arrived]]-Table1[[#This Row],[Delivery]])*24-Table1[[#This Row],[Promised]])</f>
        <v>0</v>
      </c>
      <c r="Q678"/>
    </row>
    <row r="679" spans="1:17" x14ac:dyDescent="0.45">
      <c r="A679" s="3">
        <v>45297.625</v>
      </c>
      <c r="B679" t="s">
        <v>14</v>
      </c>
      <c r="C679">
        <v>11</v>
      </c>
      <c r="D679">
        <v>1003</v>
      </c>
      <c r="E679" t="s">
        <v>16</v>
      </c>
      <c r="F679">
        <v>27</v>
      </c>
      <c r="G679">
        <v>3750</v>
      </c>
      <c r="H679">
        <v>101250</v>
      </c>
      <c r="I679" s="3">
        <v>45298.416666666664</v>
      </c>
      <c r="J679">
        <v>96</v>
      </c>
      <c r="K679" s="3">
        <v>45301.416666666664</v>
      </c>
      <c r="L679" s="4">
        <f>ROUNDDOWN(Table1[[#This Row],[Ordered]],0)</f>
        <v>45297</v>
      </c>
      <c r="M679" s="4">
        <f>Table1[[#This Row],[Date ]]</f>
        <v>45297</v>
      </c>
      <c r="N679" s="5">
        <f>Table1[[#This Row],[Ordered]]-Table1[[#This Row],[Date ]]</f>
        <v>0.625</v>
      </c>
      <c r="O679">
        <f>Table1[[#This Row],[Company]]</f>
        <v>11</v>
      </c>
      <c r="P679">
        <f>IF(((Table1[[#This Row],[Arrived]]-Table1[[#This Row],[Delivery]])*24-Table1[[#This Row],[Promised]])&lt;0, 0, (Table1[[#This Row],[Arrived]]-Table1[[#This Row],[Delivery]])*24-Table1[[#This Row],[Promised]])</f>
        <v>0</v>
      </c>
      <c r="Q679"/>
    </row>
    <row r="680" spans="1:17" x14ac:dyDescent="0.45">
      <c r="A680" s="3">
        <v>45297.625</v>
      </c>
      <c r="B680" t="s">
        <v>14</v>
      </c>
      <c r="C680">
        <v>8</v>
      </c>
      <c r="D680">
        <v>1003</v>
      </c>
      <c r="E680" t="s">
        <v>16</v>
      </c>
      <c r="F680">
        <v>30</v>
      </c>
      <c r="G680">
        <v>3300</v>
      </c>
      <c r="H680">
        <v>99000</v>
      </c>
      <c r="I680" s="3">
        <v>45298.5</v>
      </c>
      <c r="J680">
        <v>96</v>
      </c>
      <c r="K680" s="3">
        <v>45301.5</v>
      </c>
      <c r="L680" s="4">
        <f>ROUNDDOWN(Table1[[#This Row],[Ordered]],0)</f>
        <v>45297</v>
      </c>
      <c r="M680" s="4">
        <f>Table1[[#This Row],[Date ]]</f>
        <v>45297</v>
      </c>
      <c r="N680" s="5">
        <f>Table1[[#This Row],[Ordered]]-Table1[[#This Row],[Date ]]</f>
        <v>0.625</v>
      </c>
      <c r="O680">
        <f>Table1[[#This Row],[Company]]</f>
        <v>8</v>
      </c>
      <c r="P680">
        <f>IF(((Table1[[#This Row],[Arrived]]-Table1[[#This Row],[Delivery]])*24-Table1[[#This Row],[Promised]])&lt;0, 0, (Table1[[#This Row],[Arrived]]-Table1[[#This Row],[Delivery]])*24-Table1[[#This Row],[Promised]])</f>
        <v>0</v>
      </c>
      <c r="Q680"/>
    </row>
    <row r="681" spans="1:17" x14ac:dyDescent="0.45">
      <c r="A681" s="3">
        <v>45297.625</v>
      </c>
      <c r="B681" t="s">
        <v>14</v>
      </c>
      <c r="C681">
        <v>9</v>
      </c>
      <c r="D681">
        <v>1003</v>
      </c>
      <c r="E681" t="s">
        <v>16</v>
      </c>
      <c r="F681">
        <v>30</v>
      </c>
      <c r="G681">
        <v>3550</v>
      </c>
      <c r="H681">
        <v>106500</v>
      </c>
      <c r="I681" s="3">
        <v>45298.5</v>
      </c>
      <c r="J681">
        <v>96</v>
      </c>
      <c r="K681" s="3">
        <v>45301.5</v>
      </c>
      <c r="L681" s="4">
        <f>ROUNDDOWN(Table1[[#This Row],[Ordered]],0)</f>
        <v>45297</v>
      </c>
      <c r="M681" s="4">
        <f>Table1[[#This Row],[Date ]]</f>
        <v>45297</v>
      </c>
      <c r="N681" s="5">
        <f>Table1[[#This Row],[Ordered]]-Table1[[#This Row],[Date ]]</f>
        <v>0.625</v>
      </c>
      <c r="O681">
        <f>Table1[[#This Row],[Company]]</f>
        <v>9</v>
      </c>
      <c r="P681">
        <f>IF(((Table1[[#This Row],[Arrived]]-Table1[[#This Row],[Delivery]])*24-Table1[[#This Row],[Promised]])&lt;0, 0, (Table1[[#This Row],[Arrived]]-Table1[[#This Row],[Delivery]])*24-Table1[[#This Row],[Promised]])</f>
        <v>0</v>
      </c>
      <c r="Q681"/>
    </row>
    <row r="682" spans="1:17" x14ac:dyDescent="0.45">
      <c r="A682" s="3">
        <v>45297.625</v>
      </c>
      <c r="B682" t="s">
        <v>19</v>
      </c>
      <c r="C682">
        <v>10</v>
      </c>
      <c r="D682">
        <v>3007</v>
      </c>
      <c r="E682" t="s">
        <v>16</v>
      </c>
      <c r="F682">
        <v>3</v>
      </c>
      <c r="G682">
        <v>4700</v>
      </c>
      <c r="H682">
        <v>14100</v>
      </c>
      <c r="I682" s="3">
        <v>45297.708333333336</v>
      </c>
      <c r="J682">
        <v>288</v>
      </c>
      <c r="K682" s="3">
        <v>45307.708333333336</v>
      </c>
      <c r="L682" s="4">
        <f>ROUNDDOWN(Table1[[#This Row],[Ordered]],0)</f>
        <v>45297</v>
      </c>
      <c r="M682" s="4">
        <f>Table1[[#This Row],[Date ]]</f>
        <v>45297</v>
      </c>
      <c r="N682" s="5">
        <f>Table1[[#This Row],[Ordered]]-Table1[[#This Row],[Date ]]</f>
        <v>0.625</v>
      </c>
      <c r="O682">
        <f>Table1[[#This Row],[Company]]</f>
        <v>10</v>
      </c>
      <c r="P682">
        <f>IF(((Table1[[#This Row],[Arrived]]-Table1[[#This Row],[Delivery]])*24-Table1[[#This Row],[Promised]])&lt;0, 0, (Table1[[#This Row],[Arrived]]-Table1[[#This Row],[Delivery]])*24-Table1[[#This Row],[Promised]])</f>
        <v>0</v>
      </c>
      <c r="Q682"/>
    </row>
    <row r="683" spans="1:17" x14ac:dyDescent="0.45">
      <c r="A683" s="3">
        <v>45297.625</v>
      </c>
      <c r="B683" t="s">
        <v>14</v>
      </c>
      <c r="C683">
        <v>13</v>
      </c>
      <c r="D683">
        <v>1003</v>
      </c>
      <c r="E683" t="s">
        <v>16</v>
      </c>
      <c r="F683">
        <v>23</v>
      </c>
      <c r="G683">
        <v>3750</v>
      </c>
      <c r="H683">
        <v>86250</v>
      </c>
      <c r="I683" s="3">
        <v>45298.375</v>
      </c>
      <c r="J683">
        <v>96</v>
      </c>
      <c r="K683" s="3">
        <v>45301.375</v>
      </c>
      <c r="L683" s="4">
        <f>ROUNDDOWN(Table1[[#This Row],[Ordered]],0)</f>
        <v>45297</v>
      </c>
      <c r="M683" s="4">
        <f>Table1[[#This Row],[Date ]]</f>
        <v>45297</v>
      </c>
      <c r="N683" s="5">
        <f>Table1[[#This Row],[Ordered]]-Table1[[#This Row],[Date ]]</f>
        <v>0.625</v>
      </c>
      <c r="O683">
        <f>Table1[[#This Row],[Company]]</f>
        <v>13</v>
      </c>
      <c r="P683">
        <f>IF(((Table1[[#This Row],[Arrived]]-Table1[[#This Row],[Delivery]])*24-Table1[[#This Row],[Promised]])&lt;0, 0, (Table1[[#This Row],[Arrived]]-Table1[[#This Row],[Delivery]])*24-Table1[[#This Row],[Promised]])</f>
        <v>0</v>
      </c>
      <c r="Q683"/>
    </row>
    <row r="684" spans="1:17" hidden="1" x14ac:dyDescent="0.45">
      <c r="A684" s="3">
        <v>45297.625</v>
      </c>
      <c r="B684" t="s">
        <v>12</v>
      </c>
      <c r="C684">
        <v>4</v>
      </c>
      <c r="D684">
        <v>11</v>
      </c>
      <c r="E684" t="s">
        <v>17</v>
      </c>
      <c r="F684">
        <v>400</v>
      </c>
      <c r="G684">
        <v>1350</v>
      </c>
      <c r="H684">
        <v>540000</v>
      </c>
      <c r="I684" s="3">
        <v>45297.666666666664</v>
      </c>
      <c r="J684">
        <v>72</v>
      </c>
      <c r="K684" s="3">
        <v>45300.666666666664</v>
      </c>
      <c r="L684" s="4">
        <f>ROUNDDOWN(Table1[[#This Row],[Ordered]],0)</f>
        <v>45297</v>
      </c>
      <c r="M684" s="4">
        <f>Table1[[#This Row],[Date ]]</f>
        <v>45297</v>
      </c>
      <c r="N684" s="5">
        <f>Table1[[#This Row],[Ordered]]-Table1[[#This Row],[Date ]]</f>
        <v>0.625</v>
      </c>
      <c r="O684">
        <f>Table1[[#This Row],[Company]]</f>
        <v>4</v>
      </c>
      <c r="P684">
        <f>IF(((Table1[[#This Row],[Arrived]]-Table1[[#This Row],[Delivery]])*24-Table1[[#This Row],[Promised]])&lt;0, 0, (Table1[[#This Row],[Arrived]]-Table1[[#This Row],[Delivery]])*24-Table1[[#This Row],[Promised]])</f>
        <v>0</v>
      </c>
      <c r="Q684"/>
    </row>
    <row r="685" spans="1:17" x14ac:dyDescent="0.45">
      <c r="A685" s="3">
        <v>45297.625</v>
      </c>
      <c r="B685" t="s">
        <v>14</v>
      </c>
      <c r="C685">
        <v>16</v>
      </c>
      <c r="D685">
        <v>1003</v>
      </c>
      <c r="E685" t="s">
        <v>16</v>
      </c>
      <c r="F685">
        <v>30</v>
      </c>
      <c r="G685">
        <v>3750</v>
      </c>
      <c r="H685">
        <v>112500</v>
      </c>
      <c r="I685" s="3">
        <v>45297.708333333336</v>
      </c>
      <c r="J685">
        <v>96</v>
      </c>
      <c r="K685" s="3">
        <v>45300.708333333336</v>
      </c>
      <c r="L685" s="4">
        <f>ROUNDDOWN(Table1[[#This Row],[Ordered]],0)</f>
        <v>45297</v>
      </c>
      <c r="M685" s="4">
        <f>Table1[[#This Row],[Date ]]</f>
        <v>45297</v>
      </c>
      <c r="N685" s="5">
        <f>Table1[[#This Row],[Ordered]]-Table1[[#This Row],[Date ]]</f>
        <v>0.625</v>
      </c>
      <c r="O685">
        <f>Table1[[#This Row],[Company]]</f>
        <v>16</v>
      </c>
      <c r="P685">
        <f>IF(((Table1[[#This Row],[Arrived]]-Table1[[#This Row],[Delivery]])*24-Table1[[#This Row],[Promised]])&lt;0, 0, (Table1[[#This Row],[Arrived]]-Table1[[#This Row],[Delivery]])*24-Table1[[#This Row],[Promised]])</f>
        <v>0</v>
      </c>
      <c r="Q685"/>
    </row>
    <row r="686" spans="1:17" x14ac:dyDescent="0.45">
      <c r="A686" s="3">
        <v>45297.625</v>
      </c>
      <c r="B686" t="s">
        <v>19</v>
      </c>
      <c r="C686">
        <v>10</v>
      </c>
      <c r="D686">
        <v>3004</v>
      </c>
      <c r="E686" t="s">
        <v>16</v>
      </c>
      <c r="F686">
        <v>3</v>
      </c>
      <c r="G686">
        <v>4700</v>
      </c>
      <c r="H686">
        <v>14100</v>
      </c>
      <c r="I686" s="3">
        <v>45297.708333333336</v>
      </c>
      <c r="J686">
        <v>288</v>
      </c>
      <c r="K686" s="3">
        <v>45307.708333333336</v>
      </c>
      <c r="L686" s="4">
        <f>ROUNDDOWN(Table1[[#This Row],[Ordered]],0)</f>
        <v>45297</v>
      </c>
      <c r="M686" s="4">
        <f>Table1[[#This Row],[Date ]]</f>
        <v>45297</v>
      </c>
      <c r="N686" s="5">
        <f>Table1[[#This Row],[Ordered]]-Table1[[#This Row],[Date ]]</f>
        <v>0.625</v>
      </c>
      <c r="O686">
        <f>Table1[[#This Row],[Company]]</f>
        <v>10</v>
      </c>
      <c r="P686">
        <f>IF(((Table1[[#This Row],[Arrived]]-Table1[[#This Row],[Delivery]])*24-Table1[[#This Row],[Promised]])&lt;0, 0, (Table1[[#This Row],[Arrived]]-Table1[[#This Row],[Delivery]])*24-Table1[[#This Row],[Promised]])</f>
        <v>0</v>
      </c>
      <c r="Q686"/>
    </row>
    <row r="687" spans="1:17" x14ac:dyDescent="0.45">
      <c r="A687" s="3">
        <v>45297.625</v>
      </c>
      <c r="B687" t="s">
        <v>14</v>
      </c>
      <c r="C687">
        <v>14</v>
      </c>
      <c r="D687">
        <v>1003</v>
      </c>
      <c r="E687" t="s">
        <v>16</v>
      </c>
      <c r="F687">
        <v>30</v>
      </c>
      <c r="G687">
        <v>3750</v>
      </c>
      <c r="H687">
        <v>112500</v>
      </c>
      <c r="I687" s="3">
        <v>45298.25</v>
      </c>
      <c r="J687">
        <v>96</v>
      </c>
      <c r="K687" s="3">
        <v>45301.25</v>
      </c>
      <c r="L687" s="4">
        <f>ROUNDDOWN(Table1[[#This Row],[Ordered]],0)</f>
        <v>45297</v>
      </c>
      <c r="M687" s="4">
        <f>Table1[[#This Row],[Date ]]</f>
        <v>45297</v>
      </c>
      <c r="N687" s="5">
        <f>Table1[[#This Row],[Ordered]]-Table1[[#This Row],[Date ]]</f>
        <v>0.625</v>
      </c>
      <c r="O687">
        <f>Table1[[#This Row],[Company]]</f>
        <v>14</v>
      </c>
      <c r="P687">
        <f>IF(((Table1[[#This Row],[Arrived]]-Table1[[#This Row],[Delivery]])*24-Table1[[#This Row],[Promised]])&lt;0, 0, (Table1[[#This Row],[Arrived]]-Table1[[#This Row],[Delivery]])*24-Table1[[#This Row],[Promised]])</f>
        <v>0</v>
      </c>
      <c r="Q687"/>
    </row>
    <row r="688" spans="1:17" x14ac:dyDescent="0.45">
      <c r="A688" s="3">
        <v>45297.625</v>
      </c>
      <c r="B688" t="s">
        <v>14</v>
      </c>
      <c r="C688">
        <v>12</v>
      </c>
      <c r="D688">
        <v>1003</v>
      </c>
      <c r="E688" t="s">
        <v>16</v>
      </c>
      <c r="F688">
        <v>15</v>
      </c>
      <c r="G688">
        <v>3950</v>
      </c>
      <c r="H688">
        <v>59250</v>
      </c>
      <c r="I688" s="3">
        <v>45297.75</v>
      </c>
      <c r="J688">
        <v>60</v>
      </c>
      <c r="K688" s="3">
        <v>45299.75</v>
      </c>
      <c r="L688" s="4">
        <f>ROUNDDOWN(Table1[[#This Row],[Ordered]],0)</f>
        <v>45297</v>
      </c>
      <c r="M688" s="4">
        <f>Table1[[#This Row],[Date ]]</f>
        <v>45297</v>
      </c>
      <c r="N688" s="5">
        <f>Table1[[#This Row],[Ordered]]-Table1[[#This Row],[Date ]]</f>
        <v>0.625</v>
      </c>
      <c r="O688">
        <f>Table1[[#This Row],[Company]]</f>
        <v>12</v>
      </c>
      <c r="P688">
        <f>IF(((Table1[[#This Row],[Arrived]]-Table1[[#This Row],[Delivery]])*24-Table1[[#This Row],[Promised]])&lt;0, 0, (Table1[[#This Row],[Arrived]]-Table1[[#This Row],[Delivery]])*24-Table1[[#This Row],[Promised]])</f>
        <v>0</v>
      </c>
      <c r="Q688"/>
    </row>
    <row r="689" spans="1:17" hidden="1" x14ac:dyDescent="0.45">
      <c r="A689" s="3">
        <v>45297.708333333336</v>
      </c>
      <c r="B689" t="s">
        <v>12</v>
      </c>
      <c r="C689">
        <v>6</v>
      </c>
      <c r="D689">
        <v>15</v>
      </c>
      <c r="E689" t="s">
        <v>17</v>
      </c>
      <c r="F689">
        <v>119</v>
      </c>
      <c r="G689">
        <v>1200</v>
      </c>
      <c r="H689">
        <v>142800</v>
      </c>
      <c r="I689" s="3">
        <v>45297.75</v>
      </c>
      <c r="J689">
        <v>72</v>
      </c>
      <c r="K689" s="3">
        <v>45300.75</v>
      </c>
      <c r="L689" s="4">
        <f>ROUNDDOWN(Table1[[#This Row],[Ordered]],0)</f>
        <v>45297</v>
      </c>
      <c r="M689" s="4">
        <f>Table1[[#This Row],[Date ]]</f>
        <v>45297</v>
      </c>
      <c r="N689" s="5">
        <f>Table1[[#This Row],[Ordered]]-Table1[[#This Row],[Date ]]</f>
        <v>0.70833333333575865</v>
      </c>
      <c r="O689" s="5">
        <f>Table1[[#This Row],[Company]]</f>
        <v>6</v>
      </c>
      <c r="P689">
        <f>IF(((Table1[[#This Row],[Arrived]]-Table1[[#This Row],[Delivery]])*24-Table1[[#This Row],[Promised]])&lt;0, 0, (Table1[[#This Row],[Arrived]]-Table1[[#This Row],[Delivery]])*24-Table1[[#This Row],[Promised]])</f>
        <v>0</v>
      </c>
      <c r="Q689"/>
    </row>
    <row r="690" spans="1:17" hidden="1" x14ac:dyDescent="0.45">
      <c r="A690" s="3">
        <v>45297.708333333336</v>
      </c>
      <c r="B690" t="s">
        <v>12</v>
      </c>
      <c r="C690">
        <v>1</v>
      </c>
      <c r="D690">
        <v>14</v>
      </c>
      <c r="E690" t="s">
        <v>17</v>
      </c>
      <c r="F690">
        <v>600</v>
      </c>
      <c r="G690">
        <v>1550</v>
      </c>
      <c r="H690">
        <v>930000</v>
      </c>
      <c r="I690" s="3">
        <v>45297.75</v>
      </c>
      <c r="J690">
        <v>24</v>
      </c>
      <c r="K690" s="3">
        <v>45298.75</v>
      </c>
      <c r="L690" s="4">
        <f>ROUNDDOWN(Table1[[#This Row],[Ordered]],0)</f>
        <v>45297</v>
      </c>
      <c r="M690" s="4">
        <f>Table1[[#This Row],[Date ]]</f>
        <v>45297</v>
      </c>
      <c r="N690" s="5">
        <f>Table1[[#This Row],[Ordered]]-Table1[[#This Row],[Date ]]</f>
        <v>0.70833333333575865</v>
      </c>
      <c r="O690" s="5">
        <f>Table1[[#This Row],[Company]]</f>
        <v>1</v>
      </c>
      <c r="P690">
        <f>IF(((Table1[[#This Row],[Arrived]]-Table1[[#This Row],[Delivery]])*24-Table1[[#This Row],[Promised]])&lt;0, 0, (Table1[[#This Row],[Arrived]]-Table1[[#This Row],[Delivery]])*24-Table1[[#This Row],[Promised]])</f>
        <v>0</v>
      </c>
      <c r="Q690"/>
    </row>
    <row r="691" spans="1:17" x14ac:dyDescent="0.45">
      <c r="A691" s="3">
        <v>45297.875</v>
      </c>
      <c r="B691" t="s">
        <v>14</v>
      </c>
      <c r="C691">
        <v>11</v>
      </c>
      <c r="D691">
        <v>1004</v>
      </c>
      <c r="E691" t="s">
        <v>16</v>
      </c>
      <c r="F691">
        <v>30</v>
      </c>
      <c r="G691">
        <v>3750</v>
      </c>
      <c r="H691">
        <v>112500</v>
      </c>
      <c r="I691" s="3">
        <v>45298.708333333336</v>
      </c>
      <c r="J691">
        <v>96</v>
      </c>
      <c r="K691" s="3">
        <v>45301.708333333336</v>
      </c>
      <c r="L691" s="4">
        <f>ROUNDDOWN(Table1[[#This Row],[Ordered]],0)</f>
        <v>45297</v>
      </c>
      <c r="M691" s="4">
        <f>Table1[[#This Row],[Date ]]</f>
        <v>45297</v>
      </c>
      <c r="N691" s="5">
        <f>Table1[[#This Row],[Ordered]]-Table1[[#This Row],[Date ]]</f>
        <v>0.875</v>
      </c>
      <c r="O691">
        <f>Table1[[#This Row],[Company]]</f>
        <v>11</v>
      </c>
      <c r="P691">
        <f>IF(((Table1[[#This Row],[Arrived]]-Table1[[#This Row],[Delivery]])*24-Table1[[#This Row],[Promised]])&lt;0, 0, (Table1[[#This Row],[Arrived]]-Table1[[#This Row],[Delivery]])*24-Table1[[#This Row],[Promised]])</f>
        <v>0</v>
      </c>
      <c r="Q691"/>
    </row>
    <row r="692" spans="1:17" x14ac:dyDescent="0.45">
      <c r="A692" s="3">
        <v>45297.875</v>
      </c>
      <c r="B692" t="s">
        <v>14</v>
      </c>
      <c r="C692">
        <v>10</v>
      </c>
      <c r="D692">
        <v>1004</v>
      </c>
      <c r="E692" t="s">
        <v>16</v>
      </c>
      <c r="F692">
        <v>26</v>
      </c>
      <c r="G692">
        <v>3950</v>
      </c>
      <c r="H692">
        <v>102700</v>
      </c>
      <c r="I692" s="3">
        <v>45297.875</v>
      </c>
      <c r="J692">
        <v>48</v>
      </c>
      <c r="K692" s="3">
        <v>45299.875</v>
      </c>
      <c r="L692" s="4">
        <f>ROUNDDOWN(Table1[[#This Row],[Ordered]],0)</f>
        <v>45297</v>
      </c>
      <c r="M692" s="4">
        <f>Table1[[#This Row],[Date ]]</f>
        <v>45297</v>
      </c>
      <c r="N692" s="5">
        <f>Table1[[#This Row],[Ordered]]-Table1[[#This Row],[Date ]]</f>
        <v>0.875</v>
      </c>
      <c r="O692">
        <f>Table1[[#This Row],[Company]]</f>
        <v>10</v>
      </c>
      <c r="P692">
        <f>IF(((Table1[[#This Row],[Arrived]]-Table1[[#This Row],[Delivery]])*24-Table1[[#This Row],[Promised]])&lt;0, 0, (Table1[[#This Row],[Arrived]]-Table1[[#This Row],[Delivery]])*24-Table1[[#This Row],[Promised]])</f>
        <v>0</v>
      </c>
      <c r="Q692"/>
    </row>
    <row r="693" spans="1:17" x14ac:dyDescent="0.45">
      <c r="A693" s="3">
        <v>45297.875</v>
      </c>
      <c r="B693" t="s">
        <v>14</v>
      </c>
      <c r="C693">
        <v>15</v>
      </c>
      <c r="D693">
        <v>1004</v>
      </c>
      <c r="E693" t="s">
        <v>16</v>
      </c>
      <c r="F693">
        <v>23</v>
      </c>
      <c r="G693">
        <v>3850</v>
      </c>
      <c r="H693">
        <v>88550</v>
      </c>
      <c r="I693" s="3">
        <v>45298.041666666664</v>
      </c>
      <c r="J693">
        <v>92</v>
      </c>
      <c r="K693" s="3">
        <v>45301.041666666664</v>
      </c>
      <c r="L693" s="4">
        <f>ROUNDDOWN(Table1[[#This Row],[Ordered]],0)</f>
        <v>45297</v>
      </c>
      <c r="M693" s="4">
        <f>Table1[[#This Row],[Date ]]</f>
        <v>45297</v>
      </c>
      <c r="N693" s="5">
        <f>Table1[[#This Row],[Ordered]]-Table1[[#This Row],[Date ]]</f>
        <v>0.875</v>
      </c>
      <c r="O693">
        <f>Table1[[#This Row],[Company]]</f>
        <v>15</v>
      </c>
      <c r="P693">
        <f>IF(((Table1[[#This Row],[Arrived]]-Table1[[#This Row],[Delivery]])*24-Table1[[#This Row],[Promised]])&lt;0, 0, (Table1[[#This Row],[Arrived]]-Table1[[#This Row],[Delivery]])*24-Table1[[#This Row],[Promised]])</f>
        <v>0</v>
      </c>
      <c r="Q693"/>
    </row>
    <row r="694" spans="1:17" x14ac:dyDescent="0.45">
      <c r="A694" s="3">
        <v>45297.875</v>
      </c>
      <c r="B694" t="s">
        <v>14</v>
      </c>
      <c r="C694">
        <v>16</v>
      </c>
      <c r="D694">
        <v>1004</v>
      </c>
      <c r="E694" t="s">
        <v>16</v>
      </c>
      <c r="F694">
        <v>30</v>
      </c>
      <c r="G694">
        <v>3750</v>
      </c>
      <c r="H694">
        <v>112500</v>
      </c>
      <c r="I694" s="3">
        <v>45297.958333333336</v>
      </c>
      <c r="J694">
        <v>96</v>
      </c>
      <c r="K694" s="3">
        <v>45300.958333333336</v>
      </c>
      <c r="L694" s="4">
        <f>ROUNDDOWN(Table1[[#This Row],[Ordered]],0)</f>
        <v>45297</v>
      </c>
      <c r="M694" s="4">
        <f>Table1[[#This Row],[Date ]]</f>
        <v>45297</v>
      </c>
      <c r="N694" s="5">
        <f>Table1[[#This Row],[Ordered]]-Table1[[#This Row],[Date ]]</f>
        <v>0.875</v>
      </c>
      <c r="O694">
        <f>Table1[[#This Row],[Company]]</f>
        <v>16</v>
      </c>
      <c r="P694">
        <f>IF(((Table1[[#This Row],[Arrived]]-Table1[[#This Row],[Delivery]])*24-Table1[[#This Row],[Promised]])&lt;0, 0, (Table1[[#This Row],[Arrived]]-Table1[[#This Row],[Delivery]])*24-Table1[[#This Row],[Promised]])</f>
        <v>0</v>
      </c>
      <c r="Q694"/>
    </row>
    <row r="695" spans="1:17" x14ac:dyDescent="0.45">
      <c r="A695" s="3">
        <v>45297.875</v>
      </c>
      <c r="B695" t="s">
        <v>14</v>
      </c>
      <c r="C695">
        <v>12</v>
      </c>
      <c r="D695">
        <v>1004</v>
      </c>
      <c r="E695" t="s">
        <v>16</v>
      </c>
      <c r="F695">
        <v>30</v>
      </c>
      <c r="G695">
        <v>3800</v>
      </c>
      <c r="H695">
        <v>114000</v>
      </c>
      <c r="I695" s="3">
        <v>45297.958333333336</v>
      </c>
      <c r="J695">
        <v>96</v>
      </c>
      <c r="K695" s="3">
        <v>45300.958333333336</v>
      </c>
      <c r="L695" s="4">
        <f>ROUNDDOWN(Table1[[#This Row],[Ordered]],0)</f>
        <v>45297</v>
      </c>
      <c r="M695" s="4">
        <f>Table1[[#This Row],[Date ]]</f>
        <v>45297</v>
      </c>
      <c r="N695" s="5">
        <f>Table1[[#This Row],[Ordered]]-Table1[[#This Row],[Date ]]</f>
        <v>0.875</v>
      </c>
      <c r="O695">
        <f>Table1[[#This Row],[Company]]</f>
        <v>12</v>
      </c>
      <c r="P695">
        <f>IF(((Table1[[#This Row],[Arrived]]-Table1[[#This Row],[Delivery]])*24-Table1[[#This Row],[Promised]])&lt;0, 0, (Table1[[#This Row],[Arrived]]-Table1[[#This Row],[Delivery]])*24-Table1[[#This Row],[Promised]])</f>
        <v>0</v>
      </c>
      <c r="Q695"/>
    </row>
    <row r="696" spans="1:17" x14ac:dyDescent="0.45">
      <c r="A696" s="3">
        <v>45297.875</v>
      </c>
      <c r="B696" t="s">
        <v>14</v>
      </c>
      <c r="C696">
        <v>7</v>
      </c>
      <c r="D696">
        <v>1004</v>
      </c>
      <c r="E696" t="s">
        <v>16</v>
      </c>
      <c r="F696">
        <v>30</v>
      </c>
      <c r="G696">
        <v>3650</v>
      </c>
      <c r="H696">
        <v>109500</v>
      </c>
      <c r="I696" s="3">
        <v>45297.958333333336</v>
      </c>
      <c r="J696">
        <v>96</v>
      </c>
      <c r="K696" s="3">
        <v>45300.958333333336</v>
      </c>
      <c r="L696" s="4">
        <f>ROUNDDOWN(Table1[[#This Row],[Ordered]],0)</f>
        <v>45297</v>
      </c>
      <c r="M696" s="4">
        <f>Table1[[#This Row],[Date ]]</f>
        <v>45297</v>
      </c>
      <c r="N696" s="5">
        <f>Table1[[#This Row],[Ordered]]-Table1[[#This Row],[Date ]]</f>
        <v>0.875</v>
      </c>
      <c r="O696">
        <f>Table1[[#This Row],[Company]]</f>
        <v>7</v>
      </c>
      <c r="P696">
        <f>IF(((Table1[[#This Row],[Arrived]]-Table1[[#This Row],[Delivery]])*24-Table1[[#This Row],[Promised]])&lt;0, 0, (Table1[[#This Row],[Arrived]]-Table1[[#This Row],[Delivery]])*24-Table1[[#This Row],[Promised]])</f>
        <v>0</v>
      </c>
      <c r="Q696"/>
    </row>
    <row r="697" spans="1:17" x14ac:dyDescent="0.45">
      <c r="A697" s="3">
        <v>45297.875</v>
      </c>
      <c r="B697" t="s">
        <v>14</v>
      </c>
      <c r="C697">
        <v>14</v>
      </c>
      <c r="D697">
        <v>1004</v>
      </c>
      <c r="E697" t="s">
        <v>16</v>
      </c>
      <c r="F697">
        <v>30</v>
      </c>
      <c r="G697">
        <v>3750</v>
      </c>
      <c r="H697">
        <v>112500</v>
      </c>
      <c r="I697" s="3">
        <v>45298.25</v>
      </c>
      <c r="J697">
        <v>96</v>
      </c>
      <c r="K697" s="3">
        <v>45301.25</v>
      </c>
      <c r="L697" s="4">
        <f>ROUNDDOWN(Table1[[#This Row],[Ordered]],0)</f>
        <v>45297</v>
      </c>
      <c r="M697" s="4">
        <f>Table1[[#This Row],[Date ]]</f>
        <v>45297</v>
      </c>
      <c r="N697" s="5">
        <f>Table1[[#This Row],[Ordered]]-Table1[[#This Row],[Date ]]</f>
        <v>0.875</v>
      </c>
      <c r="O697">
        <f>Table1[[#This Row],[Company]]</f>
        <v>14</v>
      </c>
      <c r="P697">
        <f>IF(((Table1[[#This Row],[Arrived]]-Table1[[#This Row],[Delivery]])*24-Table1[[#This Row],[Promised]])&lt;0, 0, (Table1[[#This Row],[Arrived]]-Table1[[#This Row],[Delivery]])*24-Table1[[#This Row],[Promised]])</f>
        <v>0</v>
      </c>
      <c r="Q697"/>
    </row>
    <row r="698" spans="1:17" x14ac:dyDescent="0.45">
      <c r="A698" s="3">
        <v>45297.875</v>
      </c>
      <c r="B698" t="s">
        <v>14</v>
      </c>
      <c r="C698">
        <v>13</v>
      </c>
      <c r="D698">
        <v>1004</v>
      </c>
      <c r="E698" t="s">
        <v>16</v>
      </c>
      <c r="F698">
        <v>30</v>
      </c>
      <c r="G698">
        <v>3750</v>
      </c>
      <c r="H698">
        <v>112500</v>
      </c>
      <c r="I698" s="3">
        <v>45298.833333333336</v>
      </c>
      <c r="J698">
        <v>96</v>
      </c>
      <c r="K698" s="3">
        <v>45301.833333333336</v>
      </c>
      <c r="L698" s="4">
        <f>ROUNDDOWN(Table1[[#This Row],[Ordered]],0)</f>
        <v>45297</v>
      </c>
      <c r="M698" s="4">
        <f>Table1[[#This Row],[Date ]]</f>
        <v>45297</v>
      </c>
      <c r="N698" s="5">
        <f>Table1[[#This Row],[Ordered]]-Table1[[#This Row],[Date ]]</f>
        <v>0.875</v>
      </c>
      <c r="O698">
        <f>Table1[[#This Row],[Company]]</f>
        <v>13</v>
      </c>
      <c r="P698">
        <f>IF(((Table1[[#This Row],[Arrived]]-Table1[[#This Row],[Delivery]])*24-Table1[[#This Row],[Promised]])&lt;0, 0, (Table1[[#This Row],[Arrived]]-Table1[[#This Row],[Delivery]])*24-Table1[[#This Row],[Promised]])</f>
        <v>0</v>
      </c>
      <c r="Q698"/>
    </row>
    <row r="699" spans="1:17" x14ac:dyDescent="0.45">
      <c r="A699" s="3">
        <v>45297.875</v>
      </c>
      <c r="B699" t="s">
        <v>14</v>
      </c>
      <c r="C699">
        <v>8</v>
      </c>
      <c r="D699">
        <v>1004</v>
      </c>
      <c r="E699" t="s">
        <v>16</v>
      </c>
      <c r="F699">
        <v>30</v>
      </c>
      <c r="G699">
        <v>3300</v>
      </c>
      <c r="H699">
        <v>99000</v>
      </c>
      <c r="I699" s="3">
        <v>45298.708333333336</v>
      </c>
      <c r="J699">
        <v>96</v>
      </c>
      <c r="K699" s="3">
        <v>45301.708333333336</v>
      </c>
      <c r="L699" s="4">
        <f>ROUNDDOWN(Table1[[#This Row],[Ordered]],0)</f>
        <v>45297</v>
      </c>
      <c r="M699" s="4">
        <f>Table1[[#This Row],[Date ]]</f>
        <v>45297</v>
      </c>
      <c r="N699" s="5">
        <f>Table1[[#This Row],[Ordered]]-Table1[[#This Row],[Date ]]</f>
        <v>0.875</v>
      </c>
      <c r="O699">
        <f>Table1[[#This Row],[Company]]</f>
        <v>8</v>
      </c>
      <c r="P699">
        <f>IF(((Table1[[#This Row],[Arrived]]-Table1[[#This Row],[Delivery]])*24-Table1[[#This Row],[Promised]])&lt;0, 0, (Table1[[#This Row],[Arrived]]-Table1[[#This Row],[Delivery]])*24-Table1[[#This Row],[Promised]])</f>
        <v>0</v>
      </c>
      <c r="Q699"/>
    </row>
    <row r="700" spans="1:17" x14ac:dyDescent="0.45">
      <c r="A700" s="3">
        <v>45297.875</v>
      </c>
      <c r="B700" t="s">
        <v>14</v>
      </c>
      <c r="C700">
        <v>9</v>
      </c>
      <c r="D700">
        <v>1004</v>
      </c>
      <c r="E700" t="s">
        <v>16</v>
      </c>
      <c r="F700">
        <v>30</v>
      </c>
      <c r="G700">
        <v>3750</v>
      </c>
      <c r="H700">
        <v>112500</v>
      </c>
      <c r="I700" s="3">
        <v>45298.75</v>
      </c>
      <c r="J700">
        <v>96</v>
      </c>
      <c r="K700" s="3">
        <v>45301.75</v>
      </c>
      <c r="L700" s="4">
        <f>ROUNDDOWN(Table1[[#This Row],[Ordered]],0)</f>
        <v>45297</v>
      </c>
      <c r="M700" s="4">
        <f>Table1[[#This Row],[Date ]]</f>
        <v>45297</v>
      </c>
      <c r="N700" s="5">
        <f>Table1[[#This Row],[Ordered]]-Table1[[#This Row],[Date ]]</f>
        <v>0.875</v>
      </c>
      <c r="O700">
        <f>Table1[[#This Row],[Company]]</f>
        <v>9</v>
      </c>
      <c r="P700">
        <f>IF(((Table1[[#This Row],[Arrived]]-Table1[[#This Row],[Delivery]])*24-Table1[[#This Row],[Promised]])&lt;0, 0, (Table1[[#This Row],[Arrived]]-Table1[[#This Row],[Delivery]])*24-Table1[[#This Row],[Promised]])</f>
        <v>0</v>
      </c>
      <c r="Q700"/>
    </row>
    <row r="701" spans="1:17" hidden="1" x14ac:dyDescent="0.45">
      <c r="A701" s="3">
        <v>45297.875</v>
      </c>
      <c r="B701" t="s">
        <v>12</v>
      </c>
      <c r="C701">
        <v>4</v>
      </c>
      <c r="D701">
        <v>9</v>
      </c>
      <c r="E701" t="s">
        <v>13</v>
      </c>
      <c r="F701">
        <v>3000</v>
      </c>
      <c r="G701">
        <v>105</v>
      </c>
      <c r="H701">
        <v>315000</v>
      </c>
      <c r="I701" s="3">
        <v>45298.625</v>
      </c>
      <c r="J701">
        <v>72</v>
      </c>
      <c r="K701" s="3">
        <v>45301.625</v>
      </c>
      <c r="L701" s="4">
        <f>ROUNDDOWN(Table1[[#This Row],[Ordered]],0)</f>
        <v>45297</v>
      </c>
      <c r="M701" s="4">
        <f>Table1[[#This Row],[Date ]]</f>
        <v>45297</v>
      </c>
      <c r="N701" s="5">
        <f>Table1[[#This Row],[Ordered]]-Table1[[#This Row],[Date ]]</f>
        <v>0.875</v>
      </c>
      <c r="O701">
        <f>Table1[[#This Row],[Company]]</f>
        <v>4</v>
      </c>
      <c r="P701">
        <f>IF(((Table1[[#This Row],[Arrived]]-Table1[[#This Row],[Delivery]])*24-Table1[[#This Row],[Promised]])&lt;0, 0, (Table1[[#This Row],[Arrived]]-Table1[[#This Row],[Delivery]])*24-Table1[[#This Row],[Promised]])</f>
        <v>0</v>
      </c>
      <c r="Q701"/>
    </row>
    <row r="702" spans="1:17" hidden="1" x14ac:dyDescent="0.45">
      <c r="A702" s="3">
        <v>45297.916666666664</v>
      </c>
      <c r="B702" t="s">
        <v>12</v>
      </c>
      <c r="C702">
        <v>2</v>
      </c>
      <c r="D702">
        <v>9</v>
      </c>
      <c r="E702" t="s">
        <v>17</v>
      </c>
      <c r="F702">
        <v>341</v>
      </c>
      <c r="G702">
        <v>1250</v>
      </c>
      <c r="H702">
        <v>426250</v>
      </c>
      <c r="I702" s="3">
        <v>45297.958333333336</v>
      </c>
      <c r="J702">
        <v>72</v>
      </c>
      <c r="K702" s="3">
        <v>45300.958333333336</v>
      </c>
      <c r="L702" s="4">
        <f>ROUNDDOWN(Table1[[#This Row],[Ordered]],0)</f>
        <v>45297</v>
      </c>
      <c r="M702" s="4">
        <f>Table1[[#This Row],[Date ]]</f>
        <v>45297</v>
      </c>
      <c r="N702" s="5">
        <f>Table1[[#This Row],[Ordered]]-Table1[[#This Row],[Date ]]</f>
        <v>0.91666666666424135</v>
      </c>
      <c r="O702">
        <f>Table1[[#This Row],[Company]]</f>
        <v>2</v>
      </c>
      <c r="P702">
        <f>IF(((Table1[[#This Row],[Arrived]]-Table1[[#This Row],[Delivery]])*24-Table1[[#This Row],[Promised]])&lt;0, 0, (Table1[[#This Row],[Arrived]]-Table1[[#This Row],[Delivery]])*24-Table1[[#This Row],[Promised]])</f>
        <v>0</v>
      </c>
      <c r="Q702"/>
    </row>
    <row r="703" spans="1:17" hidden="1" x14ac:dyDescent="0.45">
      <c r="A703" s="3">
        <v>45298.041666666664</v>
      </c>
      <c r="B703" t="s">
        <v>12</v>
      </c>
      <c r="C703">
        <v>6</v>
      </c>
      <c r="D703">
        <v>10</v>
      </c>
      <c r="E703" t="s">
        <v>13</v>
      </c>
      <c r="F703">
        <v>3000</v>
      </c>
      <c r="G703">
        <v>100</v>
      </c>
      <c r="H703">
        <v>300000</v>
      </c>
      <c r="I703" s="3">
        <v>45298.208333333336</v>
      </c>
      <c r="J703">
        <v>72</v>
      </c>
      <c r="K703" s="3">
        <v>45301.208333333336</v>
      </c>
      <c r="L703" s="4">
        <f>ROUNDDOWN(Table1[[#This Row],[Ordered]],0)</f>
        <v>45298</v>
      </c>
      <c r="M703" s="4">
        <f>Table1[[#This Row],[Date ]]</f>
        <v>45298</v>
      </c>
      <c r="N703" s="5">
        <f>Table1[[#This Row],[Ordered]]-Table1[[#This Row],[Date ]]</f>
        <v>4.1666666664241347E-2</v>
      </c>
      <c r="O703">
        <f>Table1[[#This Row],[Company]]</f>
        <v>6</v>
      </c>
      <c r="P703">
        <f>IF(((Table1[[#This Row],[Arrived]]-Table1[[#This Row],[Delivery]])*24-Table1[[#This Row],[Promised]])&lt;0, 0, (Table1[[#This Row],[Arrived]]-Table1[[#This Row],[Delivery]])*24-Table1[[#This Row],[Promised]])</f>
        <v>0</v>
      </c>
      <c r="Q703"/>
    </row>
    <row r="704" spans="1:17" hidden="1" x14ac:dyDescent="0.45">
      <c r="A704" s="3">
        <v>45298.083333333336</v>
      </c>
      <c r="B704" t="s">
        <v>12</v>
      </c>
      <c r="C704">
        <v>5</v>
      </c>
      <c r="D704">
        <v>16</v>
      </c>
      <c r="E704" t="s">
        <v>17</v>
      </c>
      <c r="F704">
        <v>180</v>
      </c>
      <c r="G704">
        <v>1020</v>
      </c>
      <c r="H704">
        <v>183600</v>
      </c>
      <c r="I704" s="3">
        <v>45298.166666666664</v>
      </c>
      <c r="J704">
        <v>24</v>
      </c>
      <c r="K704" s="3">
        <v>45299.166666666664</v>
      </c>
      <c r="L704" s="4">
        <f>ROUNDDOWN(Table1[[#This Row],[Ordered]],0)</f>
        <v>45298</v>
      </c>
      <c r="M704" s="4">
        <f>Table1[[#This Row],[Date ]]</f>
        <v>45298</v>
      </c>
      <c r="N704" s="5">
        <f>Table1[[#This Row],[Ordered]]-Table1[[#This Row],[Date ]]</f>
        <v>8.3333333335758653E-2</v>
      </c>
      <c r="O704">
        <f>Table1[[#This Row],[Company]]</f>
        <v>5</v>
      </c>
      <c r="P704">
        <f>IF(((Table1[[#This Row],[Arrived]]-Table1[[#This Row],[Delivery]])*24-Table1[[#This Row],[Promised]])&lt;0, 0, (Table1[[#This Row],[Arrived]]-Table1[[#This Row],[Delivery]])*24-Table1[[#This Row],[Promised]])</f>
        <v>0</v>
      </c>
      <c r="Q704"/>
    </row>
    <row r="705" spans="1:17" x14ac:dyDescent="0.45">
      <c r="A705" s="3">
        <v>45298.125</v>
      </c>
      <c r="B705" t="s">
        <v>14</v>
      </c>
      <c r="C705">
        <v>9</v>
      </c>
      <c r="D705">
        <v>1004</v>
      </c>
      <c r="E705" t="s">
        <v>15</v>
      </c>
      <c r="F705">
        <v>5</v>
      </c>
      <c r="G705">
        <v>6650</v>
      </c>
      <c r="H705">
        <v>33250</v>
      </c>
      <c r="I705" s="3">
        <v>45299</v>
      </c>
      <c r="J705">
        <v>96</v>
      </c>
      <c r="K705" s="3">
        <v>45302</v>
      </c>
      <c r="L705" s="4">
        <f>ROUNDDOWN(Table1[[#This Row],[Ordered]],0)</f>
        <v>45298</v>
      </c>
      <c r="M705" s="4">
        <f>Table1[[#This Row],[Date ]]</f>
        <v>45298</v>
      </c>
      <c r="N705" s="5">
        <f>Table1[[#This Row],[Ordered]]-Table1[[#This Row],[Date ]]</f>
        <v>0.125</v>
      </c>
      <c r="O705">
        <f>Table1[[#This Row],[Company]]</f>
        <v>9</v>
      </c>
      <c r="P705">
        <f>IF(((Table1[[#This Row],[Arrived]]-Table1[[#This Row],[Delivery]])*24-Table1[[#This Row],[Promised]])&lt;0, 0, (Table1[[#This Row],[Arrived]]-Table1[[#This Row],[Delivery]])*24-Table1[[#This Row],[Promised]])</f>
        <v>0</v>
      </c>
      <c r="Q705"/>
    </row>
    <row r="706" spans="1:17" x14ac:dyDescent="0.45">
      <c r="A706" s="3">
        <v>45298.125</v>
      </c>
      <c r="B706" t="s">
        <v>14</v>
      </c>
      <c r="C706">
        <v>13</v>
      </c>
      <c r="D706">
        <v>1004</v>
      </c>
      <c r="E706" t="s">
        <v>15</v>
      </c>
      <c r="F706">
        <v>8</v>
      </c>
      <c r="G706">
        <v>6400</v>
      </c>
      <c r="H706">
        <v>51200</v>
      </c>
      <c r="I706" s="3">
        <v>45299.791666666664</v>
      </c>
      <c r="J706">
        <v>96</v>
      </c>
      <c r="K706" s="3">
        <v>45301.791666666664</v>
      </c>
      <c r="L706" s="4">
        <f>ROUNDDOWN(Table1[[#This Row],[Ordered]],0)</f>
        <v>45298</v>
      </c>
      <c r="M706" s="4">
        <f>Table1[[#This Row],[Date ]]</f>
        <v>45298</v>
      </c>
      <c r="N706" s="5">
        <f>Table1[[#This Row],[Ordered]]-Table1[[#This Row],[Date ]]</f>
        <v>0.125</v>
      </c>
      <c r="O706">
        <f>Table1[[#This Row],[Company]]</f>
        <v>13</v>
      </c>
      <c r="P706">
        <f>IF(((Table1[[#This Row],[Arrived]]-Table1[[#This Row],[Delivery]])*24-Table1[[#This Row],[Promised]])&lt;0, 0, (Table1[[#This Row],[Arrived]]-Table1[[#This Row],[Delivery]])*24-Table1[[#This Row],[Promised]])</f>
        <v>0</v>
      </c>
      <c r="Q706"/>
    </row>
    <row r="707" spans="1:17" x14ac:dyDescent="0.45">
      <c r="A707" s="3">
        <v>45298.125</v>
      </c>
      <c r="B707" t="s">
        <v>14</v>
      </c>
      <c r="C707">
        <v>14</v>
      </c>
      <c r="D707">
        <v>1004</v>
      </c>
      <c r="E707" t="s">
        <v>15</v>
      </c>
      <c r="F707">
        <v>6</v>
      </c>
      <c r="G707">
        <v>6650</v>
      </c>
      <c r="H707">
        <v>39900</v>
      </c>
      <c r="I707" s="3">
        <v>45298.458333333336</v>
      </c>
      <c r="J707">
        <v>96</v>
      </c>
      <c r="K707" s="3">
        <v>45301.625</v>
      </c>
      <c r="L707" s="4">
        <f>ROUNDDOWN(Table1[[#This Row],[Ordered]],0)</f>
        <v>45298</v>
      </c>
      <c r="M707" s="4">
        <f>Table1[[#This Row],[Date ]]</f>
        <v>45298</v>
      </c>
      <c r="N707" s="5">
        <f>Table1[[#This Row],[Ordered]]-Table1[[#This Row],[Date ]]</f>
        <v>0.125</v>
      </c>
      <c r="O707">
        <f>Table1[[#This Row],[Company]]</f>
        <v>14</v>
      </c>
      <c r="P707">
        <f>IF(((Table1[[#This Row],[Arrived]]-Table1[[#This Row],[Delivery]])*24-Table1[[#This Row],[Promised]])&lt;0, 0, (Table1[[#This Row],[Arrived]]-Table1[[#This Row],[Delivery]])*24-Table1[[#This Row],[Promised]])</f>
        <v>0</v>
      </c>
      <c r="Q707"/>
    </row>
    <row r="708" spans="1:17" x14ac:dyDescent="0.45">
      <c r="A708" s="3">
        <v>45298.125</v>
      </c>
      <c r="B708" t="s">
        <v>14</v>
      </c>
      <c r="C708">
        <v>8</v>
      </c>
      <c r="D708">
        <v>1004</v>
      </c>
      <c r="E708" t="s">
        <v>15</v>
      </c>
      <c r="F708">
        <v>13</v>
      </c>
      <c r="G708">
        <v>5350</v>
      </c>
      <c r="H708">
        <v>69550</v>
      </c>
      <c r="I708" s="3">
        <v>45298.958333333336</v>
      </c>
      <c r="J708">
        <v>96</v>
      </c>
      <c r="K708" s="3">
        <v>45302.125</v>
      </c>
      <c r="L708" s="4">
        <f>ROUNDDOWN(Table1[[#This Row],[Ordered]],0)</f>
        <v>45298</v>
      </c>
      <c r="M708" s="4">
        <f>Table1[[#This Row],[Date ]]</f>
        <v>45298</v>
      </c>
      <c r="N708" s="5">
        <f>Table1[[#This Row],[Ordered]]-Table1[[#This Row],[Date ]]</f>
        <v>0.125</v>
      </c>
      <c r="O708">
        <f>Table1[[#This Row],[Company]]</f>
        <v>8</v>
      </c>
      <c r="P708">
        <f>IF(((Table1[[#This Row],[Arrived]]-Table1[[#This Row],[Delivery]])*24-Table1[[#This Row],[Promised]])&lt;0, 0, (Table1[[#This Row],[Arrived]]-Table1[[#This Row],[Delivery]])*24-Table1[[#This Row],[Promised]])</f>
        <v>0</v>
      </c>
      <c r="Q708"/>
    </row>
    <row r="709" spans="1:17" x14ac:dyDescent="0.45">
      <c r="A709" s="3">
        <v>45298.125</v>
      </c>
      <c r="B709" t="s">
        <v>14</v>
      </c>
      <c r="C709">
        <v>7</v>
      </c>
      <c r="D709">
        <v>1004</v>
      </c>
      <c r="E709" t="s">
        <v>15</v>
      </c>
      <c r="F709">
        <v>9</v>
      </c>
      <c r="G709">
        <v>6650</v>
      </c>
      <c r="H709">
        <v>59850</v>
      </c>
      <c r="I709" s="3">
        <v>45298.208333333336</v>
      </c>
      <c r="J709">
        <v>96</v>
      </c>
      <c r="K709" s="3">
        <v>45301.208333333336</v>
      </c>
      <c r="L709" s="4">
        <f>ROUNDDOWN(Table1[[#This Row],[Ordered]],0)</f>
        <v>45298</v>
      </c>
      <c r="M709" s="4">
        <f>Table1[[#This Row],[Date ]]</f>
        <v>45298</v>
      </c>
      <c r="N709" s="5">
        <f>Table1[[#This Row],[Ordered]]-Table1[[#This Row],[Date ]]</f>
        <v>0.125</v>
      </c>
      <c r="O709">
        <f>Table1[[#This Row],[Company]]</f>
        <v>7</v>
      </c>
      <c r="P709">
        <f>IF(((Table1[[#This Row],[Arrived]]-Table1[[#This Row],[Delivery]])*24-Table1[[#This Row],[Promised]])&lt;0, 0, (Table1[[#This Row],[Arrived]]-Table1[[#This Row],[Delivery]])*24-Table1[[#This Row],[Promised]])</f>
        <v>0</v>
      </c>
      <c r="Q709"/>
    </row>
    <row r="710" spans="1:17" x14ac:dyDescent="0.45">
      <c r="A710" s="3">
        <v>45298.125</v>
      </c>
      <c r="B710" t="s">
        <v>14</v>
      </c>
      <c r="C710">
        <v>16</v>
      </c>
      <c r="D710">
        <v>1004</v>
      </c>
      <c r="E710" t="s">
        <v>15</v>
      </c>
      <c r="F710">
        <v>10</v>
      </c>
      <c r="G710">
        <v>6650</v>
      </c>
      <c r="H710">
        <v>66500</v>
      </c>
      <c r="I710" s="3">
        <v>45298.166666666664</v>
      </c>
      <c r="J710">
        <v>96</v>
      </c>
      <c r="K710" s="3">
        <v>45301.166666666664</v>
      </c>
      <c r="L710" s="4">
        <f>ROUNDDOWN(Table1[[#This Row],[Ordered]],0)</f>
        <v>45298</v>
      </c>
      <c r="M710" s="4">
        <f>Table1[[#This Row],[Date ]]</f>
        <v>45298</v>
      </c>
      <c r="N710" s="5">
        <f>Table1[[#This Row],[Ordered]]-Table1[[#This Row],[Date ]]</f>
        <v>0.125</v>
      </c>
      <c r="O710">
        <f>Table1[[#This Row],[Company]]</f>
        <v>16</v>
      </c>
      <c r="P710">
        <f>IF(((Table1[[#This Row],[Arrived]]-Table1[[#This Row],[Delivery]])*24-Table1[[#This Row],[Promised]])&lt;0, 0, (Table1[[#This Row],[Arrived]]-Table1[[#This Row],[Delivery]])*24-Table1[[#This Row],[Promised]])</f>
        <v>0</v>
      </c>
      <c r="Q710"/>
    </row>
    <row r="711" spans="1:17" x14ac:dyDescent="0.45">
      <c r="A711" s="3">
        <v>45298.166666666664</v>
      </c>
      <c r="B711" t="s">
        <v>14</v>
      </c>
      <c r="C711">
        <v>13</v>
      </c>
      <c r="D711">
        <v>1009</v>
      </c>
      <c r="E711" t="s">
        <v>15</v>
      </c>
      <c r="F711">
        <v>7</v>
      </c>
      <c r="G711">
        <v>6400</v>
      </c>
      <c r="H711">
        <v>44800</v>
      </c>
      <c r="I711" s="3">
        <v>45298.875</v>
      </c>
      <c r="J711">
        <v>96</v>
      </c>
      <c r="K711" s="3">
        <v>45301.875</v>
      </c>
      <c r="L711" s="4">
        <f>ROUNDDOWN(Table1[[#This Row],[Ordered]],0)</f>
        <v>45298</v>
      </c>
      <c r="M711" s="4">
        <f>Table1[[#This Row],[Date ]]</f>
        <v>45298</v>
      </c>
      <c r="N711" s="5">
        <f>Table1[[#This Row],[Ordered]]-Table1[[#This Row],[Date ]]</f>
        <v>0.16666666666424135</v>
      </c>
      <c r="O711">
        <f>Table1[[#This Row],[Company]]</f>
        <v>13</v>
      </c>
      <c r="P711">
        <f>IF(((Table1[[#This Row],[Arrived]]-Table1[[#This Row],[Delivery]])*24-Table1[[#This Row],[Promised]])&lt;0, 0, (Table1[[#This Row],[Arrived]]-Table1[[#This Row],[Delivery]])*24-Table1[[#This Row],[Promised]])</f>
        <v>0</v>
      </c>
      <c r="Q711"/>
    </row>
    <row r="712" spans="1:17" x14ac:dyDescent="0.45">
      <c r="A712" s="3">
        <v>45298.166666666664</v>
      </c>
      <c r="B712" t="s">
        <v>14</v>
      </c>
      <c r="C712">
        <v>14</v>
      </c>
      <c r="D712">
        <v>1009</v>
      </c>
      <c r="E712" t="s">
        <v>15</v>
      </c>
      <c r="F712">
        <v>3</v>
      </c>
      <c r="G712">
        <v>6650</v>
      </c>
      <c r="H712">
        <v>19950</v>
      </c>
      <c r="I712" s="3">
        <v>45298.458333333336</v>
      </c>
      <c r="J712">
        <v>96</v>
      </c>
      <c r="K712" s="3">
        <v>45301.458333333336</v>
      </c>
      <c r="L712" s="4">
        <f>ROUNDDOWN(Table1[[#This Row],[Ordered]],0)</f>
        <v>45298</v>
      </c>
      <c r="M712" s="4">
        <f>Table1[[#This Row],[Date ]]</f>
        <v>45298</v>
      </c>
      <c r="N712" s="5">
        <f>Table1[[#This Row],[Ordered]]-Table1[[#This Row],[Date ]]</f>
        <v>0.16666666666424135</v>
      </c>
      <c r="O712">
        <f>Table1[[#This Row],[Company]]</f>
        <v>14</v>
      </c>
      <c r="P712">
        <f>IF(((Table1[[#This Row],[Arrived]]-Table1[[#This Row],[Delivery]])*24-Table1[[#This Row],[Promised]])&lt;0, 0, (Table1[[#This Row],[Arrived]]-Table1[[#This Row],[Delivery]])*24-Table1[[#This Row],[Promised]])</f>
        <v>0</v>
      </c>
      <c r="Q712"/>
    </row>
    <row r="713" spans="1:17" x14ac:dyDescent="0.45">
      <c r="A713" s="3">
        <v>45298.166666666664</v>
      </c>
      <c r="B713" t="s">
        <v>14</v>
      </c>
      <c r="C713">
        <v>12</v>
      </c>
      <c r="D713">
        <v>1009</v>
      </c>
      <c r="E713" t="s">
        <v>15</v>
      </c>
      <c r="F713">
        <v>6</v>
      </c>
      <c r="G713">
        <v>6650</v>
      </c>
      <c r="H713">
        <v>39900</v>
      </c>
      <c r="I713" s="3">
        <v>45298.458333333336</v>
      </c>
      <c r="J713">
        <v>96</v>
      </c>
      <c r="K713" s="3">
        <v>45301.458333333336</v>
      </c>
      <c r="L713" s="4">
        <f>ROUNDDOWN(Table1[[#This Row],[Ordered]],0)</f>
        <v>45298</v>
      </c>
      <c r="M713" s="4">
        <f>Table1[[#This Row],[Date ]]</f>
        <v>45298</v>
      </c>
      <c r="N713" s="5">
        <f>Table1[[#This Row],[Ordered]]-Table1[[#This Row],[Date ]]</f>
        <v>0.16666666666424135</v>
      </c>
      <c r="O713">
        <f>Table1[[#This Row],[Company]]</f>
        <v>12</v>
      </c>
      <c r="P713">
        <f>IF(((Table1[[#This Row],[Arrived]]-Table1[[#This Row],[Delivery]])*24-Table1[[#This Row],[Promised]])&lt;0, 0, (Table1[[#This Row],[Arrived]]-Table1[[#This Row],[Delivery]])*24-Table1[[#This Row],[Promised]])</f>
        <v>0</v>
      </c>
      <c r="Q713"/>
    </row>
    <row r="714" spans="1:17" x14ac:dyDescent="0.45">
      <c r="A714" s="3">
        <v>45298.166666666664</v>
      </c>
      <c r="B714" t="s">
        <v>14</v>
      </c>
      <c r="C714">
        <v>16</v>
      </c>
      <c r="D714">
        <v>1009</v>
      </c>
      <c r="E714" t="s">
        <v>15</v>
      </c>
      <c r="F714">
        <v>5</v>
      </c>
      <c r="G714">
        <v>6650</v>
      </c>
      <c r="H714">
        <v>33250</v>
      </c>
      <c r="I714" s="3">
        <v>45298.208333333336</v>
      </c>
      <c r="J714">
        <v>96</v>
      </c>
      <c r="K714" s="3">
        <v>45301.208333333336</v>
      </c>
      <c r="L714" s="4">
        <f>ROUNDDOWN(Table1[[#This Row],[Ordered]],0)</f>
        <v>45298</v>
      </c>
      <c r="M714" s="4">
        <f>Table1[[#This Row],[Date ]]</f>
        <v>45298</v>
      </c>
      <c r="N714" s="5">
        <f>Table1[[#This Row],[Ordered]]-Table1[[#This Row],[Date ]]</f>
        <v>0.16666666666424135</v>
      </c>
      <c r="O714">
        <f>Table1[[#This Row],[Company]]</f>
        <v>16</v>
      </c>
      <c r="P714">
        <f>IF(((Table1[[#This Row],[Arrived]]-Table1[[#This Row],[Delivery]])*24-Table1[[#This Row],[Promised]])&lt;0, 0, (Table1[[#This Row],[Arrived]]-Table1[[#This Row],[Delivery]])*24-Table1[[#This Row],[Promised]])</f>
        <v>0</v>
      </c>
      <c r="Q714"/>
    </row>
    <row r="715" spans="1:17" hidden="1" x14ac:dyDescent="0.45">
      <c r="A715" s="3">
        <v>45298.166666666664</v>
      </c>
      <c r="B715" t="s">
        <v>12</v>
      </c>
      <c r="C715">
        <v>2</v>
      </c>
      <c r="D715">
        <v>8</v>
      </c>
      <c r="E715" t="s">
        <v>13</v>
      </c>
      <c r="F715">
        <v>1000</v>
      </c>
      <c r="G715">
        <v>120</v>
      </c>
      <c r="H715">
        <v>120000</v>
      </c>
      <c r="I715" s="3">
        <v>45298.208333333336</v>
      </c>
      <c r="J715">
        <v>72</v>
      </c>
      <c r="K715" s="3">
        <v>45301.208333333336</v>
      </c>
      <c r="L715" s="4">
        <f>ROUNDDOWN(Table1[[#This Row],[Ordered]],0)</f>
        <v>45298</v>
      </c>
      <c r="M715" s="4">
        <f>Table1[[#This Row],[Date ]]</f>
        <v>45298</v>
      </c>
      <c r="N715" s="5">
        <f>Table1[[#This Row],[Ordered]]-Table1[[#This Row],[Date ]]</f>
        <v>0.16666666666424135</v>
      </c>
      <c r="O715">
        <f>Table1[[#This Row],[Company]]</f>
        <v>2</v>
      </c>
      <c r="P715">
        <f>IF(((Table1[[#This Row],[Arrived]]-Table1[[#This Row],[Delivery]])*24-Table1[[#This Row],[Promised]])&lt;0, 0, (Table1[[#This Row],[Arrived]]-Table1[[#This Row],[Delivery]])*24-Table1[[#This Row],[Promised]])</f>
        <v>0</v>
      </c>
      <c r="Q715"/>
    </row>
    <row r="716" spans="1:17" x14ac:dyDescent="0.45">
      <c r="A716" s="3">
        <v>45298.166666666664</v>
      </c>
      <c r="B716" t="s">
        <v>14</v>
      </c>
      <c r="C716">
        <v>9</v>
      </c>
      <c r="D716">
        <v>1009</v>
      </c>
      <c r="E716" t="s">
        <v>15</v>
      </c>
      <c r="F716">
        <v>3</v>
      </c>
      <c r="G716">
        <v>6650</v>
      </c>
      <c r="H716">
        <v>19950</v>
      </c>
      <c r="I716" s="3">
        <v>45299.125</v>
      </c>
      <c r="J716">
        <v>96</v>
      </c>
      <c r="K716" s="3">
        <v>45302.125</v>
      </c>
      <c r="L716" s="4">
        <f>ROUNDDOWN(Table1[[#This Row],[Ordered]],0)</f>
        <v>45298</v>
      </c>
      <c r="M716" s="4">
        <f>Table1[[#This Row],[Date ]]</f>
        <v>45298</v>
      </c>
      <c r="N716" s="5">
        <f>Table1[[#This Row],[Ordered]]-Table1[[#This Row],[Date ]]</f>
        <v>0.16666666666424135</v>
      </c>
      <c r="O716">
        <f>Table1[[#This Row],[Company]]</f>
        <v>9</v>
      </c>
      <c r="P716">
        <f>IF(((Table1[[#This Row],[Arrived]]-Table1[[#This Row],[Delivery]])*24-Table1[[#This Row],[Promised]])&lt;0, 0, (Table1[[#This Row],[Arrived]]-Table1[[#This Row],[Delivery]])*24-Table1[[#This Row],[Promised]])</f>
        <v>0</v>
      </c>
      <c r="Q716"/>
    </row>
    <row r="717" spans="1:17" x14ac:dyDescent="0.45">
      <c r="A717" s="3">
        <v>45298.166666666664</v>
      </c>
      <c r="B717" t="s">
        <v>14</v>
      </c>
      <c r="C717">
        <v>7</v>
      </c>
      <c r="D717">
        <v>1009</v>
      </c>
      <c r="E717" t="s">
        <v>15</v>
      </c>
      <c r="F717">
        <v>5</v>
      </c>
      <c r="G717">
        <v>6650</v>
      </c>
      <c r="H717">
        <v>33250</v>
      </c>
      <c r="I717" s="3">
        <v>45298.458333333336</v>
      </c>
      <c r="J717">
        <v>96</v>
      </c>
      <c r="K717" s="3">
        <v>45301.458333333336</v>
      </c>
      <c r="L717" s="4">
        <f>ROUNDDOWN(Table1[[#This Row],[Ordered]],0)</f>
        <v>45298</v>
      </c>
      <c r="M717" s="4">
        <f>Table1[[#This Row],[Date ]]</f>
        <v>45298</v>
      </c>
      <c r="N717" s="5">
        <f>Table1[[#This Row],[Ordered]]-Table1[[#This Row],[Date ]]</f>
        <v>0.16666666666424135</v>
      </c>
      <c r="O717">
        <f>Table1[[#This Row],[Company]]</f>
        <v>7</v>
      </c>
      <c r="P717">
        <f>IF(((Table1[[#This Row],[Arrived]]-Table1[[#This Row],[Delivery]])*24-Table1[[#This Row],[Promised]])&lt;0, 0, (Table1[[#This Row],[Arrived]]-Table1[[#This Row],[Delivery]])*24-Table1[[#This Row],[Promised]])</f>
        <v>0</v>
      </c>
      <c r="Q717"/>
    </row>
    <row r="718" spans="1:17" x14ac:dyDescent="0.45">
      <c r="A718" s="3">
        <v>45298.166666666664</v>
      </c>
      <c r="B718" t="s">
        <v>14</v>
      </c>
      <c r="C718">
        <v>8</v>
      </c>
      <c r="D718">
        <v>1009</v>
      </c>
      <c r="E718" t="s">
        <v>15</v>
      </c>
      <c r="F718">
        <v>8</v>
      </c>
      <c r="G718">
        <v>5350</v>
      </c>
      <c r="H718">
        <v>42800</v>
      </c>
      <c r="I718" s="3">
        <v>45298.958333333336</v>
      </c>
      <c r="J718">
        <v>96</v>
      </c>
      <c r="K718" s="3">
        <v>45301.958333333336</v>
      </c>
      <c r="L718" s="4">
        <f>ROUNDDOWN(Table1[[#This Row],[Ordered]],0)</f>
        <v>45298</v>
      </c>
      <c r="M718" s="4">
        <f>Table1[[#This Row],[Date ]]</f>
        <v>45298</v>
      </c>
      <c r="N718" s="5">
        <f>Table1[[#This Row],[Ordered]]-Table1[[#This Row],[Date ]]</f>
        <v>0.16666666666424135</v>
      </c>
      <c r="O718">
        <f>Table1[[#This Row],[Company]]</f>
        <v>8</v>
      </c>
      <c r="P718">
        <f>IF(((Table1[[#This Row],[Arrived]]-Table1[[#This Row],[Delivery]])*24-Table1[[#This Row],[Promised]])&lt;0, 0, (Table1[[#This Row],[Arrived]]-Table1[[#This Row],[Delivery]])*24-Table1[[#This Row],[Promised]])</f>
        <v>0</v>
      </c>
      <c r="Q718"/>
    </row>
    <row r="719" spans="1:17" hidden="1" x14ac:dyDescent="0.45">
      <c r="A719" s="3">
        <v>45298.208333333336</v>
      </c>
      <c r="B719" t="s">
        <v>12</v>
      </c>
      <c r="C719">
        <v>1</v>
      </c>
      <c r="D719">
        <v>10</v>
      </c>
      <c r="E719" t="s">
        <v>17</v>
      </c>
      <c r="F719">
        <v>400</v>
      </c>
      <c r="G719">
        <v>1550</v>
      </c>
      <c r="H719">
        <v>620000</v>
      </c>
      <c r="I719" s="3">
        <v>45298.208333333336</v>
      </c>
      <c r="J719">
        <v>24</v>
      </c>
      <c r="K719" s="3">
        <v>45299.208333333336</v>
      </c>
      <c r="L719" s="4">
        <f>ROUNDDOWN(Table1[[#This Row],[Ordered]],0)</f>
        <v>45298</v>
      </c>
      <c r="M719" s="4">
        <f>Table1[[#This Row],[Date ]]</f>
        <v>45298</v>
      </c>
      <c r="N719" s="5">
        <f>Table1[[#This Row],[Ordered]]-Table1[[#This Row],[Date ]]</f>
        <v>0.20833333333575865</v>
      </c>
      <c r="O719">
        <f>Table1[[#This Row],[Company]]</f>
        <v>1</v>
      </c>
      <c r="P719">
        <f>IF(((Table1[[#This Row],[Arrived]]-Table1[[#This Row],[Delivery]])*24-Table1[[#This Row],[Promised]])&lt;0, 0, (Table1[[#This Row],[Arrived]]-Table1[[#This Row],[Delivery]])*24-Table1[[#This Row],[Promised]])</f>
        <v>0</v>
      </c>
      <c r="Q719"/>
    </row>
    <row r="720" spans="1:17" x14ac:dyDescent="0.45">
      <c r="A720" s="3">
        <v>45298.25</v>
      </c>
      <c r="B720" t="s">
        <v>0</v>
      </c>
      <c r="C720">
        <v>7</v>
      </c>
      <c r="D720">
        <v>2010</v>
      </c>
      <c r="E720" t="s">
        <v>15</v>
      </c>
      <c r="F720">
        <v>30</v>
      </c>
      <c r="G720">
        <v>6650</v>
      </c>
      <c r="H720">
        <v>199500</v>
      </c>
      <c r="I720" s="3">
        <v>45298.625</v>
      </c>
      <c r="J720">
        <v>132</v>
      </c>
      <c r="K720" s="3">
        <v>45303.125</v>
      </c>
      <c r="L720" s="4">
        <f>ROUNDDOWN(Table1[[#This Row],[Ordered]],0)</f>
        <v>45298</v>
      </c>
      <c r="M720" s="4">
        <f>Table1[[#This Row],[Date ]]</f>
        <v>45298</v>
      </c>
      <c r="N720" s="5">
        <f>Table1[[#This Row],[Ordered]]-Table1[[#This Row],[Date ]]</f>
        <v>0.25</v>
      </c>
      <c r="O720">
        <f>Table1[[#This Row],[Company]]</f>
        <v>7</v>
      </c>
      <c r="P720">
        <f>IF(((Table1[[#This Row],[Arrived]]-Table1[[#This Row],[Delivery]])*24-Table1[[#This Row],[Promised]])&lt;0, 0, (Table1[[#This Row],[Arrived]]-Table1[[#This Row],[Delivery]])*24-Table1[[#This Row],[Promised]])</f>
        <v>0</v>
      </c>
      <c r="Q720"/>
    </row>
    <row r="721" spans="1:17" x14ac:dyDescent="0.45">
      <c r="A721" s="3">
        <v>45298.25</v>
      </c>
      <c r="B721" t="s">
        <v>0</v>
      </c>
      <c r="C721">
        <v>13</v>
      </c>
      <c r="D721">
        <v>2010</v>
      </c>
      <c r="E721" t="s">
        <v>16</v>
      </c>
      <c r="F721">
        <v>30</v>
      </c>
      <c r="G721">
        <v>3500</v>
      </c>
      <c r="H721">
        <v>105000</v>
      </c>
      <c r="I721" s="3">
        <v>45300.375</v>
      </c>
      <c r="J721">
        <v>132</v>
      </c>
      <c r="K721" s="3">
        <v>45303.375</v>
      </c>
      <c r="L721" s="4">
        <f>ROUNDDOWN(Table1[[#This Row],[Ordered]],0)</f>
        <v>45298</v>
      </c>
      <c r="M721" s="4">
        <f>Table1[[#This Row],[Date ]]</f>
        <v>45298</v>
      </c>
      <c r="N721" s="5">
        <f>Table1[[#This Row],[Ordered]]-Table1[[#This Row],[Date ]]</f>
        <v>0.25</v>
      </c>
      <c r="O721">
        <f>Table1[[#This Row],[Company]]</f>
        <v>13</v>
      </c>
      <c r="P721">
        <f>IF(((Table1[[#This Row],[Arrived]]-Table1[[#This Row],[Delivery]])*24-Table1[[#This Row],[Promised]])&lt;0, 0, (Table1[[#This Row],[Arrived]]-Table1[[#This Row],[Delivery]])*24-Table1[[#This Row],[Promised]])</f>
        <v>0</v>
      </c>
      <c r="Q721"/>
    </row>
    <row r="722" spans="1:17" x14ac:dyDescent="0.45">
      <c r="A722" s="3">
        <v>45298.25</v>
      </c>
      <c r="B722" t="s">
        <v>0</v>
      </c>
      <c r="C722">
        <v>8</v>
      </c>
      <c r="D722">
        <v>2010</v>
      </c>
      <c r="E722" t="s">
        <v>15</v>
      </c>
      <c r="F722">
        <v>30</v>
      </c>
      <c r="G722">
        <v>5700</v>
      </c>
      <c r="H722">
        <v>171000</v>
      </c>
      <c r="I722" s="3">
        <v>45299.083333333336</v>
      </c>
      <c r="J722">
        <v>132</v>
      </c>
      <c r="K722" s="3">
        <v>45303.583333333336</v>
      </c>
      <c r="L722" s="4">
        <f>ROUNDDOWN(Table1[[#This Row],[Ordered]],0)</f>
        <v>45298</v>
      </c>
      <c r="M722" s="4">
        <f>Table1[[#This Row],[Date ]]</f>
        <v>45298</v>
      </c>
      <c r="N722" s="5">
        <f>Table1[[#This Row],[Ordered]]-Table1[[#This Row],[Date ]]</f>
        <v>0.25</v>
      </c>
      <c r="O722">
        <f>Table1[[#This Row],[Company]]</f>
        <v>8</v>
      </c>
      <c r="P722">
        <f>IF(((Table1[[#This Row],[Arrived]]-Table1[[#This Row],[Delivery]])*24-Table1[[#This Row],[Promised]])&lt;0, 0, (Table1[[#This Row],[Arrived]]-Table1[[#This Row],[Delivery]])*24-Table1[[#This Row],[Promised]])</f>
        <v>0</v>
      </c>
      <c r="Q722"/>
    </row>
    <row r="723" spans="1:17" x14ac:dyDescent="0.45">
      <c r="A723" s="3">
        <v>45298.25</v>
      </c>
      <c r="B723" t="s">
        <v>0</v>
      </c>
      <c r="C723">
        <v>14</v>
      </c>
      <c r="D723">
        <v>2010</v>
      </c>
      <c r="E723" t="s">
        <v>16</v>
      </c>
      <c r="F723">
        <v>30</v>
      </c>
      <c r="G723">
        <v>3750</v>
      </c>
      <c r="H723">
        <v>112500</v>
      </c>
      <c r="I723" s="3">
        <v>45298.708333333336</v>
      </c>
      <c r="J723">
        <v>132</v>
      </c>
      <c r="K723" s="3">
        <v>45303.208333333336</v>
      </c>
      <c r="L723" s="4">
        <f>ROUNDDOWN(Table1[[#This Row],[Ordered]],0)</f>
        <v>45298</v>
      </c>
      <c r="M723" s="4">
        <f>Table1[[#This Row],[Date ]]</f>
        <v>45298</v>
      </c>
      <c r="N723" s="5">
        <f>Table1[[#This Row],[Ordered]]-Table1[[#This Row],[Date ]]</f>
        <v>0.25</v>
      </c>
      <c r="O723">
        <f>Table1[[#This Row],[Company]]</f>
        <v>14</v>
      </c>
      <c r="P723">
        <f>IF(((Table1[[#This Row],[Arrived]]-Table1[[#This Row],[Delivery]])*24-Table1[[#This Row],[Promised]])&lt;0, 0, (Table1[[#This Row],[Arrived]]-Table1[[#This Row],[Delivery]])*24-Table1[[#This Row],[Promised]])</f>
        <v>0</v>
      </c>
      <c r="Q723"/>
    </row>
    <row r="724" spans="1:17" x14ac:dyDescent="0.45">
      <c r="A724" s="3">
        <v>45298.25</v>
      </c>
      <c r="B724" t="s">
        <v>0</v>
      </c>
      <c r="C724">
        <v>9</v>
      </c>
      <c r="D724">
        <v>2010</v>
      </c>
      <c r="E724" t="s">
        <v>15</v>
      </c>
      <c r="F724">
        <v>30</v>
      </c>
      <c r="G724">
        <v>6650</v>
      </c>
      <c r="H724">
        <v>199500</v>
      </c>
      <c r="I724" s="3">
        <v>45299.166666666664</v>
      </c>
      <c r="J724">
        <v>132</v>
      </c>
      <c r="K724" s="3">
        <v>45303.75</v>
      </c>
      <c r="L724" s="4">
        <f>ROUNDDOWN(Table1[[#This Row],[Ordered]],0)</f>
        <v>45298</v>
      </c>
      <c r="M724" s="4">
        <f>Table1[[#This Row],[Date ]]</f>
        <v>45298</v>
      </c>
      <c r="N724" s="5">
        <f>Table1[[#This Row],[Ordered]]-Table1[[#This Row],[Date ]]</f>
        <v>0.25</v>
      </c>
      <c r="O724">
        <f>Table1[[#This Row],[Company]]</f>
        <v>9</v>
      </c>
      <c r="P724">
        <f>IF(((Table1[[#This Row],[Arrived]]-Table1[[#This Row],[Delivery]])*24-Table1[[#This Row],[Promised]])&lt;0, 0, (Table1[[#This Row],[Arrived]]-Table1[[#This Row],[Delivery]])*24-Table1[[#This Row],[Promised]])</f>
        <v>0</v>
      </c>
      <c r="Q724"/>
    </row>
    <row r="725" spans="1:17" x14ac:dyDescent="0.45">
      <c r="A725" s="3">
        <v>45298.25</v>
      </c>
      <c r="B725" t="s">
        <v>0</v>
      </c>
      <c r="C725">
        <v>8</v>
      </c>
      <c r="D725">
        <v>2010</v>
      </c>
      <c r="E725" t="s">
        <v>16</v>
      </c>
      <c r="F725">
        <v>30</v>
      </c>
      <c r="G725">
        <v>3380</v>
      </c>
      <c r="H725">
        <v>101400</v>
      </c>
      <c r="I725" s="3">
        <v>45299.083333333336</v>
      </c>
      <c r="J725">
        <v>132</v>
      </c>
      <c r="K725" s="3">
        <v>45303.583333333336</v>
      </c>
      <c r="L725" s="4">
        <f>ROUNDDOWN(Table1[[#This Row],[Ordered]],0)</f>
        <v>45298</v>
      </c>
      <c r="M725" s="4">
        <f>Table1[[#This Row],[Date ]]</f>
        <v>45298</v>
      </c>
      <c r="N725" s="5">
        <f>Table1[[#This Row],[Ordered]]-Table1[[#This Row],[Date ]]</f>
        <v>0.25</v>
      </c>
      <c r="O725">
        <f>Table1[[#This Row],[Company]]</f>
        <v>8</v>
      </c>
      <c r="P725">
        <f>IF(((Table1[[#This Row],[Arrived]]-Table1[[#This Row],[Delivery]])*24-Table1[[#This Row],[Promised]])&lt;0, 0, (Table1[[#This Row],[Arrived]]-Table1[[#This Row],[Delivery]])*24-Table1[[#This Row],[Promised]])</f>
        <v>0</v>
      </c>
      <c r="Q725"/>
    </row>
    <row r="726" spans="1:17" x14ac:dyDescent="0.45">
      <c r="A726" s="3">
        <v>45298.25</v>
      </c>
      <c r="B726" t="s">
        <v>0</v>
      </c>
      <c r="C726">
        <v>13</v>
      </c>
      <c r="D726">
        <v>2010</v>
      </c>
      <c r="E726" t="s">
        <v>15</v>
      </c>
      <c r="F726">
        <v>30</v>
      </c>
      <c r="G726">
        <v>6400</v>
      </c>
      <c r="H726">
        <v>192000</v>
      </c>
      <c r="I726" s="3">
        <v>45298.916666666664</v>
      </c>
      <c r="J726">
        <v>132</v>
      </c>
      <c r="K726" s="3">
        <v>45303.416666666664</v>
      </c>
      <c r="L726" s="4">
        <f>ROUNDDOWN(Table1[[#This Row],[Ordered]],0)</f>
        <v>45298</v>
      </c>
      <c r="M726" s="4">
        <f>Table1[[#This Row],[Date ]]</f>
        <v>45298</v>
      </c>
      <c r="N726" s="5">
        <f>Table1[[#This Row],[Ordered]]-Table1[[#This Row],[Date ]]</f>
        <v>0.25</v>
      </c>
      <c r="O726">
        <f>Table1[[#This Row],[Company]]</f>
        <v>13</v>
      </c>
      <c r="P726">
        <f>IF(((Table1[[#This Row],[Arrived]]-Table1[[#This Row],[Delivery]])*24-Table1[[#This Row],[Promised]])&lt;0, 0, (Table1[[#This Row],[Arrived]]-Table1[[#This Row],[Delivery]])*24-Table1[[#This Row],[Promised]])</f>
        <v>0</v>
      </c>
      <c r="Q726"/>
    </row>
    <row r="727" spans="1:17" x14ac:dyDescent="0.45">
      <c r="A727" s="3">
        <v>45298.25</v>
      </c>
      <c r="B727" t="s">
        <v>0</v>
      </c>
      <c r="C727">
        <v>9</v>
      </c>
      <c r="D727">
        <v>2010</v>
      </c>
      <c r="E727" t="s">
        <v>16</v>
      </c>
      <c r="F727">
        <v>30</v>
      </c>
      <c r="G727">
        <v>3750</v>
      </c>
      <c r="H727">
        <v>112500</v>
      </c>
      <c r="I727" s="3">
        <v>45299.208333333336</v>
      </c>
      <c r="J727">
        <v>132</v>
      </c>
      <c r="K727" s="3">
        <v>45303.708333333336</v>
      </c>
      <c r="L727" s="4">
        <f>ROUNDDOWN(Table1[[#This Row],[Ordered]],0)</f>
        <v>45298</v>
      </c>
      <c r="M727" s="4">
        <f>Table1[[#This Row],[Date ]]</f>
        <v>45298</v>
      </c>
      <c r="N727" s="5">
        <f>Table1[[#This Row],[Ordered]]-Table1[[#This Row],[Date ]]</f>
        <v>0.25</v>
      </c>
      <c r="O727">
        <f>Table1[[#This Row],[Company]]</f>
        <v>9</v>
      </c>
      <c r="P727">
        <f>IF(((Table1[[#This Row],[Arrived]]-Table1[[#This Row],[Delivery]])*24-Table1[[#This Row],[Promised]])&lt;0, 0, (Table1[[#This Row],[Arrived]]-Table1[[#This Row],[Delivery]])*24-Table1[[#This Row],[Promised]])</f>
        <v>0</v>
      </c>
      <c r="Q727"/>
    </row>
    <row r="728" spans="1:17" x14ac:dyDescent="0.45">
      <c r="A728" s="3">
        <v>45298.25</v>
      </c>
      <c r="B728" t="s">
        <v>0</v>
      </c>
      <c r="C728">
        <v>14</v>
      </c>
      <c r="D728">
        <v>2010</v>
      </c>
      <c r="E728" t="s">
        <v>15</v>
      </c>
      <c r="F728">
        <v>30</v>
      </c>
      <c r="G728">
        <v>6650</v>
      </c>
      <c r="H728">
        <v>199500</v>
      </c>
      <c r="I728" s="3">
        <v>45298.708333333336</v>
      </c>
      <c r="J728">
        <v>132</v>
      </c>
      <c r="K728" s="3">
        <v>45303.208333333336</v>
      </c>
      <c r="L728" s="4">
        <f>ROUNDDOWN(Table1[[#This Row],[Ordered]],0)</f>
        <v>45298</v>
      </c>
      <c r="M728" s="4">
        <f>Table1[[#This Row],[Date ]]</f>
        <v>45298</v>
      </c>
      <c r="N728" s="5">
        <f>Table1[[#This Row],[Ordered]]-Table1[[#This Row],[Date ]]</f>
        <v>0.25</v>
      </c>
      <c r="O728">
        <f>Table1[[#This Row],[Company]]</f>
        <v>14</v>
      </c>
      <c r="P728">
        <f>IF(((Table1[[#This Row],[Arrived]]-Table1[[#This Row],[Delivery]])*24-Table1[[#This Row],[Promised]])&lt;0, 0, (Table1[[#This Row],[Arrived]]-Table1[[#This Row],[Delivery]])*24-Table1[[#This Row],[Promised]])</f>
        <v>0</v>
      </c>
      <c r="Q728"/>
    </row>
    <row r="729" spans="1:17" x14ac:dyDescent="0.45">
      <c r="A729" s="3">
        <v>45298.25</v>
      </c>
      <c r="B729" t="s">
        <v>0</v>
      </c>
      <c r="C729">
        <v>7</v>
      </c>
      <c r="D729">
        <v>2010</v>
      </c>
      <c r="E729" t="s">
        <v>16</v>
      </c>
      <c r="F729">
        <v>30</v>
      </c>
      <c r="G729">
        <v>3650</v>
      </c>
      <c r="H729">
        <v>109500</v>
      </c>
      <c r="I729" s="3">
        <v>45298.666666666664</v>
      </c>
      <c r="J729">
        <v>132</v>
      </c>
      <c r="K729" s="3">
        <v>45303.166666666664</v>
      </c>
      <c r="L729" s="4">
        <f>ROUNDDOWN(Table1[[#This Row],[Ordered]],0)</f>
        <v>45298</v>
      </c>
      <c r="M729" s="4">
        <f>Table1[[#This Row],[Date ]]</f>
        <v>45298</v>
      </c>
      <c r="N729" s="5">
        <f>Table1[[#This Row],[Ordered]]-Table1[[#This Row],[Date ]]</f>
        <v>0.25</v>
      </c>
      <c r="O729">
        <f>Table1[[#This Row],[Company]]</f>
        <v>7</v>
      </c>
      <c r="P729">
        <f>IF(((Table1[[#This Row],[Arrived]]-Table1[[#This Row],[Delivery]])*24-Table1[[#This Row],[Promised]])&lt;0, 0, (Table1[[#This Row],[Arrived]]-Table1[[#This Row],[Delivery]])*24-Table1[[#This Row],[Promised]])</f>
        <v>0</v>
      </c>
      <c r="Q729"/>
    </row>
    <row r="730" spans="1:17" x14ac:dyDescent="0.45">
      <c r="A730" s="3">
        <v>45298.25</v>
      </c>
      <c r="B730" t="s">
        <v>0</v>
      </c>
      <c r="C730">
        <v>10</v>
      </c>
      <c r="D730">
        <v>2010</v>
      </c>
      <c r="E730" t="s">
        <v>15</v>
      </c>
      <c r="F730">
        <v>30</v>
      </c>
      <c r="G730">
        <v>6800</v>
      </c>
      <c r="H730">
        <v>204000</v>
      </c>
      <c r="I730" s="3">
        <v>45298.583333333336</v>
      </c>
      <c r="J730">
        <v>132</v>
      </c>
      <c r="K730" s="3">
        <v>45303.083333333336</v>
      </c>
      <c r="L730" s="4">
        <f>ROUNDDOWN(Table1[[#This Row],[Ordered]],0)</f>
        <v>45298</v>
      </c>
      <c r="M730" s="4">
        <f>Table1[[#This Row],[Date ]]</f>
        <v>45298</v>
      </c>
      <c r="N730" s="5">
        <f>Table1[[#This Row],[Ordered]]-Table1[[#This Row],[Date ]]</f>
        <v>0.25</v>
      </c>
      <c r="O730">
        <f>Table1[[#This Row],[Company]]</f>
        <v>10</v>
      </c>
      <c r="P730">
        <f>IF(((Table1[[#This Row],[Arrived]]-Table1[[#This Row],[Delivery]])*24-Table1[[#This Row],[Promised]])&lt;0, 0, (Table1[[#This Row],[Arrived]]-Table1[[#This Row],[Delivery]])*24-Table1[[#This Row],[Promised]])</f>
        <v>0</v>
      </c>
      <c r="Q730"/>
    </row>
    <row r="731" spans="1:17" x14ac:dyDescent="0.45">
      <c r="A731" s="3">
        <v>45298.25</v>
      </c>
      <c r="B731" t="s">
        <v>0</v>
      </c>
      <c r="C731">
        <v>15</v>
      </c>
      <c r="D731">
        <v>2010</v>
      </c>
      <c r="E731" t="s">
        <v>15</v>
      </c>
      <c r="F731">
        <v>30</v>
      </c>
      <c r="G731">
        <v>6900</v>
      </c>
      <c r="H731">
        <v>207000</v>
      </c>
      <c r="I731" s="3">
        <v>45298.458333333336</v>
      </c>
      <c r="J731">
        <v>60</v>
      </c>
      <c r="K731" s="3">
        <v>45299.958333333336</v>
      </c>
      <c r="L731" s="4">
        <f>ROUNDDOWN(Table1[[#This Row],[Ordered]],0)</f>
        <v>45298</v>
      </c>
      <c r="M731" s="4">
        <f>Table1[[#This Row],[Date ]]</f>
        <v>45298</v>
      </c>
      <c r="N731" s="5">
        <f>Table1[[#This Row],[Ordered]]-Table1[[#This Row],[Date ]]</f>
        <v>0.25</v>
      </c>
      <c r="O731">
        <f>Table1[[#This Row],[Company]]</f>
        <v>15</v>
      </c>
      <c r="P731">
        <f>IF(((Table1[[#This Row],[Arrived]]-Table1[[#This Row],[Delivery]])*24-Table1[[#This Row],[Promised]])&lt;0, 0, (Table1[[#This Row],[Arrived]]-Table1[[#This Row],[Delivery]])*24-Table1[[#This Row],[Promised]])</f>
        <v>0</v>
      </c>
      <c r="Q731"/>
    </row>
    <row r="732" spans="1:17" x14ac:dyDescent="0.45">
      <c r="A732" s="3">
        <v>45298.25</v>
      </c>
      <c r="B732" t="s">
        <v>0</v>
      </c>
      <c r="C732">
        <v>11</v>
      </c>
      <c r="D732">
        <v>2010</v>
      </c>
      <c r="E732" t="s">
        <v>16</v>
      </c>
      <c r="F732">
        <v>30</v>
      </c>
      <c r="G732">
        <v>3750</v>
      </c>
      <c r="H732">
        <v>112500</v>
      </c>
      <c r="I732" s="3">
        <v>45298.541666666664</v>
      </c>
      <c r="J732">
        <v>132</v>
      </c>
      <c r="K732" s="3">
        <v>45303.041666666664</v>
      </c>
      <c r="L732" s="4">
        <f>ROUNDDOWN(Table1[[#This Row],[Ordered]],0)</f>
        <v>45298</v>
      </c>
      <c r="M732" s="4">
        <f>Table1[[#This Row],[Date ]]</f>
        <v>45298</v>
      </c>
      <c r="N732" s="5">
        <f>Table1[[#This Row],[Ordered]]-Table1[[#This Row],[Date ]]</f>
        <v>0.25</v>
      </c>
      <c r="O732">
        <f>Table1[[#This Row],[Company]]</f>
        <v>11</v>
      </c>
      <c r="P732">
        <f>IF(((Table1[[#This Row],[Arrived]]-Table1[[#This Row],[Delivery]])*24-Table1[[#This Row],[Promised]])&lt;0, 0, (Table1[[#This Row],[Arrived]]-Table1[[#This Row],[Delivery]])*24-Table1[[#This Row],[Promised]])</f>
        <v>0</v>
      </c>
      <c r="Q732"/>
    </row>
    <row r="733" spans="1:17" x14ac:dyDescent="0.45">
      <c r="A733" s="3">
        <v>45298.25</v>
      </c>
      <c r="B733" t="s">
        <v>0</v>
      </c>
      <c r="C733">
        <v>12</v>
      </c>
      <c r="D733">
        <v>2010</v>
      </c>
      <c r="E733" t="s">
        <v>16</v>
      </c>
      <c r="F733">
        <v>30</v>
      </c>
      <c r="G733">
        <v>3750</v>
      </c>
      <c r="H733">
        <v>112500</v>
      </c>
      <c r="I733" s="3">
        <v>45298.291666666664</v>
      </c>
      <c r="J733">
        <v>120</v>
      </c>
      <c r="K733" s="3">
        <v>45302.791666666664</v>
      </c>
      <c r="L733" s="4">
        <f>ROUNDDOWN(Table1[[#This Row],[Ordered]],0)</f>
        <v>45298</v>
      </c>
      <c r="M733" s="4">
        <f>Table1[[#This Row],[Date ]]</f>
        <v>45298</v>
      </c>
      <c r="N733" s="5">
        <f>Table1[[#This Row],[Ordered]]-Table1[[#This Row],[Date ]]</f>
        <v>0.25</v>
      </c>
      <c r="O733">
        <f>Table1[[#This Row],[Company]]</f>
        <v>12</v>
      </c>
      <c r="P733">
        <f>IF(((Table1[[#This Row],[Arrived]]-Table1[[#This Row],[Delivery]])*24-Table1[[#This Row],[Promised]])&lt;0, 0, (Table1[[#This Row],[Arrived]]-Table1[[#This Row],[Delivery]])*24-Table1[[#This Row],[Promised]])</f>
        <v>0</v>
      </c>
      <c r="Q733"/>
    </row>
    <row r="734" spans="1:17" x14ac:dyDescent="0.45">
      <c r="A734" s="3">
        <v>45298.25</v>
      </c>
      <c r="B734" t="s">
        <v>0</v>
      </c>
      <c r="C734">
        <v>11</v>
      </c>
      <c r="D734">
        <v>2010</v>
      </c>
      <c r="E734" t="s">
        <v>15</v>
      </c>
      <c r="F734">
        <v>30</v>
      </c>
      <c r="G734">
        <v>6650</v>
      </c>
      <c r="H734">
        <v>199500</v>
      </c>
      <c r="I734" s="3">
        <v>45298.583333333336</v>
      </c>
      <c r="J734">
        <v>132</v>
      </c>
      <c r="K734" s="3">
        <v>45303.083333333336</v>
      </c>
      <c r="L734" s="4">
        <f>ROUNDDOWN(Table1[[#This Row],[Ordered]],0)</f>
        <v>45298</v>
      </c>
      <c r="M734" s="4">
        <f>Table1[[#This Row],[Date ]]</f>
        <v>45298</v>
      </c>
      <c r="N734" s="5">
        <f>Table1[[#This Row],[Ordered]]-Table1[[#This Row],[Date ]]</f>
        <v>0.25</v>
      </c>
      <c r="O734">
        <f>Table1[[#This Row],[Company]]</f>
        <v>11</v>
      </c>
      <c r="P734">
        <f>IF(((Table1[[#This Row],[Arrived]]-Table1[[#This Row],[Delivery]])*24-Table1[[#This Row],[Promised]])&lt;0, 0, (Table1[[#This Row],[Arrived]]-Table1[[#This Row],[Delivery]])*24-Table1[[#This Row],[Promised]])</f>
        <v>0</v>
      </c>
      <c r="Q734"/>
    </row>
    <row r="735" spans="1:17" x14ac:dyDescent="0.45">
      <c r="A735" s="3">
        <v>45298.25</v>
      </c>
      <c r="B735" t="s">
        <v>0</v>
      </c>
      <c r="C735">
        <v>16</v>
      </c>
      <c r="D735">
        <v>2010</v>
      </c>
      <c r="E735" t="s">
        <v>15</v>
      </c>
      <c r="F735">
        <v>30</v>
      </c>
      <c r="G735">
        <v>6650</v>
      </c>
      <c r="H735">
        <v>199500</v>
      </c>
      <c r="I735" s="3">
        <v>45298.291666666664</v>
      </c>
      <c r="J735">
        <v>132</v>
      </c>
      <c r="K735" s="3">
        <v>45302.791666666664</v>
      </c>
      <c r="L735" s="4">
        <f>ROUNDDOWN(Table1[[#This Row],[Ordered]],0)</f>
        <v>45298</v>
      </c>
      <c r="M735" s="4">
        <f>Table1[[#This Row],[Date ]]</f>
        <v>45298</v>
      </c>
      <c r="N735" s="5">
        <f>Table1[[#This Row],[Ordered]]-Table1[[#This Row],[Date ]]</f>
        <v>0.25</v>
      </c>
      <c r="O735">
        <f>Table1[[#This Row],[Company]]</f>
        <v>16</v>
      </c>
      <c r="P735">
        <f>IF(((Table1[[#This Row],[Arrived]]-Table1[[#This Row],[Delivery]])*24-Table1[[#This Row],[Promised]])&lt;0, 0, (Table1[[#This Row],[Arrived]]-Table1[[#This Row],[Delivery]])*24-Table1[[#This Row],[Promised]])</f>
        <v>0</v>
      </c>
      <c r="Q735"/>
    </row>
    <row r="736" spans="1:17" x14ac:dyDescent="0.45">
      <c r="A736" s="3">
        <v>45298.25</v>
      </c>
      <c r="B736" t="s">
        <v>0</v>
      </c>
      <c r="C736">
        <v>16</v>
      </c>
      <c r="D736">
        <v>2010</v>
      </c>
      <c r="E736" t="s">
        <v>16</v>
      </c>
      <c r="F736">
        <v>30</v>
      </c>
      <c r="G736">
        <v>3750</v>
      </c>
      <c r="H736">
        <v>112500</v>
      </c>
      <c r="I736" s="3">
        <v>45298.25</v>
      </c>
      <c r="J736">
        <v>132</v>
      </c>
      <c r="K736" s="3">
        <v>45302.75</v>
      </c>
      <c r="L736" s="4">
        <f>ROUNDDOWN(Table1[[#This Row],[Ordered]],0)</f>
        <v>45298</v>
      </c>
      <c r="M736" s="4">
        <f>Table1[[#This Row],[Date ]]</f>
        <v>45298</v>
      </c>
      <c r="N736" s="5">
        <f>Table1[[#This Row],[Ordered]]-Table1[[#This Row],[Date ]]</f>
        <v>0.25</v>
      </c>
      <c r="O736">
        <f>Table1[[#This Row],[Company]]</f>
        <v>16</v>
      </c>
      <c r="P736">
        <f>IF(((Table1[[#This Row],[Arrived]]-Table1[[#This Row],[Delivery]])*24-Table1[[#This Row],[Promised]])&lt;0, 0, (Table1[[#This Row],[Arrived]]-Table1[[#This Row],[Delivery]])*24-Table1[[#This Row],[Promised]])</f>
        <v>0</v>
      </c>
      <c r="Q736"/>
    </row>
    <row r="737" spans="1:17" x14ac:dyDescent="0.45">
      <c r="A737" s="3">
        <v>45298.25</v>
      </c>
      <c r="B737" t="s">
        <v>0</v>
      </c>
      <c r="C737">
        <v>12</v>
      </c>
      <c r="D737">
        <v>2010</v>
      </c>
      <c r="E737" t="s">
        <v>15</v>
      </c>
      <c r="F737">
        <v>30</v>
      </c>
      <c r="G737">
        <v>6700</v>
      </c>
      <c r="H737">
        <v>201000</v>
      </c>
      <c r="I737" s="3">
        <v>45298.416666666664</v>
      </c>
      <c r="J737">
        <v>120</v>
      </c>
      <c r="K737" s="3">
        <v>45302.916666666664</v>
      </c>
      <c r="L737" s="4">
        <f>ROUNDDOWN(Table1[[#This Row],[Ordered]],0)</f>
        <v>45298</v>
      </c>
      <c r="M737" s="4">
        <f>Table1[[#This Row],[Date ]]</f>
        <v>45298</v>
      </c>
      <c r="N737" s="5">
        <f>Table1[[#This Row],[Ordered]]-Table1[[#This Row],[Date ]]</f>
        <v>0.25</v>
      </c>
      <c r="O737">
        <f>Table1[[#This Row],[Company]]</f>
        <v>12</v>
      </c>
      <c r="P737">
        <f>IF(((Table1[[#This Row],[Arrived]]-Table1[[#This Row],[Delivery]])*24-Table1[[#This Row],[Promised]])&lt;0, 0, (Table1[[#This Row],[Arrived]]-Table1[[#This Row],[Delivery]])*24-Table1[[#This Row],[Promised]])</f>
        <v>0</v>
      </c>
      <c r="Q737"/>
    </row>
    <row r="738" spans="1:17" x14ac:dyDescent="0.45">
      <c r="A738" s="3">
        <v>45298.25</v>
      </c>
      <c r="B738" t="s">
        <v>0</v>
      </c>
      <c r="C738">
        <v>10</v>
      </c>
      <c r="D738">
        <v>2010</v>
      </c>
      <c r="E738" t="s">
        <v>16</v>
      </c>
      <c r="F738">
        <v>50</v>
      </c>
      <c r="G738">
        <v>3900</v>
      </c>
      <c r="H738">
        <v>195000</v>
      </c>
      <c r="I738" s="3">
        <v>45298.25</v>
      </c>
      <c r="J738">
        <v>84</v>
      </c>
      <c r="K738" s="3">
        <v>45301.25</v>
      </c>
      <c r="L738" s="4">
        <f>ROUNDDOWN(Table1[[#This Row],[Ordered]],0)</f>
        <v>45298</v>
      </c>
      <c r="M738" s="4">
        <f>Table1[[#This Row],[Date ]]</f>
        <v>45298</v>
      </c>
      <c r="N738" s="5">
        <f>Table1[[#This Row],[Ordered]]-Table1[[#This Row],[Date ]]</f>
        <v>0.25</v>
      </c>
      <c r="O738">
        <f>Table1[[#This Row],[Company]]</f>
        <v>10</v>
      </c>
      <c r="P738">
        <f>IF(((Table1[[#This Row],[Arrived]]-Table1[[#This Row],[Delivery]])*24-Table1[[#This Row],[Promised]])&lt;0, 0, (Table1[[#This Row],[Arrived]]-Table1[[#This Row],[Delivery]])*24-Table1[[#This Row],[Promised]])</f>
        <v>0</v>
      </c>
      <c r="Q738"/>
    </row>
    <row r="739" spans="1:17" x14ac:dyDescent="0.45">
      <c r="A739" s="3">
        <v>45298.25</v>
      </c>
      <c r="B739" t="s">
        <v>0</v>
      </c>
      <c r="C739">
        <v>15</v>
      </c>
      <c r="D739">
        <v>2010</v>
      </c>
      <c r="E739" t="s">
        <v>16</v>
      </c>
      <c r="F739">
        <v>30</v>
      </c>
      <c r="G739">
        <v>3850</v>
      </c>
      <c r="H739">
        <v>115500</v>
      </c>
      <c r="I739" s="3">
        <v>45298.25</v>
      </c>
      <c r="J739">
        <v>120</v>
      </c>
      <c r="K739" s="3">
        <v>45302.75</v>
      </c>
      <c r="L739" s="4">
        <f>ROUNDDOWN(Table1[[#This Row],[Ordered]],0)</f>
        <v>45298</v>
      </c>
      <c r="M739" s="4">
        <f>Table1[[#This Row],[Date ]]</f>
        <v>45298</v>
      </c>
      <c r="N739" s="5">
        <f>Table1[[#This Row],[Ordered]]-Table1[[#This Row],[Date ]]</f>
        <v>0.25</v>
      </c>
      <c r="O739">
        <f>Table1[[#This Row],[Company]]</f>
        <v>15</v>
      </c>
      <c r="P739">
        <f>IF(((Table1[[#This Row],[Arrived]]-Table1[[#This Row],[Delivery]])*24-Table1[[#This Row],[Promised]])&lt;0, 0, (Table1[[#This Row],[Arrived]]-Table1[[#This Row],[Delivery]])*24-Table1[[#This Row],[Promised]])</f>
        <v>0</v>
      </c>
      <c r="Q739"/>
    </row>
    <row r="740" spans="1:17" x14ac:dyDescent="0.45">
      <c r="A740" s="3">
        <v>45298.291666666664</v>
      </c>
      <c r="B740" t="s">
        <v>14</v>
      </c>
      <c r="C740">
        <v>7</v>
      </c>
      <c r="D740">
        <v>1005</v>
      </c>
      <c r="E740" t="s">
        <v>16</v>
      </c>
      <c r="F740">
        <v>30</v>
      </c>
      <c r="G740">
        <v>3650</v>
      </c>
      <c r="H740">
        <v>109500</v>
      </c>
      <c r="I740" s="3">
        <v>45298.375</v>
      </c>
      <c r="J740">
        <v>96</v>
      </c>
      <c r="K740" s="3">
        <v>45301.375</v>
      </c>
      <c r="L740" s="4">
        <f>ROUNDDOWN(Table1[[#This Row],[Ordered]],0)</f>
        <v>45298</v>
      </c>
      <c r="M740" s="4">
        <f>Table1[[#This Row],[Date ]]</f>
        <v>45298</v>
      </c>
      <c r="N740" s="5">
        <f>Table1[[#This Row],[Ordered]]-Table1[[#This Row],[Date ]]</f>
        <v>0.29166666666424135</v>
      </c>
      <c r="O740">
        <f>Table1[[#This Row],[Company]]</f>
        <v>7</v>
      </c>
      <c r="P740">
        <f>IF(((Table1[[#This Row],[Arrived]]-Table1[[#This Row],[Delivery]])*24-Table1[[#This Row],[Promised]])&lt;0, 0, (Table1[[#This Row],[Arrived]]-Table1[[#This Row],[Delivery]])*24-Table1[[#This Row],[Promised]])</f>
        <v>0</v>
      </c>
      <c r="Q740"/>
    </row>
    <row r="741" spans="1:17" x14ac:dyDescent="0.45">
      <c r="A741" s="3">
        <v>45298.291666666664</v>
      </c>
      <c r="B741" t="s">
        <v>14</v>
      </c>
      <c r="C741">
        <v>14</v>
      </c>
      <c r="D741">
        <v>1005</v>
      </c>
      <c r="E741" t="s">
        <v>16</v>
      </c>
      <c r="F741">
        <v>30</v>
      </c>
      <c r="G741">
        <v>3750</v>
      </c>
      <c r="H741">
        <v>112500</v>
      </c>
      <c r="I741" s="3">
        <v>45298.708333333336</v>
      </c>
      <c r="J741">
        <v>96</v>
      </c>
      <c r="K741" s="3">
        <v>45301.708333333336</v>
      </c>
      <c r="L741" s="4">
        <f>ROUNDDOWN(Table1[[#This Row],[Ordered]],0)</f>
        <v>45298</v>
      </c>
      <c r="M741" s="4">
        <f>Table1[[#This Row],[Date ]]</f>
        <v>45298</v>
      </c>
      <c r="N741" s="5">
        <f>Table1[[#This Row],[Ordered]]-Table1[[#This Row],[Date ]]</f>
        <v>0.29166666666424135</v>
      </c>
      <c r="O741">
        <f>Table1[[#This Row],[Company]]</f>
        <v>14</v>
      </c>
      <c r="P741">
        <f>IF(((Table1[[#This Row],[Arrived]]-Table1[[#This Row],[Delivery]])*24-Table1[[#This Row],[Promised]])&lt;0, 0, (Table1[[#This Row],[Arrived]]-Table1[[#This Row],[Delivery]])*24-Table1[[#This Row],[Promised]])</f>
        <v>0</v>
      </c>
      <c r="Q741"/>
    </row>
    <row r="742" spans="1:17" x14ac:dyDescent="0.45">
      <c r="A742" s="3">
        <v>45298.291666666664</v>
      </c>
      <c r="B742" t="s">
        <v>14</v>
      </c>
      <c r="C742">
        <v>16</v>
      </c>
      <c r="D742">
        <v>1005</v>
      </c>
      <c r="E742" t="s">
        <v>16</v>
      </c>
      <c r="F742">
        <v>30</v>
      </c>
      <c r="G742">
        <v>3750</v>
      </c>
      <c r="H742">
        <v>112500</v>
      </c>
      <c r="I742" s="3">
        <v>45298.333333333336</v>
      </c>
      <c r="J742">
        <v>96</v>
      </c>
      <c r="K742" s="3">
        <v>45301.333333333336</v>
      </c>
      <c r="L742" s="4">
        <f>ROUNDDOWN(Table1[[#This Row],[Ordered]],0)</f>
        <v>45298</v>
      </c>
      <c r="M742" s="4">
        <f>Table1[[#This Row],[Date ]]</f>
        <v>45298</v>
      </c>
      <c r="N742" s="5">
        <f>Table1[[#This Row],[Ordered]]-Table1[[#This Row],[Date ]]</f>
        <v>0.29166666666424135</v>
      </c>
      <c r="O742">
        <f>Table1[[#This Row],[Company]]</f>
        <v>16</v>
      </c>
      <c r="P742">
        <f>IF(((Table1[[#This Row],[Arrived]]-Table1[[#This Row],[Delivery]])*24-Table1[[#This Row],[Promised]])&lt;0, 0, (Table1[[#This Row],[Arrived]]-Table1[[#This Row],[Delivery]])*24-Table1[[#This Row],[Promised]])</f>
        <v>0</v>
      </c>
      <c r="Q742"/>
    </row>
    <row r="743" spans="1:17" hidden="1" x14ac:dyDescent="0.45">
      <c r="A743" s="3">
        <v>45298.291666666664</v>
      </c>
      <c r="B743" t="s">
        <v>12</v>
      </c>
      <c r="C743">
        <v>2</v>
      </c>
      <c r="D743">
        <v>15</v>
      </c>
      <c r="E743" t="s">
        <v>13</v>
      </c>
      <c r="F743">
        <v>1800</v>
      </c>
      <c r="G743">
        <v>140</v>
      </c>
      <c r="H743">
        <v>252000</v>
      </c>
      <c r="I743" s="3">
        <v>45298.291666666664</v>
      </c>
      <c r="J743">
        <v>72</v>
      </c>
      <c r="K743" s="3">
        <v>45301.291666666664</v>
      </c>
      <c r="L743" s="4">
        <f>ROUNDDOWN(Table1[[#This Row],[Ordered]],0)</f>
        <v>45298</v>
      </c>
      <c r="M743" s="4">
        <f>Table1[[#This Row],[Date ]]</f>
        <v>45298</v>
      </c>
      <c r="N743" s="5">
        <f>Table1[[#This Row],[Ordered]]-Table1[[#This Row],[Date ]]</f>
        <v>0.29166666666424135</v>
      </c>
      <c r="O743">
        <f>Table1[[#This Row],[Company]]</f>
        <v>2</v>
      </c>
      <c r="P743">
        <f>IF(((Table1[[#This Row],[Arrived]]-Table1[[#This Row],[Delivery]])*24-Table1[[#This Row],[Promised]])&lt;0, 0, (Table1[[#This Row],[Arrived]]-Table1[[#This Row],[Delivery]])*24-Table1[[#This Row],[Promised]])</f>
        <v>0</v>
      </c>
      <c r="Q743"/>
    </row>
    <row r="744" spans="1:17" x14ac:dyDescent="0.45">
      <c r="A744" s="3">
        <v>45298.291666666664</v>
      </c>
      <c r="B744" t="s">
        <v>14</v>
      </c>
      <c r="C744">
        <v>9</v>
      </c>
      <c r="D744">
        <v>1005</v>
      </c>
      <c r="E744" t="s">
        <v>16</v>
      </c>
      <c r="F744">
        <v>15</v>
      </c>
      <c r="G744">
        <v>3825</v>
      </c>
      <c r="H744">
        <v>57375</v>
      </c>
      <c r="I744" s="3">
        <v>45299.083333333336</v>
      </c>
      <c r="J744">
        <v>72</v>
      </c>
      <c r="K744" s="3">
        <v>45301.083333333336</v>
      </c>
      <c r="L744" s="4">
        <f>ROUNDDOWN(Table1[[#This Row],[Ordered]],0)</f>
        <v>45298</v>
      </c>
      <c r="M744" s="4">
        <f>Table1[[#This Row],[Date ]]</f>
        <v>45298</v>
      </c>
      <c r="N744" s="5">
        <f>Table1[[#This Row],[Ordered]]-Table1[[#This Row],[Date ]]</f>
        <v>0.29166666666424135</v>
      </c>
      <c r="O744">
        <f>Table1[[#This Row],[Company]]</f>
        <v>9</v>
      </c>
      <c r="P744">
        <f>IF(((Table1[[#This Row],[Arrived]]-Table1[[#This Row],[Delivery]])*24-Table1[[#This Row],[Promised]])&lt;0, 0, (Table1[[#This Row],[Arrived]]-Table1[[#This Row],[Delivery]])*24-Table1[[#This Row],[Promised]])</f>
        <v>0</v>
      </c>
      <c r="Q744"/>
    </row>
    <row r="745" spans="1:17" hidden="1" x14ac:dyDescent="0.45">
      <c r="A745" s="3">
        <v>45298.291666666664</v>
      </c>
      <c r="B745" t="s">
        <v>12</v>
      </c>
      <c r="C745">
        <v>5</v>
      </c>
      <c r="D745">
        <v>7</v>
      </c>
      <c r="E745" t="s">
        <v>13</v>
      </c>
      <c r="F745">
        <v>3000</v>
      </c>
      <c r="G745">
        <v>120</v>
      </c>
      <c r="H745">
        <v>360000</v>
      </c>
      <c r="I745" s="3">
        <v>45298.333333333336</v>
      </c>
      <c r="J745">
        <v>24</v>
      </c>
      <c r="K745" s="3">
        <v>45299.333333333336</v>
      </c>
      <c r="L745" s="4">
        <f>ROUNDDOWN(Table1[[#This Row],[Ordered]],0)</f>
        <v>45298</v>
      </c>
      <c r="M745" s="4">
        <f>Table1[[#This Row],[Date ]]</f>
        <v>45298</v>
      </c>
      <c r="N745" s="5">
        <f>Table1[[#This Row],[Ordered]]-Table1[[#This Row],[Date ]]</f>
        <v>0.29166666666424135</v>
      </c>
      <c r="O745">
        <f>Table1[[#This Row],[Company]]</f>
        <v>5</v>
      </c>
      <c r="P745">
        <f>IF(((Table1[[#This Row],[Arrived]]-Table1[[#This Row],[Delivery]])*24-Table1[[#This Row],[Promised]])&lt;0, 0, (Table1[[#This Row],[Arrived]]-Table1[[#This Row],[Delivery]])*24-Table1[[#This Row],[Promised]])</f>
        <v>0</v>
      </c>
      <c r="Q745"/>
    </row>
    <row r="746" spans="1:17" x14ac:dyDescent="0.45">
      <c r="A746" s="3">
        <v>45298.291666666664</v>
      </c>
      <c r="B746" t="s">
        <v>14</v>
      </c>
      <c r="C746">
        <v>8</v>
      </c>
      <c r="D746">
        <v>1005</v>
      </c>
      <c r="E746" t="s">
        <v>16</v>
      </c>
      <c r="F746">
        <v>30</v>
      </c>
      <c r="G746">
        <v>3300</v>
      </c>
      <c r="H746">
        <v>99000</v>
      </c>
      <c r="I746" s="3">
        <v>45299.083333333336</v>
      </c>
      <c r="J746">
        <v>96</v>
      </c>
      <c r="K746" s="3">
        <v>45302.083333333336</v>
      </c>
      <c r="L746" s="4">
        <f>ROUNDDOWN(Table1[[#This Row],[Ordered]],0)</f>
        <v>45298</v>
      </c>
      <c r="M746" s="4">
        <f>Table1[[#This Row],[Date ]]</f>
        <v>45298</v>
      </c>
      <c r="N746" s="5">
        <f>Table1[[#This Row],[Ordered]]-Table1[[#This Row],[Date ]]</f>
        <v>0.29166666666424135</v>
      </c>
      <c r="O746">
        <f>Table1[[#This Row],[Company]]</f>
        <v>8</v>
      </c>
      <c r="P746">
        <f>IF(((Table1[[#This Row],[Arrived]]-Table1[[#This Row],[Delivery]])*24-Table1[[#This Row],[Promised]])&lt;0, 0, (Table1[[#This Row],[Arrived]]-Table1[[#This Row],[Delivery]])*24-Table1[[#This Row],[Promised]])</f>
        <v>0</v>
      </c>
      <c r="Q746"/>
    </row>
    <row r="747" spans="1:17" x14ac:dyDescent="0.45">
      <c r="A747" s="3">
        <v>45298.291666666664</v>
      </c>
      <c r="B747" t="s">
        <v>14</v>
      </c>
      <c r="C747">
        <v>12</v>
      </c>
      <c r="D747">
        <v>1005</v>
      </c>
      <c r="E747" t="s">
        <v>16</v>
      </c>
      <c r="F747">
        <v>15</v>
      </c>
      <c r="G747">
        <v>3950</v>
      </c>
      <c r="H747">
        <v>59250</v>
      </c>
      <c r="I747" s="3">
        <v>45298.291666666664</v>
      </c>
      <c r="J747">
        <v>60</v>
      </c>
      <c r="K747" s="3">
        <v>45300.291666666664</v>
      </c>
      <c r="L747" s="4">
        <f>ROUNDDOWN(Table1[[#This Row],[Ordered]],0)</f>
        <v>45298</v>
      </c>
      <c r="M747" s="4">
        <f>Table1[[#This Row],[Date ]]</f>
        <v>45298</v>
      </c>
      <c r="N747" s="5">
        <f>Table1[[#This Row],[Ordered]]-Table1[[#This Row],[Date ]]</f>
        <v>0.29166666666424135</v>
      </c>
      <c r="O747">
        <f>Table1[[#This Row],[Company]]</f>
        <v>12</v>
      </c>
      <c r="P747">
        <f>IF(((Table1[[#This Row],[Arrived]]-Table1[[#This Row],[Delivery]])*24-Table1[[#This Row],[Promised]])&lt;0, 0, (Table1[[#This Row],[Arrived]]-Table1[[#This Row],[Delivery]])*24-Table1[[#This Row],[Promised]])</f>
        <v>0</v>
      </c>
      <c r="Q747"/>
    </row>
    <row r="748" spans="1:17" x14ac:dyDescent="0.45">
      <c r="A748" s="3">
        <v>45298.291666666664</v>
      </c>
      <c r="B748" t="s">
        <v>14</v>
      </c>
      <c r="C748">
        <v>15</v>
      </c>
      <c r="D748">
        <v>1005</v>
      </c>
      <c r="E748" t="s">
        <v>16</v>
      </c>
      <c r="F748">
        <v>33</v>
      </c>
      <c r="G748">
        <v>3750</v>
      </c>
      <c r="H748">
        <v>123750</v>
      </c>
      <c r="I748" s="3">
        <v>45298.666666666664</v>
      </c>
      <c r="J748">
        <v>96</v>
      </c>
      <c r="K748" s="3">
        <v>45301.666666666664</v>
      </c>
      <c r="L748" s="4">
        <f>ROUNDDOWN(Table1[[#This Row],[Ordered]],0)</f>
        <v>45298</v>
      </c>
      <c r="M748" s="4">
        <f>Table1[[#This Row],[Date ]]</f>
        <v>45298</v>
      </c>
      <c r="N748" s="5">
        <f>Table1[[#This Row],[Ordered]]-Table1[[#This Row],[Date ]]</f>
        <v>0.29166666666424135</v>
      </c>
      <c r="O748">
        <f>Table1[[#This Row],[Company]]</f>
        <v>15</v>
      </c>
      <c r="P748">
        <f>IF(((Table1[[#This Row],[Arrived]]-Table1[[#This Row],[Delivery]])*24-Table1[[#This Row],[Promised]])&lt;0, 0, (Table1[[#This Row],[Arrived]]-Table1[[#This Row],[Delivery]])*24-Table1[[#This Row],[Promised]])</f>
        <v>0</v>
      </c>
      <c r="Q748"/>
    </row>
    <row r="749" spans="1:17" x14ac:dyDescent="0.45">
      <c r="A749" s="3">
        <v>45298.291666666664</v>
      </c>
      <c r="B749" t="s">
        <v>14</v>
      </c>
      <c r="C749">
        <v>10</v>
      </c>
      <c r="D749">
        <v>1005</v>
      </c>
      <c r="E749" t="s">
        <v>16</v>
      </c>
      <c r="F749">
        <v>30</v>
      </c>
      <c r="G749">
        <v>3950</v>
      </c>
      <c r="H749">
        <v>118500</v>
      </c>
      <c r="I749" s="3">
        <v>45298.333333333336</v>
      </c>
      <c r="J749">
        <v>48</v>
      </c>
      <c r="K749" s="3">
        <v>45300.458333333336</v>
      </c>
      <c r="L749" s="4">
        <f>ROUNDDOWN(Table1[[#This Row],[Ordered]],0)</f>
        <v>45298</v>
      </c>
      <c r="M749" s="4">
        <f>Table1[[#This Row],[Date ]]</f>
        <v>45298</v>
      </c>
      <c r="N749" s="5">
        <f>Table1[[#This Row],[Ordered]]-Table1[[#This Row],[Date ]]</f>
        <v>0.29166666666424135</v>
      </c>
      <c r="O749">
        <f>Table1[[#This Row],[Company]]</f>
        <v>10</v>
      </c>
      <c r="P749">
        <f>IF(((Table1[[#This Row],[Arrived]]-Table1[[#This Row],[Delivery]])*24-Table1[[#This Row],[Promised]])&lt;0, 0, (Table1[[#This Row],[Arrived]]-Table1[[#This Row],[Delivery]])*24-Table1[[#This Row],[Promised]])</f>
        <v>3</v>
      </c>
      <c r="Q749"/>
    </row>
    <row r="750" spans="1:17" x14ac:dyDescent="0.45">
      <c r="A750" s="3">
        <v>45298.291666666664</v>
      </c>
      <c r="B750" t="s">
        <v>14</v>
      </c>
      <c r="C750">
        <v>13</v>
      </c>
      <c r="D750">
        <v>1005</v>
      </c>
      <c r="E750" t="s">
        <v>16</v>
      </c>
      <c r="F750">
        <v>30</v>
      </c>
      <c r="G750">
        <v>3750</v>
      </c>
      <c r="H750">
        <v>112500</v>
      </c>
      <c r="I750" s="3">
        <v>45300.916666666664</v>
      </c>
      <c r="J750">
        <v>96</v>
      </c>
      <c r="K750" s="3">
        <v>45301.916666666664</v>
      </c>
      <c r="L750" s="4">
        <f>ROUNDDOWN(Table1[[#This Row],[Ordered]],0)</f>
        <v>45298</v>
      </c>
      <c r="M750" s="4">
        <f>Table1[[#This Row],[Date ]]</f>
        <v>45298</v>
      </c>
      <c r="N750" s="5">
        <f>Table1[[#This Row],[Ordered]]-Table1[[#This Row],[Date ]]</f>
        <v>0.29166666666424135</v>
      </c>
      <c r="O750">
        <f>Table1[[#This Row],[Company]]</f>
        <v>13</v>
      </c>
      <c r="P750">
        <f>IF(((Table1[[#This Row],[Arrived]]-Table1[[#This Row],[Delivery]])*24-Table1[[#This Row],[Promised]])&lt;0, 0, (Table1[[#This Row],[Arrived]]-Table1[[#This Row],[Delivery]])*24-Table1[[#This Row],[Promised]])</f>
        <v>0</v>
      </c>
      <c r="Q750"/>
    </row>
    <row r="751" spans="1:17" x14ac:dyDescent="0.45">
      <c r="A751" s="3">
        <v>45298.291666666664</v>
      </c>
      <c r="B751" t="s">
        <v>14</v>
      </c>
      <c r="C751">
        <v>11</v>
      </c>
      <c r="D751">
        <v>1005</v>
      </c>
      <c r="E751" t="s">
        <v>16</v>
      </c>
      <c r="F751">
        <v>30</v>
      </c>
      <c r="G751">
        <v>3750</v>
      </c>
      <c r="H751">
        <v>112500</v>
      </c>
      <c r="I751" s="3">
        <v>45298.666666666664</v>
      </c>
      <c r="J751">
        <v>96</v>
      </c>
      <c r="K751" s="3">
        <v>45301.666666666664</v>
      </c>
      <c r="L751" s="4">
        <f>ROUNDDOWN(Table1[[#This Row],[Ordered]],0)</f>
        <v>45298</v>
      </c>
      <c r="M751" s="4">
        <f>Table1[[#This Row],[Date ]]</f>
        <v>45298</v>
      </c>
      <c r="N751" s="5">
        <f>Table1[[#This Row],[Ordered]]-Table1[[#This Row],[Date ]]</f>
        <v>0.29166666666424135</v>
      </c>
      <c r="O751">
        <f>Table1[[#This Row],[Company]]</f>
        <v>11</v>
      </c>
      <c r="P751">
        <f>IF(((Table1[[#This Row],[Arrived]]-Table1[[#This Row],[Delivery]])*24-Table1[[#This Row],[Promised]])&lt;0, 0, (Table1[[#This Row],[Arrived]]-Table1[[#This Row],[Delivery]])*24-Table1[[#This Row],[Promised]])</f>
        <v>0</v>
      </c>
      <c r="Q751"/>
    </row>
    <row r="752" spans="1:17" hidden="1" x14ac:dyDescent="0.45">
      <c r="A752" s="3">
        <v>45298.333333333336</v>
      </c>
      <c r="B752" t="s">
        <v>12</v>
      </c>
      <c r="C752">
        <v>6</v>
      </c>
      <c r="D752">
        <v>13</v>
      </c>
      <c r="E752" t="s">
        <v>13</v>
      </c>
      <c r="F752">
        <v>2545</v>
      </c>
      <c r="G752">
        <v>100</v>
      </c>
      <c r="H752">
        <v>254500</v>
      </c>
      <c r="I752" s="3">
        <v>45298.333333333336</v>
      </c>
      <c r="J752">
        <v>72</v>
      </c>
      <c r="K752" s="3">
        <v>45301.333333333336</v>
      </c>
      <c r="L752" s="4">
        <f>ROUNDDOWN(Table1[[#This Row],[Ordered]],0)</f>
        <v>45298</v>
      </c>
      <c r="M752" s="4">
        <f>Table1[[#This Row],[Date ]]</f>
        <v>45298</v>
      </c>
      <c r="N752" s="5">
        <f>Table1[[#This Row],[Ordered]]-Table1[[#This Row],[Date ]]</f>
        <v>0.33333333333575865</v>
      </c>
      <c r="O752">
        <f>Table1[[#This Row],[Company]]</f>
        <v>6</v>
      </c>
      <c r="P752">
        <f>IF(((Table1[[#This Row],[Arrived]]-Table1[[#This Row],[Delivery]])*24-Table1[[#This Row],[Promised]])&lt;0, 0, (Table1[[#This Row],[Arrived]]-Table1[[#This Row],[Delivery]])*24-Table1[[#This Row],[Promised]])</f>
        <v>0</v>
      </c>
      <c r="Q752"/>
    </row>
    <row r="753" spans="1:17" hidden="1" x14ac:dyDescent="0.45">
      <c r="A753" s="3">
        <v>45298.375</v>
      </c>
      <c r="B753" t="s">
        <v>12</v>
      </c>
      <c r="C753">
        <v>4</v>
      </c>
      <c r="D753">
        <v>10</v>
      </c>
      <c r="E753" t="s">
        <v>13</v>
      </c>
      <c r="F753">
        <v>3000</v>
      </c>
      <c r="G753">
        <v>120</v>
      </c>
      <c r="H753">
        <v>360000</v>
      </c>
      <c r="I753" s="3">
        <v>45298.541666666664</v>
      </c>
      <c r="J753">
        <v>72</v>
      </c>
      <c r="K753" s="3">
        <v>45301.541666666664</v>
      </c>
      <c r="L753" s="4">
        <f>ROUNDDOWN(Table1[[#This Row],[Ordered]],0)</f>
        <v>45298</v>
      </c>
      <c r="M753" s="4">
        <f>Table1[[#This Row],[Date ]]</f>
        <v>45298</v>
      </c>
      <c r="N753" s="5">
        <f>Table1[[#This Row],[Ordered]]-Table1[[#This Row],[Date ]]</f>
        <v>0.375</v>
      </c>
      <c r="O753">
        <f>Table1[[#This Row],[Company]]</f>
        <v>4</v>
      </c>
      <c r="P753">
        <f>IF(((Table1[[#This Row],[Arrived]]-Table1[[#This Row],[Delivery]])*24-Table1[[#This Row],[Promised]])&lt;0, 0, (Table1[[#This Row],[Arrived]]-Table1[[#This Row],[Delivery]])*24-Table1[[#This Row],[Promised]])</f>
        <v>0</v>
      </c>
      <c r="Q753"/>
    </row>
    <row r="754" spans="1:17" x14ac:dyDescent="0.45">
      <c r="A754" s="3">
        <v>45298.416666666664</v>
      </c>
      <c r="B754" t="s">
        <v>14</v>
      </c>
      <c r="C754">
        <v>14</v>
      </c>
      <c r="D754">
        <v>1009</v>
      </c>
      <c r="E754" t="s">
        <v>16</v>
      </c>
      <c r="F754">
        <v>17</v>
      </c>
      <c r="G754">
        <v>3750</v>
      </c>
      <c r="H754">
        <v>63750</v>
      </c>
      <c r="I754" s="3">
        <v>45298.833333333336</v>
      </c>
      <c r="J754">
        <v>96</v>
      </c>
      <c r="K754" s="3">
        <v>45301.833333333336</v>
      </c>
      <c r="L754" s="4">
        <f>ROUNDDOWN(Table1[[#This Row],[Ordered]],0)</f>
        <v>45298</v>
      </c>
      <c r="M754" s="4">
        <f>Table1[[#This Row],[Date ]]</f>
        <v>45298</v>
      </c>
      <c r="N754" s="5">
        <f>Table1[[#This Row],[Ordered]]-Table1[[#This Row],[Date ]]</f>
        <v>0.41666666666424135</v>
      </c>
      <c r="O754">
        <f>Table1[[#This Row],[Company]]</f>
        <v>14</v>
      </c>
      <c r="P754">
        <f>IF(((Table1[[#This Row],[Arrived]]-Table1[[#This Row],[Delivery]])*24-Table1[[#This Row],[Promised]])&lt;0, 0, (Table1[[#This Row],[Arrived]]-Table1[[#This Row],[Delivery]])*24-Table1[[#This Row],[Promised]])</f>
        <v>0</v>
      </c>
      <c r="Q754"/>
    </row>
    <row r="755" spans="1:17" x14ac:dyDescent="0.45">
      <c r="A755" s="3">
        <v>45298.416666666664</v>
      </c>
      <c r="B755" t="s">
        <v>14</v>
      </c>
      <c r="C755">
        <v>11</v>
      </c>
      <c r="D755">
        <v>1009</v>
      </c>
      <c r="E755" t="s">
        <v>16</v>
      </c>
      <c r="F755">
        <v>11</v>
      </c>
      <c r="G755">
        <v>3850</v>
      </c>
      <c r="H755">
        <v>42350</v>
      </c>
      <c r="I755" s="3">
        <v>45298.75</v>
      </c>
      <c r="J755">
        <v>96</v>
      </c>
      <c r="K755" s="3">
        <v>45301.75</v>
      </c>
      <c r="L755" s="4">
        <f>ROUNDDOWN(Table1[[#This Row],[Ordered]],0)</f>
        <v>45298</v>
      </c>
      <c r="M755" s="4">
        <f>Table1[[#This Row],[Date ]]</f>
        <v>45298</v>
      </c>
      <c r="N755" s="5">
        <f>Table1[[#This Row],[Ordered]]-Table1[[#This Row],[Date ]]</f>
        <v>0.41666666666424135</v>
      </c>
      <c r="O755">
        <f>Table1[[#This Row],[Company]]</f>
        <v>11</v>
      </c>
      <c r="P755">
        <f>IF(((Table1[[#This Row],[Arrived]]-Table1[[#This Row],[Delivery]])*24-Table1[[#This Row],[Promised]])&lt;0, 0, (Table1[[#This Row],[Arrived]]-Table1[[#This Row],[Delivery]])*24-Table1[[#This Row],[Promised]])</f>
        <v>0</v>
      </c>
      <c r="Q755"/>
    </row>
    <row r="756" spans="1:17" x14ac:dyDescent="0.45">
      <c r="A756" s="3">
        <v>45298.416666666664</v>
      </c>
      <c r="B756" t="s">
        <v>14</v>
      </c>
      <c r="C756">
        <v>9</v>
      </c>
      <c r="D756">
        <v>1009</v>
      </c>
      <c r="E756" t="s">
        <v>16</v>
      </c>
      <c r="F756">
        <v>15</v>
      </c>
      <c r="G756">
        <v>3825</v>
      </c>
      <c r="H756">
        <v>57375</v>
      </c>
      <c r="I756" s="3">
        <v>45298.416666666664</v>
      </c>
      <c r="J756">
        <v>72</v>
      </c>
      <c r="K756" s="3">
        <v>45301.416666666664</v>
      </c>
      <c r="L756" s="4">
        <f>ROUNDDOWN(Table1[[#This Row],[Ordered]],0)</f>
        <v>45298</v>
      </c>
      <c r="M756" s="4">
        <f>Table1[[#This Row],[Date ]]</f>
        <v>45298</v>
      </c>
      <c r="N756" s="5">
        <f>Table1[[#This Row],[Ordered]]-Table1[[#This Row],[Date ]]</f>
        <v>0.41666666666424135</v>
      </c>
      <c r="O756">
        <f>Table1[[#This Row],[Company]]</f>
        <v>9</v>
      </c>
      <c r="P756">
        <f>IF(((Table1[[#This Row],[Arrived]]-Table1[[#This Row],[Delivery]])*24-Table1[[#This Row],[Promised]])&lt;0, 0, (Table1[[#This Row],[Arrived]]-Table1[[#This Row],[Delivery]])*24-Table1[[#This Row],[Promised]])</f>
        <v>0</v>
      </c>
      <c r="Q756"/>
    </row>
    <row r="757" spans="1:17" x14ac:dyDescent="0.45">
      <c r="A757" s="3">
        <v>45298.416666666664</v>
      </c>
      <c r="B757" t="s">
        <v>14</v>
      </c>
      <c r="C757">
        <v>10</v>
      </c>
      <c r="D757">
        <v>1009</v>
      </c>
      <c r="E757" t="s">
        <v>16</v>
      </c>
      <c r="F757">
        <v>30</v>
      </c>
      <c r="G757">
        <v>3950</v>
      </c>
      <c r="H757">
        <v>118500</v>
      </c>
      <c r="I757" s="3">
        <v>45298.458333333336</v>
      </c>
      <c r="J757">
        <v>48</v>
      </c>
      <c r="K757" s="3">
        <v>45300.458333333336</v>
      </c>
      <c r="L757" s="4">
        <f>ROUNDDOWN(Table1[[#This Row],[Ordered]],0)</f>
        <v>45298</v>
      </c>
      <c r="M757" s="4">
        <f>Table1[[#This Row],[Date ]]</f>
        <v>45298</v>
      </c>
      <c r="N757" s="5">
        <f>Table1[[#This Row],[Ordered]]-Table1[[#This Row],[Date ]]</f>
        <v>0.41666666666424135</v>
      </c>
      <c r="O757">
        <f>Table1[[#This Row],[Company]]</f>
        <v>10</v>
      </c>
      <c r="P757">
        <f>IF(((Table1[[#This Row],[Arrived]]-Table1[[#This Row],[Delivery]])*24-Table1[[#This Row],[Promised]])&lt;0, 0, (Table1[[#This Row],[Arrived]]-Table1[[#This Row],[Delivery]])*24-Table1[[#This Row],[Promised]])</f>
        <v>0</v>
      </c>
      <c r="Q757"/>
    </row>
    <row r="758" spans="1:17" x14ac:dyDescent="0.45">
      <c r="A758" s="3">
        <v>45298.416666666664</v>
      </c>
      <c r="B758" t="s">
        <v>14</v>
      </c>
      <c r="C758">
        <v>7</v>
      </c>
      <c r="D758">
        <v>1009</v>
      </c>
      <c r="E758" t="s">
        <v>16</v>
      </c>
      <c r="F758">
        <v>30</v>
      </c>
      <c r="G758">
        <v>3650</v>
      </c>
      <c r="H758">
        <v>109500</v>
      </c>
      <c r="I758" s="3">
        <v>45298.5</v>
      </c>
      <c r="J758">
        <v>96</v>
      </c>
      <c r="K758" s="3">
        <v>45301.5</v>
      </c>
      <c r="L758" s="4">
        <f>ROUNDDOWN(Table1[[#This Row],[Ordered]],0)</f>
        <v>45298</v>
      </c>
      <c r="M758" s="4">
        <f>Table1[[#This Row],[Date ]]</f>
        <v>45298</v>
      </c>
      <c r="N758" s="5">
        <f>Table1[[#This Row],[Ordered]]-Table1[[#This Row],[Date ]]</f>
        <v>0.41666666666424135</v>
      </c>
      <c r="O758">
        <f>Table1[[#This Row],[Company]]</f>
        <v>7</v>
      </c>
      <c r="P758">
        <f>IF(((Table1[[#This Row],[Arrived]]-Table1[[#This Row],[Delivery]])*24-Table1[[#This Row],[Promised]])&lt;0, 0, (Table1[[#This Row],[Arrived]]-Table1[[#This Row],[Delivery]])*24-Table1[[#This Row],[Promised]])</f>
        <v>0</v>
      </c>
      <c r="Q758"/>
    </row>
    <row r="759" spans="1:17" x14ac:dyDescent="0.45">
      <c r="A759" s="3">
        <v>45298.416666666664</v>
      </c>
      <c r="B759" t="s">
        <v>14</v>
      </c>
      <c r="C759">
        <v>13</v>
      </c>
      <c r="D759">
        <v>1009</v>
      </c>
      <c r="E759" t="s">
        <v>16</v>
      </c>
      <c r="F759">
        <v>15</v>
      </c>
      <c r="G759">
        <v>3750</v>
      </c>
      <c r="H759">
        <v>56250</v>
      </c>
      <c r="I759" s="3">
        <v>45299.083333333336</v>
      </c>
      <c r="J759">
        <v>96</v>
      </c>
      <c r="K759" s="3">
        <v>45302.083333333336</v>
      </c>
      <c r="L759" s="4">
        <f>ROUNDDOWN(Table1[[#This Row],[Ordered]],0)</f>
        <v>45298</v>
      </c>
      <c r="M759" s="4">
        <f>Table1[[#This Row],[Date ]]</f>
        <v>45298</v>
      </c>
      <c r="N759" s="5">
        <f>Table1[[#This Row],[Ordered]]-Table1[[#This Row],[Date ]]</f>
        <v>0.41666666666424135</v>
      </c>
      <c r="O759">
        <f>Table1[[#This Row],[Company]]</f>
        <v>13</v>
      </c>
      <c r="P759">
        <f>IF(((Table1[[#This Row],[Arrived]]-Table1[[#This Row],[Delivery]])*24-Table1[[#This Row],[Promised]])&lt;0, 0, (Table1[[#This Row],[Arrived]]-Table1[[#This Row],[Delivery]])*24-Table1[[#This Row],[Promised]])</f>
        <v>0</v>
      </c>
      <c r="Q759"/>
    </row>
    <row r="760" spans="1:17" x14ac:dyDescent="0.45">
      <c r="A760" s="3">
        <v>45298.416666666664</v>
      </c>
      <c r="B760" t="s">
        <v>14</v>
      </c>
      <c r="C760">
        <v>8</v>
      </c>
      <c r="D760">
        <v>1009</v>
      </c>
      <c r="E760" t="s">
        <v>16</v>
      </c>
      <c r="F760">
        <v>30</v>
      </c>
      <c r="G760">
        <v>3300</v>
      </c>
      <c r="H760">
        <v>99000</v>
      </c>
      <c r="I760" s="3">
        <v>45299.208333333336</v>
      </c>
      <c r="J760">
        <v>96</v>
      </c>
      <c r="K760" s="3">
        <v>45302.208333333336</v>
      </c>
      <c r="L760" s="4">
        <f>ROUNDDOWN(Table1[[#This Row],[Ordered]],0)</f>
        <v>45298</v>
      </c>
      <c r="M760" s="4">
        <f>Table1[[#This Row],[Date ]]</f>
        <v>45298</v>
      </c>
      <c r="N760" s="5">
        <f>Table1[[#This Row],[Ordered]]-Table1[[#This Row],[Date ]]</f>
        <v>0.41666666666424135</v>
      </c>
      <c r="O760">
        <f>Table1[[#This Row],[Company]]</f>
        <v>8</v>
      </c>
      <c r="P760">
        <f>IF(((Table1[[#This Row],[Arrived]]-Table1[[#This Row],[Delivery]])*24-Table1[[#This Row],[Promised]])&lt;0, 0, (Table1[[#This Row],[Arrived]]-Table1[[#This Row],[Delivery]])*24-Table1[[#This Row],[Promised]])</f>
        <v>0</v>
      </c>
      <c r="Q760"/>
    </row>
    <row r="761" spans="1:17" x14ac:dyDescent="0.45">
      <c r="A761" s="3">
        <v>45298.416666666664</v>
      </c>
      <c r="B761" t="s">
        <v>14</v>
      </c>
      <c r="C761">
        <v>16</v>
      </c>
      <c r="D761">
        <v>1009</v>
      </c>
      <c r="E761" t="s">
        <v>16</v>
      </c>
      <c r="F761">
        <v>26</v>
      </c>
      <c r="G761">
        <v>3750</v>
      </c>
      <c r="H761">
        <v>97500</v>
      </c>
      <c r="I761" s="3">
        <v>45298.541666666664</v>
      </c>
      <c r="J761">
        <v>96</v>
      </c>
      <c r="K761" s="3">
        <v>45301.541666666664</v>
      </c>
      <c r="L761" s="4">
        <f>ROUNDDOWN(Table1[[#This Row],[Ordered]],0)</f>
        <v>45298</v>
      </c>
      <c r="M761" s="4">
        <f>Table1[[#This Row],[Date ]]</f>
        <v>45298</v>
      </c>
      <c r="N761" s="5">
        <f>Table1[[#This Row],[Ordered]]-Table1[[#This Row],[Date ]]</f>
        <v>0.41666666666424135</v>
      </c>
      <c r="O761">
        <f>Table1[[#This Row],[Company]]</f>
        <v>16</v>
      </c>
      <c r="P761">
        <f>IF(((Table1[[#This Row],[Arrived]]-Table1[[#This Row],[Delivery]])*24-Table1[[#This Row],[Promised]])&lt;0, 0, (Table1[[#This Row],[Arrived]]-Table1[[#This Row],[Delivery]])*24-Table1[[#This Row],[Promised]])</f>
        <v>0</v>
      </c>
      <c r="Q761"/>
    </row>
    <row r="762" spans="1:17" x14ac:dyDescent="0.45">
      <c r="A762" s="3">
        <v>45298.416666666664</v>
      </c>
      <c r="B762" t="s">
        <v>14</v>
      </c>
      <c r="C762">
        <v>12</v>
      </c>
      <c r="D762">
        <v>1009</v>
      </c>
      <c r="E762" t="s">
        <v>16</v>
      </c>
      <c r="F762">
        <v>15</v>
      </c>
      <c r="G762">
        <v>3950</v>
      </c>
      <c r="H762">
        <v>59250</v>
      </c>
      <c r="I762" s="3">
        <v>45298.916666666664</v>
      </c>
      <c r="J762">
        <v>60</v>
      </c>
      <c r="K762" s="3">
        <v>45300.916666666664</v>
      </c>
      <c r="L762" s="4">
        <f>ROUNDDOWN(Table1[[#This Row],[Ordered]],0)</f>
        <v>45298</v>
      </c>
      <c r="M762" s="4">
        <f>Table1[[#This Row],[Date ]]</f>
        <v>45298</v>
      </c>
      <c r="N762" s="5">
        <f>Table1[[#This Row],[Ordered]]-Table1[[#This Row],[Date ]]</f>
        <v>0.41666666666424135</v>
      </c>
      <c r="O762">
        <f>Table1[[#This Row],[Company]]</f>
        <v>12</v>
      </c>
      <c r="P762">
        <f>IF(((Table1[[#This Row],[Arrived]]-Table1[[#This Row],[Delivery]])*24-Table1[[#This Row],[Promised]])&lt;0, 0, (Table1[[#This Row],[Arrived]]-Table1[[#This Row],[Delivery]])*24-Table1[[#This Row],[Promised]])</f>
        <v>0</v>
      </c>
      <c r="Q762"/>
    </row>
    <row r="763" spans="1:17" x14ac:dyDescent="0.45">
      <c r="A763" s="3">
        <v>45298.458333333336</v>
      </c>
      <c r="B763" t="s">
        <v>14</v>
      </c>
      <c r="C763">
        <v>8</v>
      </c>
      <c r="D763">
        <v>1005</v>
      </c>
      <c r="E763" t="s">
        <v>15</v>
      </c>
      <c r="F763">
        <v>19</v>
      </c>
      <c r="G763">
        <v>5350</v>
      </c>
      <c r="H763">
        <v>101650</v>
      </c>
      <c r="I763" s="3">
        <v>45299.291666666664</v>
      </c>
      <c r="J763">
        <v>96</v>
      </c>
      <c r="K763" s="3">
        <v>45302.291666666664</v>
      </c>
      <c r="L763" s="4">
        <f>ROUNDDOWN(Table1[[#This Row],[Ordered]],0)</f>
        <v>45298</v>
      </c>
      <c r="M763" s="4">
        <f>Table1[[#This Row],[Date ]]</f>
        <v>45298</v>
      </c>
      <c r="N763" s="5">
        <f>Table1[[#This Row],[Ordered]]-Table1[[#This Row],[Date ]]</f>
        <v>0.45833333333575865</v>
      </c>
      <c r="O763">
        <f>Table1[[#This Row],[Company]]</f>
        <v>8</v>
      </c>
      <c r="P763">
        <f>IF(((Table1[[#This Row],[Arrived]]-Table1[[#This Row],[Delivery]])*24-Table1[[#This Row],[Promised]])&lt;0, 0, (Table1[[#This Row],[Arrived]]-Table1[[#This Row],[Delivery]])*24-Table1[[#This Row],[Promised]])</f>
        <v>0</v>
      </c>
      <c r="Q763"/>
    </row>
    <row r="764" spans="1:17" x14ac:dyDescent="0.45">
      <c r="A764" s="3">
        <v>45298.458333333336</v>
      </c>
      <c r="B764" t="s">
        <v>14</v>
      </c>
      <c r="C764">
        <v>12</v>
      </c>
      <c r="D764">
        <v>1005</v>
      </c>
      <c r="E764" t="s">
        <v>15</v>
      </c>
      <c r="F764">
        <v>15</v>
      </c>
      <c r="G764">
        <v>6850</v>
      </c>
      <c r="H764">
        <v>102750</v>
      </c>
      <c r="I764" s="3">
        <v>45298.708333333336</v>
      </c>
      <c r="J764">
        <v>84</v>
      </c>
      <c r="K764" s="3">
        <v>45301.708333333336</v>
      </c>
      <c r="L764" s="4">
        <f>ROUNDDOWN(Table1[[#This Row],[Ordered]],0)</f>
        <v>45298</v>
      </c>
      <c r="M764" s="4">
        <f>Table1[[#This Row],[Date ]]</f>
        <v>45298</v>
      </c>
      <c r="N764" s="5">
        <f>Table1[[#This Row],[Ordered]]-Table1[[#This Row],[Date ]]</f>
        <v>0.45833333333575865</v>
      </c>
      <c r="O764">
        <f>Table1[[#This Row],[Company]]</f>
        <v>12</v>
      </c>
      <c r="P764">
        <f>IF(((Table1[[#This Row],[Arrived]]-Table1[[#This Row],[Delivery]])*24-Table1[[#This Row],[Promised]])&lt;0, 0, (Table1[[#This Row],[Arrived]]-Table1[[#This Row],[Delivery]])*24-Table1[[#This Row],[Promised]])</f>
        <v>0</v>
      </c>
      <c r="Q764"/>
    </row>
    <row r="765" spans="1:17" x14ac:dyDescent="0.45">
      <c r="A765" s="3">
        <v>45298.458333333336</v>
      </c>
      <c r="B765" t="s">
        <v>14</v>
      </c>
      <c r="C765">
        <v>10</v>
      </c>
      <c r="D765">
        <v>1005</v>
      </c>
      <c r="E765" t="s">
        <v>15</v>
      </c>
      <c r="F765">
        <v>5</v>
      </c>
      <c r="G765">
        <v>6800</v>
      </c>
      <c r="H765">
        <v>34000</v>
      </c>
      <c r="I765" s="3">
        <v>45298.666666666664</v>
      </c>
      <c r="J765">
        <v>96</v>
      </c>
      <c r="K765" s="3">
        <v>45301.666666666664</v>
      </c>
      <c r="L765" s="4">
        <f>ROUNDDOWN(Table1[[#This Row],[Ordered]],0)</f>
        <v>45298</v>
      </c>
      <c r="M765" s="4">
        <f>Table1[[#This Row],[Date ]]</f>
        <v>45298</v>
      </c>
      <c r="N765" s="5">
        <f>Table1[[#This Row],[Ordered]]-Table1[[#This Row],[Date ]]</f>
        <v>0.45833333333575865</v>
      </c>
      <c r="O765">
        <f>Table1[[#This Row],[Company]]</f>
        <v>10</v>
      </c>
      <c r="P765">
        <f>IF(((Table1[[#This Row],[Arrived]]-Table1[[#This Row],[Delivery]])*24-Table1[[#This Row],[Promised]])&lt;0, 0, (Table1[[#This Row],[Arrived]]-Table1[[#This Row],[Delivery]])*24-Table1[[#This Row],[Promised]])</f>
        <v>0</v>
      </c>
      <c r="Q765"/>
    </row>
    <row r="766" spans="1:17" x14ac:dyDescent="0.45">
      <c r="A766" s="3">
        <v>45298.458333333336</v>
      </c>
      <c r="B766" t="s">
        <v>14</v>
      </c>
      <c r="C766">
        <v>9</v>
      </c>
      <c r="D766">
        <v>1005</v>
      </c>
      <c r="E766" t="s">
        <v>15</v>
      </c>
      <c r="F766">
        <v>8</v>
      </c>
      <c r="G766">
        <v>6650</v>
      </c>
      <c r="H766">
        <v>53200</v>
      </c>
      <c r="I766" s="3">
        <v>45299.25</v>
      </c>
      <c r="J766">
        <v>96</v>
      </c>
      <c r="K766" s="3">
        <v>45302.25</v>
      </c>
      <c r="L766" s="4">
        <f>ROUNDDOWN(Table1[[#This Row],[Ordered]],0)</f>
        <v>45298</v>
      </c>
      <c r="M766" s="4">
        <f>Table1[[#This Row],[Date ]]</f>
        <v>45298</v>
      </c>
      <c r="N766" s="5">
        <f>Table1[[#This Row],[Ordered]]-Table1[[#This Row],[Date ]]</f>
        <v>0.45833333333575865</v>
      </c>
      <c r="O766">
        <f>Table1[[#This Row],[Company]]</f>
        <v>9</v>
      </c>
      <c r="P766">
        <f>IF(((Table1[[#This Row],[Arrived]]-Table1[[#This Row],[Delivery]])*24-Table1[[#This Row],[Promised]])&lt;0, 0, (Table1[[#This Row],[Arrived]]-Table1[[#This Row],[Delivery]])*24-Table1[[#This Row],[Promised]])</f>
        <v>0</v>
      </c>
      <c r="Q766"/>
    </row>
    <row r="767" spans="1:17" x14ac:dyDescent="0.45">
      <c r="A767" s="3">
        <v>45298.458333333336</v>
      </c>
      <c r="B767" t="s">
        <v>14</v>
      </c>
      <c r="C767">
        <v>13</v>
      </c>
      <c r="D767">
        <v>1005</v>
      </c>
      <c r="E767" t="s">
        <v>15</v>
      </c>
      <c r="F767">
        <v>14</v>
      </c>
      <c r="G767">
        <v>6400</v>
      </c>
      <c r="H767">
        <v>89600</v>
      </c>
      <c r="I767" s="3">
        <v>45299.416666666664</v>
      </c>
      <c r="J767">
        <v>96</v>
      </c>
      <c r="K767" s="3">
        <v>45302.416666666664</v>
      </c>
      <c r="L767" s="4">
        <f>ROUNDDOWN(Table1[[#This Row],[Ordered]],0)</f>
        <v>45298</v>
      </c>
      <c r="M767" s="4">
        <f>Table1[[#This Row],[Date ]]</f>
        <v>45298</v>
      </c>
      <c r="N767" s="5">
        <f>Table1[[#This Row],[Ordered]]-Table1[[#This Row],[Date ]]</f>
        <v>0.45833333333575865</v>
      </c>
      <c r="O767">
        <f>Table1[[#This Row],[Company]]</f>
        <v>13</v>
      </c>
      <c r="P767">
        <f>IF(((Table1[[#This Row],[Arrived]]-Table1[[#This Row],[Delivery]])*24-Table1[[#This Row],[Promised]])&lt;0, 0, (Table1[[#This Row],[Arrived]]-Table1[[#This Row],[Delivery]])*24-Table1[[#This Row],[Promised]])</f>
        <v>0</v>
      </c>
      <c r="Q767"/>
    </row>
    <row r="768" spans="1:17" x14ac:dyDescent="0.45">
      <c r="A768" s="3">
        <v>45298.458333333336</v>
      </c>
      <c r="B768" t="s">
        <v>19</v>
      </c>
      <c r="C768">
        <v>10</v>
      </c>
      <c r="D768">
        <v>3009</v>
      </c>
      <c r="E768" t="s">
        <v>16</v>
      </c>
      <c r="F768">
        <v>3</v>
      </c>
      <c r="G768">
        <v>4700</v>
      </c>
      <c r="H768">
        <v>14100</v>
      </c>
      <c r="I768" s="3">
        <v>45299.583333333336</v>
      </c>
      <c r="J768">
        <v>288</v>
      </c>
      <c r="K768" s="3">
        <v>45309.583333333336</v>
      </c>
      <c r="L768" s="4">
        <f>ROUNDDOWN(Table1[[#This Row],[Ordered]],0)</f>
        <v>45298</v>
      </c>
      <c r="M768" s="4">
        <f>Table1[[#This Row],[Date ]]</f>
        <v>45298</v>
      </c>
      <c r="N768" s="5">
        <f>Table1[[#This Row],[Ordered]]-Table1[[#This Row],[Date ]]</f>
        <v>0.45833333333575865</v>
      </c>
      <c r="O768">
        <f>Table1[[#This Row],[Company]]</f>
        <v>10</v>
      </c>
      <c r="P768">
        <f>IF(((Table1[[#This Row],[Arrived]]-Table1[[#This Row],[Delivery]])*24-Table1[[#This Row],[Promised]])&lt;0, 0, (Table1[[#This Row],[Arrived]]-Table1[[#This Row],[Delivery]])*24-Table1[[#This Row],[Promised]])</f>
        <v>0</v>
      </c>
      <c r="Q768"/>
    </row>
    <row r="769" spans="1:17" x14ac:dyDescent="0.45">
      <c r="A769" s="3">
        <v>45298.458333333336</v>
      </c>
      <c r="B769" t="s">
        <v>14</v>
      </c>
      <c r="C769">
        <v>14</v>
      </c>
      <c r="D769">
        <v>1005</v>
      </c>
      <c r="E769" t="s">
        <v>15</v>
      </c>
      <c r="F769">
        <v>7</v>
      </c>
      <c r="G769">
        <v>6650</v>
      </c>
      <c r="H769">
        <v>46550</v>
      </c>
      <c r="I769" s="3">
        <v>45298.875</v>
      </c>
      <c r="J769">
        <v>96</v>
      </c>
      <c r="K769" s="3">
        <v>45301.875</v>
      </c>
      <c r="L769" s="4">
        <f>ROUNDDOWN(Table1[[#This Row],[Ordered]],0)</f>
        <v>45298</v>
      </c>
      <c r="M769" s="4">
        <f>Table1[[#This Row],[Date ]]</f>
        <v>45298</v>
      </c>
      <c r="N769" s="5">
        <f>Table1[[#This Row],[Ordered]]-Table1[[#This Row],[Date ]]</f>
        <v>0.45833333333575865</v>
      </c>
      <c r="O769">
        <f>Table1[[#This Row],[Company]]</f>
        <v>14</v>
      </c>
      <c r="P769">
        <f>IF(((Table1[[#This Row],[Arrived]]-Table1[[#This Row],[Delivery]])*24-Table1[[#This Row],[Promised]])&lt;0, 0, (Table1[[#This Row],[Arrived]]-Table1[[#This Row],[Delivery]])*24-Table1[[#This Row],[Promised]])</f>
        <v>0</v>
      </c>
      <c r="Q769"/>
    </row>
    <row r="770" spans="1:17" x14ac:dyDescent="0.45">
      <c r="A770" s="3">
        <v>45298.458333333336</v>
      </c>
      <c r="B770" t="s">
        <v>14</v>
      </c>
      <c r="C770">
        <v>7</v>
      </c>
      <c r="D770">
        <v>1005</v>
      </c>
      <c r="E770" t="s">
        <v>15</v>
      </c>
      <c r="F770">
        <v>11</v>
      </c>
      <c r="G770">
        <v>6650</v>
      </c>
      <c r="H770">
        <v>73150</v>
      </c>
      <c r="I770" s="3">
        <v>45298.5</v>
      </c>
      <c r="J770">
        <v>96</v>
      </c>
      <c r="K770" s="3">
        <v>45301.5</v>
      </c>
      <c r="L770" s="4">
        <f>ROUNDDOWN(Table1[[#This Row],[Ordered]],0)</f>
        <v>45298</v>
      </c>
      <c r="M770" s="4">
        <f>Table1[[#This Row],[Date ]]</f>
        <v>45298</v>
      </c>
      <c r="N770" s="5">
        <f>Table1[[#This Row],[Ordered]]-Table1[[#This Row],[Date ]]</f>
        <v>0.45833333333575865</v>
      </c>
      <c r="O770">
        <f>Table1[[#This Row],[Company]]</f>
        <v>7</v>
      </c>
      <c r="P770">
        <f>IF(((Table1[[#This Row],[Arrived]]-Table1[[#This Row],[Delivery]])*24-Table1[[#This Row],[Promised]])&lt;0, 0, (Table1[[#This Row],[Arrived]]-Table1[[#This Row],[Delivery]])*24-Table1[[#This Row],[Promised]])</f>
        <v>0</v>
      </c>
      <c r="Q770"/>
    </row>
    <row r="771" spans="1:17" x14ac:dyDescent="0.45">
      <c r="A771" s="3">
        <v>45298.458333333336</v>
      </c>
      <c r="B771" t="s">
        <v>14</v>
      </c>
      <c r="C771">
        <v>16</v>
      </c>
      <c r="D771">
        <v>1005</v>
      </c>
      <c r="E771" t="s">
        <v>15</v>
      </c>
      <c r="F771">
        <v>12</v>
      </c>
      <c r="G771">
        <v>6650</v>
      </c>
      <c r="H771">
        <v>79800</v>
      </c>
      <c r="I771" s="3">
        <v>45298.541666666664</v>
      </c>
      <c r="J771">
        <v>96</v>
      </c>
      <c r="K771" s="3">
        <v>45301.541666666664</v>
      </c>
      <c r="L771" s="4">
        <f>ROUNDDOWN(Table1[[#This Row],[Ordered]],0)</f>
        <v>45298</v>
      </c>
      <c r="M771" s="4">
        <f>Table1[[#This Row],[Date ]]</f>
        <v>45298</v>
      </c>
      <c r="N771" s="5">
        <f>Table1[[#This Row],[Ordered]]-Table1[[#This Row],[Date ]]</f>
        <v>0.45833333333575865</v>
      </c>
      <c r="O771">
        <f>Table1[[#This Row],[Company]]</f>
        <v>16</v>
      </c>
      <c r="P771">
        <f>IF(((Table1[[#This Row],[Arrived]]-Table1[[#This Row],[Delivery]])*24-Table1[[#This Row],[Promised]])&lt;0, 0, (Table1[[#This Row],[Arrived]]-Table1[[#This Row],[Delivery]])*24-Table1[[#This Row],[Promised]])</f>
        <v>0</v>
      </c>
      <c r="Q771"/>
    </row>
    <row r="772" spans="1:17" x14ac:dyDescent="0.45">
      <c r="A772" s="3">
        <v>45298.458333333336</v>
      </c>
      <c r="B772" t="s">
        <v>14</v>
      </c>
      <c r="C772">
        <v>15</v>
      </c>
      <c r="D772">
        <v>1005</v>
      </c>
      <c r="E772" t="s">
        <v>15</v>
      </c>
      <c r="F772">
        <v>6</v>
      </c>
      <c r="G772">
        <v>6650</v>
      </c>
      <c r="H772">
        <v>39900</v>
      </c>
      <c r="I772" s="3">
        <v>45298.833333333336</v>
      </c>
      <c r="J772">
        <v>96</v>
      </c>
      <c r="K772" s="3">
        <v>45301.833333333336</v>
      </c>
      <c r="L772" s="4">
        <f>ROUNDDOWN(Table1[[#This Row],[Ordered]],0)</f>
        <v>45298</v>
      </c>
      <c r="M772" s="4">
        <f>Table1[[#This Row],[Date ]]</f>
        <v>45298</v>
      </c>
      <c r="N772" s="5">
        <f>Table1[[#This Row],[Ordered]]-Table1[[#This Row],[Date ]]</f>
        <v>0.45833333333575865</v>
      </c>
      <c r="O772">
        <f>Table1[[#This Row],[Company]]</f>
        <v>15</v>
      </c>
      <c r="P772">
        <f>IF(((Table1[[#This Row],[Arrived]]-Table1[[#This Row],[Delivery]])*24-Table1[[#This Row],[Promised]])&lt;0, 0, (Table1[[#This Row],[Arrived]]-Table1[[#This Row],[Delivery]])*24-Table1[[#This Row],[Promised]])</f>
        <v>0</v>
      </c>
      <c r="Q772"/>
    </row>
    <row r="773" spans="1:17" hidden="1" x14ac:dyDescent="0.45">
      <c r="A773" s="3">
        <v>45298.541666666664</v>
      </c>
      <c r="B773" t="s">
        <v>12</v>
      </c>
      <c r="C773">
        <v>5</v>
      </c>
      <c r="D773">
        <v>16</v>
      </c>
      <c r="E773" t="s">
        <v>17</v>
      </c>
      <c r="F773">
        <v>60</v>
      </c>
      <c r="G773">
        <v>1020</v>
      </c>
      <c r="H773">
        <v>61200</v>
      </c>
      <c r="I773" s="3">
        <v>45298.541666666664</v>
      </c>
      <c r="J773">
        <v>24</v>
      </c>
      <c r="K773" s="3">
        <v>45299.541666666664</v>
      </c>
      <c r="L773" s="4">
        <f>ROUNDDOWN(Table1[[#This Row],[Ordered]],0)</f>
        <v>45298</v>
      </c>
      <c r="M773" s="4">
        <f>Table1[[#This Row],[Date ]]</f>
        <v>45298</v>
      </c>
      <c r="N773" s="5">
        <f>Table1[[#This Row],[Ordered]]-Table1[[#This Row],[Date ]]</f>
        <v>0.54166666666424135</v>
      </c>
      <c r="O773">
        <f>Table1[[#This Row],[Company]]</f>
        <v>5</v>
      </c>
      <c r="P773">
        <f>IF(((Table1[[#This Row],[Arrived]]-Table1[[#This Row],[Delivery]])*24-Table1[[#This Row],[Promised]])&lt;0, 0, (Table1[[#This Row],[Arrived]]-Table1[[#This Row],[Delivery]])*24-Table1[[#This Row],[Promised]])</f>
        <v>0</v>
      </c>
      <c r="Q773"/>
    </row>
    <row r="774" spans="1:17" x14ac:dyDescent="0.45">
      <c r="A774" s="3">
        <v>45298.625</v>
      </c>
      <c r="B774" t="s">
        <v>14</v>
      </c>
      <c r="C774">
        <v>14</v>
      </c>
      <c r="D774">
        <v>1006</v>
      </c>
      <c r="E774" t="s">
        <v>16</v>
      </c>
      <c r="F774">
        <v>30</v>
      </c>
      <c r="G774">
        <v>3750</v>
      </c>
      <c r="H774">
        <v>112500</v>
      </c>
      <c r="I774" s="3">
        <v>45299.25</v>
      </c>
      <c r="J774">
        <v>96</v>
      </c>
      <c r="K774" s="3">
        <v>45302.25</v>
      </c>
      <c r="L774" s="4">
        <f>ROUNDDOWN(Table1[[#This Row],[Ordered]],0)</f>
        <v>45298</v>
      </c>
      <c r="M774" s="4">
        <f>Table1[[#This Row],[Date ]]</f>
        <v>45298</v>
      </c>
      <c r="N774" s="5">
        <f>Table1[[#This Row],[Ordered]]-Table1[[#This Row],[Date ]]</f>
        <v>0.625</v>
      </c>
      <c r="O774">
        <f>Table1[[#This Row],[Company]]</f>
        <v>14</v>
      </c>
      <c r="P774">
        <f>IF(((Table1[[#This Row],[Arrived]]-Table1[[#This Row],[Delivery]])*24-Table1[[#This Row],[Promised]])&lt;0, 0, (Table1[[#This Row],[Arrived]]-Table1[[#This Row],[Delivery]])*24-Table1[[#This Row],[Promised]])</f>
        <v>0</v>
      </c>
      <c r="Q774"/>
    </row>
    <row r="775" spans="1:17" x14ac:dyDescent="0.45">
      <c r="A775" s="3">
        <v>45298.625</v>
      </c>
      <c r="B775" t="s">
        <v>14</v>
      </c>
      <c r="C775">
        <v>15</v>
      </c>
      <c r="D775">
        <v>1006</v>
      </c>
      <c r="E775" t="s">
        <v>16</v>
      </c>
      <c r="F775">
        <v>33</v>
      </c>
      <c r="G775">
        <v>3750</v>
      </c>
      <c r="H775">
        <v>123750</v>
      </c>
      <c r="I775" s="3">
        <v>45299.041666666664</v>
      </c>
      <c r="J775">
        <v>96</v>
      </c>
      <c r="K775" s="3">
        <v>45302.041666666664</v>
      </c>
      <c r="L775" s="4">
        <f>ROUNDDOWN(Table1[[#This Row],[Ordered]],0)</f>
        <v>45298</v>
      </c>
      <c r="M775" s="4">
        <f>Table1[[#This Row],[Date ]]</f>
        <v>45298</v>
      </c>
      <c r="N775" s="5">
        <f>Table1[[#This Row],[Ordered]]-Table1[[#This Row],[Date ]]</f>
        <v>0.625</v>
      </c>
      <c r="O775">
        <f>Table1[[#This Row],[Company]]</f>
        <v>15</v>
      </c>
      <c r="P775">
        <f>IF(((Table1[[#This Row],[Arrived]]-Table1[[#This Row],[Delivery]])*24-Table1[[#This Row],[Promised]])&lt;0, 0, (Table1[[#This Row],[Arrived]]-Table1[[#This Row],[Delivery]])*24-Table1[[#This Row],[Promised]])</f>
        <v>0</v>
      </c>
      <c r="Q775"/>
    </row>
    <row r="776" spans="1:17" x14ac:dyDescent="0.45">
      <c r="A776" s="3">
        <v>45298.625</v>
      </c>
      <c r="B776" t="s">
        <v>14</v>
      </c>
      <c r="C776">
        <v>9</v>
      </c>
      <c r="D776">
        <v>1006</v>
      </c>
      <c r="E776" t="s">
        <v>16</v>
      </c>
      <c r="F776">
        <v>15</v>
      </c>
      <c r="G776">
        <v>3825</v>
      </c>
      <c r="H776">
        <v>57375</v>
      </c>
      <c r="I776" s="3">
        <v>45299.458333333336</v>
      </c>
      <c r="J776">
        <v>72</v>
      </c>
      <c r="K776" s="3">
        <v>45301.458333333336</v>
      </c>
      <c r="L776" s="4">
        <f>ROUNDDOWN(Table1[[#This Row],[Ordered]],0)</f>
        <v>45298</v>
      </c>
      <c r="M776" s="4">
        <f>Table1[[#This Row],[Date ]]</f>
        <v>45298</v>
      </c>
      <c r="N776" s="5">
        <f>Table1[[#This Row],[Ordered]]-Table1[[#This Row],[Date ]]</f>
        <v>0.625</v>
      </c>
      <c r="O776">
        <f>Table1[[#This Row],[Company]]</f>
        <v>9</v>
      </c>
      <c r="P776">
        <f>IF(((Table1[[#This Row],[Arrived]]-Table1[[#This Row],[Delivery]])*24-Table1[[#This Row],[Promised]])&lt;0, 0, (Table1[[#This Row],[Arrived]]-Table1[[#This Row],[Delivery]])*24-Table1[[#This Row],[Promised]])</f>
        <v>0</v>
      </c>
      <c r="Q776"/>
    </row>
    <row r="777" spans="1:17" x14ac:dyDescent="0.45">
      <c r="A777" s="3">
        <v>45298.625</v>
      </c>
      <c r="B777" t="s">
        <v>14</v>
      </c>
      <c r="C777">
        <v>16</v>
      </c>
      <c r="D777">
        <v>1006</v>
      </c>
      <c r="E777" t="s">
        <v>16</v>
      </c>
      <c r="F777">
        <v>30</v>
      </c>
      <c r="G777">
        <v>3750</v>
      </c>
      <c r="H777">
        <v>112500</v>
      </c>
      <c r="I777" s="3">
        <v>45298.75</v>
      </c>
      <c r="J777">
        <v>96</v>
      </c>
      <c r="K777" s="3">
        <v>45301.75</v>
      </c>
      <c r="L777" s="4">
        <f>ROUNDDOWN(Table1[[#This Row],[Ordered]],0)</f>
        <v>45298</v>
      </c>
      <c r="M777" s="4">
        <f>Table1[[#This Row],[Date ]]</f>
        <v>45298</v>
      </c>
      <c r="N777" s="5">
        <f>Table1[[#This Row],[Ordered]]-Table1[[#This Row],[Date ]]</f>
        <v>0.625</v>
      </c>
      <c r="O777">
        <f>Table1[[#This Row],[Company]]</f>
        <v>16</v>
      </c>
      <c r="P777">
        <f>IF(((Table1[[#This Row],[Arrived]]-Table1[[#This Row],[Delivery]])*24-Table1[[#This Row],[Promised]])&lt;0, 0, (Table1[[#This Row],[Arrived]]-Table1[[#This Row],[Delivery]])*24-Table1[[#This Row],[Promised]])</f>
        <v>0</v>
      </c>
      <c r="Q777"/>
    </row>
    <row r="778" spans="1:17" x14ac:dyDescent="0.45">
      <c r="A778" s="3">
        <v>45298.625</v>
      </c>
      <c r="B778" t="s">
        <v>14</v>
      </c>
      <c r="C778">
        <v>7</v>
      </c>
      <c r="D778">
        <v>1006</v>
      </c>
      <c r="E778" t="s">
        <v>16</v>
      </c>
      <c r="F778">
        <v>30</v>
      </c>
      <c r="G778">
        <v>3650</v>
      </c>
      <c r="H778">
        <v>109500</v>
      </c>
      <c r="I778" s="3">
        <v>45298.666666666664</v>
      </c>
      <c r="J778">
        <v>96</v>
      </c>
      <c r="K778" s="3">
        <v>45301.666666666664</v>
      </c>
      <c r="L778" s="4">
        <f>ROUNDDOWN(Table1[[#This Row],[Ordered]],0)</f>
        <v>45298</v>
      </c>
      <c r="M778" s="4">
        <f>Table1[[#This Row],[Date ]]</f>
        <v>45298</v>
      </c>
      <c r="N778" s="5">
        <f>Table1[[#This Row],[Ordered]]-Table1[[#This Row],[Date ]]</f>
        <v>0.625</v>
      </c>
      <c r="O778">
        <f>Table1[[#This Row],[Company]]</f>
        <v>7</v>
      </c>
      <c r="P778">
        <f>IF(((Table1[[#This Row],[Arrived]]-Table1[[#This Row],[Delivery]])*24-Table1[[#This Row],[Promised]])&lt;0, 0, (Table1[[#This Row],[Arrived]]-Table1[[#This Row],[Delivery]])*24-Table1[[#This Row],[Promised]])</f>
        <v>0</v>
      </c>
      <c r="Q778"/>
    </row>
    <row r="779" spans="1:17" x14ac:dyDescent="0.45">
      <c r="A779" s="3">
        <v>45298.625</v>
      </c>
      <c r="B779" t="s">
        <v>14</v>
      </c>
      <c r="C779">
        <v>11</v>
      </c>
      <c r="D779">
        <v>1006</v>
      </c>
      <c r="E779" t="s">
        <v>16</v>
      </c>
      <c r="F779">
        <v>29</v>
      </c>
      <c r="G779">
        <v>3850</v>
      </c>
      <c r="H779">
        <v>111650</v>
      </c>
      <c r="I779" s="3">
        <v>45298.833333333336</v>
      </c>
      <c r="J779">
        <v>96</v>
      </c>
      <c r="K779" s="3">
        <v>45301.916666666664</v>
      </c>
      <c r="L779" s="4">
        <f>ROUNDDOWN(Table1[[#This Row],[Ordered]],0)</f>
        <v>45298</v>
      </c>
      <c r="M779" s="4">
        <f>Table1[[#This Row],[Date ]]</f>
        <v>45298</v>
      </c>
      <c r="N779" s="5">
        <f>Table1[[#This Row],[Ordered]]-Table1[[#This Row],[Date ]]</f>
        <v>0.625</v>
      </c>
      <c r="O779">
        <f>Table1[[#This Row],[Company]]</f>
        <v>11</v>
      </c>
      <c r="P779">
        <f>IF(((Table1[[#This Row],[Arrived]]-Table1[[#This Row],[Delivery]])*24-Table1[[#This Row],[Promised]])&lt;0, 0, (Table1[[#This Row],[Arrived]]-Table1[[#This Row],[Delivery]])*24-Table1[[#This Row],[Promised]])</f>
        <v>0</v>
      </c>
      <c r="Q779"/>
    </row>
    <row r="780" spans="1:17" x14ac:dyDescent="0.45">
      <c r="A780" s="3">
        <v>45298.625</v>
      </c>
      <c r="B780" t="s">
        <v>14</v>
      </c>
      <c r="C780">
        <v>13</v>
      </c>
      <c r="D780">
        <v>1006</v>
      </c>
      <c r="E780" t="s">
        <v>16</v>
      </c>
      <c r="F780">
        <v>30</v>
      </c>
      <c r="G780">
        <v>3750</v>
      </c>
      <c r="H780">
        <v>112500</v>
      </c>
      <c r="I780" s="3">
        <v>45300.583333333336</v>
      </c>
      <c r="J780">
        <v>96</v>
      </c>
      <c r="K780" s="3">
        <v>45302.583333333336</v>
      </c>
      <c r="L780" s="4">
        <f>ROUNDDOWN(Table1[[#This Row],[Ordered]],0)</f>
        <v>45298</v>
      </c>
      <c r="M780" s="4">
        <f>Table1[[#This Row],[Date ]]</f>
        <v>45298</v>
      </c>
      <c r="N780" s="5">
        <f>Table1[[#This Row],[Ordered]]-Table1[[#This Row],[Date ]]</f>
        <v>0.625</v>
      </c>
      <c r="O780">
        <f>Table1[[#This Row],[Company]]</f>
        <v>13</v>
      </c>
      <c r="P780">
        <f>IF(((Table1[[#This Row],[Arrived]]-Table1[[#This Row],[Delivery]])*24-Table1[[#This Row],[Promised]])&lt;0, 0, (Table1[[#This Row],[Arrived]]-Table1[[#This Row],[Delivery]])*24-Table1[[#This Row],[Promised]])</f>
        <v>0</v>
      </c>
      <c r="Q780"/>
    </row>
    <row r="781" spans="1:17" x14ac:dyDescent="0.45">
      <c r="A781" s="3">
        <v>45298.625</v>
      </c>
      <c r="B781" t="s">
        <v>14</v>
      </c>
      <c r="C781">
        <v>8</v>
      </c>
      <c r="D781">
        <v>1006</v>
      </c>
      <c r="E781" t="s">
        <v>16</v>
      </c>
      <c r="F781">
        <v>30</v>
      </c>
      <c r="G781">
        <v>3600</v>
      </c>
      <c r="H781">
        <v>108000</v>
      </c>
      <c r="I781" s="3">
        <v>45299.458333333336</v>
      </c>
      <c r="J781">
        <v>96</v>
      </c>
      <c r="K781" s="3">
        <v>45302.458333333336</v>
      </c>
      <c r="L781" s="4">
        <f>ROUNDDOWN(Table1[[#This Row],[Ordered]],0)</f>
        <v>45298</v>
      </c>
      <c r="M781" s="4">
        <f>Table1[[#This Row],[Date ]]</f>
        <v>45298</v>
      </c>
      <c r="N781" s="5">
        <f>Table1[[#This Row],[Ordered]]-Table1[[#This Row],[Date ]]</f>
        <v>0.625</v>
      </c>
      <c r="O781">
        <f>Table1[[#This Row],[Company]]</f>
        <v>8</v>
      </c>
      <c r="P781">
        <f>IF(((Table1[[#This Row],[Arrived]]-Table1[[#This Row],[Delivery]])*24-Table1[[#This Row],[Promised]])&lt;0, 0, (Table1[[#This Row],[Arrived]]-Table1[[#This Row],[Delivery]])*24-Table1[[#This Row],[Promised]])</f>
        <v>0</v>
      </c>
      <c r="Q781"/>
    </row>
    <row r="782" spans="1:17" x14ac:dyDescent="0.45">
      <c r="A782" s="3">
        <v>45298.625</v>
      </c>
      <c r="B782" t="s">
        <v>14</v>
      </c>
      <c r="C782">
        <v>10</v>
      </c>
      <c r="D782">
        <v>1006</v>
      </c>
      <c r="E782" t="s">
        <v>16</v>
      </c>
      <c r="F782">
        <v>30</v>
      </c>
      <c r="G782">
        <v>3950</v>
      </c>
      <c r="H782">
        <v>118500</v>
      </c>
      <c r="I782" s="3">
        <v>45298.708333333336</v>
      </c>
      <c r="J782">
        <v>48</v>
      </c>
      <c r="K782" s="3">
        <v>45300.708333333336</v>
      </c>
      <c r="L782" s="4">
        <f>ROUNDDOWN(Table1[[#This Row],[Ordered]],0)</f>
        <v>45298</v>
      </c>
      <c r="M782" s="4">
        <f>Table1[[#This Row],[Date ]]</f>
        <v>45298</v>
      </c>
      <c r="N782" s="5">
        <f>Table1[[#This Row],[Ordered]]-Table1[[#This Row],[Date ]]</f>
        <v>0.625</v>
      </c>
      <c r="O782">
        <f>Table1[[#This Row],[Company]]</f>
        <v>10</v>
      </c>
      <c r="P782">
        <f>IF(((Table1[[#This Row],[Arrived]]-Table1[[#This Row],[Delivery]])*24-Table1[[#This Row],[Promised]])&lt;0, 0, (Table1[[#This Row],[Arrived]]-Table1[[#This Row],[Delivery]])*24-Table1[[#This Row],[Promised]])</f>
        <v>0</v>
      </c>
      <c r="Q782"/>
    </row>
    <row r="783" spans="1:17" x14ac:dyDescent="0.45">
      <c r="A783" s="3">
        <v>45298.625</v>
      </c>
      <c r="B783" t="s">
        <v>14</v>
      </c>
      <c r="C783">
        <v>12</v>
      </c>
      <c r="D783">
        <v>1006</v>
      </c>
      <c r="E783" t="s">
        <v>16</v>
      </c>
      <c r="F783">
        <v>15</v>
      </c>
      <c r="G783">
        <v>3950</v>
      </c>
      <c r="H783">
        <v>59250</v>
      </c>
      <c r="I783" s="3">
        <v>45298.916666666664</v>
      </c>
      <c r="J783">
        <v>60</v>
      </c>
      <c r="K783" s="3">
        <v>45300.916666666664</v>
      </c>
      <c r="L783" s="4">
        <f>ROUNDDOWN(Table1[[#This Row],[Ordered]],0)</f>
        <v>45298</v>
      </c>
      <c r="M783" s="4">
        <f>Table1[[#This Row],[Date ]]</f>
        <v>45298</v>
      </c>
      <c r="N783" s="5">
        <f>Table1[[#This Row],[Ordered]]-Table1[[#This Row],[Date ]]</f>
        <v>0.625</v>
      </c>
      <c r="O783">
        <f>Table1[[#This Row],[Company]]</f>
        <v>12</v>
      </c>
      <c r="P783">
        <f>IF(((Table1[[#This Row],[Arrived]]-Table1[[#This Row],[Delivery]])*24-Table1[[#This Row],[Promised]])&lt;0, 0, (Table1[[#This Row],[Arrived]]-Table1[[#This Row],[Delivery]])*24-Table1[[#This Row],[Promised]])</f>
        <v>0</v>
      </c>
      <c r="Q783"/>
    </row>
    <row r="784" spans="1:17" x14ac:dyDescent="0.45">
      <c r="A784" s="3">
        <v>45298.666666666664</v>
      </c>
      <c r="B784" t="s">
        <v>0</v>
      </c>
      <c r="C784">
        <v>8</v>
      </c>
      <c r="D784">
        <v>2011</v>
      </c>
      <c r="E784" t="s">
        <v>15</v>
      </c>
      <c r="F784">
        <v>30</v>
      </c>
      <c r="G784">
        <v>5700</v>
      </c>
      <c r="H784">
        <v>171000</v>
      </c>
      <c r="I784" s="3">
        <v>45299.541666666664</v>
      </c>
      <c r="J784">
        <v>132</v>
      </c>
      <c r="K784" s="3">
        <v>45304.041666666664</v>
      </c>
      <c r="L784" s="4">
        <f>ROUNDDOWN(Table1[[#This Row],[Ordered]],0)</f>
        <v>45298</v>
      </c>
      <c r="M784" s="4">
        <f>Table1[[#This Row],[Date ]]</f>
        <v>45298</v>
      </c>
      <c r="N784" s="5">
        <f>Table1[[#This Row],[Ordered]]-Table1[[#This Row],[Date ]]</f>
        <v>0.66666666666424135</v>
      </c>
      <c r="O784">
        <f>Table1[[#This Row],[Company]]</f>
        <v>8</v>
      </c>
      <c r="P784">
        <f>IF(((Table1[[#This Row],[Arrived]]-Table1[[#This Row],[Delivery]])*24-Table1[[#This Row],[Promised]])&lt;0, 0, (Table1[[#This Row],[Arrived]]-Table1[[#This Row],[Delivery]])*24-Table1[[#This Row],[Promised]])</f>
        <v>0</v>
      </c>
      <c r="Q784"/>
    </row>
    <row r="785" spans="1:17" x14ac:dyDescent="0.45">
      <c r="A785" s="3">
        <v>45298.666666666664</v>
      </c>
      <c r="B785" t="s">
        <v>0</v>
      </c>
      <c r="C785">
        <v>10</v>
      </c>
      <c r="D785">
        <v>2011</v>
      </c>
      <c r="E785" t="s">
        <v>15</v>
      </c>
      <c r="F785">
        <v>3</v>
      </c>
      <c r="G785">
        <v>6800</v>
      </c>
      <c r="H785">
        <v>20400</v>
      </c>
      <c r="I785" s="3">
        <v>45299.708333333336</v>
      </c>
      <c r="J785">
        <v>132</v>
      </c>
      <c r="K785" s="3">
        <v>45304.208333333336</v>
      </c>
      <c r="L785" s="4">
        <f>ROUNDDOWN(Table1[[#This Row],[Ordered]],0)</f>
        <v>45298</v>
      </c>
      <c r="M785" s="4">
        <f>Table1[[#This Row],[Date ]]</f>
        <v>45298</v>
      </c>
      <c r="N785" s="5">
        <f>Table1[[#This Row],[Ordered]]-Table1[[#This Row],[Date ]]</f>
        <v>0.66666666666424135</v>
      </c>
      <c r="O785">
        <f>Table1[[#This Row],[Company]]</f>
        <v>10</v>
      </c>
      <c r="P785">
        <f>IF(((Table1[[#This Row],[Arrived]]-Table1[[#This Row],[Delivery]])*24-Table1[[#This Row],[Promised]])&lt;0, 0, (Table1[[#This Row],[Arrived]]-Table1[[#This Row],[Delivery]])*24-Table1[[#This Row],[Promised]])</f>
        <v>0</v>
      </c>
      <c r="Q785"/>
    </row>
    <row r="786" spans="1:17" x14ac:dyDescent="0.45">
      <c r="A786" s="3">
        <v>45298.666666666664</v>
      </c>
      <c r="B786" t="s">
        <v>0</v>
      </c>
      <c r="C786">
        <v>13</v>
      </c>
      <c r="D786">
        <v>2011</v>
      </c>
      <c r="E786" t="s">
        <v>16</v>
      </c>
      <c r="F786">
        <v>30</v>
      </c>
      <c r="G786">
        <v>3500</v>
      </c>
      <c r="H786">
        <v>105000</v>
      </c>
      <c r="I786" s="3">
        <v>45300.875</v>
      </c>
      <c r="J786">
        <v>132</v>
      </c>
      <c r="K786" s="3">
        <v>45303.875</v>
      </c>
      <c r="L786" s="4">
        <f>ROUNDDOWN(Table1[[#This Row],[Ordered]],0)</f>
        <v>45298</v>
      </c>
      <c r="M786" s="4">
        <f>Table1[[#This Row],[Date ]]</f>
        <v>45298</v>
      </c>
      <c r="N786" s="5">
        <f>Table1[[#This Row],[Ordered]]-Table1[[#This Row],[Date ]]</f>
        <v>0.66666666666424135</v>
      </c>
      <c r="O786">
        <f>Table1[[#This Row],[Company]]</f>
        <v>13</v>
      </c>
      <c r="P786">
        <f>IF(((Table1[[#This Row],[Arrived]]-Table1[[#This Row],[Delivery]])*24-Table1[[#This Row],[Promised]])&lt;0, 0, (Table1[[#This Row],[Arrived]]-Table1[[#This Row],[Delivery]])*24-Table1[[#This Row],[Promised]])</f>
        <v>0</v>
      </c>
      <c r="Q786"/>
    </row>
    <row r="787" spans="1:17" hidden="1" x14ac:dyDescent="0.45">
      <c r="A787" s="3">
        <v>45298.666666666664</v>
      </c>
      <c r="B787" t="s">
        <v>12</v>
      </c>
      <c r="C787">
        <v>1</v>
      </c>
      <c r="D787">
        <v>15</v>
      </c>
      <c r="E787" t="s">
        <v>17</v>
      </c>
      <c r="F787">
        <v>200</v>
      </c>
      <c r="G787">
        <v>1600</v>
      </c>
      <c r="H787">
        <v>320000</v>
      </c>
      <c r="I787" s="3">
        <v>45298.666666666664</v>
      </c>
      <c r="J787">
        <v>24</v>
      </c>
      <c r="K787" s="3">
        <v>45299.666666666664</v>
      </c>
      <c r="L787" s="4">
        <f>ROUNDDOWN(Table1[[#This Row],[Ordered]],0)</f>
        <v>45298</v>
      </c>
      <c r="M787" s="4">
        <f>Table1[[#This Row],[Date ]]</f>
        <v>45298</v>
      </c>
      <c r="N787" s="5">
        <f>Table1[[#This Row],[Ordered]]-Table1[[#This Row],[Date ]]</f>
        <v>0.66666666666424135</v>
      </c>
      <c r="O787">
        <f>Table1[[#This Row],[Company]]</f>
        <v>1</v>
      </c>
      <c r="P787">
        <f>IF(((Table1[[#This Row],[Arrived]]-Table1[[#This Row],[Delivery]])*24-Table1[[#This Row],[Promised]])&lt;0, 0, (Table1[[#This Row],[Arrived]]-Table1[[#This Row],[Delivery]])*24-Table1[[#This Row],[Promised]])</f>
        <v>0</v>
      </c>
      <c r="Q787"/>
    </row>
    <row r="788" spans="1:17" x14ac:dyDescent="0.45">
      <c r="A788" s="3">
        <v>45298.666666666664</v>
      </c>
      <c r="B788" t="s">
        <v>0</v>
      </c>
      <c r="C788">
        <v>15</v>
      </c>
      <c r="D788">
        <v>2011</v>
      </c>
      <c r="E788" t="s">
        <v>16</v>
      </c>
      <c r="F788">
        <v>30</v>
      </c>
      <c r="G788">
        <v>3850</v>
      </c>
      <c r="H788">
        <v>115500</v>
      </c>
      <c r="I788" s="3">
        <v>45298.666666666664</v>
      </c>
      <c r="J788">
        <v>120</v>
      </c>
      <c r="K788" s="3">
        <v>45303.166666666664</v>
      </c>
      <c r="L788" s="4">
        <f>ROUNDDOWN(Table1[[#This Row],[Ordered]],0)</f>
        <v>45298</v>
      </c>
      <c r="M788" s="4">
        <f>Table1[[#This Row],[Date ]]</f>
        <v>45298</v>
      </c>
      <c r="N788" s="5">
        <f>Table1[[#This Row],[Ordered]]-Table1[[#This Row],[Date ]]</f>
        <v>0.66666666666424135</v>
      </c>
      <c r="O788">
        <f>Table1[[#This Row],[Company]]</f>
        <v>15</v>
      </c>
      <c r="P788">
        <f>IF(((Table1[[#This Row],[Arrived]]-Table1[[#This Row],[Delivery]])*24-Table1[[#This Row],[Promised]])&lt;0, 0, (Table1[[#This Row],[Arrived]]-Table1[[#This Row],[Delivery]])*24-Table1[[#This Row],[Promised]])</f>
        <v>0</v>
      </c>
      <c r="Q788"/>
    </row>
    <row r="789" spans="1:17" hidden="1" x14ac:dyDescent="0.45">
      <c r="A789" s="3">
        <v>45298.666666666664</v>
      </c>
      <c r="B789" t="s">
        <v>12</v>
      </c>
      <c r="C789">
        <v>16</v>
      </c>
      <c r="D789">
        <v>5</v>
      </c>
      <c r="E789" t="s">
        <v>20</v>
      </c>
      <c r="F789">
        <v>466</v>
      </c>
      <c r="G789">
        <v>6</v>
      </c>
      <c r="H789">
        <v>2796</v>
      </c>
      <c r="I789" s="3">
        <v>45298.708333333336</v>
      </c>
      <c r="J789">
        <v>72</v>
      </c>
      <c r="K789" s="3">
        <v>45301.708333333336</v>
      </c>
      <c r="L789" s="4">
        <f>ROUNDDOWN(Table1[[#This Row],[Ordered]],0)</f>
        <v>45298</v>
      </c>
      <c r="M789" s="4">
        <f>Table1[[#This Row],[Date ]]</f>
        <v>45298</v>
      </c>
      <c r="N789" s="5">
        <f>Table1[[#This Row],[Ordered]]-Table1[[#This Row],[Date ]]</f>
        <v>0.66666666666424135</v>
      </c>
      <c r="O789">
        <f>Table1[[#This Row],[Company]]</f>
        <v>16</v>
      </c>
      <c r="P789">
        <f>IF(((Table1[[#This Row],[Arrived]]-Table1[[#This Row],[Delivery]])*24-Table1[[#This Row],[Promised]])&lt;0, 0, (Table1[[#This Row],[Arrived]]-Table1[[#This Row],[Delivery]])*24-Table1[[#This Row],[Promised]])</f>
        <v>0</v>
      </c>
      <c r="Q789"/>
    </row>
    <row r="790" spans="1:17" x14ac:dyDescent="0.45">
      <c r="A790" s="3">
        <v>45298.666666666664</v>
      </c>
      <c r="B790" t="s">
        <v>0</v>
      </c>
      <c r="C790">
        <v>7</v>
      </c>
      <c r="D790">
        <v>2011</v>
      </c>
      <c r="E790" t="s">
        <v>16</v>
      </c>
      <c r="F790">
        <v>30</v>
      </c>
      <c r="G790">
        <v>3650</v>
      </c>
      <c r="H790">
        <v>109500</v>
      </c>
      <c r="I790" s="3">
        <v>45298.708333333336</v>
      </c>
      <c r="J790">
        <v>132</v>
      </c>
      <c r="K790" s="3">
        <v>45303.208333333336</v>
      </c>
      <c r="L790" s="4">
        <f>ROUNDDOWN(Table1[[#This Row],[Ordered]],0)</f>
        <v>45298</v>
      </c>
      <c r="M790" s="4">
        <f>Table1[[#This Row],[Date ]]</f>
        <v>45298</v>
      </c>
      <c r="N790" s="5">
        <f>Table1[[#This Row],[Ordered]]-Table1[[#This Row],[Date ]]</f>
        <v>0.66666666666424135</v>
      </c>
      <c r="O790">
        <f>Table1[[#This Row],[Company]]</f>
        <v>7</v>
      </c>
      <c r="P790">
        <f>IF(((Table1[[#This Row],[Arrived]]-Table1[[#This Row],[Delivery]])*24-Table1[[#This Row],[Promised]])&lt;0, 0, (Table1[[#This Row],[Arrived]]-Table1[[#This Row],[Delivery]])*24-Table1[[#This Row],[Promised]])</f>
        <v>0</v>
      </c>
      <c r="Q790"/>
    </row>
    <row r="791" spans="1:17" x14ac:dyDescent="0.45">
      <c r="A791" s="3">
        <v>45298.666666666664</v>
      </c>
      <c r="B791" t="s">
        <v>0</v>
      </c>
      <c r="C791">
        <v>16</v>
      </c>
      <c r="D791">
        <v>2011</v>
      </c>
      <c r="E791" t="s">
        <v>15</v>
      </c>
      <c r="F791">
        <v>30</v>
      </c>
      <c r="G791">
        <v>6650</v>
      </c>
      <c r="H791">
        <v>199500</v>
      </c>
      <c r="I791" s="3">
        <v>45298.75</v>
      </c>
      <c r="J791">
        <v>132</v>
      </c>
      <c r="K791" s="3">
        <v>45303.25</v>
      </c>
      <c r="L791" s="4">
        <f>ROUNDDOWN(Table1[[#This Row],[Ordered]],0)</f>
        <v>45298</v>
      </c>
      <c r="M791" s="4">
        <f>Table1[[#This Row],[Date ]]</f>
        <v>45298</v>
      </c>
      <c r="N791" s="5">
        <f>Table1[[#This Row],[Ordered]]-Table1[[#This Row],[Date ]]</f>
        <v>0.66666666666424135</v>
      </c>
      <c r="O791">
        <f>Table1[[#This Row],[Company]]</f>
        <v>16</v>
      </c>
      <c r="P791">
        <f>IF(((Table1[[#This Row],[Arrived]]-Table1[[#This Row],[Delivery]])*24-Table1[[#This Row],[Promised]])&lt;0, 0, (Table1[[#This Row],[Arrived]]-Table1[[#This Row],[Delivery]])*24-Table1[[#This Row],[Promised]])</f>
        <v>0</v>
      </c>
      <c r="Q791"/>
    </row>
    <row r="792" spans="1:17" x14ac:dyDescent="0.45">
      <c r="A792" s="3">
        <v>45298.666666666664</v>
      </c>
      <c r="B792" t="s">
        <v>0</v>
      </c>
      <c r="C792">
        <v>16</v>
      </c>
      <c r="D792">
        <v>2011</v>
      </c>
      <c r="E792" t="s">
        <v>16</v>
      </c>
      <c r="F792">
        <v>30</v>
      </c>
      <c r="G792">
        <v>3750</v>
      </c>
      <c r="H792">
        <v>112500</v>
      </c>
      <c r="I792" s="3">
        <v>45298.75</v>
      </c>
      <c r="J792">
        <v>132</v>
      </c>
      <c r="K792" s="3">
        <v>45303.25</v>
      </c>
      <c r="L792" s="4">
        <f>ROUNDDOWN(Table1[[#This Row],[Ordered]],0)</f>
        <v>45298</v>
      </c>
      <c r="M792" s="4">
        <f>Table1[[#This Row],[Date ]]</f>
        <v>45298</v>
      </c>
      <c r="N792" s="5">
        <f>Table1[[#This Row],[Ordered]]-Table1[[#This Row],[Date ]]</f>
        <v>0.66666666666424135</v>
      </c>
      <c r="O792">
        <f>Table1[[#This Row],[Company]]</f>
        <v>16</v>
      </c>
      <c r="P792">
        <f>IF(((Table1[[#This Row],[Arrived]]-Table1[[#This Row],[Delivery]])*24-Table1[[#This Row],[Promised]])&lt;0, 0, (Table1[[#This Row],[Arrived]]-Table1[[#This Row],[Delivery]])*24-Table1[[#This Row],[Promised]])</f>
        <v>0</v>
      </c>
      <c r="Q792"/>
    </row>
    <row r="793" spans="1:17" hidden="1" x14ac:dyDescent="0.45">
      <c r="A793" s="3">
        <v>45298.666666666664</v>
      </c>
      <c r="B793" t="s">
        <v>12</v>
      </c>
      <c r="C793">
        <v>1</v>
      </c>
      <c r="D793">
        <v>14</v>
      </c>
      <c r="E793" t="s">
        <v>13</v>
      </c>
      <c r="F793">
        <v>4500</v>
      </c>
      <c r="G793">
        <v>150</v>
      </c>
      <c r="H793">
        <v>675000</v>
      </c>
      <c r="I793" s="3">
        <v>45299.041666666664</v>
      </c>
      <c r="J793">
        <v>72</v>
      </c>
      <c r="K793" s="3">
        <v>45302.041666666664</v>
      </c>
      <c r="L793" s="4">
        <f>ROUNDDOWN(Table1[[#This Row],[Ordered]],0)</f>
        <v>45298</v>
      </c>
      <c r="M793" s="4">
        <f>Table1[[#This Row],[Date ]]</f>
        <v>45298</v>
      </c>
      <c r="N793" s="5">
        <f>Table1[[#This Row],[Ordered]]-Table1[[#This Row],[Date ]]</f>
        <v>0.66666666666424135</v>
      </c>
      <c r="O793" s="5">
        <f>Table1[[#This Row],[Company]]</f>
        <v>1</v>
      </c>
      <c r="P793">
        <f>IF(((Table1[[#This Row],[Arrived]]-Table1[[#This Row],[Delivery]])*24-Table1[[#This Row],[Promised]])&lt;0, 0, (Table1[[#This Row],[Arrived]]-Table1[[#This Row],[Delivery]])*24-Table1[[#This Row],[Promised]])</f>
        <v>0</v>
      </c>
      <c r="Q793"/>
    </row>
    <row r="794" spans="1:17" x14ac:dyDescent="0.45">
      <c r="A794" s="3">
        <v>45298.666666666664</v>
      </c>
      <c r="B794" t="s">
        <v>0</v>
      </c>
      <c r="C794">
        <v>12</v>
      </c>
      <c r="D794">
        <v>2011</v>
      </c>
      <c r="E794" t="s">
        <v>16</v>
      </c>
      <c r="F794">
        <v>30</v>
      </c>
      <c r="G794">
        <v>3750</v>
      </c>
      <c r="H794">
        <v>112500</v>
      </c>
      <c r="I794" s="3">
        <v>45299</v>
      </c>
      <c r="J794">
        <v>120</v>
      </c>
      <c r="K794" s="3">
        <v>45303.5</v>
      </c>
      <c r="L794" s="4">
        <f>ROUNDDOWN(Table1[[#This Row],[Ordered]],0)</f>
        <v>45298</v>
      </c>
      <c r="M794" s="4">
        <f>Table1[[#This Row],[Date ]]</f>
        <v>45298</v>
      </c>
      <c r="N794" s="5">
        <f>Table1[[#This Row],[Ordered]]-Table1[[#This Row],[Date ]]</f>
        <v>0.66666666666424135</v>
      </c>
      <c r="O794">
        <f>Table1[[#This Row],[Company]]</f>
        <v>12</v>
      </c>
      <c r="P794">
        <f>IF(((Table1[[#This Row],[Arrived]]-Table1[[#This Row],[Delivery]])*24-Table1[[#This Row],[Promised]])&lt;0, 0, (Table1[[#This Row],[Arrived]]-Table1[[#This Row],[Delivery]])*24-Table1[[#This Row],[Promised]])</f>
        <v>0</v>
      </c>
      <c r="Q794"/>
    </row>
    <row r="795" spans="1:17" x14ac:dyDescent="0.45">
      <c r="A795" s="3">
        <v>45298.666666666664</v>
      </c>
      <c r="B795" t="s">
        <v>0</v>
      </c>
      <c r="C795">
        <v>11</v>
      </c>
      <c r="D795">
        <v>2011</v>
      </c>
      <c r="E795" t="s">
        <v>16</v>
      </c>
      <c r="F795">
        <v>40</v>
      </c>
      <c r="G795">
        <v>4000</v>
      </c>
      <c r="H795">
        <v>160000</v>
      </c>
      <c r="I795" s="3">
        <v>45299</v>
      </c>
      <c r="J795">
        <v>132</v>
      </c>
      <c r="K795" s="3">
        <v>45303.5</v>
      </c>
      <c r="L795" s="4">
        <f>ROUNDDOWN(Table1[[#This Row],[Ordered]],0)</f>
        <v>45298</v>
      </c>
      <c r="M795" s="4">
        <f>Table1[[#This Row],[Date ]]</f>
        <v>45298</v>
      </c>
      <c r="N795" s="5">
        <f>Table1[[#This Row],[Ordered]]-Table1[[#This Row],[Date ]]</f>
        <v>0.66666666666424135</v>
      </c>
      <c r="O795">
        <f>Table1[[#This Row],[Company]]</f>
        <v>11</v>
      </c>
      <c r="P795">
        <f>IF(((Table1[[#This Row],[Arrived]]-Table1[[#This Row],[Delivery]])*24-Table1[[#This Row],[Promised]])&lt;0, 0, (Table1[[#This Row],[Arrived]]-Table1[[#This Row],[Delivery]])*24-Table1[[#This Row],[Promised]])</f>
        <v>0</v>
      </c>
      <c r="Q795"/>
    </row>
    <row r="796" spans="1:17" x14ac:dyDescent="0.45">
      <c r="A796" s="3">
        <v>45298.666666666664</v>
      </c>
      <c r="B796" t="s">
        <v>0</v>
      </c>
      <c r="C796">
        <v>7</v>
      </c>
      <c r="D796">
        <v>2011</v>
      </c>
      <c r="E796" t="s">
        <v>15</v>
      </c>
      <c r="F796">
        <v>30</v>
      </c>
      <c r="G796">
        <v>6650</v>
      </c>
      <c r="H796">
        <v>199500</v>
      </c>
      <c r="I796" s="3">
        <v>45298.666666666664</v>
      </c>
      <c r="J796">
        <v>132</v>
      </c>
      <c r="K796" s="3">
        <v>45303.166666666664</v>
      </c>
      <c r="L796" s="4">
        <f>ROUNDDOWN(Table1[[#This Row],[Ordered]],0)</f>
        <v>45298</v>
      </c>
      <c r="M796" s="4">
        <f>Table1[[#This Row],[Date ]]</f>
        <v>45298</v>
      </c>
      <c r="N796" s="5">
        <f>Table1[[#This Row],[Ordered]]-Table1[[#This Row],[Date ]]</f>
        <v>0.66666666666424135</v>
      </c>
      <c r="O796">
        <f>Table1[[#This Row],[Company]]</f>
        <v>7</v>
      </c>
      <c r="P796">
        <f>IF(((Table1[[#This Row],[Arrived]]-Table1[[#This Row],[Delivery]])*24-Table1[[#This Row],[Promised]])&lt;0, 0, (Table1[[#This Row],[Arrived]]-Table1[[#This Row],[Delivery]])*24-Table1[[#This Row],[Promised]])</f>
        <v>0</v>
      </c>
      <c r="Q796"/>
    </row>
    <row r="797" spans="1:17" x14ac:dyDescent="0.45">
      <c r="A797" s="3">
        <v>45298.666666666664</v>
      </c>
      <c r="B797" t="s">
        <v>0</v>
      </c>
      <c r="C797">
        <v>11</v>
      </c>
      <c r="D797">
        <v>2011</v>
      </c>
      <c r="E797" t="s">
        <v>15</v>
      </c>
      <c r="F797">
        <v>28</v>
      </c>
      <c r="G797">
        <v>6650</v>
      </c>
      <c r="H797">
        <v>186200</v>
      </c>
      <c r="I797" s="3">
        <v>45299.041666666664</v>
      </c>
      <c r="J797">
        <v>132</v>
      </c>
      <c r="K797" s="3">
        <v>45303.541666666664</v>
      </c>
      <c r="L797" s="4">
        <f>ROUNDDOWN(Table1[[#This Row],[Ordered]],0)</f>
        <v>45298</v>
      </c>
      <c r="M797" s="4">
        <f>Table1[[#This Row],[Date ]]</f>
        <v>45298</v>
      </c>
      <c r="N797" s="5">
        <f>Table1[[#This Row],[Ordered]]-Table1[[#This Row],[Date ]]</f>
        <v>0.66666666666424135</v>
      </c>
      <c r="O797">
        <f>Table1[[#This Row],[Company]]</f>
        <v>11</v>
      </c>
      <c r="P797">
        <f>IF(((Table1[[#This Row],[Arrived]]-Table1[[#This Row],[Delivery]])*24-Table1[[#This Row],[Promised]])&lt;0, 0, (Table1[[#This Row],[Arrived]]-Table1[[#This Row],[Delivery]])*24-Table1[[#This Row],[Promised]])</f>
        <v>0</v>
      </c>
      <c r="Q797"/>
    </row>
    <row r="798" spans="1:17" x14ac:dyDescent="0.45">
      <c r="A798" s="3">
        <v>45298.666666666664</v>
      </c>
      <c r="B798" t="s">
        <v>0</v>
      </c>
      <c r="C798">
        <v>14</v>
      </c>
      <c r="D798">
        <v>2011</v>
      </c>
      <c r="E798" t="s">
        <v>15</v>
      </c>
      <c r="F798">
        <v>24</v>
      </c>
      <c r="G798">
        <v>6650</v>
      </c>
      <c r="H798">
        <v>159600</v>
      </c>
      <c r="I798" s="3">
        <v>45299.25</v>
      </c>
      <c r="J798">
        <v>132</v>
      </c>
      <c r="K798" s="3">
        <v>45303.75</v>
      </c>
      <c r="L798" s="4">
        <f>ROUNDDOWN(Table1[[#This Row],[Ordered]],0)</f>
        <v>45298</v>
      </c>
      <c r="M798" s="4">
        <f>Table1[[#This Row],[Date ]]</f>
        <v>45298</v>
      </c>
      <c r="N798" s="5">
        <f>Table1[[#This Row],[Ordered]]-Table1[[#This Row],[Date ]]</f>
        <v>0.66666666666424135</v>
      </c>
      <c r="O798">
        <f>Table1[[#This Row],[Company]]</f>
        <v>14</v>
      </c>
      <c r="P798">
        <f>IF(((Table1[[#This Row],[Arrived]]-Table1[[#This Row],[Delivery]])*24-Table1[[#This Row],[Promised]])&lt;0, 0, (Table1[[#This Row],[Arrived]]-Table1[[#This Row],[Delivery]])*24-Table1[[#This Row],[Promised]])</f>
        <v>0</v>
      </c>
      <c r="Q798"/>
    </row>
    <row r="799" spans="1:17" x14ac:dyDescent="0.45">
      <c r="A799" s="3">
        <v>45298.666666666664</v>
      </c>
      <c r="B799" t="s">
        <v>0</v>
      </c>
      <c r="C799">
        <v>14</v>
      </c>
      <c r="D799">
        <v>2011</v>
      </c>
      <c r="E799" t="s">
        <v>16</v>
      </c>
      <c r="F799">
        <v>30</v>
      </c>
      <c r="G799">
        <v>3750</v>
      </c>
      <c r="H799">
        <v>112500</v>
      </c>
      <c r="I799" s="3">
        <v>45299.25</v>
      </c>
      <c r="J799">
        <v>132</v>
      </c>
      <c r="K799" s="3">
        <v>45303.75</v>
      </c>
      <c r="L799" s="4">
        <f>ROUNDDOWN(Table1[[#This Row],[Ordered]],0)</f>
        <v>45298</v>
      </c>
      <c r="M799" s="4">
        <f>Table1[[#This Row],[Date ]]</f>
        <v>45298</v>
      </c>
      <c r="N799" s="5">
        <f>Table1[[#This Row],[Ordered]]-Table1[[#This Row],[Date ]]</f>
        <v>0.66666666666424135</v>
      </c>
      <c r="O799">
        <f>Table1[[#This Row],[Company]]</f>
        <v>14</v>
      </c>
      <c r="P799">
        <f>IF(((Table1[[#This Row],[Arrived]]-Table1[[#This Row],[Delivery]])*24-Table1[[#This Row],[Promised]])&lt;0, 0, (Table1[[#This Row],[Arrived]]-Table1[[#This Row],[Delivery]])*24-Table1[[#This Row],[Promised]])</f>
        <v>0</v>
      </c>
      <c r="Q799"/>
    </row>
    <row r="800" spans="1:17" x14ac:dyDescent="0.45">
      <c r="A800" s="3">
        <v>45298.666666666664</v>
      </c>
      <c r="B800" t="s">
        <v>0</v>
      </c>
      <c r="C800">
        <v>12</v>
      </c>
      <c r="D800">
        <v>2011</v>
      </c>
      <c r="E800" t="s">
        <v>15</v>
      </c>
      <c r="F800">
        <v>30</v>
      </c>
      <c r="G800">
        <v>6750</v>
      </c>
      <c r="H800">
        <v>202500</v>
      </c>
      <c r="I800" s="3">
        <v>45298.833333333336</v>
      </c>
      <c r="J800">
        <v>120</v>
      </c>
      <c r="K800" s="3">
        <v>45303.333333333336</v>
      </c>
      <c r="L800" s="4">
        <f>ROUNDDOWN(Table1[[#This Row],[Ordered]],0)</f>
        <v>45298</v>
      </c>
      <c r="M800" s="4">
        <f>Table1[[#This Row],[Date ]]</f>
        <v>45298</v>
      </c>
      <c r="N800" s="5">
        <f>Table1[[#This Row],[Ordered]]-Table1[[#This Row],[Date ]]</f>
        <v>0.66666666666424135</v>
      </c>
      <c r="O800">
        <f>Table1[[#This Row],[Company]]</f>
        <v>12</v>
      </c>
      <c r="P800">
        <f>IF(((Table1[[#This Row],[Arrived]]-Table1[[#This Row],[Delivery]])*24-Table1[[#This Row],[Promised]])&lt;0, 0, (Table1[[#This Row],[Arrived]]-Table1[[#This Row],[Delivery]])*24-Table1[[#This Row],[Promised]])</f>
        <v>0</v>
      </c>
      <c r="Q800"/>
    </row>
    <row r="801" spans="1:17" x14ac:dyDescent="0.45">
      <c r="A801" s="3">
        <v>45298.666666666664</v>
      </c>
      <c r="B801" t="s">
        <v>0</v>
      </c>
      <c r="C801">
        <v>9</v>
      </c>
      <c r="D801">
        <v>2011</v>
      </c>
      <c r="E801" t="s">
        <v>15</v>
      </c>
      <c r="F801">
        <v>30</v>
      </c>
      <c r="G801">
        <v>6650</v>
      </c>
      <c r="H801">
        <v>199500</v>
      </c>
      <c r="I801" s="3">
        <v>45299.583333333336</v>
      </c>
      <c r="J801">
        <v>132</v>
      </c>
      <c r="K801" s="3">
        <v>45304.083333333336</v>
      </c>
      <c r="L801" s="4">
        <f>ROUNDDOWN(Table1[[#This Row],[Ordered]],0)</f>
        <v>45298</v>
      </c>
      <c r="M801" s="4">
        <f>Table1[[#This Row],[Date ]]</f>
        <v>45298</v>
      </c>
      <c r="N801" s="5">
        <f>Table1[[#This Row],[Ordered]]-Table1[[#This Row],[Date ]]</f>
        <v>0.66666666666424135</v>
      </c>
      <c r="O801">
        <f>Table1[[#This Row],[Company]]</f>
        <v>9</v>
      </c>
      <c r="P801">
        <f>IF(((Table1[[#This Row],[Arrived]]-Table1[[#This Row],[Delivery]])*24-Table1[[#This Row],[Promised]])&lt;0, 0, (Table1[[#This Row],[Arrived]]-Table1[[#This Row],[Delivery]])*24-Table1[[#This Row],[Promised]])</f>
        <v>0</v>
      </c>
      <c r="Q801"/>
    </row>
    <row r="802" spans="1:17" x14ac:dyDescent="0.45">
      <c r="A802" s="3">
        <v>45298.666666666664</v>
      </c>
      <c r="B802" t="s">
        <v>0</v>
      </c>
      <c r="C802">
        <v>15</v>
      </c>
      <c r="D802">
        <v>2011</v>
      </c>
      <c r="E802" t="s">
        <v>15</v>
      </c>
      <c r="F802">
        <v>30</v>
      </c>
      <c r="G802">
        <v>6900</v>
      </c>
      <c r="H802">
        <v>207000</v>
      </c>
      <c r="I802" s="3">
        <v>45299.083333333336</v>
      </c>
      <c r="J802">
        <v>60</v>
      </c>
      <c r="K802" s="3">
        <v>45300.583333333336</v>
      </c>
      <c r="L802" s="4">
        <f>ROUNDDOWN(Table1[[#This Row],[Ordered]],0)</f>
        <v>45298</v>
      </c>
      <c r="M802" s="4">
        <f>Table1[[#This Row],[Date ]]</f>
        <v>45298</v>
      </c>
      <c r="N802" s="5">
        <f>Table1[[#This Row],[Ordered]]-Table1[[#This Row],[Date ]]</f>
        <v>0.66666666666424135</v>
      </c>
      <c r="O802">
        <f>Table1[[#This Row],[Company]]</f>
        <v>15</v>
      </c>
      <c r="P802">
        <f>IF(((Table1[[#This Row],[Arrived]]-Table1[[#This Row],[Delivery]])*24-Table1[[#This Row],[Promised]])&lt;0, 0, (Table1[[#This Row],[Arrived]]-Table1[[#This Row],[Delivery]])*24-Table1[[#This Row],[Promised]])</f>
        <v>0</v>
      </c>
      <c r="Q802"/>
    </row>
    <row r="803" spans="1:17" x14ac:dyDescent="0.45">
      <c r="A803" s="3">
        <v>45298.666666666664</v>
      </c>
      <c r="B803" t="s">
        <v>0</v>
      </c>
      <c r="C803">
        <v>10</v>
      </c>
      <c r="D803">
        <v>2011</v>
      </c>
      <c r="E803" t="s">
        <v>16</v>
      </c>
      <c r="F803">
        <v>50</v>
      </c>
      <c r="G803">
        <v>3900</v>
      </c>
      <c r="H803">
        <v>195000</v>
      </c>
      <c r="I803" s="3">
        <v>45298.708333333336</v>
      </c>
      <c r="J803">
        <v>84</v>
      </c>
      <c r="K803" s="3">
        <v>45301.708333333336</v>
      </c>
      <c r="L803" s="4">
        <f>ROUNDDOWN(Table1[[#This Row],[Ordered]],0)</f>
        <v>45298</v>
      </c>
      <c r="M803" s="4">
        <f>Table1[[#This Row],[Date ]]</f>
        <v>45298</v>
      </c>
      <c r="N803" s="5">
        <f>Table1[[#This Row],[Ordered]]-Table1[[#This Row],[Date ]]</f>
        <v>0.66666666666424135</v>
      </c>
      <c r="O803">
        <f>Table1[[#This Row],[Company]]</f>
        <v>10</v>
      </c>
      <c r="P803">
        <f>IF(((Table1[[#This Row],[Arrived]]-Table1[[#This Row],[Delivery]])*24-Table1[[#This Row],[Promised]])&lt;0, 0, (Table1[[#This Row],[Arrived]]-Table1[[#This Row],[Delivery]])*24-Table1[[#This Row],[Promised]])</f>
        <v>0</v>
      </c>
      <c r="Q803"/>
    </row>
    <row r="804" spans="1:17" x14ac:dyDescent="0.45">
      <c r="A804" s="3">
        <v>45298.666666666664</v>
      </c>
      <c r="B804" t="s">
        <v>0</v>
      </c>
      <c r="C804">
        <v>10</v>
      </c>
      <c r="D804">
        <v>2011</v>
      </c>
      <c r="E804" t="s">
        <v>15</v>
      </c>
      <c r="F804">
        <v>18</v>
      </c>
      <c r="G804">
        <v>6800</v>
      </c>
      <c r="H804">
        <v>142800</v>
      </c>
      <c r="I804" s="3">
        <v>45299.333333333336</v>
      </c>
      <c r="J804">
        <v>132</v>
      </c>
      <c r="K804" s="3">
        <v>45303.875</v>
      </c>
      <c r="L804" s="4">
        <f>ROUNDDOWN(Table1[[#This Row],[Ordered]],0)</f>
        <v>45298</v>
      </c>
      <c r="M804" s="4">
        <f>Table1[[#This Row],[Date ]]</f>
        <v>45298</v>
      </c>
      <c r="N804" s="5">
        <f>Table1[[#This Row],[Ordered]]-Table1[[#This Row],[Date ]]</f>
        <v>0.66666666666424135</v>
      </c>
      <c r="O804">
        <f>Table1[[#This Row],[Company]]</f>
        <v>10</v>
      </c>
      <c r="P804">
        <f>IF(((Table1[[#This Row],[Arrived]]-Table1[[#This Row],[Delivery]])*24-Table1[[#This Row],[Promised]])&lt;0, 0, (Table1[[#This Row],[Arrived]]-Table1[[#This Row],[Delivery]])*24-Table1[[#This Row],[Promised]])</f>
        <v>0</v>
      </c>
      <c r="Q804"/>
    </row>
    <row r="805" spans="1:17" x14ac:dyDescent="0.45">
      <c r="A805" s="3">
        <v>45298.666666666664</v>
      </c>
      <c r="B805" t="s">
        <v>0</v>
      </c>
      <c r="C805">
        <v>9</v>
      </c>
      <c r="D805">
        <v>2011</v>
      </c>
      <c r="E805" t="s">
        <v>16</v>
      </c>
      <c r="F805">
        <v>50</v>
      </c>
      <c r="G805">
        <v>3900</v>
      </c>
      <c r="H805">
        <v>195000</v>
      </c>
      <c r="I805" s="3">
        <v>45300.083333333336</v>
      </c>
      <c r="J805">
        <v>72</v>
      </c>
      <c r="K805" s="3">
        <v>45301.583333333336</v>
      </c>
      <c r="L805" s="4">
        <f>ROUNDDOWN(Table1[[#This Row],[Ordered]],0)</f>
        <v>45298</v>
      </c>
      <c r="M805" s="4">
        <f>Table1[[#This Row],[Date ]]</f>
        <v>45298</v>
      </c>
      <c r="N805" s="5">
        <f>Table1[[#This Row],[Ordered]]-Table1[[#This Row],[Date ]]</f>
        <v>0.66666666666424135</v>
      </c>
      <c r="O805">
        <f>Table1[[#This Row],[Company]]</f>
        <v>9</v>
      </c>
      <c r="P805">
        <f>IF(((Table1[[#This Row],[Arrived]]-Table1[[#This Row],[Delivery]])*24-Table1[[#This Row],[Promised]])&lt;0, 0, (Table1[[#This Row],[Arrived]]-Table1[[#This Row],[Delivery]])*24-Table1[[#This Row],[Promised]])</f>
        <v>0</v>
      </c>
      <c r="Q805"/>
    </row>
    <row r="806" spans="1:17" x14ac:dyDescent="0.45">
      <c r="A806" s="3">
        <v>45298.666666666664</v>
      </c>
      <c r="B806" t="s">
        <v>0</v>
      </c>
      <c r="C806">
        <v>8</v>
      </c>
      <c r="D806">
        <v>2011</v>
      </c>
      <c r="E806" t="s">
        <v>16</v>
      </c>
      <c r="F806">
        <v>30</v>
      </c>
      <c r="G806">
        <v>3380</v>
      </c>
      <c r="H806">
        <v>101400</v>
      </c>
      <c r="I806" s="3">
        <v>45299.541666666664</v>
      </c>
      <c r="J806">
        <v>132</v>
      </c>
      <c r="K806" s="3">
        <v>45304.041666666664</v>
      </c>
      <c r="L806" s="4">
        <f>ROUNDDOWN(Table1[[#This Row],[Ordered]],0)</f>
        <v>45298</v>
      </c>
      <c r="M806" s="4">
        <f>Table1[[#This Row],[Date ]]</f>
        <v>45298</v>
      </c>
      <c r="N806" s="5">
        <f>Table1[[#This Row],[Ordered]]-Table1[[#This Row],[Date ]]</f>
        <v>0.66666666666424135</v>
      </c>
      <c r="O806">
        <f>Table1[[#This Row],[Company]]</f>
        <v>8</v>
      </c>
      <c r="P806">
        <f>IF(((Table1[[#This Row],[Arrived]]-Table1[[#This Row],[Delivery]])*24-Table1[[#This Row],[Promised]])&lt;0, 0, (Table1[[#This Row],[Arrived]]-Table1[[#This Row],[Delivery]])*24-Table1[[#This Row],[Promised]])</f>
        <v>0</v>
      </c>
      <c r="Q806"/>
    </row>
    <row r="807" spans="1:17" x14ac:dyDescent="0.45">
      <c r="A807" s="3">
        <v>45298.666666666664</v>
      </c>
      <c r="B807" t="s">
        <v>0</v>
      </c>
      <c r="C807">
        <v>13</v>
      </c>
      <c r="D807">
        <v>2011</v>
      </c>
      <c r="E807" t="s">
        <v>15</v>
      </c>
      <c r="F807">
        <v>30</v>
      </c>
      <c r="G807">
        <v>6400</v>
      </c>
      <c r="H807">
        <v>192000</v>
      </c>
      <c r="I807" s="3">
        <v>45299.458333333336</v>
      </c>
      <c r="J807">
        <v>132</v>
      </c>
      <c r="K807" s="3">
        <v>45303.958333333336</v>
      </c>
      <c r="L807" s="4">
        <f>ROUNDDOWN(Table1[[#This Row],[Ordered]],0)</f>
        <v>45298</v>
      </c>
      <c r="M807" s="4">
        <f>Table1[[#This Row],[Date ]]</f>
        <v>45298</v>
      </c>
      <c r="N807" s="5">
        <f>Table1[[#This Row],[Ordered]]-Table1[[#This Row],[Date ]]</f>
        <v>0.66666666666424135</v>
      </c>
      <c r="O807">
        <f>Table1[[#This Row],[Company]]</f>
        <v>13</v>
      </c>
      <c r="P807">
        <f>IF(((Table1[[#This Row],[Arrived]]-Table1[[#This Row],[Delivery]])*24-Table1[[#This Row],[Promised]])&lt;0, 0, (Table1[[#This Row],[Arrived]]-Table1[[#This Row],[Delivery]])*24-Table1[[#This Row],[Promised]])</f>
        <v>0</v>
      </c>
      <c r="Q807"/>
    </row>
    <row r="808" spans="1:17" x14ac:dyDescent="0.45">
      <c r="A808" s="3">
        <v>45298.791666666664</v>
      </c>
      <c r="B808" t="s">
        <v>14</v>
      </c>
      <c r="C808">
        <v>11</v>
      </c>
      <c r="D808">
        <v>1006</v>
      </c>
      <c r="E808" t="s">
        <v>15</v>
      </c>
      <c r="F808">
        <v>11</v>
      </c>
      <c r="G808">
        <v>6600</v>
      </c>
      <c r="H808">
        <v>72600</v>
      </c>
      <c r="I808" s="3">
        <v>45299.041666666664</v>
      </c>
      <c r="J808">
        <v>96</v>
      </c>
      <c r="K808" s="3">
        <v>45302.041666666664</v>
      </c>
      <c r="L808" s="4">
        <f>ROUNDDOWN(Table1[[#This Row],[Ordered]],0)</f>
        <v>45298</v>
      </c>
      <c r="M808" s="4">
        <f>Table1[[#This Row],[Date ]]</f>
        <v>45298</v>
      </c>
      <c r="N808" s="5">
        <f>Table1[[#This Row],[Ordered]]-Table1[[#This Row],[Date ]]</f>
        <v>0.79166666666424135</v>
      </c>
      <c r="O808">
        <f>Table1[[#This Row],[Company]]</f>
        <v>11</v>
      </c>
      <c r="P808">
        <f>IF(((Table1[[#This Row],[Arrived]]-Table1[[#This Row],[Delivery]])*24-Table1[[#This Row],[Promised]])&lt;0, 0, (Table1[[#This Row],[Arrived]]-Table1[[#This Row],[Delivery]])*24-Table1[[#This Row],[Promised]])</f>
        <v>0</v>
      </c>
      <c r="Q808"/>
    </row>
    <row r="809" spans="1:17" x14ac:dyDescent="0.45">
      <c r="A809" s="3">
        <v>45298.791666666664</v>
      </c>
      <c r="B809" t="s">
        <v>14</v>
      </c>
      <c r="C809">
        <v>13</v>
      </c>
      <c r="D809">
        <v>1006</v>
      </c>
      <c r="E809" t="s">
        <v>15</v>
      </c>
      <c r="F809">
        <v>16</v>
      </c>
      <c r="G809">
        <v>6400</v>
      </c>
      <c r="H809">
        <v>102400</v>
      </c>
      <c r="I809" s="3">
        <v>45299.5</v>
      </c>
      <c r="J809">
        <v>96</v>
      </c>
      <c r="K809" s="3">
        <v>45302.666666666664</v>
      </c>
      <c r="L809" s="4">
        <f>ROUNDDOWN(Table1[[#This Row],[Ordered]],0)</f>
        <v>45298</v>
      </c>
      <c r="M809" s="4">
        <f>Table1[[#This Row],[Date ]]</f>
        <v>45298</v>
      </c>
      <c r="N809" s="5">
        <f>Table1[[#This Row],[Ordered]]-Table1[[#This Row],[Date ]]</f>
        <v>0.79166666666424135</v>
      </c>
      <c r="O809">
        <f>Table1[[#This Row],[Company]]</f>
        <v>13</v>
      </c>
      <c r="P809">
        <f>IF(((Table1[[#This Row],[Arrived]]-Table1[[#This Row],[Delivery]])*24-Table1[[#This Row],[Promised]])&lt;0, 0, (Table1[[#This Row],[Arrived]]-Table1[[#This Row],[Delivery]])*24-Table1[[#This Row],[Promised]])</f>
        <v>0</v>
      </c>
      <c r="Q809"/>
    </row>
    <row r="810" spans="1:17" x14ac:dyDescent="0.45">
      <c r="A810" s="3">
        <v>45298.791666666664</v>
      </c>
      <c r="B810" t="s">
        <v>14</v>
      </c>
      <c r="C810">
        <v>16</v>
      </c>
      <c r="D810">
        <v>1006</v>
      </c>
      <c r="E810" t="s">
        <v>15</v>
      </c>
      <c r="F810">
        <v>14</v>
      </c>
      <c r="G810">
        <v>6650</v>
      </c>
      <c r="H810">
        <v>93100</v>
      </c>
      <c r="I810" s="3">
        <v>45298.833333333336</v>
      </c>
      <c r="J810">
        <v>96</v>
      </c>
      <c r="K810" s="3">
        <v>45301.833333333336</v>
      </c>
      <c r="L810" s="4">
        <f>ROUNDDOWN(Table1[[#This Row],[Ordered]],0)</f>
        <v>45298</v>
      </c>
      <c r="M810" s="4">
        <f>Table1[[#This Row],[Date ]]</f>
        <v>45298</v>
      </c>
      <c r="N810" s="5">
        <f>Table1[[#This Row],[Ordered]]-Table1[[#This Row],[Date ]]</f>
        <v>0.79166666666424135</v>
      </c>
      <c r="O810">
        <f>Table1[[#This Row],[Company]]</f>
        <v>16</v>
      </c>
      <c r="P810">
        <f>IF(((Table1[[#This Row],[Arrived]]-Table1[[#This Row],[Delivery]])*24-Table1[[#This Row],[Promised]])&lt;0, 0, (Table1[[#This Row],[Arrived]]-Table1[[#This Row],[Delivery]])*24-Table1[[#This Row],[Promised]])</f>
        <v>0</v>
      </c>
      <c r="Q810"/>
    </row>
    <row r="811" spans="1:17" x14ac:dyDescent="0.45">
      <c r="A811" s="3">
        <v>45298.791666666664</v>
      </c>
      <c r="B811" t="s">
        <v>14</v>
      </c>
      <c r="C811">
        <v>8</v>
      </c>
      <c r="D811">
        <v>1006</v>
      </c>
      <c r="E811" t="s">
        <v>15</v>
      </c>
      <c r="F811">
        <v>19</v>
      </c>
      <c r="G811">
        <v>5350</v>
      </c>
      <c r="H811">
        <v>101650</v>
      </c>
      <c r="I811" s="3">
        <v>45299.583333333336</v>
      </c>
      <c r="J811">
        <v>96</v>
      </c>
      <c r="K811" s="3">
        <v>45302.583333333336</v>
      </c>
      <c r="L811" s="4">
        <f>ROUNDDOWN(Table1[[#This Row],[Ordered]],0)</f>
        <v>45298</v>
      </c>
      <c r="M811" s="4">
        <f>Table1[[#This Row],[Date ]]</f>
        <v>45298</v>
      </c>
      <c r="N811" s="5">
        <f>Table1[[#This Row],[Ordered]]-Table1[[#This Row],[Date ]]</f>
        <v>0.79166666666424135</v>
      </c>
      <c r="O811">
        <f>Table1[[#This Row],[Company]]</f>
        <v>8</v>
      </c>
      <c r="P811">
        <f>IF(((Table1[[#This Row],[Arrived]]-Table1[[#This Row],[Delivery]])*24-Table1[[#This Row],[Promised]])&lt;0, 0, (Table1[[#This Row],[Arrived]]-Table1[[#This Row],[Delivery]])*24-Table1[[#This Row],[Promised]])</f>
        <v>0</v>
      </c>
      <c r="Q811"/>
    </row>
    <row r="812" spans="1:17" x14ac:dyDescent="0.45">
      <c r="A812" s="3">
        <v>45298.791666666664</v>
      </c>
      <c r="B812" t="s">
        <v>14</v>
      </c>
      <c r="C812">
        <v>7</v>
      </c>
      <c r="D812">
        <v>1006</v>
      </c>
      <c r="E812" t="s">
        <v>15</v>
      </c>
      <c r="F812">
        <v>9</v>
      </c>
      <c r="G812">
        <v>6650</v>
      </c>
      <c r="H812">
        <v>59850</v>
      </c>
      <c r="I812" s="3">
        <v>45299</v>
      </c>
      <c r="J812">
        <v>96</v>
      </c>
      <c r="K812" s="3">
        <v>45302</v>
      </c>
      <c r="L812" s="4">
        <f>ROUNDDOWN(Table1[[#This Row],[Ordered]],0)</f>
        <v>45298</v>
      </c>
      <c r="M812" s="4">
        <f>Table1[[#This Row],[Date ]]</f>
        <v>45298</v>
      </c>
      <c r="N812" s="5">
        <f>Table1[[#This Row],[Ordered]]-Table1[[#This Row],[Date ]]</f>
        <v>0.79166666666424135</v>
      </c>
      <c r="O812">
        <f>Table1[[#This Row],[Company]]</f>
        <v>7</v>
      </c>
      <c r="P812">
        <f>IF(((Table1[[#This Row],[Arrived]]-Table1[[#This Row],[Delivery]])*24-Table1[[#This Row],[Promised]])&lt;0, 0, (Table1[[#This Row],[Arrived]]-Table1[[#This Row],[Delivery]])*24-Table1[[#This Row],[Promised]])</f>
        <v>0</v>
      </c>
      <c r="Q812"/>
    </row>
    <row r="813" spans="1:17" x14ac:dyDescent="0.45">
      <c r="A813" s="3">
        <v>45298.791666666664</v>
      </c>
      <c r="B813" t="s">
        <v>14</v>
      </c>
      <c r="C813">
        <v>12</v>
      </c>
      <c r="D813">
        <v>1006</v>
      </c>
      <c r="E813" t="s">
        <v>15</v>
      </c>
      <c r="F813">
        <v>12</v>
      </c>
      <c r="G813">
        <v>6900</v>
      </c>
      <c r="H813">
        <v>82800</v>
      </c>
      <c r="I813" s="3">
        <v>45298.833333333336</v>
      </c>
      <c r="J813">
        <v>84</v>
      </c>
      <c r="K813" s="3">
        <v>45301.833333333336</v>
      </c>
      <c r="L813" s="4">
        <f>ROUNDDOWN(Table1[[#This Row],[Ordered]],0)</f>
        <v>45298</v>
      </c>
      <c r="M813" s="4">
        <f>Table1[[#This Row],[Date ]]</f>
        <v>45298</v>
      </c>
      <c r="N813" s="5">
        <f>Table1[[#This Row],[Ordered]]-Table1[[#This Row],[Date ]]</f>
        <v>0.79166666666424135</v>
      </c>
      <c r="O813">
        <f>Table1[[#This Row],[Company]]</f>
        <v>12</v>
      </c>
      <c r="P813">
        <f>IF(((Table1[[#This Row],[Arrived]]-Table1[[#This Row],[Delivery]])*24-Table1[[#This Row],[Promised]])&lt;0, 0, (Table1[[#This Row],[Arrived]]-Table1[[#This Row],[Delivery]])*24-Table1[[#This Row],[Promised]])</f>
        <v>0</v>
      </c>
      <c r="Q813"/>
    </row>
    <row r="814" spans="1:17" x14ac:dyDescent="0.45">
      <c r="A814" s="3">
        <v>45298.791666666664</v>
      </c>
      <c r="B814" t="s">
        <v>14</v>
      </c>
      <c r="C814">
        <v>9</v>
      </c>
      <c r="D814">
        <v>1006</v>
      </c>
      <c r="E814" t="s">
        <v>15</v>
      </c>
      <c r="F814">
        <v>8</v>
      </c>
      <c r="G814">
        <v>6650</v>
      </c>
      <c r="H814">
        <v>53200</v>
      </c>
      <c r="I814" s="3">
        <v>45299.625</v>
      </c>
      <c r="J814">
        <v>96</v>
      </c>
      <c r="K814" s="3">
        <v>45302.625</v>
      </c>
      <c r="L814" s="4">
        <f>ROUNDDOWN(Table1[[#This Row],[Ordered]],0)</f>
        <v>45298</v>
      </c>
      <c r="M814" s="4">
        <f>Table1[[#This Row],[Date ]]</f>
        <v>45298</v>
      </c>
      <c r="N814" s="5">
        <f>Table1[[#This Row],[Ordered]]-Table1[[#This Row],[Date ]]</f>
        <v>0.79166666666424135</v>
      </c>
      <c r="O814">
        <f>Table1[[#This Row],[Company]]</f>
        <v>9</v>
      </c>
      <c r="P814">
        <f>IF(((Table1[[#This Row],[Arrived]]-Table1[[#This Row],[Delivery]])*24-Table1[[#This Row],[Promised]])&lt;0, 0, (Table1[[#This Row],[Arrived]]-Table1[[#This Row],[Delivery]])*24-Table1[[#This Row],[Promised]])</f>
        <v>0</v>
      </c>
      <c r="Q814"/>
    </row>
    <row r="815" spans="1:17" x14ac:dyDescent="0.45">
      <c r="A815" s="3">
        <v>45298.791666666664</v>
      </c>
      <c r="B815" t="s">
        <v>14</v>
      </c>
      <c r="C815">
        <v>15</v>
      </c>
      <c r="D815">
        <v>1006</v>
      </c>
      <c r="E815" t="s">
        <v>15</v>
      </c>
      <c r="F815">
        <v>6</v>
      </c>
      <c r="G815">
        <v>6650</v>
      </c>
      <c r="H815">
        <v>39900</v>
      </c>
      <c r="I815" s="3">
        <v>45299.25</v>
      </c>
      <c r="J815">
        <v>96</v>
      </c>
      <c r="K815" s="3">
        <v>45302.25</v>
      </c>
      <c r="L815" s="4">
        <f>ROUNDDOWN(Table1[[#This Row],[Ordered]],0)</f>
        <v>45298</v>
      </c>
      <c r="M815" s="4">
        <f>Table1[[#This Row],[Date ]]</f>
        <v>45298</v>
      </c>
      <c r="N815" s="5">
        <f>Table1[[#This Row],[Ordered]]-Table1[[#This Row],[Date ]]</f>
        <v>0.79166666666424135</v>
      </c>
      <c r="O815">
        <f>Table1[[#This Row],[Company]]</f>
        <v>15</v>
      </c>
      <c r="P815">
        <f>IF(((Table1[[#This Row],[Arrived]]-Table1[[#This Row],[Delivery]])*24-Table1[[#This Row],[Promised]])&lt;0, 0, (Table1[[#This Row],[Arrived]]-Table1[[#This Row],[Delivery]])*24-Table1[[#This Row],[Promised]])</f>
        <v>0</v>
      </c>
      <c r="Q815"/>
    </row>
    <row r="816" spans="1:17" x14ac:dyDescent="0.45">
      <c r="A816" s="3">
        <v>45298.791666666664</v>
      </c>
      <c r="B816" t="s">
        <v>14</v>
      </c>
      <c r="C816">
        <v>14</v>
      </c>
      <c r="D816">
        <v>1006</v>
      </c>
      <c r="E816" t="s">
        <v>15</v>
      </c>
      <c r="F816">
        <v>7</v>
      </c>
      <c r="G816">
        <v>6650</v>
      </c>
      <c r="H816">
        <v>46550</v>
      </c>
      <c r="I816" s="3">
        <v>45299.25</v>
      </c>
      <c r="J816">
        <v>96</v>
      </c>
      <c r="K816" s="3">
        <v>45302.25</v>
      </c>
      <c r="L816" s="4">
        <f>ROUNDDOWN(Table1[[#This Row],[Ordered]],0)</f>
        <v>45298</v>
      </c>
      <c r="M816" s="4">
        <f>Table1[[#This Row],[Date ]]</f>
        <v>45298</v>
      </c>
      <c r="N816" s="5">
        <f>Table1[[#This Row],[Ordered]]-Table1[[#This Row],[Date ]]</f>
        <v>0.79166666666424135</v>
      </c>
      <c r="O816">
        <f>Table1[[#This Row],[Company]]</f>
        <v>14</v>
      </c>
      <c r="P816">
        <f>IF(((Table1[[#This Row],[Arrived]]-Table1[[#This Row],[Delivery]])*24-Table1[[#This Row],[Promised]])&lt;0, 0, (Table1[[#This Row],[Arrived]]-Table1[[#This Row],[Delivery]])*24-Table1[[#This Row],[Promised]])</f>
        <v>0</v>
      </c>
      <c r="Q816"/>
    </row>
    <row r="817" spans="1:17" x14ac:dyDescent="0.45">
      <c r="A817" s="3">
        <v>45298.833333333336</v>
      </c>
      <c r="B817" t="s">
        <v>14</v>
      </c>
      <c r="C817">
        <v>16</v>
      </c>
      <c r="D817">
        <v>1011</v>
      </c>
      <c r="E817" t="s">
        <v>15</v>
      </c>
      <c r="F817">
        <v>7</v>
      </c>
      <c r="G817">
        <v>6650</v>
      </c>
      <c r="H817">
        <v>46550</v>
      </c>
      <c r="I817" s="3">
        <v>45298.916666666664</v>
      </c>
      <c r="J817">
        <v>96</v>
      </c>
      <c r="K817" s="3">
        <v>45301.916666666664</v>
      </c>
      <c r="L817" s="4">
        <f>ROUNDDOWN(Table1[[#This Row],[Ordered]],0)</f>
        <v>45298</v>
      </c>
      <c r="M817" s="4">
        <f>Table1[[#This Row],[Date ]]</f>
        <v>45298</v>
      </c>
      <c r="N817" s="5">
        <f>Table1[[#This Row],[Ordered]]-Table1[[#This Row],[Date ]]</f>
        <v>0.83333333333575865</v>
      </c>
      <c r="O817">
        <f>Table1[[#This Row],[Company]]</f>
        <v>16</v>
      </c>
      <c r="P817">
        <f>IF(((Table1[[#This Row],[Arrived]]-Table1[[#This Row],[Delivery]])*24-Table1[[#This Row],[Promised]])&lt;0, 0, (Table1[[#This Row],[Arrived]]-Table1[[#This Row],[Delivery]])*24-Table1[[#This Row],[Promised]])</f>
        <v>0</v>
      </c>
      <c r="Q817"/>
    </row>
    <row r="818" spans="1:17" x14ac:dyDescent="0.45">
      <c r="A818" s="3">
        <v>45298.833333333336</v>
      </c>
      <c r="B818" t="s">
        <v>14</v>
      </c>
      <c r="C818">
        <v>12</v>
      </c>
      <c r="D818">
        <v>1011</v>
      </c>
      <c r="E818" t="s">
        <v>15</v>
      </c>
      <c r="F818">
        <v>5</v>
      </c>
      <c r="G818">
        <v>6700</v>
      </c>
      <c r="H818">
        <v>33500</v>
      </c>
      <c r="I818" s="3">
        <v>45298.916666666664</v>
      </c>
      <c r="J818">
        <v>96</v>
      </c>
      <c r="K818" s="3">
        <v>45301.916666666664</v>
      </c>
      <c r="L818" s="4">
        <f>ROUNDDOWN(Table1[[#This Row],[Ordered]],0)</f>
        <v>45298</v>
      </c>
      <c r="M818" s="4">
        <f>Table1[[#This Row],[Date ]]</f>
        <v>45298</v>
      </c>
      <c r="N818" s="5">
        <f>Table1[[#This Row],[Ordered]]-Table1[[#This Row],[Date ]]</f>
        <v>0.83333333333575865</v>
      </c>
      <c r="O818">
        <f>Table1[[#This Row],[Company]]</f>
        <v>12</v>
      </c>
      <c r="P818">
        <f>IF(((Table1[[#This Row],[Arrived]]-Table1[[#This Row],[Delivery]])*24-Table1[[#This Row],[Promised]])&lt;0, 0, (Table1[[#This Row],[Arrived]]-Table1[[#This Row],[Delivery]])*24-Table1[[#This Row],[Promised]])</f>
        <v>0</v>
      </c>
      <c r="Q818"/>
    </row>
    <row r="819" spans="1:17" x14ac:dyDescent="0.45">
      <c r="A819" s="3">
        <v>45298.833333333336</v>
      </c>
      <c r="B819" t="s">
        <v>14</v>
      </c>
      <c r="C819">
        <v>7</v>
      </c>
      <c r="D819">
        <v>1011</v>
      </c>
      <c r="E819" t="s">
        <v>15</v>
      </c>
      <c r="F819">
        <v>6</v>
      </c>
      <c r="G819">
        <v>6650</v>
      </c>
      <c r="H819">
        <v>39900</v>
      </c>
      <c r="I819" s="3">
        <v>45299.083333333336</v>
      </c>
      <c r="J819">
        <v>96</v>
      </c>
      <c r="K819" s="3">
        <v>45302.083333333336</v>
      </c>
      <c r="L819" s="4">
        <f>ROUNDDOWN(Table1[[#This Row],[Ordered]],0)</f>
        <v>45298</v>
      </c>
      <c r="M819" s="4">
        <f>Table1[[#This Row],[Date ]]</f>
        <v>45298</v>
      </c>
      <c r="N819" s="5">
        <f>Table1[[#This Row],[Ordered]]-Table1[[#This Row],[Date ]]</f>
        <v>0.83333333333575865</v>
      </c>
      <c r="O819">
        <f>Table1[[#This Row],[Company]]</f>
        <v>7</v>
      </c>
      <c r="P819">
        <f>IF(((Table1[[#This Row],[Arrived]]-Table1[[#This Row],[Delivery]])*24-Table1[[#This Row],[Promised]])&lt;0, 0, (Table1[[#This Row],[Arrived]]-Table1[[#This Row],[Delivery]])*24-Table1[[#This Row],[Promised]])</f>
        <v>0</v>
      </c>
      <c r="Q819"/>
    </row>
    <row r="820" spans="1:17" x14ac:dyDescent="0.45">
      <c r="A820" s="3">
        <v>45298.833333333336</v>
      </c>
      <c r="B820" t="s">
        <v>14</v>
      </c>
      <c r="C820">
        <v>9</v>
      </c>
      <c r="D820">
        <v>1011</v>
      </c>
      <c r="E820" t="s">
        <v>15</v>
      </c>
      <c r="F820">
        <v>4</v>
      </c>
      <c r="G820">
        <v>6650</v>
      </c>
      <c r="H820">
        <v>26600</v>
      </c>
      <c r="I820" s="3">
        <v>45299.666666666664</v>
      </c>
      <c r="J820">
        <v>96</v>
      </c>
      <c r="K820" s="3">
        <v>45302.666666666664</v>
      </c>
      <c r="L820" s="4">
        <f>ROUNDDOWN(Table1[[#This Row],[Ordered]],0)</f>
        <v>45298</v>
      </c>
      <c r="M820" s="4">
        <f>Table1[[#This Row],[Date ]]</f>
        <v>45298</v>
      </c>
      <c r="N820" s="5">
        <f>Table1[[#This Row],[Ordered]]-Table1[[#This Row],[Date ]]</f>
        <v>0.83333333333575865</v>
      </c>
      <c r="O820">
        <f>Table1[[#This Row],[Company]]</f>
        <v>9</v>
      </c>
      <c r="P820">
        <f>IF(((Table1[[#This Row],[Arrived]]-Table1[[#This Row],[Delivery]])*24-Table1[[#This Row],[Promised]])&lt;0, 0, (Table1[[#This Row],[Arrived]]-Table1[[#This Row],[Delivery]])*24-Table1[[#This Row],[Promised]])</f>
        <v>0</v>
      </c>
      <c r="Q820"/>
    </row>
    <row r="821" spans="1:17" x14ac:dyDescent="0.45">
      <c r="A821" s="3">
        <v>45298.833333333336</v>
      </c>
      <c r="B821" t="s">
        <v>14</v>
      </c>
      <c r="C821">
        <v>14</v>
      </c>
      <c r="D821">
        <v>1011</v>
      </c>
      <c r="E821" t="s">
        <v>15</v>
      </c>
      <c r="F821">
        <v>3</v>
      </c>
      <c r="G821">
        <v>6650</v>
      </c>
      <c r="H821">
        <v>19950</v>
      </c>
      <c r="I821" s="3">
        <v>45299.291666666664</v>
      </c>
      <c r="J821">
        <v>96</v>
      </c>
      <c r="K821" s="3">
        <v>45302.291666666664</v>
      </c>
      <c r="L821" s="4">
        <f>ROUNDDOWN(Table1[[#This Row],[Ordered]],0)</f>
        <v>45298</v>
      </c>
      <c r="M821" s="4">
        <f>Table1[[#This Row],[Date ]]</f>
        <v>45298</v>
      </c>
      <c r="N821" s="5">
        <f>Table1[[#This Row],[Ordered]]-Table1[[#This Row],[Date ]]</f>
        <v>0.83333333333575865</v>
      </c>
      <c r="O821">
        <f>Table1[[#This Row],[Company]]</f>
        <v>14</v>
      </c>
      <c r="P821">
        <f>IF(((Table1[[#This Row],[Arrived]]-Table1[[#This Row],[Delivery]])*24-Table1[[#This Row],[Promised]])&lt;0, 0, (Table1[[#This Row],[Arrived]]-Table1[[#This Row],[Delivery]])*24-Table1[[#This Row],[Promised]])</f>
        <v>0</v>
      </c>
      <c r="Q821"/>
    </row>
    <row r="822" spans="1:17" x14ac:dyDescent="0.45">
      <c r="A822" s="3">
        <v>45298.833333333336</v>
      </c>
      <c r="B822" t="s">
        <v>14</v>
      </c>
      <c r="C822">
        <v>8</v>
      </c>
      <c r="D822">
        <v>1011</v>
      </c>
      <c r="E822" t="s">
        <v>15</v>
      </c>
      <c r="F822">
        <v>9</v>
      </c>
      <c r="G822">
        <v>5350</v>
      </c>
      <c r="H822">
        <v>48150</v>
      </c>
      <c r="I822" s="3">
        <v>45299.75</v>
      </c>
      <c r="J822">
        <v>96</v>
      </c>
      <c r="K822" s="3">
        <v>45302.75</v>
      </c>
      <c r="L822" s="4">
        <f>ROUNDDOWN(Table1[[#This Row],[Ordered]],0)</f>
        <v>45298</v>
      </c>
      <c r="M822" s="4">
        <f>Table1[[#This Row],[Date ]]</f>
        <v>45298</v>
      </c>
      <c r="N822" s="5">
        <f>Table1[[#This Row],[Ordered]]-Table1[[#This Row],[Date ]]</f>
        <v>0.83333333333575865</v>
      </c>
      <c r="O822">
        <f>Table1[[#This Row],[Company]]</f>
        <v>8</v>
      </c>
      <c r="P822">
        <f>IF(((Table1[[#This Row],[Arrived]]-Table1[[#This Row],[Delivery]])*24-Table1[[#This Row],[Promised]])&lt;0, 0, (Table1[[#This Row],[Arrived]]-Table1[[#This Row],[Delivery]])*24-Table1[[#This Row],[Promised]])</f>
        <v>0</v>
      </c>
      <c r="Q822"/>
    </row>
    <row r="823" spans="1:17" x14ac:dyDescent="0.45">
      <c r="A823" s="3">
        <v>45298.833333333336</v>
      </c>
      <c r="B823" t="s">
        <v>14</v>
      </c>
      <c r="C823">
        <v>13</v>
      </c>
      <c r="D823">
        <v>1011</v>
      </c>
      <c r="E823" t="s">
        <v>15</v>
      </c>
      <c r="F823">
        <v>8</v>
      </c>
      <c r="G823">
        <v>6400</v>
      </c>
      <c r="H823">
        <v>51200</v>
      </c>
      <c r="I823" s="3">
        <v>45299.458333333336</v>
      </c>
      <c r="J823">
        <v>96</v>
      </c>
      <c r="K823" s="3">
        <v>45302.458333333336</v>
      </c>
      <c r="L823" s="4">
        <f>ROUNDDOWN(Table1[[#This Row],[Ordered]],0)</f>
        <v>45298</v>
      </c>
      <c r="M823" s="4">
        <f>Table1[[#This Row],[Date ]]</f>
        <v>45298</v>
      </c>
      <c r="N823" s="5">
        <f>Table1[[#This Row],[Ordered]]-Table1[[#This Row],[Date ]]</f>
        <v>0.83333333333575865</v>
      </c>
      <c r="O823">
        <f>Table1[[#This Row],[Company]]</f>
        <v>13</v>
      </c>
      <c r="P823">
        <f>IF(((Table1[[#This Row],[Arrived]]-Table1[[#This Row],[Delivery]])*24-Table1[[#This Row],[Promised]])&lt;0, 0, (Table1[[#This Row],[Arrived]]-Table1[[#This Row],[Delivery]])*24-Table1[[#This Row],[Promised]])</f>
        <v>0</v>
      </c>
      <c r="Q823"/>
    </row>
    <row r="824" spans="1:17" hidden="1" x14ac:dyDescent="0.45">
      <c r="A824" s="3">
        <v>45298.916666666664</v>
      </c>
      <c r="B824" t="s">
        <v>12</v>
      </c>
      <c r="C824">
        <v>7</v>
      </c>
      <c r="D824">
        <v>6</v>
      </c>
      <c r="E824" t="s">
        <v>20</v>
      </c>
      <c r="F824">
        <v>197</v>
      </c>
      <c r="G824">
        <v>6</v>
      </c>
      <c r="H824">
        <v>1182</v>
      </c>
      <c r="I824" s="3">
        <v>45298.916666666664</v>
      </c>
      <c r="J824">
        <v>72</v>
      </c>
      <c r="K824" s="3">
        <v>45301.916666666664</v>
      </c>
      <c r="L824" s="4">
        <f>ROUNDDOWN(Table1[[#This Row],[Ordered]],0)</f>
        <v>45298</v>
      </c>
      <c r="M824" s="4">
        <f>Table1[[#This Row],[Date ]]</f>
        <v>45298</v>
      </c>
      <c r="N824" s="5">
        <f>Table1[[#This Row],[Ordered]]-Table1[[#This Row],[Date ]]</f>
        <v>0.91666666666424135</v>
      </c>
      <c r="O824">
        <f>Table1[[#This Row],[Company]]</f>
        <v>7</v>
      </c>
      <c r="P824">
        <f>IF(((Table1[[#This Row],[Arrived]]-Table1[[#This Row],[Delivery]])*24-Table1[[#This Row],[Promised]])&lt;0, 0, (Table1[[#This Row],[Arrived]]-Table1[[#This Row],[Delivery]])*24-Table1[[#This Row],[Promised]])</f>
        <v>0</v>
      </c>
      <c r="Q824"/>
    </row>
    <row r="825" spans="1:17" x14ac:dyDescent="0.45">
      <c r="A825" s="3">
        <v>45298.916666666664</v>
      </c>
      <c r="B825" t="s">
        <v>14</v>
      </c>
      <c r="C825">
        <v>16</v>
      </c>
      <c r="D825">
        <v>1001</v>
      </c>
      <c r="E825" t="s">
        <v>16</v>
      </c>
      <c r="F825">
        <v>30</v>
      </c>
      <c r="G825">
        <v>3750</v>
      </c>
      <c r="H825">
        <v>112500</v>
      </c>
      <c r="I825" s="3">
        <v>45299</v>
      </c>
      <c r="J825">
        <v>96</v>
      </c>
      <c r="K825" s="3">
        <v>45302</v>
      </c>
      <c r="L825" s="4">
        <f>ROUNDDOWN(Table1[[#This Row],[Ordered]],0)</f>
        <v>45298</v>
      </c>
      <c r="M825" s="4">
        <f>Table1[[#This Row],[Date ]]</f>
        <v>45298</v>
      </c>
      <c r="N825" s="5">
        <f>Table1[[#This Row],[Ordered]]-Table1[[#This Row],[Date ]]</f>
        <v>0.91666666666424135</v>
      </c>
      <c r="O825">
        <f>Table1[[#This Row],[Company]]</f>
        <v>16</v>
      </c>
      <c r="P825">
        <f>IF(((Table1[[#This Row],[Arrived]]-Table1[[#This Row],[Delivery]])*24-Table1[[#This Row],[Promised]])&lt;0, 0, (Table1[[#This Row],[Arrived]]-Table1[[#This Row],[Delivery]])*24-Table1[[#This Row],[Promised]])</f>
        <v>0</v>
      </c>
      <c r="Q825"/>
    </row>
    <row r="826" spans="1:17" x14ac:dyDescent="0.45">
      <c r="A826" s="3">
        <v>45298.916666666664</v>
      </c>
      <c r="B826" t="s">
        <v>14</v>
      </c>
      <c r="C826">
        <v>11</v>
      </c>
      <c r="D826">
        <v>1001</v>
      </c>
      <c r="E826" t="s">
        <v>16</v>
      </c>
      <c r="F826">
        <v>20</v>
      </c>
      <c r="G826">
        <v>3950</v>
      </c>
      <c r="H826">
        <v>79000</v>
      </c>
      <c r="I826" s="3">
        <v>45299.166666666664</v>
      </c>
      <c r="J826">
        <v>96</v>
      </c>
      <c r="K826" s="3">
        <v>45302.166666666664</v>
      </c>
      <c r="L826" s="4">
        <f>ROUNDDOWN(Table1[[#This Row],[Ordered]],0)</f>
        <v>45298</v>
      </c>
      <c r="M826" s="4">
        <f>Table1[[#This Row],[Date ]]</f>
        <v>45298</v>
      </c>
      <c r="N826" s="5">
        <f>Table1[[#This Row],[Ordered]]-Table1[[#This Row],[Date ]]</f>
        <v>0.91666666666424135</v>
      </c>
      <c r="O826">
        <f>Table1[[#This Row],[Company]]</f>
        <v>11</v>
      </c>
      <c r="P826">
        <f>IF(((Table1[[#This Row],[Arrived]]-Table1[[#This Row],[Delivery]])*24-Table1[[#This Row],[Promised]])&lt;0, 0, (Table1[[#This Row],[Arrived]]-Table1[[#This Row],[Delivery]])*24-Table1[[#This Row],[Promised]])</f>
        <v>0</v>
      </c>
      <c r="Q826"/>
    </row>
    <row r="827" spans="1:17" x14ac:dyDescent="0.45">
      <c r="A827" s="3">
        <v>45298.916666666664</v>
      </c>
      <c r="B827" t="s">
        <v>14</v>
      </c>
      <c r="C827">
        <v>10</v>
      </c>
      <c r="D827">
        <v>1001</v>
      </c>
      <c r="E827" t="s">
        <v>16</v>
      </c>
      <c r="F827">
        <v>30</v>
      </c>
      <c r="G827">
        <v>3950</v>
      </c>
      <c r="H827">
        <v>118500</v>
      </c>
      <c r="I827" s="3">
        <v>45299</v>
      </c>
      <c r="J827">
        <v>48</v>
      </c>
      <c r="K827" s="3">
        <v>45301</v>
      </c>
      <c r="L827" s="4">
        <f>ROUNDDOWN(Table1[[#This Row],[Ordered]],0)</f>
        <v>45298</v>
      </c>
      <c r="M827" s="4">
        <f>Table1[[#This Row],[Date ]]</f>
        <v>45298</v>
      </c>
      <c r="N827" s="5">
        <f>Table1[[#This Row],[Ordered]]-Table1[[#This Row],[Date ]]</f>
        <v>0.91666666666424135</v>
      </c>
      <c r="O827">
        <f>Table1[[#This Row],[Company]]</f>
        <v>10</v>
      </c>
      <c r="P827">
        <f>IF(((Table1[[#This Row],[Arrived]]-Table1[[#This Row],[Delivery]])*24-Table1[[#This Row],[Promised]])&lt;0, 0, (Table1[[#This Row],[Arrived]]-Table1[[#This Row],[Delivery]])*24-Table1[[#This Row],[Promised]])</f>
        <v>0</v>
      </c>
      <c r="Q827"/>
    </row>
    <row r="828" spans="1:17" x14ac:dyDescent="0.45">
      <c r="A828" s="3">
        <v>45298.916666666664</v>
      </c>
      <c r="B828" t="s">
        <v>14</v>
      </c>
      <c r="C828">
        <v>12</v>
      </c>
      <c r="D828">
        <v>1001</v>
      </c>
      <c r="E828" t="s">
        <v>16</v>
      </c>
      <c r="F828">
        <v>27</v>
      </c>
      <c r="G828">
        <v>3800</v>
      </c>
      <c r="H828">
        <v>102600</v>
      </c>
      <c r="I828" s="3">
        <v>45299.333333333336</v>
      </c>
      <c r="J828">
        <v>96</v>
      </c>
      <c r="K828" s="3">
        <v>45302.333333333336</v>
      </c>
      <c r="L828" s="4">
        <f>ROUNDDOWN(Table1[[#This Row],[Ordered]],0)</f>
        <v>45298</v>
      </c>
      <c r="M828" s="4">
        <f>Table1[[#This Row],[Date ]]</f>
        <v>45298</v>
      </c>
      <c r="N828" s="5">
        <f>Table1[[#This Row],[Ordered]]-Table1[[#This Row],[Date ]]</f>
        <v>0.91666666666424135</v>
      </c>
      <c r="O828">
        <f>Table1[[#This Row],[Company]]</f>
        <v>12</v>
      </c>
      <c r="P828">
        <f>IF(((Table1[[#This Row],[Arrived]]-Table1[[#This Row],[Delivery]])*24-Table1[[#This Row],[Promised]])&lt;0, 0, (Table1[[#This Row],[Arrived]]-Table1[[#This Row],[Delivery]])*24-Table1[[#This Row],[Promised]])</f>
        <v>0</v>
      </c>
      <c r="Q828"/>
    </row>
    <row r="829" spans="1:17" x14ac:dyDescent="0.45">
      <c r="A829" s="3">
        <v>45298.916666666664</v>
      </c>
      <c r="B829" t="s">
        <v>14</v>
      </c>
      <c r="C829">
        <v>14</v>
      </c>
      <c r="D829">
        <v>1001</v>
      </c>
      <c r="E829" t="s">
        <v>16</v>
      </c>
      <c r="F829">
        <v>30</v>
      </c>
      <c r="G829">
        <v>3750</v>
      </c>
      <c r="H829">
        <v>112500</v>
      </c>
      <c r="I829" s="3">
        <v>45299.375</v>
      </c>
      <c r="J829">
        <v>96</v>
      </c>
      <c r="K829" s="3">
        <v>45302.375</v>
      </c>
      <c r="L829" s="4">
        <f>ROUNDDOWN(Table1[[#This Row],[Ordered]],0)</f>
        <v>45298</v>
      </c>
      <c r="M829" s="4">
        <f>Table1[[#This Row],[Date ]]</f>
        <v>45298</v>
      </c>
      <c r="N829" s="5">
        <f>Table1[[#This Row],[Ordered]]-Table1[[#This Row],[Date ]]</f>
        <v>0.91666666666424135</v>
      </c>
      <c r="O829">
        <f>Table1[[#This Row],[Company]]</f>
        <v>14</v>
      </c>
      <c r="P829">
        <f>IF(((Table1[[#This Row],[Arrived]]-Table1[[#This Row],[Delivery]])*24-Table1[[#This Row],[Promised]])&lt;0, 0, (Table1[[#This Row],[Arrived]]-Table1[[#This Row],[Delivery]])*24-Table1[[#This Row],[Promised]])</f>
        <v>0</v>
      </c>
      <c r="Q829"/>
    </row>
    <row r="830" spans="1:17" x14ac:dyDescent="0.45">
      <c r="A830" s="3">
        <v>45298.916666666664</v>
      </c>
      <c r="B830" t="s">
        <v>14</v>
      </c>
      <c r="C830">
        <v>8</v>
      </c>
      <c r="D830">
        <v>1001</v>
      </c>
      <c r="E830" t="s">
        <v>16</v>
      </c>
      <c r="F830">
        <v>50</v>
      </c>
      <c r="G830">
        <v>3300</v>
      </c>
      <c r="H830">
        <v>165000</v>
      </c>
      <c r="I830" s="3">
        <v>45300.791666666664</v>
      </c>
      <c r="J830">
        <v>120</v>
      </c>
      <c r="K830" s="3">
        <v>45303.791666666664</v>
      </c>
      <c r="L830" s="4">
        <f>ROUNDDOWN(Table1[[#This Row],[Ordered]],0)</f>
        <v>45298</v>
      </c>
      <c r="M830" s="4">
        <f>Table1[[#This Row],[Date ]]</f>
        <v>45298</v>
      </c>
      <c r="N830" s="5">
        <f>Table1[[#This Row],[Ordered]]-Table1[[#This Row],[Date ]]</f>
        <v>0.91666666666424135</v>
      </c>
      <c r="O830">
        <f>Table1[[#This Row],[Company]]</f>
        <v>8</v>
      </c>
      <c r="P830">
        <f>IF(((Table1[[#This Row],[Arrived]]-Table1[[#This Row],[Delivery]])*24-Table1[[#This Row],[Promised]])&lt;0, 0, (Table1[[#This Row],[Arrived]]-Table1[[#This Row],[Delivery]])*24-Table1[[#This Row],[Promised]])</f>
        <v>0</v>
      </c>
      <c r="Q830"/>
    </row>
    <row r="831" spans="1:17" x14ac:dyDescent="0.45">
      <c r="A831" s="3">
        <v>45298.916666666664</v>
      </c>
      <c r="B831" t="s">
        <v>14</v>
      </c>
      <c r="C831">
        <v>15</v>
      </c>
      <c r="D831">
        <v>1001</v>
      </c>
      <c r="E831" t="s">
        <v>16</v>
      </c>
      <c r="F831">
        <v>23</v>
      </c>
      <c r="G831">
        <v>3750</v>
      </c>
      <c r="H831">
        <v>86250</v>
      </c>
      <c r="I831" s="3">
        <v>45299.25</v>
      </c>
      <c r="J831">
        <v>96</v>
      </c>
      <c r="K831" s="3">
        <v>45302.25</v>
      </c>
      <c r="L831" s="4">
        <f>ROUNDDOWN(Table1[[#This Row],[Ordered]],0)</f>
        <v>45298</v>
      </c>
      <c r="M831" s="4">
        <f>Table1[[#This Row],[Date ]]</f>
        <v>45298</v>
      </c>
      <c r="N831" s="5">
        <f>Table1[[#This Row],[Ordered]]-Table1[[#This Row],[Date ]]</f>
        <v>0.91666666666424135</v>
      </c>
      <c r="O831">
        <f>Table1[[#This Row],[Company]]</f>
        <v>15</v>
      </c>
      <c r="P831">
        <f>IF(((Table1[[#This Row],[Arrived]]-Table1[[#This Row],[Delivery]])*24-Table1[[#This Row],[Promised]])&lt;0, 0, (Table1[[#This Row],[Arrived]]-Table1[[#This Row],[Delivery]])*24-Table1[[#This Row],[Promised]])</f>
        <v>0</v>
      </c>
      <c r="Q831"/>
    </row>
    <row r="832" spans="1:17" x14ac:dyDescent="0.45">
      <c r="A832" s="3">
        <v>45298.916666666664</v>
      </c>
      <c r="B832" t="s">
        <v>14</v>
      </c>
      <c r="C832">
        <v>7</v>
      </c>
      <c r="D832">
        <v>1001</v>
      </c>
      <c r="E832" t="s">
        <v>16</v>
      </c>
      <c r="F832">
        <v>30</v>
      </c>
      <c r="G832">
        <v>3650</v>
      </c>
      <c r="H832">
        <v>109500</v>
      </c>
      <c r="I832" s="3">
        <v>45299.333333333336</v>
      </c>
      <c r="J832">
        <v>96</v>
      </c>
      <c r="K832" s="3">
        <v>45302.333333333336</v>
      </c>
      <c r="L832" s="4">
        <f>ROUNDDOWN(Table1[[#This Row],[Ordered]],0)</f>
        <v>45298</v>
      </c>
      <c r="M832" s="4">
        <f>Table1[[#This Row],[Date ]]</f>
        <v>45298</v>
      </c>
      <c r="N832" s="5">
        <f>Table1[[#This Row],[Ordered]]-Table1[[#This Row],[Date ]]</f>
        <v>0.91666666666424135</v>
      </c>
      <c r="O832">
        <f>Table1[[#This Row],[Company]]</f>
        <v>7</v>
      </c>
      <c r="P832">
        <f>IF(((Table1[[#This Row],[Arrived]]-Table1[[#This Row],[Delivery]])*24-Table1[[#This Row],[Promised]])&lt;0, 0, (Table1[[#This Row],[Arrived]]-Table1[[#This Row],[Delivery]])*24-Table1[[#This Row],[Promised]])</f>
        <v>0</v>
      </c>
      <c r="Q832"/>
    </row>
    <row r="833" spans="1:17" x14ac:dyDescent="0.45">
      <c r="A833" s="3">
        <v>45298.916666666664</v>
      </c>
      <c r="B833" t="s">
        <v>14</v>
      </c>
      <c r="C833">
        <v>9</v>
      </c>
      <c r="D833">
        <v>1001</v>
      </c>
      <c r="E833" t="s">
        <v>16</v>
      </c>
      <c r="F833">
        <v>15</v>
      </c>
      <c r="G833">
        <v>3825</v>
      </c>
      <c r="H833">
        <v>57375</v>
      </c>
      <c r="I833" s="3">
        <v>45298.916666666664</v>
      </c>
      <c r="J833">
        <v>72</v>
      </c>
      <c r="K833" s="3">
        <v>45301.916666666664</v>
      </c>
      <c r="L833" s="4">
        <f>ROUNDDOWN(Table1[[#This Row],[Ordered]],0)</f>
        <v>45298</v>
      </c>
      <c r="M833" s="4">
        <f>Table1[[#This Row],[Date ]]</f>
        <v>45298</v>
      </c>
      <c r="N833" s="5">
        <f>Table1[[#This Row],[Ordered]]-Table1[[#This Row],[Date ]]</f>
        <v>0.91666666666424135</v>
      </c>
      <c r="O833">
        <f>Table1[[#This Row],[Company]]</f>
        <v>9</v>
      </c>
      <c r="P833">
        <f>IF(((Table1[[#This Row],[Arrived]]-Table1[[#This Row],[Delivery]])*24-Table1[[#This Row],[Promised]])&lt;0, 0, (Table1[[#This Row],[Arrived]]-Table1[[#This Row],[Delivery]])*24-Table1[[#This Row],[Promised]])</f>
        <v>0</v>
      </c>
      <c r="Q833"/>
    </row>
    <row r="834" spans="1:17" x14ac:dyDescent="0.45">
      <c r="A834" s="3">
        <v>45298.916666666664</v>
      </c>
      <c r="B834" t="s">
        <v>14</v>
      </c>
      <c r="C834">
        <v>13</v>
      </c>
      <c r="D834">
        <v>1001</v>
      </c>
      <c r="E834" t="s">
        <v>16</v>
      </c>
      <c r="F834">
        <v>30</v>
      </c>
      <c r="G834">
        <v>3750</v>
      </c>
      <c r="H834">
        <v>112500</v>
      </c>
      <c r="I834" s="3">
        <v>45300.666666666664</v>
      </c>
      <c r="J834">
        <v>96</v>
      </c>
      <c r="K834" s="3">
        <v>45302.666666666664</v>
      </c>
      <c r="L834" s="4">
        <f>ROUNDDOWN(Table1[[#This Row],[Ordered]],0)</f>
        <v>45298</v>
      </c>
      <c r="M834" s="4">
        <f>Table1[[#This Row],[Date ]]</f>
        <v>45298</v>
      </c>
      <c r="N834" s="5">
        <f>Table1[[#This Row],[Ordered]]-Table1[[#This Row],[Date ]]</f>
        <v>0.91666666666424135</v>
      </c>
      <c r="O834">
        <f>Table1[[#This Row],[Company]]</f>
        <v>13</v>
      </c>
      <c r="P834">
        <f>IF(((Table1[[#This Row],[Arrived]]-Table1[[#This Row],[Delivery]])*24-Table1[[#This Row],[Promised]])&lt;0, 0, (Table1[[#This Row],[Arrived]]-Table1[[#This Row],[Delivery]])*24-Table1[[#This Row],[Promised]])</f>
        <v>0</v>
      </c>
      <c r="Q834"/>
    </row>
    <row r="835" spans="1:17" hidden="1" x14ac:dyDescent="0.45">
      <c r="A835" s="3">
        <v>45299</v>
      </c>
      <c r="B835" t="s">
        <v>12</v>
      </c>
      <c r="C835">
        <v>5</v>
      </c>
      <c r="D835">
        <v>16</v>
      </c>
      <c r="E835" t="s">
        <v>17</v>
      </c>
      <c r="F835">
        <v>240</v>
      </c>
      <c r="G835">
        <v>1020</v>
      </c>
      <c r="H835">
        <v>244800</v>
      </c>
      <c r="I835" s="3">
        <v>45299.166666666664</v>
      </c>
      <c r="J835">
        <v>24</v>
      </c>
      <c r="K835" s="3">
        <v>45300.166666666664</v>
      </c>
      <c r="L835" s="4">
        <f>ROUNDDOWN(Table1[[#This Row],[Ordered]],0)</f>
        <v>45299</v>
      </c>
      <c r="M835" s="4">
        <f>Table1[[#This Row],[Date ]]</f>
        <v>45299</v>
      </c>
      <c r="N835" s="5">
        <f>Table1[[#This Row],[Ordered]]-Table1[[#This Row],[Date ]]</f>
        <v>0</v>
      </c>
      <c r="O835">
        <f>Table1[[#This Row],[Company]]</f>
        <v>5</v>
      </c>
      <c r="P835">
        <f>IF(((Table1[[#This Row],[Arrived]]-Table1[[#This Row],[Delivery]])*24-Table1[[#This Row],[Promised]])&lt;0, 0, (Table1[[#This Row],[Arrived]]-Table1[[#This Row],[Delivery]])*24-Table1[[#This Row],[Promised]])</f>
        <v>0</v>
      </c>
      <c r="Q835"/>
    </row>
    <row r="836" spans="1:17" x14ac:dyDescent="0.45">
      <c r="A836" s="3">
        <v>45299.041666666664</v>
      </c>
      <c r="B836" t="s">
        <v>14</v>
      </c>
      <c r="C836">
        <v>9</v>
      </c>
      <c r="D836">
        <v>1001</v>
      </c>
      <c r="E836" t="s">
        <v>15</v>
      </c>
      <c r="F836">
        <v>3</v>
      </c>
      <c r="G836">
        <v>6650</v>
      </c>
      <c r="H836">
        <v>19950</v>
      </c>
      <c r="I836" s="3">
        <v>45300.041666666664</v>
      </c>
      <c r="J836">
        <v>96</v>
      </c>
      <c r="K836" s="3">
        <v>45303.041666666664</v>
      </c>
      <c r="L836" s="4">
        <f>ROUNDDOWN(Table1[[#This Row],[Ordered]],0)</f>
        <v>45299</v>
      </c>
      <c r="M836" s="4">
        <f>Table1[[#This Row],[Date ]]</f>
        <v>45299</v>
      </c>
      <c r="N836" s="5">
        <f>Table1[[#This Row],[Ordered]]-Table1[[#This Row],[Date ]]</f>
        <v>4.1666666664241347E-2</v>
      </c>
      <c r="O836">
        <f>Table1[[#This Row],[Company]]</f>
        <v>9</v>
      </c>
      <c r="P836">
        <f>IF(((Table1[[#This Row],[Arrived]]-Table1[[#This Row],[Delivery]])*24-Table1[[#This Row],[Promised]])&lt;0, 0, (Table1[[#This Row],[Arrived]]-Table1[[#This Row],[Delivery]])*24-Table1[[#This Row],[Promised]])</f>
        <v>0</v>
      </c>
      <c r="Q836"/>
    </row>
    <row r="837" spans="1:17" x14ac:dyDescent="0.45">
      <c r="A837" s="3">
        <v>45299.041666666664</v>
      </c>
      <c r="B837" t="s">
        <v>14</v>
      </c>
      <c r="C837">
        <v>12</v>
      </c>
      <c r="D837">
        <v>1001</v>
      </c>
      <c r="E837" t="s">
        <v>15</v>
      </c>
      <c r="F837">
        <v>5</v>
      </c>
      <c r="G837">
        <v>6700</v>
      </c>
      <c r="H837">
        <v>33500</v>
      </c>
      <c r="I837" s="3">
        <v>45299.125</v>
      </c>
      <c r="J837">
        <v>96</v>
      </c>
      <c r="K837" s="3">
        <v>45302.125</v>
      </c>
      <c r="L837" s="4">
        <f>ROUNDDOWN(Table1[[#This Row],[Ordered]],0)</f>
        <v>45299</v>
      </c>
      <c r="M837" s="4">
        <f>Table1[[#This Row],[Date ]]</f>
        <v>45299</v>
      </c>
      <c r="N837" s="5">
        <f>Table1[[#This Row],[Ordered]]-Table1[[#This Row],[Date ]]</f>
        <v>4.1666666664241347E-2</v>
      </c>
      <c r="O837">
        <f>Table1[[#This Row],[Company]]</f>
        <v>12</v>
      </c>
      <c r="P837">
        <f>IF(((Table1[[#This Row],[Arrived]]-Table1[[#This Row],[Delivery]])*24-Table1[[#This Row],[Promised]])&lt;0, 0, (Table1[[#This Row],[Arrived]]-Table1[[#This Row],[Delivery]])*24-Table1[[#This Row],[Promised]])</f>
        <v>0</v>
      </c>
      <c r="Q837"/>
    </row>
    <row r="838" spans="1:17" x14ac:dyDescent="0.45">
      <c r="A838" s="3">
        <v>45299.041666666664</v>
      </c>
      <c r="B838" t="s">
        <v>14</v>
      </c>
      <c r="C838">
        <v>13</v>
      </c>
      <c r="D838">
        <v>1001</v>
      </c>
      <c r="E838" t="s">
        <v>15</v>
      </c>
      <c r="F838">
        <v>5</v>
      </c>
      <c r="G838">
        <v>6400</v>
      </c>
      <c r="H838">
        <v>32000</v>
      </c>
      <c r="I838" s="3">
        <v>45299.625</v>
      </c>
      <c r="J838">
        <v>96</v>
      </c>
      <c r="K838" s="3">
        <v>45302.625</v>
      </c>
      <c r="L838" s="4">
        <f>ROUNDDOWN(Table1[[#This Row],[Ordered]],0)</f>
        <v>45299</v>
      </c>
      <c r="M838" s="4">
        <f>Table1[[#This Row],[Date ]]</f>
        <v>45299</v>
      </c>
      <c r="N838" s="5">
        <f>Table1[[#This Row],[Ordered]]-Table1[[#This Row],[Date ]]</f>
        <v>4.1666666664241347E-2</v>
      </c>
      <c r="O838">
        <f>Table1[[#This Row],[Company]]</f>
        <v>13</v>
      </c>
      <c r="P838">
        <f>IF(((Table1[[#This Row],[Arrived]]-Table1[[#This Row],[Delivery]])*24-Table1[[#This Row],[Promised]])&lt;0, 0, (Table1[[#This Row],[Arrived]]-Table1[[#This Row],[Delivery]])*24-Table1[[#This Row],[Promised]])</f>
        <v>0</v>
      </c>
      <c r="Q838"/>
    </row>
    <row r="839" spans="1:17" x14ac:dyDescent="0.45">
      <c r="A839" s="3">
        <v>45299.041666666664</v>
      </c>
      <c r="B839" t="s">
        <v>14</v>
      </c>
      <c r="C839">
        <v>8</v>
      </c>
      <c r="D839">
        <v>1001</v>
      </c>
      <c r="E839" t="s">
        <v>15</v>
      </c>
      <c r="F839">
        <v>7</v>
      </c>
      <c r="G839">
        <v>5350</v>
      </c>
      <c r="H839">
        <v>37450</v>
      </c>
      <c r="I839" s="3">
        <v>45299.833333333336</v>
      </c>
      <c r="J839">
        <v>96</v>
      </c>
      <c r="K839" s="3">
        <v>45302.833333333336</v>
      </c>
      <c r="L839" s="4">
        <f>ROUNDDOWN(Table1[[#This Row],[Ordered]],0)</f>
        <v>45299</v>
      </c>
      <c r="M839" s="4">
        <f>Table1[[#This Row],[Date ]]</f>
        <v>45299</v>
      </c>
      <c r="N839" s="5">
        <f>Table1[[#This Row],[Ordered]]-Table1[[#This Row],[Date ]]</f>
        <v>4.1666666664241347E-2</v>
      </c>
      <c r="O839">
        <f>Table1[[#This Row],[Company]]</f>
        <v>8</v>
      </c>
      <c r="P839">
        <f>IF(((Table1[[#This Row],[Arrived]]-Table1[[#This Row],[Delivery]])*24-Table1[[#This Row],[Promised]])&lt;0, 0, (Table1[[#This Row],[Arrived]]-Table1[[#This Row],[Delivery]])*24-Table1[[#This Row],[Promised]])</f>
        <v>0</v>
      </c>
      <c r="Q839"/>
    </row>
    <row r="840" spans="1:17" x14ac:dyDescent="0.45">
      <c r="A840" s="3">
        <v>45299.041666666664</v>
      </c>
      <c r="B840" t="s">
        <v>14</v>
      </c>
      <c r="C840">
        <v>14</v>
      </c>
      <c r="D840">
        <v>1001</v>
      </c>
      <c r="E840" t="s">
        <v>15</v>
      </c>
      <c r="F840">
        <v>2</v>
      </c>
      <c r="G840">
        <v>6650</v>
      </c>
      <c r="H840">
        <v>13300</v>
      </c>
      <c r="I840" s="3">
        <v>45299.5</v>
      </c>
      <c r="J840">
        <v>96</v>
      </c>
      <c r="K840" s="3">
        <v>45302.5</v>
      </c>
      <c r="L840" s="4">
        <f>ROUNDDOWN(Table1[[#This Row],[Ordered]],0)</f>
        <v>45299</v>
      </c>
      <c r="M840" s="4">
        <f>Table1[[#This Row],[Date ]]</f>
        <v>45299</v>
      </c>
      <c r="N840" s="5">
        <f>Table1[[#This Row],[Ordered]]-Table1[[#This Row],[Date ]]</f>
        <v>4.1666666664241347E-2</v>
      </c>
      <c r="O840">
        <f>Table1[[#This Row],[Company]]</f>
        <v>14</v>
      </c>
      <c r="P840">
        <f>IF(((Table1[[#This Row],[Arrived]]-Table1[[#This Row],[Delivery]])*24-Table1[[#This Row],[Promised]])&lt;0, 0, (Table1[[#This Row],[Arrived]]-Table1[[#This Row],[Delivery]])*24-Table1[[#This Row],[Promised]])</f>
        <v>0</v>
      </c>
      <c r="Q840"/>
    </row>
    <row r="841" spans="1:17" x14ac:dyDescent="0.45">
      <c r="A841" s="3">
        <v>45299.041666666664</v>
      </c>
      <c r="B841" t="s">
        <v>14</v>
      </c>
      <c r="C841">
        <v>7</v>
      </c>
      <c r="D841">
        <v>1001</v>
      </c>
      <c r="E841" t="s">
        <v>15</v>
      </c>
      <c r="F841">
        <v>3</v>
      </c>
      <c r="G841">
        <v>6650</v>
      </c>
      <c r="H841">
        <v>19950</v>
      </c>
      <c r="I841" s="3">
        <v>45299.333333333336</v>
      </c>
      <c r="J841">
        <v>96</v>
      </c>
      <c r="K841" s="3">
        <v>45302.333333333336</v>
      </c>
      <c r="L841" s="4">
        <f>ROUNDDOWN(Table1[[#This Row],[Ordered]],0)</f>
        <v>45299</v>
      </c>
      <c r="M841" s="4">
        <f>Table1[[#This Row],[Date ]]</f>
        <v>45299</v>
      </c>
      <c r="N841" s="5">
        <f>Table1[[#This Row],[Ordered]]-Table1[[#This Row],[Date ]]</f>
        <v>4.1666666664241347E-2</v>
      </c>
      <c r="O841">
        <f>Table1[[#This Row],[Company]]</f>
        <v>7</v>
      </c>
      <c r="P841">
        <f>IF(((Table1[[#This Row],[Arrived]]-Table1[[#This Row],[Delivery]])*24-Table1[[#This Row],[Promised]])&lt;0, 0, (Table1[[#This Row],[Arrived]]-Table1[[#This Row],[Delivery]])*24-Table1[[#This Row],[Promised]])</f>
        <v>0</v>
      </c>
      <c r="Q841"/>
    </row>
    <row r="842" spans="1:17" x14ac:dyDescent="0.45">
      <c r="A842" s="3">
        <v>45299.041666666664</v>
      </c>
      <c r="B842" t="s">
        <v>14</v>
      </c>
      <c r="C842">
        <v>16</v>
      </c>
      <c r="D842">
        <v>1001</v>
      </c>
      <c r="E842" t="s">
        <v>15</v>
      </c>
      <c r="F842">
        <v>6</v>
      </c>
      <c r="G842">
        <v>6650</v>
      </c>
      <c r="H842">
        <v>39900</v>
      </c>
      <c r="I842" s="3">
        <v>45299.208333333336</v>
      </c>
      <c r="J842">
        <v>96</v>
      </c>
      <c r="K842" s="3">
        <v>45302.208333333336</v>
      </c>
      <c r="L842" s="4">
        <f>ROUNDDOWN(Table1[[#This Row],[Ordered]],0)</f>
        <v>45299</v>
      </c>
      <c r="M842" s="4">
        <f>Table1[[#This Row],[Date ]]</f>
        <v>45299</v>
      </c>
      <c r="N842" s="5">
        <f>Table1[[#This Row],[Ordered]]-Table1[[#This Row],[Date ]]</f>
        <v>4.1666666664241347E-2</v>
      </c>
      <c r="O842">
        <f>Table1[[#This Row],[Company]]</f>
        <v>16</v>
      </c>
      <c r="P842">
        <f>IF(((Table1[[#This Row],[Arrived]]-Table1[[#This Row],[Delivery]])*24-Table1[[#This Row],[Promised]])&lt;0, 0, (Table1[[#This Row],[Arrived]]-Table1[[#This Row],[Delivery]])*24-Table1[[#This Row],[Promised]])</f>
        <v>0</v>
      </c>
      <c r="Q842"/>
    </row>
    <row r="843" spans="1:17" x14ac:dyDescent="0.45">
      <c r="A843" s="3">
        <v>45299.083333333336</v>
      </c>
      <c r="B843" t="s">
        <v>14</v>
      </c>
      <c r="C843">
        <v>10</v>
      </c>
      <c r="D843">
        <v>1011</v>
      </c>
      <c r="E843" t="s">
        <v>16</v>
      </c>
      <c r="F843">
        <v>30</v>
      </c>
      <c r="G843">
        <v>3950</v>
      </c>
      <c r="H843">
        <v>118500</v>
      </c>
      <c r="I843" s="3">
        <v>45299.083333333336</v>
      </c>
      <c r="J843">
        <v>48</v>
      </c>
      <c r="K843" s="3">
        <v>45301.083333333336</v>
      </c>
      <c r="L843" s="4">
        <f>ROUNDDOWN(Table1[[#This Row],[Ordered]],0)</f>
        <v>45299</v>
      </c>
      <c r="M843" s="4">
        <f>Table1[[#This Row],[Date ]]</f>
        <v>45299</v>
      </c>
      <c r="N843" s="5">
        <f>Table1[[#This Row],[Ordered]]-Table1[[#This Row],[Date ]]</f>
        <v>8.3333333335758653E-2</v>
      </c>
      <c r="O843">
        <f>Table1[[#This Row],[Company]]</f>
        <v>10</v>
      </c>
      <c r="P843">
        <f>IF(((Table1[[#This Row],[Arrived]]-Table1[[#This Row],[Delivery]])*24-Table1[[#This Row],[Promised]])&lt;0, 0, (Table1[[#This Row],[Arrived]]-Table1[[#This Row],[Delivery]])*24-Table1[[#This Row],[Promised]])</f>
        <v>0</v>
      </c>
      <c r="Q843"/>
    </row>
    <row r="844" spans="1:17" x14ac:dyDescent="0.45">
      <c r="A844" s="3">
        <v>45299.083333333336</v>
      </c>
      <c r="B844" t="s">
        <v>14</v>
      </c>
      <c r="C844">
        <v>13</v>
      </c>
      <c r="D844">
        <v>1011</v>
      </c>
      <c r="E844" t="s">
        <v>16</v>
      </c>
      <c r="F844">
        <v>20</v>
      </c>
      <c r="G844">
        <v>3750</v>
      </c>
      <c r="H844">
        <v>75000</v>
      </c>
      <c r="I844" s="3">
        <v>45300.791666666664</v>
      </c>
      <c r="J844">
        <v>96</v>
      </c>
      <c r="K844" s="3">
        <v>45302.791666666664</v>
      </c>
      <c r="L844" s="4">
        <f>ROUNDDOWN(Table1[[#This Row],[Ordered]],0)</f>
        <v>45299</v>
      </c>
      <c r="M844" s="4">
        <f>Table1[[#This Row],[Date ]]</f>
        <v>45299</v>
      </c>
      <c r="N844" s="5">
        <f>Table1[[#This Row],[Ordered]]-Table1[[#This Row],[Date ]]</f>
        <v>8.3333333335758653E-2</v>
      </c>
      <c r="O844">
        <f>Table1[[#This Row],[Company]]</f>
        <v>13</v>
      </c>
      <c r="P844">
        <f>IF(((Table1[[#This Row],[Arrived]]-Table1[[#This Row],[Delivery]])*24-Table1[[#This Row],[Promised]])&lt;0, 0, (Table1[[#This Row],[Arrived]]-Table1[[#This Row],[Delivery]])*24-Table1[[#This Row],[Promised]])</f>
        <v>0</v>
      </c>
      <c r="Q844"/>
    </row>
    <row r="845" spans="1:17" x14ac:dyDescent="0.45">
      <c r="A845" s="3">
        <v>45299.083333333336</v>
      </c>
      <c r="B845" t="s">
        <v>14</v>
      </c>
      <c r="C845">
        <v>11</v>
      </c>
      <c r="D845">
        <v>1011</v>
      </c>
      <c r="E845" t="s">
        <v>16</v>
      </c>
      <c r="F845">
        <v>12</v>
      </c>
      <c r="G845">
        <v>3950</v>
      </c>
      <c r="H845">
        <v>47400</v>
      </c>
      <c r="I845" s="3">
        <v>45299.375</v>
      </c>
      <c r="J845">
        <v>96</v>
      </c>
      <c r="K845" s="3">
        <v>45302.375</v>
      </c>
      <c r="L845" s="4">
        <f>ROUNDDOWN(Table1[[#This Row],[Ordered]],0)</f>
        <v>45299</v>
      </c>
      <c r="M845" s="4">
        <f>Table1[[#This Row],[Date ]]</f>
        <v>45299</v>
      </c>
      <c r="N845" s="5">
        <f>Table1[[#This Row],[Ordered]]-Table1[[#This Row],[Date ]]</f>
        <v>8.3333333335758653E-2</v>
      </c>
      <c r="O845">
        <f>Table1[[#This Row],[Company]]</f>
        <v>11</v>
      </c>
      <c r="P845">
        <f>IF(((Table1[[#This Row],[Arrived]]-Table1[[#This Row],[Delivery]])*24-Table1[[#This Row],[Promised]])&lt;0, 0, (Table1[[#This Row],[Arrived]]-Table1[[#This Row],[Delivery]])*24-Table1[[#This Row],[Promised]])</f>
        <v>0</v>
      </c>
      <c r="Q845"/>
    </row>
    <row r="846" spans="1:17" x14ac:dyDescent="0.45">
      <c r="A846" s="3">
        <v>45299.083333333336</v>
      </c>
      <c r="B846" t="s">
        <v>14</v>
      </c>
      <c r="C846">
        <v>12</v>
      </c>
      <c r="D846">
        <v>1011</v>
      </c>
      <c r="E846" t="s">
        <v>16</v>
      </c>
      <c r="F846">
        <v>15</v>
      </c>
      <c r="G846">
        <v>3800</v>
      </c>
      <c r="H846">
        <v>57000</v>
      </c>
      <c r="I846" s="3">
        <v>45299.458333333336</v>
      </c>
      <c r="J846">
        <v>96</v>
      </c>
      <c r="K846" s="3">
        <v>45302.458333333336</v>
      </c>
      <c r="L846" s="4">
        <f>ROUNDDOWN(Table1[[#This Row],[Ordered]],0)</f>
        <v>45299</v>
      </c>
      <c r="M846" s="4">
        <f>Table1[[#This Row],[Date ]]</f>
        <v>45299</v>
      </c>
      <c r="N846" s="5">
        <f>Table1[[#This Row],[Ordered]]-Table1[[#This Row],[Date ]]</f>
        <v>8.3333333335758653E-2</v>
      </c>
      <c r="O846">
        <f>Table1[[#This Row],[Company]]</f>
        <v>12</v>
      </c>
      <c r="P846">
        <f>IF(((Table1[[#This Row],[Arrived]]-Table1[[#This Row],[Delivery]])*24-Table1[[#This Row],[Promised]])&lt;0, 0, (Table1[[#This Row],[Arrived]]-Table1[[#This Row],[Delivery]])*24-Table1[[#This Row],[Promised]])</f>
        <v>0</v>
      </c>
      <c r="Q846"/>
    </row>
    <row r="847" spans="1:17" x14ac:dyDescent="0.45">
      <c r="A847" s="3">
        <v>45299.083333333336</v>
      </c>
      <c r="B847" t="s">
        <v>14</v>
      </c>
      <c r="C847">
        <v>9</v>
      </c>
      <c r="D847">
        <v>1011</v>
      </c>
      <c r="E847" t="s">
        <v>16</v>
      </c>
      <c r="F847">
        <v>15</v>
      </c>
      <c r="G847">
        <v>3825</v>
      </c>
      <c r="H847">
        <v>57375</v>
      </c>
      <c r="I847" s="3">
        <v>45300.083333333336</v>
      </c>
      <c r="J847">
        <v>72</v>
      </c>
      <c r="K847" s="3">
        <v>45302.083333333336</v>
      </c>
      <c r="L847" s="4">
        <f>ROUNDDOWN(Table1[[#This Row],[Ordered]],0)</f>
        <v>45299</v>
      </c>
      <c r="M847" s="4">
        <f>Table1[[#This Row],[Date ]]</f>
        <v>45299</v>
      </c>
      <c r="N847" s="5">
        <f>Table1[[#This Row],[Ordered]]-Table1[[#This Row],[Date ]]</f>
        <v>8.3333333335758653E-2</v>
      </c>
      <c r="O847">
        <f>Table1[[#This Row],[Company]]</f>
        <v>9</v>
      </c>
      <c r="P847">
        <f>IF(((Table1[[#This Row],[Arrived]]-Table1[[#This Row],[Delivery]])*24-Table1[[#This Row],[Promised]])&lt;0, 0, (Table1[[#This Row],[Arrived]]-Table1[[#This Row],[Delivery]])*24-Table1[[#This Row],[Promised]])</f>
        <v>0</v>
      </c>
      <c r="Q847"/>
    </row>
    <row r="848" spans="1:17" x14ac:dyDescent="0.45">
      <c r="A848" s="3">
        <v>45299.083333333336</v>
      </c>
      <c r="B848" t="s">
        <v>14</v>
      </c>
      <c r="C848">
        <v>8</v>
      </c>
      <c r="D848">
        <v>1011</v>
      </c>
      <c r="E848" t="s">
        <v>16</v>
      </c>
      <c r="F848">
        <v>40</v>
      </c>
      <c r="G848">
        <v>3300</v>
      </c>
      <c r="H848">
        <v>132000</v>
      </c>
      <c r="I848" s="3">
        <v>45300.958333333336</v>
      </c>
      <c r="J848">
        <v>120</v>
      </c>
      <c r="K848" s="3">
        <v>45303.958333333336</v>
      </c>
      <c r="L848" s="4">
        <f>ROUNDDOWN(Table1[[#This Row],[Ordered]],0)</f>
        <v>45299</v>
      </c>
      <c r="M848" s="4">
        <f>Table1[[#This Row],[Date ]]</f>
        <v>45299</v>
      </c>
      <c r="N848" s="5">
        <f>Table1[[#This Row],[Ordered]]-Table1[[#This Row],[Date ]]</f>
        <v>8.3333333335758653E-2</v>
      </c>
      <c r="O848">
        <f>Table1[[#This Row],[Company]]</f>
        <v>8</v>
      </c>
      <c r="P848">
        <f>IF(((Table1[[#This Row],[Arrived]]-Table1[[#This Row],[Delivery]])*24-Table1[[#This Row],[Promised]])&lt;0, 0, (Table1[[#This Row],[Arrived]]-Table1[[#This Row],[Delivery]])*24-Table1[[#This Row],[Promised]])</f>
        <v>0</v>
      </c>
      <c r="Q848"/>
    </row>
    <row r="849" spans="1:17" x14ac:dyDescent="0.45">
      <c r="A849" s="3">
        <v>45299.083333333336</v>
      </c>
      <c r="B849" t="s">
        <v>14</v>
      </c>
      <c r="C849">
        <v>14</v>
      </c>
      <c r="D849">
        <v>1011</v>
      </c>
      <c r="E849" t="s">
        <v>16</v>
      </c>
      <c r="F849">
        <v>18</v>
      </c>
      <c r="G849">
        <v>3750</v>
      </c>
      <c r="H849">
        <v>67500</v>
      </c>
      <c r="I849" s="3">
        <v>45299.625</v>
      </c>
      <c r="J849">
        <v>96</v>
      </c>
      <c r="K849" s="3">
        <v>45302.625</v>
      </c>
      <c r="L849" s="4">
        <f>ROUNDDOWN(Table1[[#This Row],[Ordered]],0)</f>
        <v>45299</v>
      </c>
      <c r="M849" s="4">
        <f>Table1[[#This Row],[Date ]]</f>
        <v>45299</v>
      </c>
      <c r="N849" s="5">
        <f>Table1[[#This Row],[Ordered]]-Table1[[#This Row],[Date ]]</f>
        <v>8.3333333335758653E-2</v>
      </c>
      <c r="O849">
        <f>Table1[[#This Row],[Company]]</f>
        <v>14</v>
      </c>
      <c r="P849">
        <f>IF(((Table1[[#This Row],[Arrived]]-Table1[[#This Row],[Delivery]])*24-Table1[[#This Row],[Promised]])&lt;0, 0, (Table1[[#This Row],[Arrived]]-Table1[[#This Row],[Delivery]])*24-Table1[[#This Row],[Promised]])</f>
        <v>0</v>
      </c>
      <c r="Q849"/>
    </row>
    <row r="850" spans="1:17" x14ac:dyDescent="0.45">
      <c r="A850" s="3">
        <v>45299.083333333336</v>
      </c>
      <c r="B850" t="s">
        <v>14</v>
      </c>
      <c r="C850">
        <v>7</v>
      </c>
      <c r="D850">
        <v>1011</v>
      </c>
      <c r="E850" t="s">
        <v>16</v>
      </c>
      <c r="F850">
        <v>30</v>
      </c>
      <c r="G850">
        <v>3650</v>
      </c>
      <c r="H850">
        <v>109500</v>
      </c>
      <c r="I850" s="3">
        <v>45299.333333333336</v>
      </c>
      <c r="J850">
        <v>96</v>
      </c>
      <c r="K850" s="3">
        <v>45302.333333333336</v>
      </c>
      <c r="L850" s="4">
        <f>ROUNDDOWN(Table1[[#This Row],[Ordered]],0)</f>
        <v>45299</v>
      </c>
      <c r="M850" s="4">
        <f>Table1[[#This Row],[Date ]]</f>
        <v>45299</v>
      </c>
      <c r="N850" s="5">
        <f>Table1[[#This Row],[Ordered]]-Table1[[#This Row],[Date ]]</f>
        <v>8.3333333335758653E-2</v>
      </c>
      <c r="O850">
        <f>Table1[[#This Row],[Company]]</f>
        <v>7</v>
      </c>
      <c r="P850">
        <f>IF(((Table1[[#This Row],[Arrived]]-Table1[[#This Row],[Delivery]])*24-Table1[[#This Row],[Promised]])&lt;0, 0, (Table1[[#This Row],[Arrived]]-Table1[[#This Row],[Delivery]])*24-Table1[[#This Row],[Promised]])</f>
        <v>0</v>
      </c>
      <c r="Q850"/>
    </row>
    <row r="851" spans="1:17" x14ac:dyDescent="0.45">
      <c r="A851" s="3">
        <v>45299.083333333336</v>
      </c>
      <c r="B851" t="s">
        <v>14</v>
      </c>
      <c r="C851">
        <v>16</v>
      </c>
      <c r="D851">
        <v>1011</v>
      </c>
      <c r="E851" t="s">
        <v>16</v>
      </c>
      <c r="F851">
        <v>26</v>
      </c>
      <c r="G851">
        <v>3750</v>
      </c>
      <c r="H851">
        <v>97500</v>
      </c>
      <c r="I851" s="3">
        <v>45299.25</v>
      </c>
      <c r="J851">
        <v>96</v>
      </c>
      <c r="K851" s="3">
        <v>45302.25</v>
      </c>
      <c r="L851" s="4">
        <f>ROUNDDOWN(Table1[[#This Row],[Ordered]],0)</f>
        <v>45299</v>
      </c>
      <c r="M851" s="4">
        <f>Table1[[#This Row],[Date ]]</f>
        <v>45299</v>
      </c>
      <c r="N851" s="5">
        <f>Table1[[#This Row],[Ordered]]-Table1[[#This Row],[Date ]]</f>
        <v>8.3333333335758653E-2</v>
      </c>
      <c r="O851">
        <f>Table1[[#This Row],[Company]]</f>
        <v>16</v>
      </c>
      <c r="P851">
        <f>IF(((Table1[[#This Row],[Arrived]]-Table1[[#This Row],[Delivery]])*24-Table1[[#This Row],[Promised]])&lt;0, 0, (Table1[[#This Row],[Arrived]]-Table1[[#This Row],[Delivery]])*24-Table1[[#This Row],[Promised]])</f>
        <v>0</v>
      </c>
      <c r="Q851"/>
    </row>
    <row r="852" spans="1:17" hidden="1" x14ac:dyDescent="0.45">
      <c r="A852" s="3">
        <v>45299.125</v>
      </c>
      <c r="B852" t="s">
        <v>12</v>
      </c>
      <c r="C852">
        <v>4</v>
      </c>
      <c r="D852">
        <v>8</v>
      </c>
      <c r="E852" t="s">
        <v>17</v>
      </c>
      <c r="F852">
        <v>400</v>
      </c>
      <c r="G852">
        <v>1350</v>
      </c>
      <c r="H852">
        <v>540000</v>
      </c>
      <c r="I852" s="3">
        <v>45299.125</v>
      </c>
      <c r="J852">
        <v>48</v>
      </c>
      <c r="K852" s="3">
        <v>45301.125</v>
      </c>
      <c r="L852" s="4">
        <f>ROUNDDOWN(Table1[[#This Row],[Ordered]],0)</f>
        <v>45299</v>
      </c>
      <c r="M852" s="4">
        <f>Table1[[#This Row],[Date ]]</f>
        <v>45299</v>
      </c>
      <c r="N852" s="5">
        <f>Table1[[#This Row],[Ordered]]-Table1[[#This Row],[Date ]]</f>
        <v>0.125</v>
      </c>
      <c r="O852">
        <f>Table1[[#This Row],[Company]]</f>
        <v>4</v>
      </c>
      <c r="P852">
        <f>IF(((Table1[[#This Row],[Arrived]]-Table1[[#This Row],[Delivery]])*24-Table1[[#This Row],[Promised]])&lt;0, 0, (Table1[[#This Row],[Arrived]]-Table1[[#This Row],[Delivery]])*24-Table1[[#This Row],[Promised]])</f>
        <v>0</v>
      </c>
      <c r="Q852"/>
    </row>
    <row r="853" spans="1:17" hidden="1" x14ac:dyDescent="0.45">
      <c r="A853" s="3">
        <v>45299.166666666664</v>
      </c>
      <c r="B853" t="s">
        <v>12</v>
      </c>
      <c r="C853">
        <v>5</v>
      </c>
      <c r="D853">
        <v>16</v>
      </c>
      <c r="E853" t="s">
        <v>13</v>
      </c>
      <c r="F853">
        <v>2000</v>
      </c>
      <c r="G853">
        <v>120</v>
      </c>
      <c r="H853">
        <v>240000</v>
      </c>
      <c r="I853" s="3">
        <v>45299.75</v>
      </c>
      <c r="J853">
        <v>24</v>
      </c>
      <c r="K853" s="3">
        <v>45300.75</v>
      </c>
      <c r="L853" s="4">
        <f>ROUNDDOWN(Table1[[#This Row],[Ordered]],0)</f>
        <v>45299</v>
      </c>
      <c r="M853" s="4">
        <f>Table1[[#This Row],[Date ]]</f>
        <v>45299</v>
      </c>
      <c r="N853" s="5">
        <f>Table1[[#This Row],[Ordered]]-Table1[[#This Row],[Date ]]</f>
        <v>0.16666666666424135</v>
      </c>
      <c r="O853">
        <f>Table1[[#This Row],[Company]]</f>
        <v>5</v>
      </c>
      <c r="P853">
        <f>IF(((Table1[[#This Row],[Arrived]]-Table1[[#This Row],[Delivery]])*24-Table1[[#This Row],[Promised]])&lt;0, 0, (Table1[[#This Row],[Arrived]]-Table1[[#This Row],[Delivery]])*24-Table1[[#This Row],[Promised]])</f>
        <v>0</v>
      </c>
      <c r="Q853"/>
    </row>
    <row r="854" spans="1:17" hidden="1" x14ac:dyDescent="0.45">
      <c r="A854" s="3">
        <v>45299.166666666664</v>
      </c>
      <c r="B854" t="s">
        <v>12</v>
      </c>
      <c r="C854">
        <v>2</v>
      </c>
      <c r="D854">
        <v>15</v>
      </c>
      <c r="E854" t="s">
        <v>13</v>
      </c>
      <c r="F854">
        <v>1800</v>
      </c>
      <c r="G854">
        <v>140</v>
      </c>
      <c r="H854">
        <v>252000</v>
      </c>
      <c r="I854" s="3">
        <v>45299.291666666664</v>
      </c>
      <c r="J854">
        <v>72</v>
      </c>
      <c r="K854" s="3">
        <v>45302.291666666664</v>
      </c>
      <c r="L854" s="4">
        <f>ROUNDDOWN(Table1[[#This Row],[Ordered]],0)</f>
        <v>45299</v>
      </c>
      <c r="M854" s="4">
        <f>Table1[[#This Row],[Date ]]</f>
        <v>45299</v>
      </c>
      <c r="N854" s="5">
        <f>Table1[[#This Row],[Ordered]]-Table1[[#This Row],[Date ]]</f>
        <v>0.16666666666424135</v>
      </c>
      <c r="O854">
        <f>Table1[[#This Row],[Company]]</f>
        <v>2</v>
      </c>
      <c r="P854">
        <f>IF(((Table1[[#This Row],[Arrived]]-Table1[[#This Row],[Delivery]])*24-Table1[[#This Row],[Promised]])&lt;0, 0, (Table1[[#This Row],[Arrived]]-Table1[[#This Row],[Delivery]])*24-Table1[[#This Row],[Promised]])</f>
        <v>0</v>
      </c>
      <c r="Q854"/>
    </row>
    <row r="855" spans="1:17" x14ac:dyDescent="0.45">
      <c r="A855" s="3">
        <v>45299.333333333336</v>
      </c>
      <c r="B855" t="s">
        <v>0</v>
      </c>
      <c r="C855">
        <v>10</v>
      </c>
      <c r="D855">
        <v>2001</v>
      </c>
      <c r="E855" t="s">
        <v>15</v>
      </c>
      <c r="F855">
        <v>12</v>
      </c>
      <c r="G855">
        <v>7100</v>
      </c>
      <c r="H855">
        <v>85200</v>
      </c>
      <c r="I855" s="3">
        <v>45300.25</v>
      </c>
      <c r="J855">
        <v>144</v>
      </c>
      <c r="K855" s="3">
        <v>45304.833333333336</v>
      </c>
      <c r="L855" s="4">
        <f>ROUNDDOWN(Table1[[#This Row],[Ordered]],0)</f>
        <v>45299</v>
      </c>
      <c r="M855" s="4">
        <f>Table1[[#This Row],[Date ]]</f>
        <v>45299</v>
      </c>
      <c r="N855" s="5">
        <f>Table1[[#This Row],[Ordered]]-Table1[[#This Row],[Date ]]</f>
        <v>0.33333333333575865</v>
      </c>
      <c r="O855">
        <f>Table1[[#This Row],[Company]]</f>
        <v>10</v>
      </c>
      <c r="P855">
        <f>IF(((Table1[[#This Row],[Arrived]]-Table1[[#This Row],[Delivery]])*24-Table1[[#This Row],[Promised]])&lt;0, 0, (Table1[[#This Row],[Arrived]]-Table1[[#This Row],[Delivery]])*24-Table1[[#This Row],[Promised]])</f>
        <v>0</v>
      </c>
      <c r="Q855"/>
    </row>
    <row r="856" spans="1:17" x14ac:dyDescent="0.45">
      <c r="A856" s="3">
        <v>45299.333333333336</v>
      </c>
      <c r="B856" t="s">
        <v>0</v>
      </c>
      <c r="C856">
        <v>13</v>
      </c>
      <c r="D856">
        <v>2001</v>
      </c>
      <c r="E856" t="s">
        <v>16</v>
      </c>
      <c r="F856">
        <v>30</v>
      </c>
      <c r="G856">
        <v>3500</v>
      </c>
      <c r="H856">
        <v>105000</v>
      </c>
      <c r="I856" s="3">
        <v>45300.083333333336</v>
      </c>
      <c r="J856">
        <v>132</v>
      </c>
      <c r="K856" s="3">
        <v>45304.583333333336</v>
      </c>
      <c r="L856" s="4">
        <f>ROUNDDOWN(Table1[[#This Row],[Ordered]],0)</f>
        <v>45299</v>
      </c>
      <c r="M856" s="4">
        <f>Table1[[#This Row],[Date ]]</f>
        <v>45299</v>
      </c>
      <c r="N856" s="5">
        <f>Table1[[#This Row],[Ordered]]-Table1[[#This Row],[Date ]]</f>
        <v>0.33333333333575865</v>
      </c>
      <c r="O856">
        <f>Table1[[#This Row],[Company]]</f>
        <v>13</v>
      </c>
      <c r="P856">
        <f>IF(((Table1[[#This Row],[Arrived]]-Table1[[#This Row],[Delivery]])*24-Table1[[#This Row],[Promised]])&lt;0, 0, (Table1[[#This Row],[Arrived]]-Table1[[#This Row],[Delivery]])*24-Table1[[#This Row],[Promised]])</f>
        <v>0</v>
      </c>
      <c r="Q856"/>
    </row>
    <row r="857" spans="1:17" x14ac:dyDescent="0.45">
      <c r="A857" s="3">
        <v>45299.333333333336</v>
      </c>
      <c r="B857" t="s">
        <v>0</v>
      </c>
      <c r="C857">
        <v>12</v>
      </c>
      <c r="D857">
        <v>2001</v>
      </c>
      <c r="E857" t="s">
        <v>15</v>
      </c>
      <c r="F857">
        <v>28</v>
      </c>
      <c r="G857">
        <v>6750</v>
      </c>
      <c r="H857">
        <v>189000</v>
      </c>
      <c r="I857" s="3">
        <v>45299.333333333336</v>
      </c>
      <c r="J857">
        <v>120</v>
      </c>
      <c r="K857" s="3">
        <v>45303.833333333336</v>
      </c>
      <c r="L857" s="4">
        <f>ROUNDDOWN(Table1[[#This Row],[Ordered]],0)</f>
        <v>45299</v>
      </c>
      <c r="M857" s="4">
        <f>Table1[[#This Row],[Date ]]</f>
        <v>45299</v>
      </c>
      <c r="N857" s="5">
        <f>Table1[[#This Row],[Ordered]]-Table1[[#This Row],[Date ]]</f>
        <v>0.33333333333575865</v>
      </c>
      <c r="O857">
        <f>Table1[[#This Row],[Company]]</f>
        <v>12</v>
      </c>
      <c r="P857">
        <f>IF(((Table1[[#This Row],[Arrived]]-Table1[[#This Row],[Delivery]])*24-Table1[[#This Row],[Promised]])&lt;0, 0, (Table1[[#This Row],[Arrived]]-Table1[[#This Row],[Delivery]])*24-Table1[[#This Row],[Promised]])</f>
        <v>0</v>
      </c>
      <c r="Q857"/>
    </row>
    <row r="858" spans="1:17" x14ac:dyDescent="0.45">
      <c r="A858" s="3">
        <v>45299.333333333336</v>
      </c>
      <c r="B858" t="s">
        <v>0</v>
      </c>
      <c r="C858">
        <v>16</v>
      </c>
      <c r="D858">
        <v>2001</v>
      </c>
      <c r="E858" t="s">
        <v>15</v>
      </c>
      <c r="F858">
        <v>30</v>
      </c>
      <c r="G858">
        <v>6650</v>
      </c>
      <c r="H858">
        <v>199500</v>
      </c>
      <c r="I858" s="3">
        <v>45299.5</v>
      </c>
      <c r="J858">
        <v>132</v>
      </c>
      <c r="K858" s="3">
        <v>45304</v>
      </c>
      <c r="L858" s="4">
        <f>ROUNDDOWN(Table1[[#This Row],[Ordered]],0)</f>
        <v>45299</v>
      </c>
      <c r="M858" s="4">
        <f>Table1[[#This Row],[Date ]]</f>
        <v>45299</v>
      </c>
      <c r="N858" s="5">
        <f>Table1[[#This Row],[Ordered]]-Table1[[#This Row],[Date ]]</f>
        <v>0.33333333333575865</v>
      </c>
      <c r="O858">
        <f>Table1[[#This Row],[Company]]</f>
        <v>16</v>
      </c>
      <c r="P858">
        <f>IF(((Table1[[#This Row],[Arrived]]-Table1[[#This Row],[Delivery]])*24-Table1[[#This Row],[Promised]])&lt;0, 0, (Table1[[#This Row],[Arrived]]-Table1[[#This Row],[Delivery]])*24-Table1[[#This Row],[Promised]])</f>
        <v>0</v>
      </c>
      <c r="Q858"/>
    </row>
    <row r="859" spans="1:17" x14ac:dyDescent="0.45">
      <c r="A859" s="3">
        <v>45299.333333333336</v>
      </c>
      <c r="B859" t="s">
        <v>0</v>
      </c>
      <c r="C859">
        <v>10</v>
      </c>
      <c r="D859">
        <v>2001</v>
      </c>
      <c r="E859" t="s">
        <v>16</v>
      </c>
      <c r="F859">
        <v>30</v>
      </c>
      <c r="G859">
        <v>4200</v>
      </c>
      <c r="H859">
        <v>126000</v>
      </c>
      <c r="I859" s="3">
        <v>45299.583333333336</v>
      </c>
      <c r="J859">
        <v>132</v>
      </c>
      <c r="K859" s="3">
        <v>45304.083333333336</v>
      </c>
      <c r="L859" s="4">
        <f>ROUNDDOWN(Table1[[#This Row],[Ordered]],0)</f>
        <v>45299</v>
      </c>
      <c r="M859" s="4">
        <f>Table1[[#This Row],[Date ]]</f>
        <v>45299</v>
      </c>
      <c r="N859" s="5">
        <f>Table1[[#This Row],[Ordered]]-Table1[[#This Row],[Date ]]</f>
        <v>0.33333333333575865</v>
      </c>
      <c r="O859">
        <f>Table1[[#This Row],[Company]]</f>
        <v>10</v>
      </c>
      <c r="P859">
        <f>IF(((Table1[[#This Row],[Arrived]]-Table1[[#This Row],[Delivery]])*24-Table1[[#This Row],[Promised]])&lt;0, 0, (Table1[[#This Row],[Arrived]]-Table1[[#This Row],[Delivery]])*24-Table1[[#This Row],[Promised]])</f>
        <v>0</v>
      </c>
      <c r="Q859"/>
    </row>
    <row r="860" spans="1:17" x14ac:dyDescent="0.45">
      <c r="A860" s="3">
        <v>45299.333333333336</v>
      </c>
      <c r="B860" t="s">
        <v>0</v>
      </c>
      <c r="C860">
        <v>11</v>
      </c>
      <c r="D860">
        <v>2001</v>
      </c>
      <c r="E860" t="s">
        <v>16</v>
      </c>
      <c r="F860">
        <v>40</v>
      </c>
      <c r="G860">
        <v>4000</v>
      </c>
      <c r="H860">
        <v>160000</v>
      </c>
      <c r="I860" s="3">
        <v>45299.625</v>
      </c>
      <c r="J860">
        <v>132</v>
      </c>
      <c r="K860" s="3">
        <v>45304.125</v>
      </c>
      <c r="L860" s="4">
        <f>ROUNDDOWN(Table1[[#This Row],[Ordered]],0)</f>
        <v>45299</v>
      </c>
      <c r="M860" s="4">
        <f>Table1[[#This Row],[Date ]]</f>
        <v>45299</v>
      </c>
      <c r="N860" s="5">
        <f>Table1[[#This Row],[Ordered]]-Table1[[#This Row],[Date ]]</f>
        <v>0.33333333333575865</v>
      </c>
      <c r="O860">
        <f>Table1[[#This Row],[Company]]</f>
        <v>11</v>
      </c>
      <c r="P860">
        <f>IF(((Table1[[#This Row],[Arrived]]-Table1[[#This Row],[Delivery]])*24-Table1[[#This Row],[Promised]])&lt;0, 0, (Table1[[#This Row],[Arrived]]-Table1[[#This Row],[Delivery]])*24-Table1[[#This Row],[Promised]])</f>
        <v>0</v>
      </c>
      <c r="Q860"/>
    </row>
    <row r="861" spans="1:17" x14ac:dyDescent="0.45">
      <c r="A861" s="3">
        <v>45299.333333333336</v>
      </c>
      <c r="B861" t="s">
        <v>0</v>
      </c>
      <c r="C861">
        <v>9</v>
      </c>
      <c r="D861">
        <v>2001</v>
      </c>
      <c r="E861" t="s">
        <v>16</v>
      </c>
      <c r="F861">
        <v>50</v>
      </c>
      <c r="G861">
        <v>3980</v>
      </c>
      <c r="H861">
        <v>199000</v>
      </c>
      <c r="I861" s="3">
        <v>45299.333333333336</v>
      </c>
      <c r="J861">
        <v>72</v>
      </c>
      <c r="K861" s="3">
        <v>45302.333333333336</v>
      </c>
      <c r="L861" s="4">
        <f>ROUNDDOWN(Table1[[#This Row],[Ordered]],0)</f>
        <v>45299</v>
      </c>
      <c r="M861" s="4">
        <f>Table1[[#This Row],[Date ]]</f>
        <v>45299</v>
      </c>
      <c r="N861" s="5">
        <f>Table1[[#This Row],[Ordered]]-Table1[[#This Row],[Date ]]</f>
        <v>0.33333333333575865</v>
      </c>
      <c r="O861">
        <f>Table1[[#This Row],[Company]]</f>
        <v>9</v>
      </c>
      <c r="P861">
        <f>IF(((Table1[[#This Row],[Arrived]]-Table1[[#This Row],[Delivery]])*24-Table1[[#This Row],[Promised]])&lt;0, 0, (Table1[[#This Row],[Arrived]]-Table1[[#This Row],[Delivery]])*24-Table1[[#This Row],[Promised]])</f>
        <v>0</v>
      </c>
      <c r="Q861"/>
    </row>
    <row r="862" spans="1:17" x14ac:dyDescent="0.45">
      <c r="A862" s="3">
        <v>45299.333333333336</v>
      </c>
      <c r="B862" t="s">
        <v>0</v>
      </c>
      <c r="C862">
        <v>15</v>
      </c>
      <c r="D862">
        <v>2001</v>
      </c>
      <c r="E862" t="s">
        <v>16</v>
      </c>
      <c r="F862">
        <v>30</v>
      </c>
      <c r="G862">
        <v>3850</v>
      </c>
      <c r="H862">
        <v>115500</v>
      </c>
      <c r="I862" s="3">
        <v>45299.416666666664</v>
      </c>
      <c r="J862">
        <v>120</v>
      </c>
      <c r="K862" s="3">
        <v>45303.916666666664</v>
      </c>
      <c r="L862" s="4">
        <f>ROUNDDOWN(Table1[[#This Row],[Ordered]],0)</f>
        <v>45299</v>
      </c>
      <c r="M862" s="4">
        <f>Table1[[#This Row],[Date ]]</f>
        <v>45299</v>
      </c>
      <c r="N862" s="5">
        <f>Table1[[#This Row],[Ordered]]-Table1[[#This Row],[Date ]]</f>
        <v>0.33333333333575865</v>
      </c>
      <c r="O862">
        <f>Table1[[#This Row],[Company]]</f>
        <v>15</v>
      </c>
      <c r="P862">
        <f>IF(((Table1[[#This Row],[Arrived]]-Table1[[#This Row],[Delivery]])*24-Table1[[#This Row],[Promised]])&lt;0, 0, (Table1[[#This Row],[Arrived]]-Table1[[#This Row],[Delivery]])*24-Table1[[#This Row],[Promised]])</f>
        <v>0</v>
      </c>
      <c r="Q862"/>
    </row>
    <row r="863" spans="1:17" x14ac:dyDescent="0.45">
      <c r="A863" s="3">
        <v>45299.333333333336</v>
      </c>
      <c r="B863" t="s">
        <v>0</v>
      </c>
      <c r="C863">
        <v>15</v>
      </c>
      <c r="D863">
        <v>2001</v>
      </c>
      <c r="E863" t="s">
        <v>15</v>
      </c>
      <c r="F863">
        <v>35</v>
      </c>
      <c r="G863">
        <v>6900</v>
      </c>
      <c r="H863">
        <v>241500</v>
      </c>
      <c r="I863" s="3">
        <v>45299.416666666664</v>
      </c>
      <c r="J863">
        <v>54</v>
      </c>
      <c r="K863" s="3">
        <v>45300.916666666664</v>
      </c>
      <c r="L863" s="4">
        <f>ROUNDDOWN(Table1[[#This Row],[Ordered]],0)</f>
        <v>45299</v>
      </c>
      <c r="M863" s="4">
        <f>Table1[[#This Row],[Date ]]</f>
        <v>45299</v>
      </c>
      <c r="N863" s="5">
        <f>Table1[[#This Row],[Ordered]]-Table1[[#This Row],[Date ]]</f>
        <v>0.33333333333575865</v>
      </c>
      <c r="O863">
        <f>Table1[[#This Row],[Company]]</f>
        <v>15</v>
      </c>
      <c r="P863">
        <f>IF(((Table1[[#This Row],[Arrived]]-Table1[[#This Row],[Delivery]])*24-Table1[[#This Row],[Promised]])&lt;0, 0, (Table1[[#This Row],[Arrived]]-Table1[[#This Row],[Delivery]])*24-Table1[[#This Row],[Promised]])</f>
        <v>0</v>
      </c>
      <c r="Q863"/>
    </row>
    <row r="864" spans="1:17" x14ac:dyDescent="0.45">
      <c r="A864" s="3">
        <v>45299.333333333336</v>
      </c>
      <c r="B864" t="s">
        <v>0</v>
      </c>
      <c r="C864">
        <v>14</v>
      </c>
      <c r="D864">
        <v>2001</v>
      </c>
      <c r="E864" t="s">
        <v>16</v>
      </c>
      <c r="F864">
        <v>30</v>
      </c>
      <c r="G864">
        <v>3750</v>
      </c>
      <c r="H864">
        <v>112500</v>
      </c>
      <c r="I864" s="3">
        <v>45299.75</v>
      </c>
      <c r="J864">
        <v>132</v>
      </c>
      <c r="K864" s="3">
        <v>45304.25</v>
      </c>
      <c r="L864" s="4">
        <f>ROUNDDOWN(Table1[[#This Row],[Ordered]],0)</f>
        <v>45299</v>
      </c>
      <c r="M864" s="4">
        <f>Table1[[#This Row],[Date ]]</f>
        <v>45299</v>
      </c>
      <c r="N864" s="5">
        <f>Table1[[#This Row],[Ordered]]-Table1[[#This Row],[Date ]]</f>
        <v>0.33333333333575865</v>
      </c>
      <c r="O864">
        <f>Table1[[#This Row],[Company]]</f>
        <v>14</v>
      </c>
      <c r="P864">
        <f>IF(((Table1[[#This Row],[Arrived]]-Table1[[#This Row],[Delivery]])*24-Table1[[#This Row],[Promised]])&lt;0, 0, (Table1[[#This Row],[Arrived]]-Table1[[#This Row],[Delivery]])*24-Table1[[#This Row],[Promised]])</f>
        <v>0</v>
      </c>
      <c r="Q864"/>
    </row>
    <row r="865" spans="1:17" x14ac:dyDescent="0.45">
      <c r="A865" s="3">
        <v>45299.333333333336</v>
      </c>
      <c r="B865" t="s">
        <v>0</v>
      </c>
      <c r="C865">
        <v>12</v>
      </c>
      <c r="D865">
        <v>2001</v>
      </c>
      <c r="E865" t="s">
        <v>16</v>
      </c>
      <c r="F865">
        <v>30</v>
      </c>
      <c r="G865">
        <v>3800</v>
      </c>
      <c r="H865">
        <v>114000</v>
      </c>
      <c r="I865" s="3">
        <v>45299.458333333336</v>
      </c>
      <c r="J865">
        <v>120</v>
      </c>
      <c r="K865" s="3">
        <v>45303.958333333336</v>
      </c>
      <c r="L865" s="4">
        <f>ROUNDDOWN(Table1[[#This Row],[Ordered]],0)</f>
        <v>45299</v>
      </c>
      <c r="M865" s="4">
        <f>Table1[[#This Row],[Date ]]</f>
        <v>45299</v>
      </c>
      <c r="N865" s="5">
        <f>Table1[[#This Row],[Ordered]]-Table1[[#This Row],[Date ]]</f>
        <v>0.33333333333575865</v>
      </c>
      <c r="O865">
        <f>Table1[[#This Row],[Company]]</f>
        <v>12</v>
      </c>
      <c r="P865">
        <f>IF(((Table1[[#This Row],[Arrived]]-Table1[[#This Row],[Delivery]])*24-Table1[[#This Row],[Promised]])&lt;0, 0, (Table1[[#This Row],[Arrived]]-Table1[[#This Row],[Delivery]])*24-Table1[[#This Row],[Promised]])</f>
        <v>0</v>
      </c>
      <c r="Q865"/>
    </row>
    <row r="866" spans="1:17" x14ac:dyDescent="0.45">
      <c r="A866" s="3">
        <v>45299.333333333336</v>
      </c>
      <c r="B866" t="s">
        <v>0</v>
      </c>
      <c r="C866">
        <v>14</v>
      </c>
      <c r="D866">
        <v>2001</v>
      </c>
      <c r="E866" t="s">
        <v>15</v>
      </c>
      <c r="F866">
        <v>16</v>
      </c>
      <c r="G866">
        <v>6650</v>
      </c>
      <c r="H866">
        <v>106400</v>
      </c>
      <c r="I866" s="3">
        <v>45299.666666666664</v>
      </c>
      <c r="J866">
        <v>132</v>
      </c>
      <c r="K866" s="3">
        <v>45304.166666666664</v>
      </c>
      <c r="L866" s="4">
        <f>ROUNDDOWN(Table1[[#This Row],[Ordered]],0)</f>
        <v>45299</v>
      </c>
      <c r="M866" s="4">
        <f>Table1[[#This Row],[Date ]]</f>
        <v>45299</v>
      </c>
      <c r="N866" s="5">
        <f>Table1[[#This Row],[Ordered]]-Table1[[#This Row],[Date ]]</f>
        <v>0.33333333333575865</v>
      </c>
      <c r="O866">
        <f>Table1[[#This Row],[Company]]</f>
        <v>14</v>
      </c>
      <c r="P866">
        <f>IF(((Table1[[#This Row],[Arrived]]-Table1[[#This Row],[Delivery]])*24-Table1[[#This Row],[Promised]])&lt;0, 0, (Table1[[#This Row],[Arrived]]-Table1[[#This Row],[Delivery]])*24-Table1[[#This Row],[Promised]])</f>
        <v>0</v>
      </c>
      <c r="Q866"/>
    </row>
    <row r="867" spans="1:17" x14ac:dyDescent="0.45">
      <c r="A867" s="3">
        <v>45299.333333333336</v>
      </c>
      <c r="B867" t="s">
        <v>0</v>
      </c>
      <c r="C867">
        <v>11</v>
      </c>
      <c r="D867">
        <v>2001</v>
      </c>
      <c r="E867" t="s">
        <v>15</v>
      </c>
      <c r="F867">
        <v>14</v>
      </c>
      <c r="G867">
        <v>6650</v>
      </c>
      <c r="H867">
        <v>93100</v>
      </c>
      <c r="I867" s="3">
        <v>45299.625</v>
      </c>
      <c r="J867">
        <v>132</v>
      </c>
      <c r="K867" s="3">
        <v>45304.125</v>
      </c>
      <c r="L867" s="4">
        <f>ROUNDDOWN(Table1[[#This Row],[Ordered]],0)</f>
        <v>45299</v>
      </c>
      <c r="M867" s="4">
        <f>Table1[[#This Row],[Date ]]</f>
        <v>45299</v>
      </c>
      <c r="N867" s="5">
        <f>Table1[[#This Row],[Ordered]]-Table1[[#This Row],[Date ]]</f>
        <v>0.33333333333575865</v>
      </c>
      <c r="O867">
        <f>Table1[[#This Row],[Company]]</f>
        <v>11</v>
      </c>
      <c r="P867">
        <f>IF(((Table1[[#This Row],[Arrived]]-Table1[[#This Row],[Delivery]])*24-Table1[[#This Row],[Promised]])&lt;0, 0, (Table1[[#This Row],[Arrived]]-Table1[[#This Row],[Delivery]])*24-Table1[[#This Row],[Promised]])</f>
        <v>0</v>
      </c>
      <c r="Q867"/>
    </row>
    <row r="868" spans="1:17" x14ac:dyDescent="0.45">
      <c r="A868" s="3">
        <v>45299.333333333336</v>
      </c>
      <c r="B868" t="s">
        <v>0</v>
      </c>
      <c r="C868">
        <v>9</v>
      </c>
      <c r="D868">
        <v>2001</v>
      </c>
      <c r="E868" t="s">
        <v>15</v>
      </c>
      <c r="F868">
        <v>18</v>
      </c>
      <c r="G868">
        <v>6650</v>
      </c>
      <c r="H868">
        <v>119700</v>
      </c>
      <c r="I868" s="3">
        <v>45300.25</v>
      </c>
      <c r="J868">
        <v>132</v>
      </c>
      <c r="K868" s="3">
        <v>45304.75</v>
      </c>
      <c r="L868" s="4">
        <f>ROUNDDOWN(Table1[[#This Row],[Ordered]],0)</f>
        <v>45299</v>
      </c>
      <c r="M868" s="4">
        <f>Table1[[#This Row],[Date ]]</f>
        <v>45299</v>
      </c>
      <c r="N868" s="5">
        <f>Table1[[#This Row],[Ordered]]-Table1[[#This Row],[Date ]]</f>
        <v>0.33333333333575865</v>
      </c>
      <c r="O868">
        <f>Table1[[#This Row],[Company]]</f>
        <v>9</v>
      </c>
      <c r="P868">
        <f>IF(((Table1[[#This Row],[Arrived]]-Table1[[#This Row],[Delivery]])*24-Table1[[#This Row],[Promised]])&lt;0, 0, (Table1[[#This Row],[Arrived]]-Table1[[#This Row],[Delivery]])*24-Table1[[#This Row],[Promised]])</f>
        <v>0</v>
      </c>
      <c r="Q868"/>
    </row>
    <row r="869" spans="1:17" x14ac:dyDescent="0.45">
      <c r="A869" s="3">
        <v>45299.333333333336</v>
      </c>
      <c r="B869" t="s">
        <v>0</v>
      </c>
      <c r="C869">
        <v>8</v>
      </c>
      <c r="D869">
        <v>2001</v>
      </c>
      <c r="E869" t="s">
        <v>16</v>
      </c>
      <c r="F869">
        <v>30</v>
      </c>
      <c r="G869">
        <v>3380</v>
      </c>
      <c r="H869">
        <v>101400</v>
      </c>
      <c r="I869" s="3">
        <v>45300.25</v>
      </c>
      <c r="J869">
        <v>132</v>
      </c>
      <c r="K869" s="3">
        <v>45304.75</v>
      </c>
      <c r="L869" s="4">
        <f>ROUNDDOWN(Table1[[#This Row],[Ordered]],0)</f>
        <v>45299</v>
      </c>
      <c r="M869" s="4">
        <f>Table1[[#This Row],[Date ]]</f>
        <v>45299</v>
      </c>
      <c r="N869" s="5">
        <f>Table1[[#This Row],[Ordered]]-Table1[[#This Row],[Date ]]</f>
        <v>0.33333333333575865</v>
      </c>
      <c r="O869">
        <f>Table1[[#This Row],[Company]]</f>
        <v>8</v>
      </c>
      <c r="P869">
        <f>IF(((Table1[[#This Row],[Arrived]]-Table1[[#This Row],[Delivery]])*24-Table1[[#This Row],[Promised]])&lt;0, 0, (Table1[[#This Row],[Arrived]]-Table1[[#This Row],[Delivery]])*24-Table1[[#This Row],[Promised]])</f>
        <v>0</v>
      </c>
      <c r="Q869"/>
    </row>
    <row r="870" spans="1:17" x14ac:dyDescent="0.45">
      <c r="A870" s="3">
        <v>45299.333333333336</v>
      </c>
      <c r="B870" t="s">
        <v>0</v>
      </c>
      <c r="C870">
        <v>16</v>
      </c>
      <c r="D870">
        <v>2001</v>
      </c>
      <c r="E870" t="s">
        <v>16</v>
      </c>
      <c r="F870">
        <v>30</v>
      </c>
      <c r="G870">
        <v>3750</v>
      </c>
      <c r="H870">
        <v>112500</v>
      </c>
      <c r="I870" s="3">
        <v>45299.5</v>
      </c>
      <c r="J870">
        <v>132</v>
      </c>
      <c r="K870" s="3">
        <v>45304</v>
      </c>
      <c r="L870" s="4">
        <f>ROUNDDOWN(Table1[[#This Row],[Ordered]],0)</f>
        <v>45299</v>
      </c>
      <c r="M870" s="4">
        <f>Table1[[#This Row],[Date ]]</f>
        <v>45299</v>
      </c>
      <c r="N870" s="5">
        <f>Table1[[#This Row],[Ordered]]-Table1[[#This Row],[Date ]]</f>
        <v>0.33333333333575865</v>
      </c>
      <c r="O870">
        <f>Table1[[#This Row],[Company]]</f>
        <v>16</v>
      </c>
      <c r="P870">
        <f>IF(((Table1[[#This Row],[Arrived]]-Table1[[#This Row],[Delivery]])*24-Table1[[#This Row],[Promised]])&lt;0, 0, (Table1[[#This Row],[Arrived]]-Table1[[#This Row],[Delivery]])*24-Table1[[#This Row],[Promised]])</f>
        <v>0</v>
      </c>
      <c r="Q870"/>
    </row>
    <row r="871" spans="1:17" x14ac:dyDescent="0.45">
      <c r="A871" s="3">
        <v>45299.333333333336</v>
      </c>
      <c r="B871" t="s">
        <v>0</v>
      </c>
      <c r="C871">
        <v>8</v>
      </c>
      <c r="D871">
        <v>2001</v>
      </c>
      <c r="E871" t="s">
        <v>15</v>
      </c>
      <c r="F871">
        <v>30</v>
      </c>
      <c r="G871">
        <v>5700</v>
      </c>
      <c r="H871">
        <v>171000</v>
      </c>
      <c r="I871" s="3">
        <v>45300.25</v>
      </c>
      <c r="J871">
        <v>132</v>
      </c>
      <c r="K871" s="3">
        <v>45304.75</v>
      </c>
      <c r="L871" s="4">
        <f>ROUNDDOWN(Table1[[#This Row],[Ordered]],0)</f>
        <v>45299</v>
      </c>
      <c r="M871" s="4">
        <f>Table1[[#This Row],[Date ]]</f>
        <v>45299</v>
      </c>
      <c r="N871" s="5">
        <f>Table1[[#This Row],[Ordered]]-Table1[[#This Row],[Date ]]</f>
        <v>0.33333333333575865</v>
      </c>
      <c r="O871">
        <f>Table1[[#This Row],[Company]]</f>
        <v>8</v>
      </c>
      <c r="P871">
        <f>IF(((Table1[[#This Row],[Arrived]]-Table1[[#This Row],[Delivery]])*24-Table1[[#This Row],[Promised]])&lt;0, 0, (Table1[[#This Row],[Arrived]]-Table1[[#This Row],[Delivery]])*24-Table1[[#This Row],[Promised]])</f>
        <v>0</v>
      </c>
      <c r="Q871"/>
    </row>
    <row r="872" spans="1:17" x14ac:dyDescent="0.45">
      <c r="A872" s="3">
        <v>45299.333333333336</v>
      </c>
      <c r="B872" t="s">
        <v>0</v>
      </c>
      <c r="C872">
        <v>13</v>
      </c>
      <c r="D872">
        <v>2001</v>
      </c>
      <c r="E872" t="s">
        <v>15</v>
      </c>
      <c r="F872">
        <v>24</v>
      </c>
      <c r="G872">
        <v>6400</v>
      </c>
      <c r="H872">
        <v>153600</v>
      </c>
      <c r="I872" s="3">
        <v>45300.041666666664</v>
      </c>
      <c r="J872">
        <v>132</v>
      </c>
      <c r="K872" s="3">
        <v>45304.541666666664</v>
      </c>
      <c r="L872" s="4">
        <f>ROUNDDOWN(Table1[[#This Row],[Ordered]],0)</f>
        <v>45299</v>
      </c>
      <c r="M872" s="4">
        <f>Table1[[#This Row],[Date ]]</f>
        <v>45299</v>
      </c>
      <c r="N872" s="5">
        <f>Table1[[#This Row],[Ordered]]-Table1[[#This Row],[Date ]]</f>
        <v>0.33333333333575865</v>
      </c>
      <c r="O872">
        <f>Table1[[#This Row],[Company]]</f>
        <v>13</v>
      </c>
      <c r="P872">
        <f>IF(((Table1[[#This Row],[Arrived]]-Table1[[#This Row],[Delivery]])*24-Table1[[#This Row],[Promised]])&lt;0, 0, (Table1[[#This Row],[Arrived]]-Table1[[#This Row],[Delivery]])*24-Table1[[#This Row],[Promised]])</f>
        <v>0</v>
      </c>
      <c r="Q872"/>
    </row>
    <row r="873" spans="1:17" x14ac:dyDescent="0.45">
      <c r="A873" s="3">
        <v>45299.333333333336</v>
      </c>
      <c r="B873" t="s">
        <v>0</v>
      </c>
      <c r="C873">
        <v>7</v>
      </c>
      <c r="D873">
        <v>2001</v>
      </c>
      <c r="E873" t="s">
        <v>16</v>
      </c>
      <c r="F873">
        <v>30</v>
      </c>
      <c r="G873">
        <v>3650</v>
      </c>
      <c r="H873">
        <v>109500</v>
      </c>
      <c r="I873" s="3">
        <v>45299.875</v>
      </c>
      <c r="J873">
        <v>132</v>
      </c>
      <c r="K873" s="3">
        <v>45304.375</v>
      </c>
      <c r="L873" s="4">
        <f>ROUNDDOWN(Table1[[#This Row],[Ordered]],0)</f>
        <v>45299</v>
      </c>
      <c r="M873" s="4">
        <f>Table1[[#This Row],[Date ]]</f>
        <v>45299</v>
      </c>
      <c r="N873" s="5">
        <f>Table1[[#This Row],[Ordered]]-Table1[[#This Row],[Date ]]</f>
        <v>0.33333333333575865</v>
      </c>
      <c r="O873">
        <f>Table1[[#This Row],[Company]]</f>
        <v>7</v>
      </c>
      <c r="P873">
        <f>IF(((Table1[[#This Row],[Arrived]]-Table1[[#This Row],[Delivery]])*24-Table1[[#This Row],[Promised]])&lt;0, 0, (Table1[[#This Row],[Arrived]]-Table1[[#This Row],[Delivery]])*24-Table1[[#This Row],[Promised]])</f>
        <v>0</v>
      </c>
      <c r="Q873"/>
    </row>
    <row r="874" spans="1:17" x14ac:dyDescent="0.45">
      <c r="A874" s="3">
        <v>45299.333333333336</v>
      </c>
      <c r="B874" t="s">
        <v>0</v>
      </c>
      <c r="C874">
        <v>7</v>
      </c>
      <c r="D874">
        <v>2001</v>
      </c>
      <c r="E874" t="s">
        <v>15</v>
      </c>
      <c r="F874">
        <v>21</v>
      </c>
      <c r="G874">
        <v>6650</v>
      </c>
      <c r="H874">
        <v>139650</v>
      </c>
      <c r="I874" s="3">
        <v>45299.875</v>
      </c>
      <c r="J874">
        <v>132</v>
      </c>
      <c r="K874" s="3">
        <v>45304.375</v>
      </c>
      <c r="L874" s="4">
        <f>ROUNDDOWN(Table1[[#This Row],[Ordered]],0)</f>
        <v>45299</v>
      </c>
      <c r="M874" s="4">
        <f>Table1[[#This Row],[Date ]]</f>
        <v>45299</v>
      </c>
      <c r="N874" s="5">
        <f>Table1[[#This Row],[Ordered]]-Table1[[#This Row],[Date ]]</f>
        <v>0.33333333333575865</v>
      </c>
      <c r="O874">
        <f>Table1[[#This Row],[Company]]</f>
        <v>7</v>
      </c>
      <c r="P874">
        <f>IF(((Table1[[#This Row],[Arrived]]-Table1[[#This Row],[Delivery]])*24-Table1[[#This Row],[Promised]])&lt;0, 0, (Table1[[#This Row],[Arrived]]-Table1[[#This Row],[Delivery]])*24-Table1[[#This Row],[Promised]])</f>
        <v>0</v>
      </c>
      <c r="Q874"/>
    </row>
    <row r="875" spans="1:17" x14ac:dyDescent="0.45">
      <c r="A875" s="3">
        <v>45299.458333333336</v>
      </c>
      <c r="B875" t="s">
        <v>14</v>
      </c>
      <c r="C875">
        <v>7</v>
      </c>
      <c r="D875">
        <v>1007</v>
      </c>
      <c r="E875" t="s">
        <v>16</v>
      </c>
      <c r="F875">
        <v>30</v>
      </c>
      <c r="G875">
        <v>3650</v>
      </c>
      <c r="H875">
        <v>109500</v>
      </c>
      <c r="I875" s="3">
        <v>45299.833333333336</v>
      </c>
      <c r="J875">
        <v>96</v>
      </c>
      <c r="K875" s="3">
        <v>45302.958333333336</v>
      </c>
      <c r="L875" s="4">
        <f>ROUNDDOWN(Table1[[#This Row],[Ordered]],0)</f>
        <v>45299</v>
      </c>
      <c r="M875" s="4">
        <f>Table1[[#This Row],[Date ]]</f>
        <v>45299</v>
      </c>
      <c r="N875" s="5">
        <f>Table1[[#This Row],[Ordered]]-Table1[[#This Row],[Date ]]</f>
        <v>0.45833333333575865</v>
      </c>
      <c r="O875">
        <f>Table1[[#This Row],[Company]]</f>
        <v>7</v>
      </c>
      <c r="P875">
        <f>IF(((Table1[[#This Row],[Arrived]]-Table1[[#This Row],[Delivery]])*24-Table1[[#This Row],[Promised]])&lt;0, 0, (Table1[[#This Row],[Arrived]]-Table1[[#This Row],[Delivery]])*24-Table1[[#This Row],[Promised]])</f>
        <v>0</v>
      </c>
      <c r="Q875"/>
    </row>
    <row r="876" spans="1:17" x14ac:dyDescent="0.45">
      <c r="A876" s="3">
        <v>45299.458333333336</v>
      </c>
      <c r="B876" t="s">
        <v>14</v>
      </c>
      <c r="C876">
        <v>9</v>
      </c>
      <c r="D876">
        <v>1007</v>
      </c>
      <c r="E876" t="s">
        <v>16</v>
      </c>
      <c r="F876">
        <v>15</v>
      </c>
      <c r="G876">
        <v>3900</v>
      </c>
      <c r="H876">
        <v>58500</v>
      </c>
      <c r="I876" s="3">
        <v>45299.458333333336</v>
      </c>
      <c r="J876">
        <v>72</v>
      </c>
      <c r="K876" s="3">
        <v>45302.458333333336</v>
      </c>
      <c r="L876" s="4">
        <f>ROUNDDOWN(Table1[[#This Row],[Ordered]],0)</f>
        <v>45299</v>
      </c>
      <c r="M876" s="4">
        <f>Table1[[#This Row],[Date ]]</f>
        <v>45299</v>
      </c>
      <c r="N876" s="5">
        <f>Table1[[#This Row],[Ordered]]-Table1[[#This Row],[Date ]]</f>
        <v>0.45833333333575865</v>
      </c>
      <c r="O876">
        <f>Table1[[#This Row],[Company]]</f>
        <v>9</v>
      </c>
      <c r="P876">
        <f>IF(((Table1[[#This Row],[Arrived]]-Table1[[#This Row],[Delivery]])*24-Table1[[#This Row],[Promised]])&lt;0, 0, (Table1[[#This Row],[Arrived]]-Table1[[#This Row],[Delivery]])*24-Table1[[#This Row],[Promised]])</f>
        <v>0</v>
      </c>
      <c r="Q876"/>
    </row>
    <row r="877" spans="1:17" hidden="1" x14ac:dyDescent="0.45">
      <c r="A877" s="3">
        <v>45299.458333333336</v>
      </c>
      <c r="B877" t="s">
        <v>12</v>
      </c>
      <c r="C877">
        <v>3</v>
      </c>
      <c r="D877">
        <v>12</v>
      </c>
      <c r="E877" t="s">
        <v>13</v>
      </c>
      <c r="F877">
        <v>2700</v>
      </c>
      <c r="G877">
        <v>120</v>
      </c>
      <c r="H877">
        <v>324000</v>
      </c>
      <c r="I877" s="3">
        <v>45299.458333333336</v>
      </c>
      <c r="J877">
        <v>72</v>
      </c>
      <c r="K877" s="3">
        <v>45302.458333333336</v>
      </c>
      <c r="L877" s="4">
        <f>ROUNDDOWN(Table1[[#This Row],[Ordered]],0)</f>
        <v>45299</v>
      </c>
      <c r="M877" s="4">
        <f>Table1[[#This Row],[Date ]]</f>
        <v>45299</v>
      </c>
      <c r="N877" s="5">
        <f>Table1[[#This Row],[Ordered]]-Table1[[#This Row],[Date ]]</f>
        <v>0.45833333333575865</v>
      </c>
      <c r="O877">
        <f>Table1[[#This Row],[Company]]</f>
        <v>3</v>
      </c>
      <c r="P877">
        <f>IF(((Table1[[#This Row],[Arrived]]-Table1[[#This Row],[Delivery]])*24-Table1[[#This Row],[Promised]])&lt;0, 0, (Table1[[#This Row],[Arrived]]-Table1[[#This Row],[Delivery]])*24-Table1[[#This Row],[Promised]])</f>
        <v>0</v>
      </c>
      <c r="Q877"/>
    </row>
    <row r="878" spans="1:17" x14ac:dyDescent="0.45">
      <c r="A878" s="3">
        <v>45299.458333333336</v>
      </c>
      <c r="B878" t="s">
        <v>14</v>
      </c>
      <c r="C878">
        <v>13</v>
      </c>
      <c r="D878">
        <v>1007</v>
      </c>
      <c r="E878" t="s">
        <v>16</v>
      </c>
      <c r="F878">
        <v>30</v>
      </c>
      <c r="G878">
        <v>3750</v>
      </c>
      <c r="H878">
        <v>112500</v>
      </c>
      <c r="I878" s="3">
        <v>45300.458333333336</v>
      </c>
      <c r="J878">
        <v>96</v>
      </c>
      <c r="K878" s="3">
        <v>45303.458333333336</v>
      </c>
      <c r="L878" s="4">
        <f>ROUNDDOWN(Table1[[#This Row],[Ordered]],0)</f>
        <v>45299</v>
      </c>
      <c r="M878" s="4">
        <f>Table1[[#This Row],[Date ]]</f>
        <v>45299</v>
      </c>
      <c r="N878" s="5">
        <f>Table1[[#This Row],[Ordered]]-Table1[[#This Row],[Date ]]</f>
        <v>0.45833333333575865</v>
      </c>
      <c r="O878">
        <f>Table1[[#This Row],[Company]]</f>
        <v>13</v>
      </c>
      <c r="P878">
        <f>IF(((Table1[[#This Row],[Arrived]]-Table1[[#This Row],[Delivery]])*24-Table1[[#This Row],[Promised]])&lt;0, 0, (Table1[[#This Row],[Arrived]]-Table1[[#This Row],[Delivery]])*24-Table1[[#This Row],[Promised]])</f>
        <v>0</v>
      </c>
      <c r="Q878"/>
    </row>
    <row r="879" spans="1:17" x14ac:dyDescent="0.45">
      <c r="A879" s="3">
        <v>45299.458333333336</v>
      </c>
      <c r="B879" t="s">
        <v>14</v>
      </c>
      <c r="C879">
        <v>14</v>
      </c>
      <c r="D879">
        <v>1007</v>
      </c>
      <c r="E879" t="s">
        <v>16</v>
      </c>
      <c r="F879">
        <v>30</v>
      </c>
      <c r="G879">
        <v>3750</v>
      </c>
      <c r="H879">
        <v>112500</v>
      </c>
      <c r="I879" s="3">
        <v>45299.833333333336</v>
      </c>
      <c r="J879">
        <v>96</v>
      </c>
      <c r="K879" s="3">
        <v>45302.833333333336</v>
      </c>
      <c r="L879" s="4">
        <f>ROUNDDOWN(Table1[[#This Row],[Ordered]],0)</f>
        <v>45299</v>
      </c>
      <c r="M879" s="4">
        <f>Table1[[#This Row],[Date ]]</f>
        <v>45299</v>
      </c>
      <c r="N879" s="5">
        <f>Table1[[#This Row],[Ordered]]-Table1[[#This Row],[Date ]]</f>
        <v>0.45833333333575865</v>
      </c>
      <c r="O879">
        <f>Table1[[#This Row],[Company]]</f>
        <v>14</v>
      </c>
      <c r="P879">
        <f>IF(((Table1[[#This Row],[Arrived]]-Table1[[#This Row],[Delivery]])*24-Table1[[#This Row],[Promised]])&lt;0, 0, (Table1[[#This Row],[Arrived]]-Table1[[#This Row],[Delivery]])*24-Table1[[#This Row],[Promised]])</f>
        <v>0</v>
      </c>
      <c r="Q879"/>
    </row>
    <row r="880" spans="1:17" x14ac:dyDescent="0.45">
      <c r="A880" s="3">
        <v>45299.458333333336</v>
      </c>
      <c r="B880" t="s">
        <v>14</v>
      </c>
      <c r="C880">
        <v>8</v>
      </c>
      <c r="D880">
        <v>1007</v>
      </c>
      <c r="E880" t="s">
        <v>16</v>
      </c>
      <c r="F880">
        <v>30</v>
      </c>
      <c r="G880">
        <v>3600</v>
      </c>
      <c r="H880">
        <v>108000</v>
      </c>
      <c r="I880" s="3">
        <v>45300.25</v>
      </c>
      <c r="J880">
        <v>96</v>
      </c>
      <c r="K880" s="3">
        <v>45303.25</v>
      </c>
      <c r="L880" s="4">
        <f>ROUNDDOWN(Table1[[#This Row],[Ordered]],0)</f>
        <v>45299</v>
      </c>
      <c r="M880" s="4">
        <f>Table1[[#This Row],[Date ]]</f>
        <v>45299</v>
      </c>
      <c r="N880" s="5">
        <f>Table1[[#This Row],[Ordered]]-Table1[[#This Row],[Date ]]</f>
        <v>0.45833333333575865</v>
      </c>
      <c r="O880">
        <f>Table1[[#This Row],[Company]]</f>
        <v>8</v>
      </c>
      <c r="P880">
        <f>IF(((Table1[[#This Row],[Arrived]]-Table1[[#This Row],[Delivery]])*24-Table1[[#This Row],[Promised]])&lt;0, 0, (Table1[[#This Row],[Arrived]]-Table1[[#This Row],[Delivery]])*24-Table1[[#This Row],[Promised]])</f>
        <v>0</v>
      </c>
      <c r="Q880"/>
    </row>
    <row r="881" spans="1:17" x14ac:dyDescent="0.45">
      <c r="A881" s="3">
        <v>45299.458333333336</v>
      </c>
      <c r="B881" t="s">
        <v>14</v>
      </c>
      <c r="C881">
        <v>12</v>
      </c>
      <c r="D881">
        <v>1007</v>
      </c>
      <c r="E881" t="s">
        <v>16</v>
      </c>
      <c r="F881">
        <v>15</v>
      </c>
      <c r="G881">
        <v>4000</v>
      </c>
      <c r="H881">
        <v>60000</v>
      </c>
      <c r="I881" s="3">
        <v>45299.458333333336</v>
      </c>
      <c r="J881">
        <v>60</v>
      </c>
      <c r="K881" s="3">
        <v>45301.5</v>
      </c>
      <c r="L881" s="4">
        <f>ROUNDDOWN(Table1[[#This Row],[Ordered]],0)</f>
        <v>45299</v>
      </c>
      <c r="M881" s="4">
        <f>Table1[[#This Row],[Date ]]</f>
        <v>45299</v>
      </c>
      <c r="N881" s="5">
        <f>Table1[[#This Row],[Ordered]]-Table1[[#This Row],[Date ]]</f>
        <v>0.45833333333575865</v>
      </c>
      <c r="O881">
        <f>Table1[[#This Row],[Company]]</f>
        <v>12</v>
      </c>
      <c r="P881">
        <f>IF(((Table1[[#This Row],[Arrived]]-Table1[[#This Row],[Delivery]])*24-Table1[[#This Row],[Promised]])&lt;0, 0, (Table1[[#This Row],[Arrived]]-Table1[[#This Row],[Delivery]])*24-Table1[[#This Row],[Promised]])</f>
        <v>0</v>
      </c>
      <c r="Q881"/>
    </row>
    <row r="882" spans="1:17" x14ac:dyDescent="0.45">
      <c r="A882" s="3">
        <v>45299.458333333336</v>
      </c>
      <c r="B882" t="s">
        <v>14</v>
      </c>
      <c r="C882">
        <v>11</v>
      </c>
      <c r="D882">
        <v>1007</v>
      </c>
      <c r="E882" t="s">
        <v>16</v>
      </c>
      <c r="F882">
        <v>30</v>
      </c>
      <c r="G882">
        <v>4000</v>
      </c>
      <c r="H882">
        <v>120000</v>
      </c>
      <c r="I882" s="3">
        <v>45299.666666666664</v>
      </c>
      <c r="J882">
        <v>96</v>
      </c>
      <c r="K882" s="3">
        <v>45302.666666666664</v>
      </c>
      <c r="L882" s="4">
        <f>ROUNDDOWN(Table1[[#This Row],[Ordered]],0)</f>
        <v>45299</v>
      </c>
      <c r="M882" s="4">
        <f>Table1[[#This Row],[Date ]]</f>
        <v>45299</v>
      </c>
      <c r="N882" s="5">
        <f>Table1[[#This Row],[Ordered]]-Table1[[#This Row],[Date ]]</f>
        <v>0.45833333333575865</v>
      </c>
      <c r="O882">
        <f>Table1[[#This Row],[Company]]</f>
        <v>11</v>
      </c>
      <c r="P882">
        <f>IF(((Table1[[#This Row],[Arrived]]-Table1[[#This Row],[Delivery]])*24-Table1[[#This Row],[Promised]])&lt;0, 0, (Table1[[#This Row],[Arrived]]-Table1[[#This Row],[Delivery]])*24-Table1[[#This Row],[Promised]])</f>
        <v>0</v>
      </c>
      <c r="Q882"/>
    </row>
    <row r="883" spans="1:17" x14ac:dyDescent="0.45">
      <c r="A883" s="3">
        <v>45299.458333333336</v>
      </c>
      <c r="B883" t="s">
        <v>14</v>
      </c>
      <c r="C883">
        <v>15</v>
      </c>
      <c r="D883">
        <v>1007</v>
      </c>
      <c r="E883" t="s">
        <v>16</v>
      </c>
      <c r="F883">
        <v>30</v>
      </c>
      <c r="G883">
        <v>3850</v>
      </c>
      <c r="H883">
        <v>115500</v>
      </c>
      <c r="I883" s="3">
        <v>45299.625</v>
      </c>
      <c r="J883">
        <v>92</v>
      </c>
      <c r="K883" s="3">
        <v>45302.625</v>
      </c>
      <c r="L883" s="4">
        <f>ROUNDDOWN(Table1[[#This Row],[Ordered]],0)</f>
        <v>45299</v>
      </c>
      <c r="M883" s="4">
        <f>Table1[[#This Row],[Date ]]</f>
        <v>45299</v>
      </c>
      <c r="N883" s="5">
        <f>Table1[[#This Row],[Ordered]]-Table1[[#This Row],[Date ]]</f>
        <v>0.45833333333575865</v>
      </c>
      <c r="O883">
        <f>Table1[[#This Row],[Company]]</f>
        <v>15</v>
      </c>
      <c r="P883">
        <f>IF(((Table1[[#This Row],[Arrived]]-Table1[[#This Row],[Delivery]])*24-Table1[[#This Row],[Promised]])&lt;0, 0, (Table1[[#This Row],[Arrived]]-Table1[[#This Row],[Delivery]])*24-Table1[[#This Row],[Promised]])</f>
        <v>0</v>
      </c>
      <c r="Q883"/>
    </row>
    <row r="884" spans="1:17" x14ac:dyDescent="0.45">
      <c r="A884" s="3">
        <v>45299.458333333336</v>
      </c>
      <c r="B884" t="s">
        <v>14</v>
      </c>
      <c r="C884">
        <v>16</v>
      </c>
      <c r="D884">
        <v>1007</v>
      </c>
      <c r="E884" t="s">
        <v>16</v>
      </c>
      <c r="F884">
        <v>30</v>
      </c>
      <c r="G884">
        <v>3750</v>
      </c>
      <c r="H884">
        <v>112500</v>
      </c>
      <c r="I884" s="3">
        <v>45299.583333333336</v>
      </c>
      <c r="J884">
        <v>96</v>
      </c>
      <c r="K884" s="3">
        <v>45302.583333333336</v>
      </c>
      <c r="L884" s="4">
        <f>ROUNDDOWN(Table1[[#This Row],[Ordered]],0)</f>
        <v>45299</v>
      </c>
      <c r="M884" s="4">
        <f>Table1[[#This Row],[Date ]]</f>
        <v>45299</v>
      </c>
      <c r="N884" s="5">
        <f>Table1[[#This Row],[Ordered]]-Table1[[#This Row],[Date ]]</f>
        <v>0.45833333333575865</v>
      </c>
      <c r="O884">
        <f>Table1[[#This Row],[Company]]</f>
        <v>16</v>
      </c>
      <c r="P884">
        <f>IF(((Table1[[#This Row],[Arrived]]-Table1[[#This Row],[Delivery]])*24-Table1[[#This Row],[Promised]])&lt;0, 0, (Table1[[#This Row],[Arrived]]-Table1[[#This Row],[Delivery]])*24-Table1[[#This Row],[Promised]])</f>
        <v>0</v>
      </c>
      <c r="Q884"/>
    </row>
    <row r="885" spans="1:17" hidden="1" x14ac:dyDescent="0.45">
      <c r="A885" s="3">
        <v>45299.583333333336</v>
      </c>
      <c r="B885" t="s">
        <v>12</v>
      </c>
      <c r="C885">
        <v>3</v>
      </c>
      <c r="D885">
        <v>12</v>
      </c>
      <c r="E885" t="s">
        <v>17</v>
      </c>
      <c r="F885">
        <v>100</v>
      </c>
      <c r="G885">
        <v>1130</v>
      </c>
      <c r="H885">
        <v>113000</v>
      </c>
      <c r="I885" s="3">
        <v>45299.791666666664</v>
      </c>
      <c r="J885">
        <v>72</v>
      </c>
      <c r="K885" s="3">
        <v>45302.791666666664</v>
      </c>
      <c r="L885" s="4">
        <f>ROUNDDOWN(Table1[[#This Row],[Ordered]],0)</f>
        <v>45299</v>
      </c>
      <c r="M885" s="4">
        <f>Table1[[#This Row],[Date ]]</f>
        <v>45299</v>
      </c>
      <c r="N885" s="5">
        <f>Table1[[#This Row],[Ordered]]-Table1[[#This Row],[Date ]]</f>
        <v>0.58333333333575865</v>
      </c>
      <c r="O885">
        <f>Table1[[#This Row],[Company]]</f>
        <v>3</v>
      </c>
      <c r="P885">
        <f>IF(((Table1[[#This Row],[Arrived]]-Table1[[#This Row],[Delivery]])*24-Table1[[#This Row],[Promised]])&lt;0, 0, (Table1[[#This Row],[Arrived]]-Table1[[#This Row],[Delivery]])*24-Table1[[#This Row],[Promised]])</f>
        <v>0</v>
      </c>
      <c r="Q885"/>
    </row>
    <row r="886" spans="1:17" hidden="1" x14ac:dyDescent="0.45">
      <c r="A886" s="3">
        <v>45299.625</v>
      </c>
      <c r="B886" t="s">
        <v>12</v>
      </c>
      <c r="C886">
        <v>6</v>
      </c>
      <c r="D886">
        <v>11</v>
      </c>
      <c r="E886" t="s">
        <v>13</v>
      </c>
      <c r="F886">
        <v>1944</v>
      </c>
      <c r="G886">
        <v>100</v>
      </c>
      <c r="H886">
        <v>194400</v>
      </c>
      <c r="I886" s="3">
        <v>45299.708333333336</v>
      </c>
      <c r="J886">
        <v>72</v>
      </c>
      <c r="K886" s="3">
        <v>45302.708333333336</v>
      </c>
      <c r="L886" s="4">
        <f>ROUNDDOWN(Table1[[#This Row],[Ordered]],0)</f>
        <v>45299</v>
      </c>
      <c r="M886" s="4">
        <f>Table1[[#This Row],[Date ]]</f>
        <v>45299</v>
      </c>
      <c r="N886" s="5">
        <f>Table1[[#This Row],[Ordered]]-Table1[[#This Row],[Date ]]</f>
        <v>0.625</v>
      </c>
      <c r="O886">
        <f>Table1[[#This Row],[Company]]</f>
        <v>6</v>
      </c>
      <c r="P886">
        <f>IF(((Table1[[#This Row],[Arrived]]-Table1[[#This Row],[Delivery]])*24-Table1[[#This Row],[Promised]])&lt;0, 0, (Table1[[#This Row],[Arrived]]-Table1[[#This Row],[Delivery]])*24-Table1[[#This Row],[Promised]])</f>
        <v>0</v>
      </c>
      <c r="Q886"/>
    </row>
    <row r="887" spans="1:17" x14ac:dyDescent="0.45">
      <c r="A887" s="3">
        <v>45299.708333333336</v>
      </c>
      <c r="B887" t="s">
        <v>14</v>
      </c>
      <c r="C887">
        <v>15</v>
      </c>
      <c r="D887">
        <v>1007</v>
      </c>
      <c r="E887" t="s">
        <v>15</v>
      </c>
      <c r="F887">
        <v>15</v>
      </c>
      <c r="G887">
        <v>6650</v>
      </c>
      <c r="H887">
        <v>99750</v>
      </c>
      <c r="I887" s="3">
        <v>45300</v>
      </c>
      <c r="J887">
        <v>72</v>
      </c>
      <c r="K887" s="3">
        <v>45302</v>
      </c>
      <c r="L887" s="4">
        <f>ROUNDDOWN(Table1[[#This Row],[Ordered]],0)</f>
        <v>45299</v>
      </c>
      <c r="M887" s="4">
        <f>Table1[[#This Row],[Date ]]</f>
        <v>45299</v>
      </c>
      <c r="N887" s="5">
        <f>Table1[[#This Row],[Ordered]]-Table1[[#This Row],[Date ]]</f>
        <v>0.70833333333575865</v>
      </c>
      <c r="O887">
        <f>Table1[[#This Row],[Company]]</f>
        <v>15</v>
      </c>
      <c r="P887">
        <f>IF(((Table1[[#This Row],[Arrived]]-Table1[[#This Row],[Delivery]])*24-Table1[[#This Row],[Promised]])&lt;0, 0, (Table1[[#This Row],[Arrived]]-Table1[[#This Row],[Delivery]])*24-Table1[[#This Row],[Promised]])</f>
        <v>0</v>
      </c>
      <c r="Q887"/>
    </row>
    <row r="888" spans="1:17" x14ac:dyDescent="0.45">
      <c r="A888" s="3">
        <v>45299.708333333336</v>
      </c>
      <c r="B888" t="s">
        <v>14</v>
      </c>
      <c r="C888">
        <v>13</v>
      </c>
      <c r="D888">
        <v>1007</v>
      </c>
      <c r="E888" t="s">
        <v>15</v>
      </c>
      <c r="F888">
        <v>11</v>
      </c>
      <c r="G888">
        <v>6400</v>
      </c>
      <c r="H888">
        <v>70400</v>
      </c>
      <c r="I888" s="3">
        <v>45300.333333333336</v>
      </c>
      <c r="J888">
        <v>96</v>
      </c>
      <c r="K888" s="3">
        <v>45303.333333333336</v>
      </c>
      <c r="L888" s="4">
        <f>ROUNDDOWN(Table1[[#This Row],[Ordered]],0)</f>
        <v>45299</v>
      </c>
      <c r="M888" s="4">
        <f>Table1[[#This Row],[Date ]]</f>
        <v>45299</v>
      </c>
      <c r="N888" s="5">
        <f>Table1[[#This Row],[Ordered]]-Table1[[#This Row],[Date ]]</f>
        <v>0.70833333333575865</v>
      </c>
      <c r="O888">
        <f>Table1[[#This Row],[Company]]</f>
        <v>13</v>
      </c>
      <c r="P888">
        <f>IF(((Table1[[#This Row],[Arrived]]-Table1[[#This Row],[Delivery]])*24-Table1[[#This Row],[Promised]])&lt;0, 0, (Table1[[#This Row],[Arrived]]-Table1[[#This Row],[Delivery]])*24-Table1[[#This Row],[Promised]])</f>
        <v>0</v>
      </c>
      <c r="Q888"/>
    </row>
    <row r="889" spans="1:17" x14ac:dyDescent="0.45">
      <c r="A889" s="3">
        <v>45299.708333333336</v>
      </c>
      <c r="B889" t="s">
        <v>14</v>
      </c>
      <c r="C889">
        <v>12</v>
      </c>
      <c r="D889">
        <v>1007</v>
      </c>
      <c r="E889" t="s">
        <v>15</v>
      </c>
      <c r="F889">
        <v>13</v>
      </c>
      <c r="G889">
        <v>6900</v>
      </c>
      <c r="H889">
        <v>89700</v>
      </c>
      <c r="I889" s="3">
        <v>45299.791666666664</v>
      </c>
      <c r="J889">
        <v>84</v>
      </c>
      <c r="K889" s="3">
        <v>45302.791666666664</v>
      </c>
      <c r="L889" s="4">
        <f>ROUNDDOWN(Table1[[#This Row],[Ordered]],0)</f>
        <v>45299</v>
      </c>
      <c r="M889" s="4">
        <f>Table1[[#This Row],[Date ]]</f>
        <v>45299</v>
      </c>
      <c r="N889" s="5">
        <f>Table1[[#This Row],[Ordered]]-Table1[[#This Row],[Date ]]</f>
        <v>0.70833333333575865</v>
      </c>
      <c r="O889">
        <f>Table1[[#This Row],[Company]]</f>
        <v>12</v>
      </c>
      <c r="P889">
        <f>IF(((Table1[[#This Row],[Arrived]]-Table1[[#This Row],[Delivery]])*24-Table1[[#This Row],[Promised]])&lt;0, 0, (Table1[[#This Row],[Arrived]]-Table1[[#This Row],[Delivery]])*24-Table1[[#This Row],[Promised]])</f>
        <v>0</v>
      </c>
      <c r="Q889"/>
    </row>
    <row r="890" spans="1:17" hidden="1" x14ac:dyDescent="0.45">
      <c r="A890" s="3">
        <v>45299.708333333336</v>
      </c>
      <c r="B890" t="s">
        <v>12</v>
      </c>
      <c r="C890">
        <v>4</v>
      </c>
      <c r="D890">
        <v>8</v>
      </c>
      <c r="E890" t="s">
        <v>13</v>
      </c>
      <c r="F890">
        <v>2000</v>
      </c>
      <c r="G890">
        <v>110</v>
      </c>
      <c r="H890">
        <v>220000</v>
      </c>
      <c r="I890" s="3">
        <v>45299.708333333336</v>
      </c>
      <c r="J890">
        <v>48</v>
      </c>
      <c r="K890" s="3">
        <v>45301.708333333336</v>
      </c>
      <c r="L890" s="4">
        <f>ROUNDDOWN(Table1[[#This Row],[Ordered]],0)</f>
        <v>45299</v>
      </c>
      <c r="M890" s="4">
        <f>Table1[[#This Row],[Date ]]</f>
        <v>45299</v>
      </c>
      <c r="N890" s="5">
        <f>Table1[[#This Row],[Ordered]]-Table1[[#This Row],[Date ]]</f>
        <v>0.70833333333575865</v>
      </c>
      <c r="O890">
        <f>Table1[[#This Row],[Company]]</f>
        <v>4</v>
      </c>
      <c r="P890">
        <f>IF(((Table1[[#This Row],[Arrived]]-Table1[[#This Row],[Delivery]])*24-Table1[[#This Row],[Promised]])&lt;0, 0, (Table1[[#This Row],[Arrived]]-Table1[[#This Row],[Delivery]])*24-Table1[[#This Row],[Promised]])</f>
        <v>0</v>
      </c>
      <c r="Q890"/>
    </row>
    <row r="891" spans="1:17" x14ac:dyDescent="0.45">
      <c r="A891" s="3">
        <v>45299.708333333336</v>
      </c>
      <c r="B891" t="s">
        <v>14</v>
      </c>
      <c r="C891">
        <v>8</v>
      </c>
      <c r="D891">
        <v>1007</v>
      </c>
      <c r="E891" t="s">
        <v>15</v>
      </c>
      <c r="F891">
        <v>20</v>
      </c>
      <c r="G891">
        <v>5350</v>
      </c>
      <c r="H891">
        <v>107000</v>
      </c>
      <c r="I891" s="3">
        <v>45300.458333333336</v>
      </c>
      <c r="J891">
        <v>96</v>
      </c>
      <c r="K891" s="3">
        <v>45303.458333333336</v>
      </c>
      <c r="L891" s="4">
        <f>ROUNDDOWN(Table1[[#This Row],[Ordered]],0)</f>
        <v>45299</v>
      </c>
      <c r="M891" s="4">
        <f>Table1[[#This Row],[Date ]]</f>
        <v>45299</v>
      </c>
      <c r="N891" s="5">
        <f>Table1[[#This Row],[Ordered]]-Table1[[#This Row],[Date ]]</f>
        <v>0.70833333333575865</v>
      </c>
      <c r="O891">
        <f>Table1[[#This Row],[Company]]</f>
        <v>8</v>
      </c>
      <c r="P891">
        <f>IF(((Table1[[#This Row],[Arrived]]-Table1[[#This Row],[Delivery]])*24-Table1[[#This Row],[Promised]])&lt;0, 0, (Table1[[#This Row],[Arrived]]-Table1[[#This Row],[Delivery]])*24-Table1[[#This Row],[Promised]])</f>
        <v>0</v>
      </c>
      <c r="Q891"/>
    </row>
    <row r="892" spans="1:17" x14ac:dyDescent="0.45">
      <c r="A892" s="3">
        <v>45299.708333333336</v>
      </c>
      <c r="B892" t="s">
        <v>14</v>
      </c>
      <c r="C892">
        <v>16</v>
      </c>
      <c r="D892">
        <v>1007</v>
      </c>
      <c r="E892" t="s">
        <v>15</v>
      </c>
      <c r="F892">
        <v>17</v>
      </c>
      <c r="G892">
        <v>6650</v>
      </c>
      <c r="H892">
        <v>113050</v>
      </c>
      <c r="I892" s="3">
        <v>45299.958333333336</v>
      </c>
      <c r="J892">
        <v>96</v>
      </c>
      <c r="K892" s="3">
        <v>45302.958333333336</v>
      </c>
      <c r="L892" s="4">
        <f>ROUNDDOWN(Table1[[#This Row],[Ordered]],0)</f>
        <v>45299</v>
      </c>
      <c r="M892" s="4">
        <f>Table1[[#This Row],[Date ]]</f>
        <v>45299</v>
      </c>
      <c r="N892" s="5">
        <f>Table1[[#This Row],[Ordered]]-Table1[[#This Row],[Date ]]</f>
        <v>0.70833333333575865</v>
      </c>
      <c r="O892">
        <f>Table1[[#This Row],[Company]]</f>
        <v>16</v>
      </c>
      <c r="P892">
        <f>IF(((Table1[[#This Row],[Arrived]]-Table1[[#This Row],[Delivery]])*24-Table1[[#This Row],[Promised]])&lt;0, 0, (Table1[[#This Row],[Arrived]]-Table1[[#This Row],[Delivery]])*24-Table1[[#This Row],[Promised]])</f>
        <v>0</v>
      </c>
      <c r="Q892"/>
    </row>
    <row r="893" spans="1:17" x14ac:dyDescent="0.45">
      <c r="A893" s="3">
        <v>45299.708333333336</v>
      </c>
      <c r="B893" t="s">
        <v>14</v>
      </c>
      <c r="C893">
        <v>7</v>
      </c>
      <c r="D893">
        <v>1007</v>
      </c>
      <c r="E893" t="s">
        <v>15</v>
      </c>
      <c r="F893">
        <v>10</v>
      </c>
      <c r="G893">
        <v>6650</v>
      </c>
      <c r="H893">
        <v>66500</v>
      </c>
      <c r="I893" s="3">
        <v>45300.208333333336</v>
      </c>
      <c r="J893">
        <v>96</v>
      </c>
      <c r="K893" s="3">
        <v>45303.208333333336</v>
      </c>
      <c r="L893" s="4">
        <f>ROUNDDOWN(Table1[[#This Row],[Ordered]],0)</f>
        <v>45299</v>
      </c>
      <c r="M893" s="4">
        <f>Table1[[#This Row],[Date ]]</f>
        <v>45299</v>
      </c>
      <c r="N893" s="5">
        <f>Table1[[#This Row],[Ordered]]-Table1[[#This Row],[Date ]]</f>
        <v>0.70833333333575865</v>
      </c>
      <c r="O893">
        <f>Table1[[#This Row],[Company]]</f>
        <v>7</v>
      </c>
      <c r="P893">
        <f>IF(((Table1[[#This Row],[Arrived]]-Table1[[#This Row],[Delivery]])*24-Table1[[#This Row],[Promised]])&lt;0, 0, (Table1[[#This Row],[Arrived]]-Table1[[#This Row],[Delivery]])*24-Table1[[#This Row],[Promised]])</f>
        <v>0</v>
      </c>
      <c r="Q893"/>
    </row>
    <row r="894" spans="1:17" hidden="1" x14ac:dyDescent="0.45">
      <c r="A894" s="3">
        <v>45299.708333333336</v>
      </c>
      <c r="B894" t="s">
        <v>12</v>
      </c>
      <c r="C894">
        <v>2</v>
      </c>
      <c r="D894">
        <v>15</v>
      </c>
      <c r="E894" t="s">
        <v>17</v>
      </c>
      <c r="F894">
        <v>240</v>
      </c>
      <c r="G894">
        <v>1400</v>
      </c>
      <c r="H894">
        <v>336000</v>
      </c>
      <c r="I894" s="3">
        <v>45299.75</v>
      </c>
      <c r="J894">
        <v>24</v>
      </c>
      <c r="K894" s="3">
        <v>45300.75</v>
      </c>
      <c r="L894" s="4">
        <f>ROUNDDOWN(Table1[[#This Row],[Ordered]],0)</f>
        <v>45299</v>
      </c>
      <c r="M894" s="4">
        <f>Table1[[#This Row],[Date ]]</f>
        <v>45299</v>
      </c>
      <c r="N894" s="5">
        <f>Table1[[#This Row],[Ordered]]-Table1[[#This Row],[Date ]]</f>
        <v>0.70833333333575865</v>
      </c>
      <c r="O894">
        <f>Table1[[#This Row],[Company]]</f>
        <v>2</v>
      </c>
      <c r="P894">
        <f>IF(((Table1[[#This Row],[Arrived]]-Table1[[#This Row],[Delivery]])*24-Table1[[#This Row],[Promised]])&lt;0, 0, (Table1[[#This Row],[Arrived]]-Table1[[#This Row],[Delivery]])*24-Table1[[#This Row],[Promised]])</f>
        <v>0</v>
      </c>
      <c r="Q894"/>
    </row>
    <row r="895" spans="1:17" hidden="1" x14ac:dyDescent="0.45">
      <c r="A895" s="3">
        <v>45299.708333333336</v>
      </c>
      <c r="B895" t="s">
        <v>12</v>
      </c>
      <c r="C895">
        <v>2</v>
      </c>
      <c r="D895">
        <v>15</v>
      </c>
      <c r="E895" t="s">
        <v>17</v>
      </c>
      <c r="F895">
        <v>240</v>
      </c>
      <c r="G895">
        <v>1400</v>
      </c>
      <c r="H895">
        <v>336000</v>
      </c>
      <c r="I895" s="3">
        <v>45299.75</v>
      </c>
      <c r="J895">
        <v>24</v>
      </c>
      <c r="K895" s="3">
        <v>45300.75</v>
      </c>
      <c r="L895" s="4">
        <f>ROUNDDOWN(Table1[[#This Row],[Ordered]],0)</f>
        <v>45299</v>
      </c>
      <c r="M895" s="4">
        <f>Table1[[#This Row],[Date ]]</f>
        <v>45299</v>
      </c>
      <c r="N895" s="5">
        <f>Table1[[#This Row],[Ordered]]-Table1[[#This Row],[Date ]]</f>
        <v>0.70833333333575865</v>
      </c>
      <c r="O895">
        <f>Table1[[#This Row],[Company]]</f>
        <v>2</v>
      </c>
      <c r="P895">
        <f>IF(((Table1[[#This Row],[Arrived]]-Table1[[#This Row],[Delivery]])*24-Table1[[#This Row],[Promised]])&lt;0, 0, (Table1[[#This Row],[Arrived]]-Table1[[#This Row],[Delivery]])*24-Table1[[#This Row],[Promised]])</f>
        <v>0</v>
      </c>
      <c r="Q895"/>
    </row>
    <row r="896" spans="1:17" x14ac:dyDescent="0.45">
      <c r="A896" s="3">
        <v>45299.708333333336</v>
      </c>
      <c r="B896" t="s">
        <v>14</v>
      </c>
      <c r="C896">
        <v>9</v>
      </c>
      <c r="D896">
        <v>1007</v>
      </c>
      <c r="E896" t="s">
        <v>15</v>
      </c>
      <c r="F896">
        <v>7</v>
      </c>
      <c r="G896">
        <v>6650</v>
      </c>
      <c r="H896">
        <v>46550</v>
      </c>
      <c r="I896" s="3">
        <v>45300.625</v>
      </c>
      <c r="J896">
        <v>96</v>
      </c>
      <c r="K896" s="3">
        <v>45303.625</v>
      </c>
      <c r="L896" s="4">
        <f>ROUNDDOWN(Table1[[#This Row],[Ordered]],0)</f>
        <v>45299</v>
      </c>
      <c r="M896" s="4">
        <f>Table1[[#This Row],[Date ]]</f>
        <v>45299</v>
      </c>
      <c r="N896" s="5">
        <f>Table1[[#This Row],[Ordered]]-Table1[[#This Row],[Date ]]</f>
        <v>0.70833333333575865</v>
      </c>
      <c r="O896">
        <f>Table1[[#This Row],[Company]]</f>
        <v>9</v>
      </c>
      <c r="P896">
        <f>IF(((Table1[[#This Row],[Arrived]]-Table1[[#This Row],[Delivery]])*24-Table1[[#This Row],[Promised]])&lt;0, 0, (Table1[[#This Row],[Arrived]]-Table1[[#This Row],[Delivery]])*24-Table1[[#This Row],[Promised]])</f>
        <v>0</v>
      </c>
      <c r="Q896"/>
    </row>
    <row r="897" spans="1:17" x14ac:dyDescent="0.45">
      <c r="A897" s="3">
        <v>45299.708333333336</v>
      </c>
      <c r="B897" t="s">
        <v>14</v>
      </c>
      <c r="C897">
        <v>14</v>
      </c>
      <c r="D897">
        <v>1007</v>
      </c>
      <c r="E897" t="s">
        <v>15</v>
      </c>
      <c r="F897">
        <v>6</v>
      </c>
      <c r="G897">
        <v>6650</v>
      </c>
      <c r="H897">
        <v>39900</v>
      </c>
      <c r="I897" s="3">
        <v>45300.166666666664</v>
      </c>
      <c r="J897">
        <v>96</v>
      </c>
      <c r="K897" s="3">
        <v>45303.166666666664</v>
      </c>
      <c r="L897" s="4">
        <f>ROUNDDOWN(Table1[[#This Row],[Ordered]],0)</f>
        <v>45299</v>
      </c>
      <c r="M897" s="4">
        <f>Table1[[#This Row],[Date ]]</f>
        <v>45299</v>
      </c>
      <c r="N897" s="5">
        <f>Table1[[#This Row],[Ordered]]-Table1[[#This Row],[Date ]]</f>
        <v>0.70833333333575865</v>
      </c>
      <c r="O897">
        <f>Table1[[#This Row],[Company]]</f>
        <v>14</v>
      </c>
      <c r="P897">
        <f>IF(((Table1[[#This Row],[Arrived]]-Table1[[#This Row],[Delivery]])*24-Table1[[#This Row],[Promised]])&lt;0, 0, (Table1[[#This Row],[Arrived]]-Table1[[#This Row],[Delivery]])*24-Table1[[#This Row],[Promised]])</f>
        <v>0</v>
      </c>
      <c r="Q897"/>
    </row>
    <row r="898" spans="1:17" x14ac:dyDescent="0.45">
      <c r="A898" s="3">
        <v>45299.833333333336</v>
      </c>
      <c r="B898" t="s">
        <v>0</v>
      </c>
      <c r="C898">
        <v>16</v>
      </c>
      <c r="D898">
        <v>2002</v>
      </c>
      <c r="E898" t="s">
        <v>16</v>
      </c>
      <c r="F898">
        <v>30</v>
      </c>
      <c r="G898">
        <v>3750</v>
      </c>
      <c r="H898">
        <v>112500</v>
      </c>
      <c r="I898" s="3">
        <v>45300</v>
      </c>
      <c r="J898">
        <v>132</v>
      </c>
      <c r="K898" s="3">
        <v>45304.5</v>
      </c>
      <c r="L898" s="4">
        <f>ROUNDDOWN(Table1[[#This Row],[Ordered]],0)</f>
        <v>45299</v>
      </c>
      <c r="M898" s="4">
        <f>Table1[[#This Row],[Date ]]</f>
        <v>45299</v>
      </c>
      <c r="N898" s="5">
        <f>Table1[[#This Row],[Ordered]]-Table1[[#This Row],[Date ]]</f>
        <v>0.83333333333575865</v>
      </c>
      <c r="O898">
        <f>Table1[[#This Row],[Company]]</f>
        <v>16</v>
      </c>
      <c r="P898">
        <f>IF(((Table1[[#This Row],[Arrived]]-Table1[[#This Row],[Delivery]])*24-Table1[[#This Row],[Promised]])&lt;0, 0, (Table1[[#This Row],[Arrived]]-Table1[[#This Row],[Delivery]])*24-Table1[[#This Row],[Promised]])</f>
        <v>0</v>
      </c>
      <c r="Q898"/>
    </row>
    <row r="899" spans="1:17" x14ac:dyDescent="0.45">
      <c r="A899" s="3">
        <v>45299.833333333336</v>
      </c>
      <c r="B899" t="s">
        <v>0</v>
      </c>
      <c r="C899">
        <v>12</v>
      </c>
      <c r="D899">
        <v>2002</v>
      </c>
      <c r="E899" t="s">
        <v>16</v>
      </c>
      <c r="F899">
        <v>30</v>
      </c>
      <c r="G899">
        <v>3800</v>
      </c>
      <c r="H899">
        <v>114000</v>
      </c>
      <c r="I899" s="3">
        <v>45299.833333333336</v>
      </c>
      <c r="J899">
        <v>120</v>
      </c>
      <c r="K899" s="3">
        <v>45304.333333333336</v>
      </c>
      <c r="L899" s="4">
        <f>ROUNDDOWN(Table1[[#This Row],[Ordered]],0)</f>
        <v>45299</v>
      </c>
      <c r="M899" s="4">
        <f>Table1[[#This Row],[Date ]]</f>
        <v>45299</v>
      </c>
      <c r="N899" s="5">
        <f>Table1[[#This Row],[Ordered]]-Table1[[#This Row],[Date ]]</f>
        <v>0.83333333333575865</v>
      </c>
      <c r="O899">
        <f>Table1[[#This Row],[Company]]</f>
        <v>12</v>
      </c>
      <c r="P899">
        <f>IF(((Table1[[#This Row],[Arrived]]-Table1[[#This Row],[Delivery]])*24-Table1[[#This Row],[Promised]])&lt;0, 0, (Table1[[#This Row],[Arrived]]-Table1[[#This Row],[Delivery]])*24-Table1[[#This Row],[Promised]])</f>
        <v>0</v>
      </c>
      <c r="Q899"/>
    </row>
    <row r="900" spans="1:17" x14ac:dyDescent="0.45">
      <c r="A900" s="3">
        <v>45299.833333333336</v>
      </c>
      <c r="B900" t="s">
        <v>0</v>
      </c>
      <c r="C900">
        <v>12</v>
      </c>
      <c r="D900">
        <v>2002</v>
      </c>
      <c r="E900" t="s">
        <v>15</v>
      </c>
      <c r="F900">
        <v>26</v>
      </c>
      <c r="G900">
        <v>6750</v>
      </c>
      <c r="H900">
        <v>175500</v>
      </c>
      <c r="I900" s="3">
        <v>45300.791666666664</v>
      </c>
      <c r="J900">
        <v>120</v>
      </c>
      <c r="K900" s="3">
        <v>45305.291666666664</v>
      </c>
      <c r="L900" s="4">
        <f>ROUNDDOWN(Table1[[#This Row],[Ordered]],0)</f>
        <v>45299</v>
      </c>
      <c r="M900" s="4">
        <f>Table1[[#This Row],[Date ]]</f>
        <v>45299</v>
      </c>
      <c r="N900" s="5">
        <f>Table1[[#This Row],[Ordered]]-Table1[[#This Row],[Date ]]</f>
        <v>0.83333333333575865</v>
      </c>
      <c r="O900">
        <f>Table1[[#This Row],[Company]]</f>
        <v>12</v>
      </c>
      <c r="P900">
        <f>IF(((Table1[[#This Row],[Arrived]]-Table1[[#This Row],[Delivery]])*24-Table1[[#This Row],[Promised]])&lt;0, 0, (Table1[[#This Row],[Arrived]]-Table1[[#This Row],[Delivery]])*24-Table1[[#This Row],[Promised]])</f>
        <v>0</v>
      </c>
      <c r="Q900"/>
    </row>
    <row r="901" spans="1:17" x14ac:dyDescent="0.45">
      <c r="A901" s="3">
        <v>45299.833333333336</v>
      </c>
      <c r="B901" t="s">
        <v>0</v>
      </c>
      <c r="C901">
        <v>13</v>
      </c>
      <c r="D901">
        <v>2002</v>
      </c>
      <c r="E901" t="s">
        <v>15</v>
      </c>
      <c r="F901">
        <v>22</v>
      </c>
      <c r="G901">
        <v>6400</v>
      </c>
      <c r="H901">
        <v>140800</v>
      </c>
      <c r="I901" s="3">
        <v>45300.625</v>
      </c>
      <c r="J901">
        <v>132</v>
      </c>
      <c r="K901" s="3">
        <v>45305.125</v>
      </c>
      <c r="L901" s="4">
        <f>ROUNDDOWN(Table1[[#This Row],[Ordered]],0)</f>
        <v>45299</v>
      </c>
      <c r="M901" s="4">
        <f>Table1[[#This Row],[Date ]]</f>
        <v>45299</v>
      </c>
      <c r="N901" s="5">
        <f>Table1[[#This Row],[Ordered]]-Table1[[#This Row],[Date ]]</f>
        <v>0.83333333333575865</v>
      </c>
      <c r="O901">
        <f>Table1[[#This Row],[Company]]</f>
        <v>13</v>
      </c>
      <c r="P901">
        <f>IF(((Table1[[#This Row],[Arrived]]-Table1[[#This Row],[Delivery]])*24-Table1[[#This Row],[Promised]])&lt;0, 0, (Table1[[#This Row],[Arrived]]-Table1[[#This Row],[Delivery]])*24-Table1[[#This Row],[Promised]])</f>
        <v>0</v>
      </c>
      <c r="Q901"/>
    </row>
    <row r="902" spans="1:17" x14ac:dyDescent="0.45">
      <c r="A902" s="3">
        <v>45299.833333333336</v>
      </c>
      <c r="B902" t="s">
        <v>0</v>
      </c>
      <c r="C902">
        <v>8</v>
      </c>
      <c r="D902">
        <v>2002</v>
      </c>
      <c r="E902" t="s">
        <v>15</v>
      </c>
      <c r="F902">
        <v>30</v>
      </c>
      <c r="G902">
        <v>5700</v>
      </c>
      <c r="H902">
        <v>171000</v>
      </c>
      <c r="I902" s="3">
        <v>45300.625</v>
      </c>
      <c r="J902">
        <v>132</v>
      </c>
      <c r="K902" s="3">
        <v>45305.125</v>
      </c>
      <c r="L902" s="4">
        <f>ROUNDDOWN(Table1[[#This Row],[Ordered]],0)</f>
        <v>45299</v>
      </c>
      <c r="M902" s="4">
        <f>Table1[[#This Row],[Date ]]</f>
        <v>45299</v>
      </c>
      <c r="N902" s="5">
        <f>Table1[[#This Row],[Ordered]]-Table1[[#This Row],[Date ]]</f>
        <v>0.83333333333575865</v>
      </c>
      <c r="O902">
        <f>Table1[[#This Row],[Company]]</f>
        <v>8</v>
      </c>
      <c r="P902">
        <f>IF(((Table1[[#This Row],[Arrived]]-Table1[[#This Row],[Delivery]])*24-Table1[[#This Row],[Promised]])&lt;0, 0, (Table1[[#This Row],[Arrived]]-Table1[[#This Row],[Delivery]])*24-Table1[[#This Row],[Promised]])</f>
        <v>0</v>
      </c>
      <c r="Q902"/>
    </row>
    <row r="903" spans="1:17" x14ac:dyDescent="0.45">
      <c r="A903" s="3">
        <v>45299.833333333336</v>
      </c>
      <c r="B903" t="s">
        <v>0</v>
      </c>
      <c r="C903">
        <v>13</v>
      </c>
      <c r="D903">
        <v>2002</v>
      </c>
      <c r="E903" t="s">
        <v>16</v>
      </c>
      <c r="F903">
        <v>30</v>
      </c>
      <c r="G903">
        <v>3500</v>
      </c>
      <c r="H903">
        <v>105000</v>
      </c>
      <c r="I903" s="3">
        <v>45300.541666666664</v>
      </c>
      <c r="J903">
        <v>132</v>
      </c>
      <c r="K903" s="3">
        <v>45305.041666666664</v>
      </c>
      <c r="L903" s="4">
        <f>ROUNDDOWN(Table1[[#This Row],[Ordered]],0)</f>
        <v>45299</v>
      </c>
      <c r="M903" s="4">
        <f>Table1[[#This Row],[Date ]]</f>
        <v>45299</v>
      </c>
      <c r="N903" s="5">
        <f>Table1[[#This Row],[Ordered]]-Table1[[#This Row],[Date ]]</f>
        <v>0.83333333333575865</v>
      </c>
      <c r="O903">
        <f>Table1[[#This Row],[Company]]</f>
        <v>13</v>
      </c>
      <c r="P903">
        <f>IF(((Table1[[#This Row],[Arrived]]-Table1[[#This Row],[Delivery]])*24-Table1[[#This Row],[Promised]])&lt;0, 0, (Table1[[#This Row],[Arrived]]-Table1[[#This Row],[Delivery]])*24-Table1[[#This Row],[Promised]])</f>
        <v>0</v>
      </c>
      <c r="Q903"/>
    </row>
    <row r="904" spans="1:17" x14ac:dyDescent="0.45">
      <c r="A904" s="3">
        <v>45299.833333333336</v>
      </c>
      <c r="B904" t="s">
        <v>0</v>
      </c>
      <c r="C904">
        <v>7</v>
      </c>
      <c r="D904">
        <v>2002</v>
      </c>
      <c r="E904" t="s">
        <v>15</v>
      </c>
      <c r="F904">
        <v>19</v>
      </c>
      <c r="G904">
        <v>6650</v>
      </c>
      <c r="H904">
        <v>126350</v>
      </c>
      <c r="I904" s="3">
        <v>45300.333333333336</v>
      </c>
      <c r="J904">
        <v>132</v>
      </c>
      <c r="K904" s="3">
        <v>45304.833333333336</v>
      </c>
      <c r="L904" s="4">
        <f>ROUNDDOWN(Table1[[#This Row],[Ordered]],0)</f>
        <v>45299</v>
      </c>
      <c r="M904" s="4">
        <f>Table1[[#This Row],[Date ]]</f>
        <v>45299</v>
      </c>
      <c r="N904" s="5">
        <f>Table1[[#This Row],[Ordered]]-Table1[[#This Row],[Date ]]</f>
        <v>0.83333333333575865</v>
      </c>
      <c r="O904">
        <f>Table1[[#This Row],[Company]]</f>
        <v>7</v>
      </c>
      <c r="P904">
        <f>IF(((Table1[[#This Row],[Arrived]]-Table1[[#This Row],[Delivery]])*24-Table1[[#This Row],[Promised]])&lt;0, 0, (Table1[[#This Row],[Arrived]]-Table1[[#This Row],[Delivery]])*24-Table1[[#This Row],[Promised]])</f>
        <v>0</v>
      </c>
      <c r="Q904"/>
    </row>
    <row r="905" spans="1:17" x14ac:dyDescent="0.45">
      <c r="A905" s="3">
        <v>45299.833333333336</v>
      </c>
      <c r="B905" t="s">
        <v>0</v>
      </c>
      <c r="C905">
        <v>15</v>
      </c>
      <c r="D905">
        <v>2002</v>
      </c>
      <c r="E905" t="s">
        <v>15</v>
      </c>
      <c r="F905">
        <v>34</v>
      </c>
      <c r="G905">
        <v>6900</v>
      </c>
      <c r="H905">
        <v>234600</v>
      </c>
      <c r="I905" s="3">
        <v>45299.875</v>
      </c>
      <c r="J905">
        <v>54</v>
      </c>
      <c r="K905" s="3">
        <v>45301.375</v>
      </c>
      <c r="L905" s="4">
        <f>ROUNDDOWN(Table1[[#This Row],[Ordered]],0)</f>
        <v>45299</v>
      </c>
      <c r="M905" s="4">
        <f>Table1[[#This Row],[Date ]]</f>
        <v>45299</v>
      </c>
      <c r="N905" s="5">
        <f>Table1[[#This Row],[Ordered]]-Table1[[#This Row],[Date ]]</f>
        <v>0.83333333333575865</v>
      </c>
      <c r="O905">
        <f>Table1[[#This Row],[Company]]</f>
        <v>15</v>
      </c>
      <c r="P905">
        <f>IF(((Table1[[#This Row],[Arrived]]-Table1[[#This Row],[Delivery]])*24-Table1[[#This Row],[Promised]])&lt;0, 0, (Table1[[#This Row],[Arrived]]-Table1[[#This Row],[Delivery]])*24-Table1[[#This Row],[Promised]])</f>
        <v>0</v>
      </c>
      <c r="Q905"/>
    </row>
    <row r="906" spans="1:17" x14ac:dyDescent="0.45">
      <c r="A906" s="3">
        <v>45299.833333333336</v>
      </c>
      <c r="B906" t="s">
        <v>0</v>
      </c>
      <c r="C906">
        <v>9</v>
      </c>
      <c r="D906">
        <v>2002</v>
      </c>
      <c r="E906" t="s">
        <v>15</v>
      </c>
      <c r="F906">
        <v>13</v>
      </c>
      <c r="G906">
        <v>6650</v>
      </c>
      <c r="H906">
        <v>86450</v>
      </c>
      <c r="I906" s="3">
        <v>45300.708333333336</v>
      </c>
      <c r="J906">
        <v>132</v>
      </c>
      <c r="K906" s="3">
        <v>45305.208333333336</v>
      </c>
      <c r="L906" s="4">
        <f>ROUNDDOWN(Table1[[#This Row],[Ordered]],0)</f>
        <v>45299</v>
      </c>
      <c r="M906" s="4">
        <f>Table1[[#This Row],[Date ]]</f>
        <v>45299</v>
      </c>
      <c r="N906" s="5">
        <f>Table1[[#This Row],[Ordered]]-Table1[[#This Row],[Date ]]</f>
        <v>0.83333333333575865</v>
      </c>
      <c r="O906">
        <f>Table1[[#This Row],[Company]]</f>
        <v>9</v>
      </c>
      <c r="P906">
        <f>IF(((Table1[[#This Row],[Arrived]]-Table1[[#This Row],[Delivery]])*24-Table1[[#This Row],[Promised]])&lt;0, 0, (Table1[[#This Row],[Arrived]]-Table1[[#This Row],[Delivery]])*24-Table1[[#This Row],[Promised]])</f>
        <v>0</v>
      </c>
      <c r="Q906"/>
    </row>
    <row r="907" spans="1:17" x14ac:dyDescent="0.45">
      <c r="A907" s="3">
        <v>45299.833333333336</v>
      </c>
      <c r="B907" t="s">
        <v>0</v>
      </c>
      <c r="C907">
        <v>7</v>
      </c>
      <c r="D907">
        <v>2002</v>
      </c>
      <c r="E907" t="s">
        <v>16</v>
      </c>
      <c r="F907">
        <v>30</v>
      </c>
      <c r="G907">
        <v>3650</v>
      </c>
      <c r="H907">
        <v>109500</v>
      </c>
      <c r="I907" s="3">
        <v>45300.416666666664</v>
      </c>
      <c r="J907">
        <v>132</v>
      </c>
      <c r="K907" s="3">
        <v>45304.916666666664</v>
      </c>
      <c r="L907" s="4">
        <f>ROUNDDOWN(Table1[[#This Row],[Ordered]],0)</f>
        <v>45299</v>
      </c>
      <c r="M907" s="4">
        <f>Table1[[#This Row],[Date ]]</f>
        <v>45299</v>
      </c>
      <c r="N907" s="5">
        <f>Table1[[#This Row],[Ordered]]-Table1[[#This Row],[Date ]]</f>
        <v>0.83333333333575865</v>
      </c>
      <c r="O907">
        <f>Table1[[#This Row],[Company]]</f>
        <v>7</v>
      </c>
      <c r="P907">
        <f>IF(((Table1[[#This Row],[Arrived]]-Table1[[#This Row],[Delivery]])*24-Table1[[#This Row],[Promised]])&lt;0, 0, (Table1[[#This Row],[Arrived]]-Table1[[#This Row],[Delivery]])*24-Table1[[#This Row],[Promised]])</f>
        <v>0</v>
      </c>
      <c r="Q907"/>
    </row>
    <row r="908" spans="1:17" x14ac:dyDescent="0.45">
      <c r="A908" s="3">
        <v>45299.833333333336</v>
      </c>
      <c r="B908" t="s">
        <v>0</v>
      </c>
      <c r="C908">
        <v>16</v>
      </c>
      <c r="D908">
        <v>2002</v>
      </c>
      <c r="E908" t="s">
        <v>15</v>
      </c>
      <c r="F908">
        <v>29</v>
      </c>
      <c r="G908">
        <v>6650</v>
      </c>
      <c r="H908">
        <v>192850</v>
      </c>
      <c r="I908" s="3">
        <v>45299.958333333336</v>
      </c>
      <c r="J908">
        <v>132</v>
      </c>
      <c r="K908" s="3">
        <v>45304.458333333336</v>
      </c>
      <c r="L908" s="4">
        <f>ROUNDDOWN(Table1[[#This Row],[Ordered]],0)</f>
        <v>45299</v>
      </c>
      <c r="M908" s="4">
        <f>Table1[[#This Row],[Date ]]</f>
        <v>45299</v>
      </c>
      <c r="N908" s="5">
        <f>Table1[[#This Row],[Ordered]]-Table1[[#This Row],[Date ]]</f>
        <v>0.83333333333575865</v>
      </c>
      <c r="O908">
        <f>Table1[[#This Row],[Company]]</f>
        <v>16</v>
      </c>
      <c r="P908">
        <f>IF(((Table1[[#This Row],[Arrived]]-Table1[[#This Row],[Delivery]])*24-Table1[[#This Row],[Promised]])&lt;0, 0, (Table1[[#This Row],[Arrived]]-Table1[[#This Row],[Delivery]])*24-Table1[[#This Row],[Promised]])</f>
        <v>0</v>
      </c>
      <c r="Q908"/>
    </row>
    <row r="909" spans="1:17" x14ac:dyDescent="0.45">
      <c r="A909" s="3">
        <v>45299.833333333336</v>
      </c>
      <c r="B909" t="s">
        <v>0</v>
      </c>
      <c r="C909">
        <v>8</v>
      </c>
      <c r="D909">
        <v>2002</v>
      </c>
      <c r="E909" t="s">
        <v>16</v>
      </c>
      <c r="F909">
        <v>30</v>
      </c>
      <c r="G909">
        <v>3380</v>
      </c>
      <c r="H909">
        <v>101400</v>
      </c>
      <c r="I909" s="3">
        <v>45300.625</v>
      </c>
      <c r="J909">
        <v>132</v>
      </c>
      <c r="K909" s="3">
        <v>45305.125</v>
      </c>
      <c r="L909" s="4">
        <f>ROUNDDOWN(Table1[[#This Row],[Ordered]],0)</f>
        <v>45299</v>
      </c>
      <c r="M909" s="4">
        <f>Table1[[#This Row],[Date ]]</f>
        <v>45299</v>
      </c>
      <c r="N909" s="5">
        <f>Table1[[#This Row],[Ordered]]-Table1[[#This Row],[Date ]]</f>
        <v>0.83333333333575865</v>
      </c>
      <c r="O909">
        <f>Table1[[#This Row],[Company]]</f>
        <v>8</v>
      </c>
      <c r="P909">
        <f>IF(((Table1[[#This Row],[Arrived]]-Table1[[#This Row],[Delivery]])*24-Table1[[#This Row],[Promised]])&lt;0, 0, (Table1[[#This Row],[Arrived]]-Table1[[#This Row],[Delivery]])*24-Table1[[#This Row],[Promised]])</f>
        <v>0</v>
      </c>
      <c r="Q909"/>
    </row>
    <row r="910" spans="1:17" x14ac:dyDescent="0.45">
      <c r="A910" s="3">
        <v>45299.833333333336</v>
      </c>
      <c r="B910" t="s">
        <v>0</v>
      </c>
      <c r="C910">
        <v>14</v>
      </c>
      <c r="D910">
        <v>2002</v>
      </c>
      <c r="E910" t="s">
        <v>15</v>
      </c>
      <c r="F910">
        <v>17</v>
      </c>
      <c r="G910">
        <v>6650</v>
      </c>
      <c r="H910">
        <v>113050</v>
      </c>
      <c r="I910" s="3">
        <v>45300.541666666664</v>
      </c>
      <c r="J910">
        <v>132</v>
      </c>
      <c r="K910" s="3">
        <v>45305.041666666664</v>
      </c>
      <c r="L910" s="4">
        <f>ROUNDDOWN(Table1[[#This Row],[Ordered]],0)</f>
        <v>45299</v>
      </c>
      <c r="M910" s="4">
        <f>Table1[[#This Row],[Date ]]</f>
        <v>45299</v>
      </c>
      <c r="N910" s="5">
        <f>Table1[[#This Row],[Ordered]]-Table1[[#This Row],[Date ]]</f>
        <v>0.83333333333575865</v>
      </c>
      <c r="O910">
        <f>Table1[[#This Row],[Company]]</f>
        <v>14</v>
      </c>
      <c r="P910">
        <f>IF(((Table1[[#This Row],[Arrived]]-Table1[[#This Row],[Delivery]])*24-Table1[[#This Row],[Promised]])&lt;0, 0, (Table1[[#This Row],[Arrived]]-Table1[[#This Row],[Delivery]])*24-Table1[[#This Row],[Promised]])</f>
        <v>0</v>
      </c>
      <c r="Q910"/>
    </row>
    <row r="911" spans="1:17" x14ac:dyDescent="0.45">
      <c r="A911" s="3">
        <v>45299.833333333336</v>
      </c>
      <c r="B911" t="s">
        <v>0</v>
      </c>
      <c r="C911">
        <v>15</v>
      </c>
      <c r="D911">
        <v>2002</v>
      </c>
      <c r="E911" t="s">
        <v>16</v>
      </c>
      <c r="F911">
        <v>50</v>
      </c>
      <c r="G911">
        <v>3750</v>
      </c>
      <c r="H911">
        <v>187500</v>
      </c>
      <c r="I911" s="3">
        <v>45300.208333333336</v>
      </c>
      <c r="J911">
        <v>132</v>
      </c>
      <c r="K911" s="3">
        <v>45304.708333333336</v>
      </c>
      <c r="L911" s="4">
        <f>ROUNDDOWN(Table1[[#This Row],[Ordered]],0)</f>
        <v>45299</v>
      </c>
      <c r="M911" s="4">
        <f>Table1[[#This Row],[Date ]]</f>
        <v>45299</v>
      </c>
      <c r="N911" s="5">
        <f>Table1[[#This Row],[Ordered]]-Table1[[#This Row],[Date ]]</f>
        <v>0.83333333333575865</v>
      </c>
      <c r="O911">
        <f>Table1[[#This Row],[Company]]</f>
        <v>15</v>
      </c>
      <c r="P911">
        <f>IF(((Table1[[#This Row],[Arrived]]-Table1[[#This Row],[Delivery]])*24-Table1[[#This Row],[Promised]])&lt;0, 0, (Table1[[#This Row],[Arrived]]-Table1[[#This Row],[Delivery]])*24-Table1[[#This Row],[Promised]])</f>
        <v>0</v>
      </c>
      <c r="Q911"/>
    </row>
    <row r="912" spans="1:17" x14ac:dyDescent="0.45">
      <c r="A912" s="3">
        <v>45299.833333333336</v>
      </c>
      <c r="B912" t="s">
        <v>0</v>
      </c>
      <c r="C912">
        <v>10</v>
      </c>
      <c r="D912">
        <v>2002</v>
      </c>
      <c r="E912" t="s">
        <v>16</v>
      </c>
      <c r="F912">
        <v>30</v>
      </c>
      <c r="G912">
        <v>4200</v>
      </c>
      <c r="H912">
        <v>126000</v>
      </c>
      <c r="I912" s="3">
        <v>45300.125</v>
      </c>
      <c r="J912">
        <v>132</v>
      </c>
      <c r="K912" s="3">
        <v>45304.625</v>
      </c>
      <c r="L912" s="4">
        <f>ROUNDDOWN(Table1[[#This Row],[Ordered]],0)</f>
        <v>45299</v>
      </c>
      <c r="M912" s="4">
        <f>Table1[[#This Row],[Date ]]</f>
        <v>45299</v>
      </c>
      <c r="N912" s="5">
        <f>Table1[[#This Row],[Ordered]]-Table1[[#This Row],[Date ]]</f>
        <v>0.83333333333575865</v>
      </c>
      <c r="O912">
        <f>Table1[[#This Row],[Company]]</f>
        <v>10</v>
      </c>
      <c r="P912">
        <f>IF(((Table1[[#This Row],[Arrived]]-Table1[[#This Row],[Delivery]])*24-Table1[[#This Row],[Promised]])&lt;0, 0, (Table1[[#This Row],[Arrived]]-Table1[[#This Row],[Delivery]])*24-Table1[[#This Row],[Promised]])</f>
        <v>0</v>
      </c>
      <c r="Q912"/>
    </row>
    <row r="913" spans="1:17" x14ac:dyDescent="0.45">
      <c r="A913" s="3">
        <v>45299.833333333336</v>
      </c>
      <c r="B913" t="s">
        <v>0</v>
      </c>
      <c r="C913">
        <v>11</v>
      </c>
      <c r="D913">
        <v>2002</v>
      </c>
      <c r="E913" t="s">
        <v>16</v>
      </c>
      <c r="F913">
        <v>40</v>
      </c>
      <c r="G913">
        <v>4000</v>
      </c>
      <c r="H913">
        <v>160000</v>
      </c>
      <c r="I913" s="3">
        <v>45300.125</v>
      </c>
      <c r="J913">
        <v>132</v>
      </c>
      <c r="K913" s="3">
        <v>45304.625</v>
      </c>
      <c r="L913" s="4">
        <f>ROUNDDOWN(Table1[[#This Row],[Ordered]],0)</f>
        <v>45299</v>
      </c>
      <c r="M913" s="4">
        <f>Table1[[#This Row],[Date ]]</f>
        <v>45299</v>
      </c>
      <c r="N913" s="5">
        <f>Table1[[#This Row],[Ordered]]-Table1[[#This Row],[Date ]]</f>
        <v>0.83333333333575865</v>
      </c>
      <c r="O913">
        <f>Table1[[#This Row],[Company]]</f>
        <v>11</v>
      </c>
      <c r="P913">
        <f>IF(((Table1[[#This Row],[Arrived]]-Table1[[#This Row],[Delivery]])*24-Table1[[#This Row],[Promised]])&lt;0, 0, (Table1[[#This Row],[Arrived]]-Table1[[#This Row],[Delivery]])*24-Table1[[#This Row],[Promised]])</f>
        <v>0</v>
      </c>
      <c r="Q913"/>
    </row>
    <row r="914" spans="1:17" x14ac:dyDescent="0.45">
      <c r="A914" s="3">
        <v>45299.833333333336</v>
      </c>
      <c r="B914" t="s">
        <v>0</v>
      </c>
      <c r="C914">
        <v>11</v>
      </c>
      <c r="D914">
        <v>2002</v>
      </c>
      <c r="E914" t="s">
        <v>15</v>
      </c>
      <c r="F914">
        <v>15</v>
      </c>
      <c r="G914">
        <v>6650</v>
      </c>
      <c r="H914">
        <v>99750</v>
      </c>
      <c r="I914" s="3">
        <v>45300.333333333336</v>
      </c>
      <c r="J914">
        <v>132</v>
      </c>
      <c r="K914" s="3">
        <v>45304.833333333336</v>
      </c>
      <c r="L914" s="4">
        <f>ROUNDDOWN(Table1[[#This Row],[Ordered]],0)</f>
        <v>45299</v>
      </c>
      <c r="M914" s="4">
        <f>Table1[[#This Row],[Date ]]</f>
        <v>45299</v>
      </c>
      <c r="N914" s="5">
        <f>Table1[[#This Row],[Ordered]]-Table1[[#This Row],[Date ]]</f>
        <v>0.83333333333575865</v>
      </c>
      <c r="O914">
        <f>Table1[[#This Row],[Company]]</f>
        <v>11</v>
      </c>
      <c r="P914">
        <f>IF(((Table1[[#This Row],[Arrived]]-Table1[[#This Row],[Delivery]])*24-Table1[[#This Row],[Promised]])&lt;0, 0, (Table1[[#This Row],[Arrived]]-Table1[[#This Row],[Delivery]])*24-Table1[[#This Row],[Promised]])</f>
        <v>0</v>
      </c>
      <c r="Q914"/>
    </row>
    <row r="915" spans="1:17" x14ac:dyDescent="0.45">
      <c r="A915" s="3">
        <v>45299.833333333336</v>
      </c>
      <c r="B915" t="s">
        <v>0</v>
      </c>
      <c r="C915">
        <v>14</v>
      </c>
      <c r="D915">
        <v>2002</v>
      </c>
      <c r="E915" t="s">
        <v>16</v>
      </c>
      <c r="F915">
        <v>30</v>
      </c>
      <c r="G915">
        <v>3750</v>
      </c>
      <c r="H915">
        <v>112500</v>
      </c>
      <c r="I915" s="3">
        <v>45300.208333333336</v>
      </c>
      <c r="J915">
        <v>132</v>
      </c>
      <c r="K915" s="3">
        <v>45304.708333333336</v>
      </c>
      <c r="L915" s="4">
        <f>ROUNDDOWN(Table1[[#This Row],[Ordered]],0)</f>
        <v>45299</v>
      </c>
      <c r="M915" s="4">
        <f>Table1[[#This Row],[Date ]]</f>
        <v>45299</v>
      </c>
      <c r="N915" s="5">
        <f>Table1[[#This Row],[Ordered]]-Table1[[#This Row],[Date ]]</f>
        <v>0.83333333333575865</v>
      </c>
      <c r="O915">
        <f>Table1[[#This Row],[Company]]</f>
        <v>14</v>
      </c>
      <c r="P915">
        <f>IF(((Table1[[#This Row],[Arrived]]-Table1[[#This Row],[Delivery]])*24-Table1[[#This Row],[Promised]])&lt;0, 0, (Table1[[#This Row],[Arrived]]-Table1[[#This Row],[Delivery]])*24-Table1[[#This Row],[Promised]])</f>
        <v>0</v>
      </c>
      <c r="Q915"/>
    </row>
    <row r="916" spans="1:17" x14ac:dyDescent="0.45">
      <c r="A916" s="3">
        <v>45299.833333333336</v>
      </c>
      <c r="B916" t="s">
        <v>0</v>
      </c>
      <c r="C916">
        <v>9</v>
      </c>
      <c r="D916">
        <v>2002</v>
      </c>
      <c r="E916" t="s">
        <v>16</v>
      </c>
      <c r="F916">
        <v>50</v>
      </c>
      <c r="G916">
        <v>3980</v>
      </c>
      <c r="H916">
        <v>199000</v>
      </c>
      <c r="I916" s="3">
        <v>45301.25</v>
      </c>
      <c r="J916">
        <v>72</v>
      </c>
      <c r="K916" s="3">
        <v>45302.75</v>
      </c>
      <c r="L916" s="4">
        <f>ROUNDDOWN(Table1[[#This Row],[Ordered]],0)</f>
        <v>45299</v>
      </c>
      <c r="M916" s="4">
        <f>Table1[[#This Row],[Date ]]</f>
        <v>45299</v>
      </c>
      <c r="N916" s="5">
        <f>Table1[[#This Row],[Ordered]]-Table1[[#This Row],[Date ]]</f>
        <v>0.83333333333575865</v>
      </c>
      <c r="O916">
        <f>Table1[[#This Row],[Company]]</f>
        <v>9</v>
      </c>
      <c r="P916">
        <f>IF(((Table1[[#This Row],[Arrived]]-Table1[[#This Row],[Delivery]])*24-Table1[[#This Row],[Promised]])&lt;0, 0, (Table1[[#This Row],[Arrived]]-Table1[[#This Row],[Delivery]])*24-Table1[[#This Row],[Promised]])</f>
        <v>0</v>
      </c>
      <c r="Q916"/>
    </row>
    <row r="917" spans="1:17" hidden="1" x14ac:dyDescent="0.45">
      <c r="A917" s="3">
        <v>45299.875</v>
      </c>
      <c r="B917" t="s">
        <v>12</v>
      </c>
      <c r="C917">
        <v>1</v>
      </c>
      <c r="D917">
        <v>10</v>
      </c>
      <c r="E917" t="s">
        <v>17</v>
      </c>
      <c r="F917">
        <v>300</v>
      </c>
      <c r="G917">
        <v>1600</v>
      </c>
      <c r="H917">
        <v>480000</v>
      </c>
      <c r="I917" s="3">
        <v>45299.875</v>
      </c>
      <c r="J917">
        <v>72</v>
      </c>
      <c r="K917" s="3">
        <v>45302.875</v>
      </c>
      <c r="L917" s="4">
        <f>ROUNDDOWN(Table1[[#This Row],[Ordered]],0)</f>
        <v>45299</v>
      </c>
      <c r="M917" s="4">
        <f>Table1[[#This Row],[Date ]]</f>
        <v>45299</v>
      </c>
      <c r="N917" s="5">
        <f>Table1[[#This Row],[Ordered]]-Table1[[#This Row],[Date ]]</f>
        <v>0.875</v>
      </c>
      <c r="O917">
        <f>Table1[[#This Row],[Company]]</f>
        <v>1</v>
      </c>
      <c r="P917">
        <f>IF(((Table1[[#This Row],[Arrived]]-Table1[[#This Row],[Delivery]])*24-Table1[[#This Row],[Promised]])&lt;0, 0, (Table1[[#This Row],[Arrived]]-Table1[[#This Row],[Delivery]])*24-Table1[[#This Row],[Promised]])</f>
        <v>0</v>
      </c>
      <c r="Q917"/>
    </row>
    <row r="918" spans="1:17" x14ac:dyDescent="0.45">
      <c r="A918" s="3">
        <v>45299.916666666664</v>
      </c>
      <c r="B918" t="s">
        <v>14</v>
      </c>
      <c r="C918">
        <v>14</v>
      </c>
      <c r="D918">
        <v>1002</v>
      </c>
      <c r="E918" t="s">
        <v>16</v>
      </c>
      <c r="F918">
        <v>25</v>
      </c>
      <c r="G918">
        <v>3750</v>
      </c>
      <c r="H918">
        <v>93750</v>
      </c>
      <c r="I918" s="3">
        <v>45300.375</v>
      </c>
      <c r="J918">
        <v>96</v>
      </c>
      <c r="K918" s="3">
        <v>45303.375</v>
      </c>
      <c r="L918" s="4">
        <f>ROUNDDOWN(Table1[[#This Row],[Ordered]],0)</f>
        <v>45299</v>
      </c>
      <c r="M918" s="4">
        <f>Table1[[#This Row],[Date ]]</f>
        <v>45299</v>
      </c>
      <c r="N918" s="5">
        <f>Table1[[#This Row],[Ordered]]-Table1[[#This Row],[Date ]]</f>
        <v>0.91666666666424135</v>
      </c>
      <c r="O918">
        <f>Table1[[#This Row],[Company]]</f>
        <v>14</v>
      </c>
      <c r="P918">
        <f>IF(((Table1[[#This Row],[Arrived]]-Table1[[#This Row],[Delivery]])*24-Table1[[#This Row],[Promised]])&lt;0, 0, (Table1[[#This Row],[Arrived]]-Table1[[#This Row],[Delivery]])*24-Table1[[#This Row],[Promised]])</f>
        <v>0</v>
      </c>
      <c r="Q918"/>
    </row>
    <row r="919" spans="1:17" x14ac:dyDescent="0.45">
      <c r="A919" s="3">
        <v>45299.916666666664</v>
      </c>
      <c r="B919" t="s">
        <v>14</v>
      </c>
      <c r="C919">
        <v>11</v>
      </c>
      <c r="D919">
        <v>1002</v>
      </c>
      <c r="E919" t="s">
        <v>16</v>
      </c>
      <c r="F919">
        <v>19</v>
      </c>
      <c r="G919">
        <v>4000</v>
      </c>
      <c r="H919">
        <v>76000</v>
      </c>
      <c r="I919" s="3">
        <v>45300.375</v>
      </c>
      <c r="J919">
        <v>96</v>
      </c>
      <c r="K919" s="3">
        <v>45303.375</v>
      </c>
      <c r="L919" s="4">
        <f>ROUNDDOWN(Table1[[#This Row],[Ordered]],0)</f>
        <v>45299</v>
      </c>
      <c r="M919" s="4">
        <f>Table1[[#This Row],[Date ]]</f>
        <v>45299</v>
      </c>
      <c r="N919" s="5">
        <f>Table1[[#This Row],[Ordered]]-Table1[[#This Row],[Date ]]</f>
        <v>0.91666666666424135</v>
      </c>
      <c r="O919">
        <f>Table1[[#This Row],[Company]]</f>
        <v>11</v>
      </c>
      <c r="P919">
        <f>IF(((Table1[[#This Row],[Arrived]]-Table1[[#This Row],[Delivery]])*24-Table1[[#This Row],[Promised]])&lt;0, 0, (Table1[[#This Row],[Arrived]]-Table1[[#This Row],[Delivery]])*24-Table1[[#This Row],[Promised]])</f>
        <v>0</v>
      </c>
      <c r="Q919"/>
    </row>
    <row r="920" spans="1:17" x14ac:dyDescent="0.45">
      <c r="A920" s="3">
        <v>45299.916666666664</v>
      </c>
      <c r="B920" t="s">
        <v>14</v>
      </c>
      <c r="C920">
        <v>7</v>
      </c>
      <c r="D920">
        <v>1002</v>
      </c>
      <c r="E920" t="s">
        <v>16</v>
      </c>
      <c r="F920">
        <v>30</v>
      </c>
      <c r="G920">
        <v>3650</v>
      </c>
      <c r="H920">
        <v>109500</v>
      </c>
      <c r="I920" s="3">
        <v>45300.375</v>
      </c>
      <c r="J920">
        <v>96</v>
      </c>
      <c r="K920" s="3">
        <v>45303.375</v>
      </c>
      <c r="L920" s="4">
        <f>ROUNDDOWN(Table1[[#This Row],[Ordered]],0)</f>
        <v>45299</v>
      </c>
      <c r="M920" s="4">
        <f>Table1[[#This Row],[Date ]]</f>
        <v>45299</v>
      </c>
      <c r="N920" s="5">
        <f>Table1[[#This Row],[Ordered]]-Table1[[#This Row],[Date ]]</f>
        <v>0.91666666666424135</v>
      </c>
      <c r="O920">
        <f>Table1[[#This Row],[Company]]</f>
        <v>7</v>
      </c>
      <c r="P920">
        <f>IF(((Table1[[#This Row],[Arrived]]-Table1[[#This Row],[Delivery]])*24-Table1[[#This Row],[Promised]])&lt;0, 0, (Table1[[#This Row],[Arrived]]-Table1[[#This Row],[Delivery]])*24-Table1[[#This Row],[Promised]])</f>
        <v>0</v>
      </c>
      <c r="Q920"/>
    </row>
    <row r="921" spans="1:17" x14ac:dyDescent="0.45">
      <c r="A921" s="3">
        <v>45299.916666666664</v>
      </c>
      <c r="B921" t="s">
        <v>14</v>
      </c>
      <c r="C921">
        <v>15</v>
      </c>
      <c r="D921">
        <v>1003</v>
      </c>
      <c r="E921" t="s">
        <v>15</v>
      </c>
      <c r="F921">
        <v>3</v>
      </c>
      <c r="G921">
        <v>6650</v>
      </c>
      <c r="H921">
        <v>19950</v>
      </c>
      <c r="I921" s="3">
        <v>45300.208333333336</v>
      </c>
      <c r="J921">
        <v>72</v>
      </c>
      <c r="K921" s="3">
        <v>45302.208333333336</v>
      </c>
      <c r="L921" s="4">
        <f>ROUNDDOWN(Table1[[#This Row],[Ordered]],0)</f>
        <v>45299</v>
      </c>
      <c r="M921" s="4">
        <f>Table1[[#This Row],[Date ]]</f>
        <v>45299</v>
      </c>
      <c r="N921" s="5">
        <f>Table1[[#This Row],[Ordered]]-Table1[[#This Row],[Date ]]</f>
        <v>0.91666666666424135</v>
      </c>
      <c r="O921">
        <f>Table1[[#This Row],[Company]]</f>
        <v>15</v>
      </c>
      <c r="P921">
        <f>IF(((Table1[[#This Row],[Arrived]]-Table1[[#This Row],[Delivery]])*24-Table1[[#This Row],[Promised]])&lt;0, 0, (Table1[[#This Row],[Arrived]]-Table1[[#This Row],[Delivery]])*24-Table1[[#This Row],[Promised]])</f>
        <v>0</v>
      </c>
      <c r="Q921"/>
    </row>
    <row r="922" spans="1:17" x14ac:dyDescent="0.45">
      <c r="A922" s="3">
        <v>45299.916666666664</v>
      </c>
      <c r="B922" t="s">
        <v>14</v>
      </c>
      <c r="C922">
        <v>13</v>
      </c>
      <c r="D922">
        <v>1002</v>
      </c>
      <c r="E922" t="s">
        <v>16</v>
      </c>
      <c r="F922">
        <v>28</v>
      </c>
      <c r="G922">
        <v>3750</v>
      </c>
      <c r="H922">
        <v>105000</v>
      </c>
      <c r="I922" s="3">
        <v>45300.625</v>
      </c>
      <c r="J922">
        <v>96</v>
      </c>
      <c r="K922" s="3">
        <v>45303.625</v>
      </c>
      <c r="L922" s="4">
        <f>ROUNDDOWN(Table1[[#This Row],[Ordered]],0)</f>
        <v>45299</v>
      </c>
      <c r="M922" s="4">
        <f>Table1[[#This Row],[Date ]]</f>
        <v>45299</v>
      </c>
      <c r="N922" s="5">
        <f>Table1[[#This Row],[Ordered]]-Table1[[#This Row],[Date ]]</f>
        <v>0.91666666666424135</v>
      </c>
      <c r="O922">
        <f>Table1[[#This Row],[Company]]</f>
        <v>13</v>
      </c>
      <c r="P922">
        <f>IF(((Table1[[#This Row],[Arrived]]-Table1[[#This Row],[Delivery]])*24-Table1[[#This Row],[Promised]])&lt;0, 0, (Table1[[#This Row],[Arrived]]-Table1[[#This Row],[Delivery]])*24-Table1[[#This Row],[Promised]])</f>
        <v>0</v>
      </c>
      <c r="Q922"/>
    </row>
    <row r="923" spans="1:17" x14ac:dyDescent="0.45">
      <c r="A923" s="3">
        <v>45299.916666666664</v>
      </c>
      <c r="B923" t="s">
        <v>14</v>
      </c>
      <c r="C923">
        <v>13</v>
      </c>
      <c r="D923">
        <v>1003</v>
      </c>
      <c r="E923" t="s">
        <v>15</v>
      </c>
      <c r="F923">
        <v>3</v>
      </c>
      <c r="G923">
        <v>6400</v>
      </c>
      <c r="H923">
        <v>19200</v>
      </c>
      <c r="I923" s="3">
        <v>45300.625</v>
      </c>
      <c r="J923">
        <v>96</v>
      </c>
      <c r="K923" s="3">
        <v>45303.625</v>
      </c>
      <c r="L923" s="4">
        <f>ROUNDDOWN(Table1[[#This Row],[Ordered]],0)</f>
        <v>45299</v>
      </c>
      <c r="M923" s="4">
        <f>Table1[[#This Row],[Date ]]</f>
        <v>45299</v>
      </c>
      <c r="N923" s="5">
        <f>Table1[[#This Row],[Ordered]]-Table1[[#This Row],[Date ]]</f>
        <v>0.91666666666424135</v>
      </c>
      <c r="O923">
        <f>Table1[[#This Row],[Company]]</f>
        <v>13</v>
      </c>
      <c r="P923">
        <f>IF(((Table1[[#This Row],[Arrived]]-Table1[[#This Row],[Delivery]])*24-Table1[[#This Row],[Promised]])&lt;0, 0, (Table1[[#This Row],[Arrived]]-Table1[[#This Row],[Delivery]])*24-Table1[[#This Row],[Promised]])</f>
        <v>0</v>
      </c>
      <c r="Q923"/>
    </row>
    <row r="924" spans="1:17" x14ac:dyDescent="0.45">
      <c r="A924" s="3">
        <v>45299.916666666664</v>
      </c>
      <c r="B924" t="s">
        <v>14</v>
      </c>
      <c r="C924">
        <v>15</v>
      </c>
      <c r="D924">
        <v>1002</v>
      </c>
      <c r="E924" t="s">
        <v>16</v>
      </c>
      <c r="F924">
        <v>22</v>
      </c>
      <c r="G924">
        <v>3850</v>
      </c>
      <c r="H924">
        <v>84700</v>
      </c>
      <c r="I924" s="3">
        <v>45300.083333333336</v>
      </c>
      <c r="J924">
        <v>92</v>
      </c>
      <c r="K924" s="3">
        <v>45303.083333333336</v>
      </c>
      <c r="L924" s="4">
        <f>ROUNDDOWN(Table1[[#This Row],[Ordered]],0)</f>
        <v>45299</v>
      </c>
      <c r="M924" s="4">
        <f>Table1[[#This Row],[Date ]]</f>
        <v>45299</v>
      </c>
      <c r="N924" s="5">
        <f>Table1[[#This Row],[Ordered]]-Table1[[#This Row],[Date ]]</f>
        <v>0.91666666666424135</v>
      </c>
      <c r="O924">
        <f>Table1[[#This Row],[Company]]</f>
        <v>15</v>
      </c>
      <c r="P924">
        <f>IF(((Table1[[#This Row],[Arrived]]-Table1[[#This Row],[Delivery]])*24-Table1[[#This Row],[Promised]])&lt;0, 0, (Table1[[#This Row],[Arrived]]-Table1[[#This Row],[Delivery]])*24-Table1[[#This Row],[Promised]])</f>
        <v>0</v>
      </c>
      <c r="Q924"/>
    </row>
    <row r="925" spans="1:17" x14ac:dyDescent="0.45">
      <c r="A925" s="3">
        <v>45299.916666666664</v>
      </c>
      <c r="B925" t="s">
        <v>14</v>
      </c>
      <c r="C925">
        <v>7</v>
      </c>
      <c r="D925">
        <v>1003</v>
      </c>
      <c r="E925" t="s">
        <v>15</v>
      </c>
      <c r="F925">
        <v>2</v>
      </c>
      <c r="G925">
        <v>6650</v>
      </c>
      <c r="H925">
        <v>13300</v>
      </c>
      <c r="I925" s="3">
        <v>45300.208333333336</v>
      </c>
      <c r="J925">
        <v>96</v>
      </c>
      <c r="K925" s="3">
        <v>45303.208333333336</v>
      </c>
      <c r="L925" s="4">
        <f>ROUNDDOWN(Table1[[#This Row],[Ordered]],0)</f>
        <v>45299</v>
      </c>
      <c r="M925" s="4">
        <f>Table1[[#This Row],[Date ]]</f>
        <v>45299</v>
      </c>
      <c r="N925" s="5">
        <f>Table1[[#This Row],[Ordered]]-Table1[[#This Row],[Date ]]</f>
        <v>0.91666666666424135</v>
      </c>
      <c r="O925">
        <f>Table1[[#This Row],[Company]]</f>
        <v>7</v>
      </c>
      <c r="P925">
        <f>IF(((Table1[[#This Row],[Arrived]]-Table1[[#This Row],[Delivery]])*24-Table1[[#This Row],[Promised]])&lt;0, 0, (Table1[[#This Row],[Arrived]]-Table1[[#This Row],[Delivery]])*24-Table1[[#This Row],[Promised]])</f>
        <v>0</v>
      </c>
      <c r="Q925"/>
    </row>
    <row r="926" spans="1:17" x14ac:dyDescent="0.45">
      <c r="A926" s="3">
        <v>45299.916666666664</v>
      </c>
      <c r="B926" t="s">
        <v>14</v>
      </c>
      <c r="C926">
        <v>9</v>
      </c>
      <c r="D926">
        <v>1002</v>
      </c>
      <c r="E926" t="s">
        <v>16</v>
      </c>
      <c r="F926">
        <v>15</v>
      </c>
      <c r="G926">
        <v>3900</v>
      </c>
      <c r="H926">
        <v>58500</v>
      </c>
      <c r="I926" s="3">
        <v>45300.75</v>
      </c>
      <c r="J926">
        <v>72</v>
      </c>
      <c r="K926" s="3">
        <v>45302.75</v>
      </c>
      <c r="L926" s="4">
        <f>ROUNDDOWN(Table1[[#This Row],[Ordered]],0)</f>
        <v>45299</v>
      </c>
      <c r="M926" s="4">
        <f>Table1[[#This Row],[Date ]]</f>
        <v>45299</v>
      </c>
      <c r="N926" s="5">
        <f>Table1[[#This Row],[Ordered]]-Table1[[#This Row],[Date ]]</f>
        <v>0.91666666666424135</v>
      </c>
      <c r="O926">
        <f>Table1[[#This Row],[Company]]</f>
        <v>9</v>
      </c>
      <c r="P926">
        <f>IF(((Table1[[#This Row],[Arrived]]-Table1[[#This Row],[Delivery]])*24-Table1[[#This Row],[Promised]])&lt;0, 0, (Table1[[#This Row],[Arrived]]-Table1[[#This Row],[Delivery]])*24-Table1[[#This Row],[Promised]])</f>
        <v>0</v>
      </c>
      <c r="Q926"/>
    </row>
    <row r="927" spans="1:17" x14ac:dyDescent="0.45">
      <c r="A927" s="3">
        <v>45299.916666666664</v>
      </c>
      <c r="B927" t="s">
        <v>14</v>
      </c>
      <c r="C927">
        <v>8</v>
      </c>
      <c r="D927">
        <v>1002</v>
      </c>
      <c r="E927" t="s">
        <v>16</v>
      </c>
      <c r="F927">
        <v>30</v>
      </c>
      <c r="G927">
        <v>3600</v>
      </c>
      <c r="H927">
        <v>108000</v>
      </c>
      <c r="I927" s="3">
        <v>45300.875</v>
      </c>
      <c r="J927">
        <v>96</v>
      </c>
      <c r="K927" s="3">
        <v>45304</v>
      </c>
      <c r="L927" s="4">
        <f>ROUNDDOWN(Table1[[#This Row],[Ordered]],0)</f>
        <v>45299</v>
      </c>
      <c r="M927" s="4">
        <f>Table1[[#This Row],[Date ]]</f>
        <v>45299</v>
      </c>
      <c r="N927" s="5">
        <f>Table1[[#This Row],[Ordered]]-Table1[[#This Row],[Date ]]</f>
        <v>0.91666666666424135</v>
      </c>
      <c r="O927">
        <f>Table1[[#This Row],[Company]]</f>
        <v>8</v>
      </c>
      <c r="P927">
        <f>IF(((Table1[[#This Row],[Arrived]]-Table1[[#This Row],[Delivery]])*24-Table1[[#This Row],[Promised]])&lt;0, 0, (Table1[[#This Row],[Arrived]]-Table1[[#This Row],[Delivery]])*24-Table1[[#This Row],[Promised]])</f>
        <v>0</v>
      </c>
      <c r="Q927"/>
    </row>
    <row r="928" spans="1:17" x14ac:dyDescent="0.45">
      <c r="A928" s="3">
        <v>45299.916666666664</v>
      </c>
      <c r="B928" t="s">
        <v>14</v>
      </c>
      <c r="C928">
        <v>8</v>
      </c>
      <c r="D928">
        <v>1003</v>
      </c>
      <c r="E928" t="s">
        <v>15</v>
      </c>
      <c r="F928">
        <v>4</v>
      </c>
      <c r="G928">
        <v>5350</v>
      </c>
      <c r="H928">
        <v>21400</v>
      </c>
      <c r="I928" s="3">
        <v>45301.5</v>
      </c>
      <c r="J928">
        <v>96</v>
      </c>
      <c r="K928" s="3">
        <v>45303.666666666664</v>
      </c>
      <c r="L928" s="4">
        <f>ROUNDDOWN(Table1[[#This Row],[Ordered]],0)</f>
        <v>45299</v>
      </c>
      <c r="M928" s="4">
        <f>Table1[[#This Row],[Date ]]</f>
        <v>45299</v>
      </c>
      <c r="N928" s="5">
        <f>Table1[[#This Row],[Ordered]]-Table1[[#This Row],[Date ]]</f>
        <v>0.91666666666424135</v>
      </c>
      <c r="O928">
        <f>Table1[[#This Row],[Company]]</f>
        <v>8</v>
      </c>
      <c r="P928">
        <f>IF(((Table1[[#This Row],[Arrived]]-Table1[[#This Row],[Delivery]])*24-Table1[[#This Row],[Promised]])&lt;0, 0, (Table1[[#This Row],[Arrived]]-Table1[[#This Row],[Delivery]])*24-Table1[[#This Row],[Promised]])</f>
        <v>0</v>
      </c>
      <c r="Q928"/>
    </row>
    <row r="929" spans="1:17" x14ac:dyDescent="0.45">
      <c r="A929" s="3">
        <v>45299.916666666664</v>
      </c>
      <c r="B929" t="s">
        <v>14</v>
      </c>
      <c r="C929">
        <v>16</v>
      </c>
      <c r="D929">
        <v>1002</v>
      </c>
      <c r="E929" t="s">
        <v>16</v>
      </c>
      <c r="F929">
        <v>30</v>
      </c>
      <c r="G929">
        <v>3750</v>
      </c>
      <c r="H929">
        <v>112500</v>
      </c>
      <c r="I929" s="3">
        <v>45300.125</v>
      </c>
      <c r="J929">
        <v>96</v>
      </c>
      <c r="K929" s="3">
        <v>45303.125</v>
      </c>
      <c r="L929" s="4">
        <f>ROUNDDOWN(Table1[[#This Row],[Ordered]],0)</f>
        <v>45299</v>
      </c>
      <c r="M929" s="4">
        <f>Table1[[#This Row],[Date ]]</f>
        <v>45299</v>
      </c>
      <c r="N929" s="5">
        <f>Table1[[#This Row],[Ordered]]-Table1[[#This Row],[Date ]]</f>
        <v>0.91666666666424135</v>
      </c>
      <c r="O929">
        <f>Table1[[#This Row],[Company]]</f>
        <v>16</v>
      </c>
      <c r="P929">
        <f>IF(((Table1[[#This Row],[Arrived]]-Table1[[#This Row],[Delivery]])*24-Table1[[#This Row],[Promised]])&lt;0, 0, (Table1[[#This Row],[Arrived]]-Table1[[#This Row],[Delivery]])*24-Table1[[#This Row],[Promised]])</f>
        <v>0</v>
      </c>
      <c r="Q929"/>
    </row>
    <row r="930" spans="1:17" x14ac:dyDescent="0.45">
      <c r="A930" s="3">
        <v>45299.916666666664</v>
      </c>
      <c r="B930" t="s">
        <v>14</v>
      </c>
      <c r="C930">
        <v>12</v>
      </c>
      <c r="D930">
        <v>1002</v>
      </c>
      <c r="E930" t="s">
        <v>16</v>
      </c>
      <c r="F930">
        <v>15</v>
      </c>
      <c r="G930">
        <v>4000</v>
      </c>
      <c r="H930">
        <v>60000</v>
      </c>
      <c r="I930" s="3">
        <v>45300.041666666664</v>
      </c>
      <c r="J930">
        <v>60</v>
      </c>
      <c r="K930" s="3">
        <v>45302.041666666664</v>
      </c>
      <c r="L930" s="4">
        <f>ROUNDDOWN(Table1[[#This Row],[Ordered]],0)</f>
        <v>45299</v>
      </c>
      <c r="M930" s="4">
        <f>Table1[[#This Row],[Date ]]</f>
        <v>45299</v>
      </c>
      <c r="N930" s="5">
        <f>Table1[[#This Row],[Ordered]]-Table1[[#This Row],[Date ]]</f>
        <v>0.91666666666424135</v>
      </c>
      <c r="O930">
        <f>Table1[[#This Row],[Company]]</f>
        <v>12</v>
      </c>
      <c r="P930">
        <f>IF(((Table1[[#This Row],[Arrived]]-Table1[[#This Row],[Delivery]])*24-Table1[[#This Row],[Promised]])&lt;0, 0, (Table1[[#This Row],[Arrived]]-Table1[[#This Row],[Delivery]])*24-Table1[[#This Row],[Promised]])</f>
        <v>0</v>
      </c>
      <c r="Q930"/>
    </row>
    <row r="931" spans="1:17" x14ac:dyDescent="0.45">
      <c r="A931" s="3">
        <v>45299.916666666664</v>
      </c>
      <c r="B931" t="s">
        <v>14</v>
      </c>
      <c r="C931">
        <v>16</v>
      </c>
      <c r="D931">
        <v>1003</v>
      </c>
      <c r="E931" t="s">
        <v>15</v>
      </c>
      <c r="F931">
        <v>4</v>
      </c>
      <c r="G931">
        <v>6650</v>
      </c>
      <c r="H931">
        <v>26600</v>
      </c>
      <c r="I931" s="3">
        <v>45300.083333333336</v>
      </c>
      <c r="J931">
        <v>96</v>
      </c>
      <c r="K931" s="3">
        <v>45303.083333333336</v>
      </c>
      <c r="L931" s="4">
        <f>ROUNDDOWN(Table1[[#This Row],[Ordered]],0)</f>
        <v>45299</v>
      </c>
      <c r="M931" s="4">
        <f>Table1[[#This Row],[Date ]]</f>
        <v>45299</v>
      </c>
      <c r="N931" s="5">
        <f>Table1[[#This Row],[Ordered]]-Table1[[#This Row],[Date ]]</f>
        <v>0.91666666666424135</v>
      </c>
      <c r="O931">
        <f>Table1[[#This Row],[Company]]</f>
        <v>16</v>
      </c>
      <c r="P931">
        <f>IF(((Table1[[#This Row],[Arrived]]-Table1[[#This Row],[Delivery]])*24-Table1[[#This Row],[Promised]])&lt;0, 0, (Table1[[#This Row],[Arrived]]-Table1[[#This Row],[Delivery]])*24-Table1[[#This Row],[Promised]])</f>
        <v>0</v>
      </c>
      <c r="Q931"/>
    </row>
    <row r="932" spans="1:17" x14ac:dyDescent="0.45">
      <c r="A932" s="3">
        <v>45299.916666666664</v>
      </c>
      <c r="B932" t="s">
        <v>14</v>
      </c>
      <c r="C932">
        <v>12</v>
      </c>
      <c r="D932">
        <v>1003</v>
      </c>
      <c r="E932" t="s">
        <v>15</v>
      </c>
      <c r="F932">
        <v>2</v>
      </c>
      <c r="G932">
        <v>6700</v>
      </c>
      <c r="H932">
        <v>13400</v>
      </c>
      <c r="I932" s="3">
        <v>45300.041666666664</v>
      </c>
      <c r="J932">
        <v>96</v>
      </c>
      <c r="K932" s="3">
        <v>45303.041666666664</v>
      </c>
      <c r="L932" s="4">
        <f>ROUNDDOWN(Table1[[#This Row],[Ordered]],0)</f>
        <v>45299</v>
      </c>
      <c r="M932" s="4">
        <f>Table1[[#This Row],[Date ]]</f>
        <v>45299</v>
      </c>
      <c r="N932" s="5">
        <f>Table1[[#This Row],[Ordered]]-Table1[[#This Row],[Date ]]</f>
        <v>0.91666666666424135</v>
      </c>
      <c r="O932">
        <f>Table1[[#This Row],[Company]]</f>
        <v>12</v>
      </c>
      <c r="P932">
        <f>IF(((Table1[[#This Row],[Arrived]]-Table1[[#This Row],[Delivery]])*24-Table1[[#This Row],[Promised]])&lt;0, 0, (Table1[[#This Row],[Arrived]]-Table1[[#This Row],[Delivery]])*24-Table1[[#This Row],[Promised]])</f>
        <v>0</v>
      </c>
      <c r="Q932"/>
    </row>
    <row r="933" spans="1:17" hidden="1" x14ac:dyDescent="0.45">
      <c r="A933" s="3">
        <v>45300</v>
      </c>
      <c r="B933" t="s">
        <v>12</v>
      </c>
      <c r="C933">
        <v>2</v>
      </c>
      <c r="D933">
        <v>8</v>
      </c>
      <c r="E933" t="s">
        <v>13</v>
      </c>
      <c r="F933">
        <v>1000</v>
      </c>
      <c r="G933">
        <v>120</v>
      </c>
      <c r="H933">
        <v>120000</v>
      </c>
      <c r="I933" s="3">
        <v>45300.041666666664</v>
      </c>
      <c r="J933">
        <v>72</v>
      </c>
      <c r="K933" s="3">
        <v>45303.041666666664</v>
      </c>
      <c r="L933" s="4">
        <f>ROUNDDOWN(Table1[[#This Row],[Ordered]],0)</f>
        <v>45300</v>
      </c>
      <c r="M933" s="4">
        <f>Table1[[#This Row],[Date ]]</f>
        <v>45300</v>
      </c>
      <c r="N933" s="5">
        <f>Table1[[#This Row],[Ordered]]-Table1[[#This Row],[Date ]]</f>
        <v>0</v>
      </c>
      <c r="O933" s="5">
        <f>Table1[[#This Row],[Company]]</f>
        <v>2</v>
      </c>
      <c r="P933">
        <f>IF(((Table1[[#This Row],[Arrived]]-Table1[[#This Row],[Delivery]])*24-Table1[[#This Row],[Promised]])&lt;0, 0, (Table1[[#This Row],[Arrived]]-Table1[[#This Row],[Delivery]])*24-Table1[[#This Row],[Promised]])</f>
        <v>0</v>
      </c>
      <c r="Q933"/>
    </row>
    <row r="934" spans="1:17" hidden="1" x14ac:dyDescent="0.45">
      <c r="A934" s="3">
        <v>45300.041666666664</v>
      </c>
      <c r="B934" t="s">
        <v>12</v>
      </c>
      <c r="C934">
        <v>13</v>
      </c>
      <c r="D934">
        <v>4</v>
      </c>
      <c r="E934" t="s">
        <v>20</v>
      </c>
      <c r="F934">
        <v>205</v>
      </c>
      <c r="G934">
        <v>5</v>
      </c>
      <c r="H934">
        <v>1025</v>
      </c>
      <c r="I934" s="3">
        <v>45300.208333333336</v>
      </c>
      <c r="J934">
        <v>72</v>
      </c>
      <c r="K934" s="3">
        <v>45303.208333333336</v>
      </c>
      <c r="L934" s="4">
        <f>ROUNDDOWN(Table1[[#This Row],[Ordered]],0)</f>
        <v>45300</v>
      </c>
      <c r="M934" s="4">
        <f>Table1[[#This Row],[Date ]]</f>
        <v>45300</v>
      </c>
      <c r="N934" s="5">
        <f>Table1[[#This Row],[Ordered]]-Table1[[#This Row],[Date ]]</f>
        <v>4.1666666664241347E-2</v>
      </c>
      <c r="O934">
        <f>Table1[[#This Row],[Company]]</f>
        <v>13</v>
      </c>
      <c r="P934">
        <f>IF(((Table1[[#This Row],[Arrived]]-Table1[[#This Row],[Delivery]])*24-Table1[[#This Row],[Promised]])&lt;0, 0, (Table1[[#This Row],[Arrived]]-Table1[[#This Row],[Delivery]])*24-Table1[[#This Row],[Promised]])</f>
        <v>0</v>
      </c>
      <c r="Q934"/>
    </row>
    <row r="935" spans="1:17" hidden="1" x14ac:dyDescent="0.45">
      <c r="A935" s="3">
        <v>45300.083333333336</v>
      </c>
      <c r="B935" t="s">
        <v>12</v>
      </c>
      <c r="C935">
        <v>5</v>
      </c>
      <c r="D935">
        <v>16</v>
      </c>
      <c r="E935" t="s">
        <v>17</v>
      </c>
      <c r="F935">
        <v>300</v>
      </c>
      <c r="G935">
        <v>1020</v>
      </c>
      <c r="H935">
        <v>306000</v>
      </c>
      <c r="I935" s="3">
        <v>45300.125</v>
      </c>
      <c r="J935">
        <v>24</v>
      </c>
      <c r="K935" s="3">
        <v>45301.125</v>
      </c>
      <c r="L935" s="4">
        <f>ROUNDDOWN(Table1[[#This Row],[Ordered]],0)</f>
        <v>45300</v>
      </c>
      <c r="M935" s="4">
        <f>Table1[[#This Row],[Date ]]</f>
        <v>45300</v>
      </c>
      <c r="N935" s="5">
        <f>Table1[[#This Row],[Ordered]]-Table1[[#This Row],[Date ]]</f>
        <v>8.3333333335758653E-2</v>
      </c>
      <c r="O935">
        <f>Table1[[#This Row],[Company]]</f>
        <v>5</v>
      </c>
      <c r="P935">
        <f>IF(((Table1[[#This Row],[Arrived]]-Table1[[#This Row],[Delivery]])*24-Table1[[#This Row],[Promised]])&lt;0, 0, (Table1[[#This Row],[Arrived]]-Table1[[#This Row],[Delivery]])*24-Table1[[#This Row],[Promised]])</f>
        <v>0</v>
      </c>
      <c r="Q935"/>
    </row>
    <row r="936" spans="1:17" hidden="1" x14ac:dyDescent="0.45">
      <c r="A936" s="3">
        <v>45300.125</v>
      </c>
      <c r="B936" t="s">
        <v>12</v>
      </c>
      <c r="C936">
        <v>5</v>
      </c>
      <c r="D936">
        <v>16</v>
      </c>
      <c r="E936" t="s">
        <v>13</v>
      </c>
      <c r="F936">
        <v>1500</v>
      </c>
      <c r="G936">
        <v>120</v>
      </c>
      <c r="H936">
        <v>180000</v>
      </c>
      <c r="I936" s="3">
        <v>45300.333333333336</v>
      </c>
      <c r="J936">
        <v>24</v>
      </c>
      <c r="K936" s="3">
        <v>45301.333333333336</v>
      </c>
      <c r="L936" s="4">
        <f>ROUNDDOWN(Table1[[#This Row],[Ordered]],0)</f>
        <v>45300</v>
      </c>
      <c r="M936" s="4">
        <f>Table1[[#This Row],[Date ]]</f>
        <v>45300</v>
      </c>
      <c r="N936" s="5">
        <f>Table1[[#This Row],[Ordered]]-Table1[[#This Row],[Date ]]</f>
        <v>0.125</v>
      </c>
      <c r="O936">
        <f>Table1[[#This Row],[Company]]</f>
        <v>5</v>
      </c>
      <c r="P936">
        <f>IF(((Table1[[#This Row],[Arrived]]-Table1[[#This Row],[Delivery]])*24-Table1[[#This Row],[Promised]])&lt;0, 0, (Table1[[#This Row],[Arrived]]-Table1[[#This Row],[Delivery]])*24-Table1[[#This Row],[Promised]])</f>
        <v>0</v>
      </c>
      <c r="Q936"/>
    </row>
    <row r="937" spans="1:17" x14ac:dyDescent="0.45">
      <c r="A937" s="3">
        <v>45300.166666666664</v>
      </c>
      <c r="B937" t="s">
        <v>14</v>
      </c>
      <c r="C937">
        <v>12</v>
      </c>
      <c r="D937">
        <v>1002</v>
      </c>
      <c r="E937" t="s">
        <v>15</v>
      </c>
      <c r="F937">
        <v>7</v>
      </c>
      <c r="G937">
        <v>6900</v>
      </c>
      <c r="H937">
        <v>48300</v>
      </c>
      <c r="I937" s="3">
        <v>45300.208333333336</v>
      </c>
      <c r="J937">
        <v>84</v>
      </c>
      <c r="K937" s="3">
        <v>45303.208333333336</v>
      </c>
      <c r="L937" s="4">
        <f>ROUNDDOWN(Table1[[#This Row],[Ordered]],0)</f>
        <v>45300</v>
      </c>
      <c r="M937" s="4">
        <f>Table1[[#This Row],[Date ]]</f>
        <v>45300</v>
      </c>
      <c r="N937" s="5">
        <f>Table1[[#This Row],[Ordered]]-Table1[[#This Row],[Date ]]</f>
        <v>0.16666666666424135</v>
      </c>
      <c r="O937">
        <f>Table1[[#This Row],[Company]]</f>
        <v>12</v>
      </c>
      <c r="P937">
        <f>IF(((Table1[[#This Row],[Arrived]]-Table1[[#This Row],[Delivery]])*24-Table1[[#This Row],[Promised]])&lt;0, 0, (Table1[[#This Row],[Arrived]]-Table1[[#This Row],[Delivery]])*24-Table1[[#This Row],[Promised]])</f>
        <v>0</v>
      </c>
      <c r="Q937"/>
    </row>
    <row r="938" spans="1:17" x14ac:dyDescent="0.45">
      <c r="A938" s="3">
        <v>45300.166666666664</v>
      </c>
      <c r="B938" t="s">
        <v>14</v>
      </c>
      <c r="C938">
        <v>9</v>
      </c>
      <c r="D938">
        <v>1002</v>
      </c>
      <c r="E938" t="s">
        <v>15</v>
      </c>
      <c r="F938">
        <v>3</v>
      </c>
      <c r="G938">
        <v>6650</v>
      </c>
      <c r="H938">
        <v>19950</v>
      </c>
      <c r="I938" s="3">
        <v>45301.041666666664</v>
      </c>
      <c r="J938">
        <v>96</v>
      </c>
      <c r="K938" s="3">
        <v>45304.041666666664</v>
      </c>
      <c r="L938" s="4">
        <f>ROUNDDOWN(Table1[[#This Row],[Ordered]],0)</f>
        <v>45300</v>
      </c>
      <c r="M938" s="4">
        <f>Table1[[#This Row],[Date ]]</f>
        <v>45300</v>
      </c>
      <c r="N938" s="5">
        <f>Table1[[#This Row],[Ordered]]-Table1[[#This Row],[Date ]]</f>
        <v>0.16666666666424135</v>
      </c>
      <c r="O938">
        <f>Table1[[#This Row],[Company]]</f>
        <v>9</v>
      </c>
      <c r="P938">
        <f>IF(((Table1[[#This Row],[Arrived]]-Table1[[#This Row],[Delivery]])*24-Table1[[#This Row],[Promised]])&lt;0, 0, (Table1[[#This Row],[Arrived]]-Table1[[#This Row],[Delivery]])*24-Table1[[#This Row],[Promised]])</f>
        <v>0</v>
      </c>
      <c r="Q938"/>
    </row>
    <row r="939" spans="1:17" x14ac:dyDescent="0.45">
      <c r="A939" s="3">
        <v>45300.166666666664</v>
      </c>
      <c r="B939" t="s">
        <v>14</v>
      </c>
      <c r="C939">
        <v>8</v>
      </c>
      <c r="D939">
        <v>1002</v>
      </c>
      <c r="E939" t="s">
        <v>15</v>
      </c>
      <c r="F939">
        <v>9</v>
      </c>
      <c r="G939">
        <v>5450</v>
      </c>
      <c r="H939">
        <v>49050</v>
      </c>
      <c r="I939" s="3">
        <v>45301.125</v>
      </c>
      <c r="J939">
        <v>96</v>
      </c>
      <c r="K939" s="3">
        <v>45304.125</v>
      </c>
      <c r="L939" s="4">
        <f>ROUNDDOWN(Table1[[#This Row],[Ordered]],0)</f>
        <v>45300</v>
      </c>
      <c r="M939" s="4">
        <f>Table1[[#This Row],[Date ]]</f>
        <v>45300</v>
      </c>
      <c r="N939" s="5">
        <f>Table1[[#This Row],[Ordered]]-Table1[[#This Row],[Date ]]</f>
        <v>0.16666666666424135</v>
      </c>
      <c r="O939">
        <f>Table1[[#This Row],[Company]]</f>
        <v>8</v>
      </c>
      <c r="P939">
        <f>IF(((Table1[[#This Row],[Arrived]]-Table1[[#This Row],[Delivery]])*24-Table1[[#This Row],[Promised]])&lt;0, 0, (Table1[[#This Row],[Arrived]]-Table1[[#This Row],[Delivery]])*24-Table1[[#This Row],[Promised]])</f>
        <v>0</v>
      </c>
      <c r="Q939"/>
    </row>
    <row r="940" spans="1:17" x14ac:dyDescent="0.45">
      <c r="A940" s="3">
        <v>45300.166666666664</v>
      </c>
      <c r="B940" t="s">
        <v>14</v>
      </c>
      <c r="C940">
        <v>13</v>
      </c>
      <c r="D940">
        <v>1002</v>
      </c>
      <c r="E940" t="s">
        <v>15</v>
      </c>
      <c r="F940">
        <v>4</v>
      </c>
      <c r="G940">
        <v>6400</v>
      </c>
      <c r="H940">
        <v>25600</v>
      </c>
      <c r="I940" s="3">
        <v>45300.875</v>
      </c>
      <c r="J940">
        <v>96</v>
      </c>
      <c r="K940" s="3">
        <v>45303.875</v>
      </c>
      <c r="L940" s="4">
        <f>ROUNDDOWN(Table1[[#This Row],[Ordered]],0)</f>
        <v>45300</v>
      </c>
      <c r="M940" s="4">
        <f>Table1[[#This Row],[Date ]]</f>
        <v>45300</v>
      </c>
      <c r="N940" s="5">
        <f>Table1[[#This Row],[Ordered]]-Table1[[#This Row],[Date ]]</f>
        <v>0.16666666666424135</v>
      </c>
      <c r="O940">
        <f>Table1[[#This Row],[Company]]</f>
        <v>13</v>
      </c>
      <c r="P940">
        <f>IF(((Table1[[#This Row],[Arrived]]-Table1[[#This Row],[Delivery]])*24-Table1[[#This Row],[Promised]])&lt;0, 0, (Table1[[#This Row],[Arrived]]-Table1[[#This Row],[Delivery]])*24-Table1[[#This Row],[Promised]])</f>
        <v>0</v>
      </c>
      <c r="Q940"/>
    </row>
    <row r="941" spans="1:17" x14ac:dyDescent="0.45">
      <c r="A941" s="3">
        <v>45300.166666666664</v>
      </c>
      <c r="B941" t="s">
        <v>14</v>
      </c>
      <c r="C941">
        <v>16</v>
      </c>
      <c r="D941">
        <v>1002</v>
      </c>
      <c r="E941" t="s">
        <v>15</v>
      </c>
      <c r="F941">
        <v>6</v>
      </c>
      <c r="G941">
        <v>6650</v>
      </c>
      <c r="H941">
        <v>39900</v>
      </c>
      <c r="I941" s="3">
        <v>45300.25</v>
      </c>
      <c r="J941">
        <v>96</v>
      </c>
      <c r="K941" s="3">
        <v>45303.25</v>
      </c>
      <c r="L941" s="4">
        <f>ROUNDDOWN(Table1[[#This Row],[Ordered]],0)</f>
        <v>45300</v>
      </c>
      <c r="M941" s="4">
        <f>Table1[[#This Row],[Date ]]</f>
        <v>45300</v>
      </c>
      <c r="N941" s="5">
        <f>Table1[[#This Row],[Ordered]]-Table1[[#This Row],[Date ]]</f>
        <v>0.16666666666424135</v>
      </c>
      <c r="O941">
        <f>Table1[[#This Row],[Company]]</f>
        <v>16</v>
      </c>
      <c r="P941">
        <f>IF(((Table1[[#This Row],[Arrived]]-Table1[[#This Row],[Delivery]])*24-Table1[[#This Row],[Promised]])&lt;0, 0, (Table1[[#This Row],[Arrived]]-Table1[[#This Row],[Delivery]])*24-Table1[[#This Row],[Promised]])</f>
        <v>0</v>
      </c>
      <c r="Q941"/>
    </row>
    <row r="942" spans="1:17" x14ac:dyDescent="0.45">
      <c r="A942" s="3">
        <v>45300.166666666664</v>
      </c>
      <c r="B942" t="s">
        <v>14</v>
      </c>
      <c r="C942">
        <v>15</v>
      </c>
      <c r="D942">
        <v>1002</v>
      </c>
      <c r="E942" t="s">
        <v>15</v>
      </c>
      <c r="F942">
        <v>8</v>
      </c>
      <c r="G942">
        <v>6650</v>
      </c>
      <c r="H942">
        <v>53200</v>
      </c>
      <c r="I942" s="3">
        <v>45300.291666666664</v>
      </c>
      <c r="J942">
        <v>68</v>
      </c>
      <c r="K942" s="3">
        <v>45302.291666666664</v>
      </c>
      <c r="L942" s="4">
        <f>ROUNDDOWN(Table1[[#This Row],[Ordered]],0)</f>
        <v>45300</v>
      </c>
      <c r="M942" s="4">
        <f>Table1[[#This Row],[Date ]]</f>
        <v>45300</v>
      </c>
      <c r="N942" s="5">
        <f>Table1[[#This Row],[Ordered]]-Table1[[#This Row],[Date ]]</f>
        <v>0.16666666666424135</v>
      </c>
      <c r="O942">
        <f>Table1[[#This Row],[Company]]</f>
        <v>15</v>
      </c>
      <c r="P942">
        <f>IF(((Table1[[#This Row],[Arrived]]-Table1[[#This Row],[Delivery]])*24-Table1[[#This Row],[Promised]])&lt;0, 0, (Table1[[#This Row],[Arrived]]-Table1[[#This Row],[Delivery]])*24-Table1[[#This Row],[Promised]])</f>
        <v>0</v>
      </c>
      <c r="Q942"/>
    </row>
    <row r="943" spans="1:17" x14ac:dyDescent="0.45">
      <c r="A943" s="3">
        <v>45300.166666666664</v>
      </c>
      <c r="B943" t="s">
        <v>14</v>
      </c>
      <c r="C943">
        <v>14</v>
      </c>
      <c r="D943">
        <v>1002</v>
      </c>
      <c r="E943" t="s">
        <v>15</v>
      </c>
      <c r="F943">
        <v>3</v>
      </c>
      <c r="G943">
        <v>6650</v>
      </c>
      <c r="H943">
        <v>19950</v>
      </c>
      <c r="I943" s="3">
        <v>45300.541666666664</v>
      </c>
      <c r="J943">
        <v>96</v>
      </c>
      <c r="K943" s="3">
        <v>45303.541666666664</v>
      </c>
      <c r="L943" s="4">
        <f>ROUNDDOWN(Table1[[#This Row],[Ordered]],0)</f>
        <v>45300</v>
      </c>
      <c r="M943" s="4">
        <f>Table1[[#This Row],[Date ]]</f>
        <v>45300</v>
      </c>
      <c r="N943" s="5">
        <f>Table1[[#This Row],[Ordered]]-Table1[[#This Row],[Date ]]</f>
        <v>0.16666666666424135</v>
      </c>
      <c r="O943">
        <f>Table1[[#This Row],[Company]]</f>
        <v>14</v>
      </c>
      <c r="P943">
        <f>IF(((Table1[[#This Row],[Arrived]]-Table1[[#This Row],[Delivery]])*24-Table1[[#This Row],[Promised]])&lt;0, 0, (Table1[[#This Row],[Arrived]]-Table1[[#This Row],[Delivery]])*24-Table1[[#This Row],[Promised]])</f>
        <v>0</v>
      </c>
      <c r="Q943"/>
    </row>
    <row r="944" spans="1:17" x14ac:dyDescent="0.45">
      <c r="A944" s="3">
        <v>45300.166666666664</v>
      </c>
      <c r="B944" t="s">
        <v>14</v>
      </c>
      <c r="C944">
        <v>7</v>
      </c>
      <c r="D944">
        <v>1002</v>
      </c>
      <c r="E944" t="s">
        <v>15</v>
      </c>
      <c r="F944">
        <v>5</v>
      </c>
      <c r="G944">
        <v>6650</v>
      </c>
      <c r="H944">
        <v>33250</v>
      </c>
      <c r="I944" s="3">
        <v>45300.541666666664</v>
      </c>
      <c r="J944">
        <v>96</v>
      </c>
      <c r="K944" s="3">
        <v>45303.541666666664</v>
      </c>
      <c r="L944" s="4">
        <f>ROUNDDOWN(Table1[[#This Row],[Ordered]],0)</f>
        <v>45300</v>
      </c>
      <c r="M944" s="4">
        <f>Table1[[#This Row],[Date ]]</f>
        <v>45300</v>
      </c>
      <c r="N944" s="5">
        <f>Table1[[#This Row],[Ordered]]-Table1[[#This Row],[Date ]]</f>
        <v>0.16666666666424135</v>
      </c>
      <c r="O944">
        <f>Table1[[#This Row],[Company]]</f>
        <v>7</v>
      </c>
      <c r="P944">
        <f>IF(((Table1[[#This Row],[Arrived]]-Table1[[#This Row],[Delivery]])*24-Table1[[#This Row],[Promised]])&lt;0, 0, (Table1[[#This Row],[Arrived]]-Table1[[#This Row],[Delivery]])*24-Table1[[#This Row],[Promised]])</f>
        <v>0</v>
      </c>
      <c r="Q944"/>
    </row>
    <row r="945" spans="1:17" hidden="1" x14ac:dyDescent="0.45">
      <c r="A945" s="3">
        <v>45300.208333333336</v>
      </c>
      <c r="B945" t="s">
        <v>12</v>
      </c>
      <c r="C945">
        <v>2</v>
      </c>
      <c r="D945">
        <v>15</v>
      </c>
      <c r="E945" t="s">
        <v>13</v>
      </c>
      <c r="F945">
        <v>1800</v>
      </c>
      <c r="G945">
        <v>140</v>
      </c>
      <c r="H945">
        <v>252000</v>
      </c>
      <c r="I945" s="3">
        <v>45300.25</v>
      </c>
      <c r="J945">
        <v>72</v>
      </c>
      <c r="K945" s="3">
        <v>45303.25</v>
      </c>
      <c r="L945" s="4">
        <f>ROUNDDOWN(Table1[[#This Row],[Ordered]],0)</f>
        <v>45300</v>
      </c>
      <c r="M945" s="4">
        <f>Table1[[#This Row],[Date ]]</f>
        <v>45300</v>
      </c>
      <c r="N945" s="5">
        <f>Table1[[#This Row],[Ordered]]-Table1[[#This Row],[Date ]]</f>
        <v>0.20833333333575865</v>
      </c>
      <c r="O945">
        <f>Table1[[#This Row],[Company]]</f>
        <v>2</v>
      </c>
      <c r="P945">
        <f>IF(((Table1[[#This Row],[Arrived]]-Table1[[#This Row],[Delivery]])*24-Table1[[#This Row],[Promised]])&lt;0, 0, (Table1[[#This Row],[Arrived]]-Table1[[#This Row],[Delivery]])*24-Table1[[#This Row],[Promised]])</f>
        <v>0</v>
      </c>
      <c r="Q945"/>
    </row>
    <row r="946" spans="1:17" hidden="1" x14ac:dyDescent="0.45">
      <c r="A946" s="3">
        <v>45300.291666666664</v>
      </c>
      <c r="B946" t="s">
        <v>12</v>
      </c>
      <c r="C946">
        <v>2</v>
      </c>
      <c r="D946">
        <v>15</v>
      </c>
      <c r="E946" t="s">
        <v>17</v>
      </c>
      <c r="F946">
        <v>240</v>
      </c>
      <c r="G946">
        <v>1400</v>
      </c>
      <c r="H946">
        <v>336000</v>
      </c>
      <c r="I946" s="3">
        <v>45300.291666666664</v>
      </c>
      <c r="J946">
        <v>48</v>
      </c>
      <c r="K946" s="3">
        <v>45302.291666666664</v>
      </c>
      <c r="L946" s="4">
        <f>ROUNDDOWN(Table1[[#This Row],[Ordered]],0)</f>
        <v>45300</v>
      </c>
      <c r="M946" s="4">
        <f>Table1[[#This Row],[Date ]]</f>
        <v>45300</v>
      </c>
      <c r="N946" s="5">
        <f>Table1[[#This Row],[Ordered]]-Table1[[#This Row],[Date ]]</f>
        <v>0.29166666666424135</v>
      </c>
      <c r="O946">
        <f>Table1[[#This Row],[Company]]</f>
        <v>2</v>
      </c>
      <c r="P946">
        <f>IF(((Table1[[#This Row],[Arrived]]-Table1[[#This Row],[Delivery]])*24-Table1[[#This Row],[Promised]])&lt;0, 0, (Table1[[#This Row],[Arrived]]-Table1[[#This Row],[Delivery]])*24-Table1[[#This Row],[Promised]])</f>
        <v>0</v>
      </c>
      <c r="Q946"/>
    </row>
    <row r="947" spans="1:17" hidden="1" x14ac:dyDescent="0.45">
      <c r="A947" s="3">
        <v>45300.291666666664</v>
      </c>
      <c r="B947" t="s">
        <v>12</v>
      </c>
      <c r="C947">
        <v>2</v>
      </c>
      <c r="D947">
        <v>15</v>
      </c>
      <c r="E947" t="s">
        <v>17</v>
      </c>
      <c r="F947">
        <v>240</v>
      </c>
      <c r="G947">
        <v>1400</v>
      </c>
      <c r="H947">
        <v>336000</v>
      </c>
      <c r="I947" s="3">
        <v>45300.291666666664</v>
      </c>
      <c r="J947">
        <v>48</v>
      </c>
      <c r="K947" s="3">
        <v>45302.291666666664</v>
      </c>
      <c r="L947" s="4">
        <f>ROUNDDOWN(Table1[[#This Row],[Ordered]],0)</f>
        <v>45300</v>
      </c>
      <c r="M947" s="4">
        <f>Table1[[#This Row],[Date ]]</f>
        <v>45300</v>
      </c>
      <c r="N947" s="5">
        <f>Table1[[#This Row],[Ordered]]-Table1[[#This Row],[Date ]]</f>
        <v>0.29166666666424135</v>
      </c>
      <c r="O947">
        <f>Table1[[#This Row],[Company]]</f>
        <v>2</v>
      </c>
      <c r="P947">
        <f>IF(((Table1[[#This Row],[Arrived]]-Table1[[#This Row],[Delivery]])*24-Table1[[#This Row],[Promised]])&lt;0, 0, (Table1[[#This Row],[Arrived]]-Table1[[#This Row],[Delivery]])*24-Table1[[#This Row],[Promised]])</f>
        <v>0</v>
      </c>
      <c r="Q947"/>
    </row>
    <row r="948" spans="1:17" x14ac:dyDescent="0.45">
      <c r="A948" s="3">
        <v>45300.375</v>
      </c>
      <c r="B948" t="s">
        <v>14</v>
      </c>
      <c r="C948">
        <v>13</v>
      </c>
      <c r="D948">
        <v>1010</v>
      </c>
      <c r="E948" t="s">
        <v>15</v>
      </c>
      <c r="F948">
        <v>6</v>
      </c>
      <c r="G948">
        <v>6400</v>
      </c>
      <c r="H948">
        <v>38400</v>
      </c>
      <c r="I948" s="3">
        <v>45301.041666666664</v>
      </c>
      <c r="J948">
        <v>96</v>
      </c>
      <c r="K948" s="3">
        <v>45304.041666666664</v>
      </c>
      <c r="L948" s="4">
        <f>ROUNDDOWN(Table1[[#This Row],[Ordered]],0)</f>
        <v>45300</v>
      </c>
      <c r="M948" s="4">
        <f>Table1[[#This Row],[Date ]]</f>
        <v>45300</v>
      </c>
      <c r="N948" s="5">
        <f>Table1[[#This Row],[Ordered]]-Table1[[#This Row],[Date ]]</f>
        <v>0.375</v>
      </c>
      <c r="O948">
        <f>Table1[[#This Row],[Company]]</f>
        <v>13</v>
      </c>
      <c r="P948">
        <f>IF(((Table1[[#This Row],[Arrived]]-Table1[[#This Row],[Delivery]])*24-Table1[[#This Row],[Promised]])&lt;0, 0, (Table1[[#This Row],[Arrived]]-Table1[[#This Row],[Delivery]])*24-Table1[[#This Row],[Promised]])</f>
        <v>0</v>
      </c>
      <c r="Q948"/>
    </row>
    <row r="949" spans="1:17" x14ac:dyDescent="0.45">
      <c r="A949" s="3">
        <v>45300.375</v>
      </c>
      <c r="B949" t="s">
        <v>14</v>
      </c>
      <c r="C949">
        <v>16</v>
      </c>
      <c r="D949">
        <v>1010</v>
      </c>
      <c r="E949" t="s">
        <v>15</v>
      </c>
      <c r="F949">
        <v>7</v>
      </c>
      <c r="G949">
        <v>6650</v>
      </c>
      <c r="H949">
        <v>46550</v>
      </c>
      <c r="I949" s="3">
        <v>45300.541666666664</v>
      </c>
      <c r="J949">
        <v>96</v>
      </c>
      <c r="K949" s="3">
        <v>45303.541666666664</v>
      </c>
      <c r="L949" s="4">
        <f>ROUNDDOWN(Table1[[#This Row],[Ordered]],0)</f>
        <v>45300</v>
      </c>
      <c r="M949" s="4">
        <f>Table1[[#This Row],[Date ]]</f>
        <v>45300</v>
      </c>
      <c r="N949" s="5">
        <f>Table1[[#This Row],[Ordered]]-Table1[[#This Row],[Date ]]</f>
        <v>0.375</v>
      </c>
      <c r="O949">
        <f>Table1[[#This Row],[Company]]</f>
        <v>16</v>
      </c>
      <c r="P949">
        <f>IF(((Table1[[#This Row],[Arrived]]-Table1[[#This Row],[Delivery]])*24-Table1[[#This Row],[Promised]])&lt;0, 0, (Table1[[#This Row],[Arrived]]-Table1[[#This Row],[Delivery]])*24-Table1[[#This Row],[Promised]])</f>
        <v>0</v>
      </c>
      <c r="Q949"/>
    </row>
    <row r="950" spans="1:17" x14ac:dyDescent="0.45">
      <c r="A950" s="3">
        <v>45300.375</v>
      </c>
      <c r="B950" t="s">
        <v>14</v>
      </c>
      <c r="C950">
        <v>8</v>
      </c>
      <c r="D950">
        <v>1010</v>
      </c>
      <c r="E950" t="s">
        <v>15</v>
      </c>
      <c r="F950">
        <v>10</v>
      </c>
      <c r="G950">
        <v>5450</v>
      </c>
      <c r="H950">
        <v>54500</v>
      </c>
      <c r="I950" s="3">
        <v>45301.125</v>
      </c>
      <c r="J950">
        <v>96</v>
      </c>
      <c r="K950" s="3">
        <v>45304.125</v>
      </c>
      <c r="L950" s="4">
        <f>ROUNDDOWN(Table1[[#This Row],[Ordered]],0)</f>
        <v>45300</v>
      </c>
      <c r="M950" s="4">
        <f>Table1[[#This Row],[Date ]]</f>
        <v>45300</v>
      </c>
      <c r="N950" s="5">
        <f>Table1[[#This Row],[Ordered]]-Table1[[#This Row],[Date ]]</f>
        <v>0.375</v>
      </c>
      <c r="O950">
        <f>Table1[[#This Row],[Company]]</f>
        <v>8</v>
      </c>
      <c r="P950">
        <f>IF(((Table1[[#This Row],[Arrived]]-Table1[[#This Row],[Delivery]])*24-Table1[[#This Row],[Promised]])&lt;0, 0, (Table1[[#This Row],[Arrived]]-Table1[[#This Row],[Delivery]])*24-Table1[[#This Row],[Promised]])</f>
        <v>0</v>
      </c>
      <c r="Q950"/>
    </row>
    <row r="951" spans="1:17" x14ac:dyDescent="0.45">
      <c r="A951" s="3">
        <v>45300.375</v>
      </c>
      <c r="B951" t="s">
        <v>14</v>
      </c>
      <c r="C951">
        <v>14</v>
      </c>
      <c r="D951">
        <v>1010</v>
      </c>
      <c r="E951" t="s">
        <v>15</v>
      </c>
      <c r="F951">
        <v>3</v>
      </c>
      <c r="G951">
        <v>6650</v>
      </c>
      <c r="H951">
        <v>19950</v>
      </c>
      <c r="I951" s="3">
        <v>45300.708333333336</v>
      </c>
      <c r="J951">
        <v>96</v>
      </c>
      <c r="K951" s="3">
        <v>45303.708333333336</v>
      </c>
      <c r="L951" s="4">
        <f>ROUNDDOWN(Table1[[#This Row],[Ordered]],0)</f>
        <v>45300</v>
      </c>
      <c r="M951" s="4">
        <f>Table1[[#This Row],[Date ]]</f>
        <v>45300</v>
      </c>
      <c r="N951" s="5">
        <f>Table1[[#This Row],[Ordered]]-Table1[[#This Row],[Date ]]</f>
        <v>0.375</v>
      </c>
      <c r="O951">
        <f>Table1[[#This Row],[Company]]</f>
        <v>14</v>
      </c>
      <c r="P951">
        <f>IF(((Table1[[#This Row],[Arrived]]-Table1[[#This Row],[Delivery]])*24-Table1[[#This Row],[Promised]])&lt;0, 0, (Table1[[#This Row],[Arrived]]-Table1[[#This Row],[Delivery]])*24-Table1[[#This Row],[Promised]])</f>
        <v>0</v>
      </c>
      <c r="Q951"/>
    </row>
    <row r="952" spans="1:17" x14ac:dyDescent="0.45">
      <c r="A952" s="3">
        <v>45300.375</v>
      </c>
      <c r="B952" t="s">
        <v>14</v>
      </c>
      <c r="C952">
        <v>12</v>
      </c>
      <c r="D952">
        <v>1010</v>
      </c>
      <c r="E952" t="s">
        <v>15</v>
      </c>
      <c r="F952">
        <v>8</v>
      </c>
      <c r="G952">
        <v>6900</v>
      </c>
      <c r="H952">
        <v>55200</v>
      </c>
      <c r="I952" s="3">
        <v>45300.541666666664</v>
      </c>
      <c r="J952">
        <v>84</v>
      </c>
      <c r="K952" s="3">
        <v>45303.541666666664</v>
      </c>
      <c r="L952" s="4">
        <f>ROUNDDOWN(Table1[[#This Row],[Ordered]],0)</f>
        <v>45300</v>
      </c>
      <c r="M952" s="4">
        <f>Table1[[#This Row],[Date ]]</f>
        <v>45300</v>
      </c>
      <c r="N952" s="5">
        <f>Table1[[#This Row],[Ordered]]-Table1[[#This Row],[Date ]]</f>
        <v>0.375</v>
      </c>
      <c r="O952">
        <f>Table1[[#This Row],[Company]]</f>
        <v>12</v>
      </c>
      <c r="P952">
        <f>IF(((Table1[[#This Row],[Arrived]]-Table1[[#This Row],[Delivery]])*24-Table1[[#This Row],[Promised]])&lt;0, 0, (Table1[[#This Row],[Arrived]]-Table1[[#This Row],[Delivery]])*24-Table1[[#This Row],[Promised]])</f>
        <v>0</v>
      </c>
      <c r="Q952"/>
    </row>
    <row r="953" spans="1:17" x14ac:dyDescent="0.45">
      <c r="A953" s="3">
        <v>45300.375</v>
      </c>
      <c r="B953" t="s">
        <v>14</v>
      </c>
      <c r="C953">
        <v>7</v>
      </c>
      <c r="D953">
        <v>1010</v>
      </c>
      <c r="E953" t="s">
        <v>15</v>
      </c>
      <c r="F953">
        <v>5</v>
      </c>
      <c r="G953">
        <v>6650</v>
      </c>
      <c r="H953">
        <v>33250</v>
      </c>
      <c r="I953" s="3">
        <v>45300.666666666664</v>
      </c>
      <c r="J953">
        <v>96</v>
      </c>
      <c r="K953" s="3">
        <v>45303.666666666664</v>
      </c>
      <c r="L953" s="4">
        <f>ROUNDDOWN(Table1[[#This Row],[Ordered]],0)</f>
        <v>45300</v>
      </c>
      <c r="M953" s="4">
        <f>Table1[[#This Row],[Date ]]</f>
        <v>45300</v>
      </c>
      <c r="N953" s="5">
        <f>Table1[[#This Row],[Ordered]]-Table1[[#This Row],[Date ]]</f>
        <v>0.375</v>
      </c>
      <c r="O953">
        <f>Table1[[#This Row],[Company]]</f>
        <v>7</v>
      </c>
      <c r="P953">
        <f>IF(((Table1[[#This Row],[Arrived]]-Table1[[#This Row],[Delivery]])*24-Table1[[#This Row],[Promised]])&lt;0, 0, (Table1[[#This Row],[Arrived]]-Table1[[#This Row],[Delivery]])*24-Table1[[#This Row],[Promised]])</f>
        <v>0</v>
      </c>
      <c r="Q953"/>
    </row>
    <row r="954" spans="1:17" x14ac:dyDescent="0.45">
      <c r="A954" s="3">
        <v>45300.375</v>
      </c>
      <c r="B954" t="s">
        <v>14</v>
      </c>
      <c r="C954">
        <v>15</v>
      </c>
      <c r="D954">
        <v>1010</v>
      </c>
      <c r="E954" t="s">
        <v>15</v>
      </c>
      <c r="F954">
        <v>9</v>
      </c>
      <c r="G954">
        <v>6650</v>
      </c>
      <c r="H954">
        <v>59850</v>
      </c>
      <c r="I954" s="3">
        <v>45300.541666666664</v>
      </c>
      <c r="J954">
        <v>68</v>
      </c>
      <c r="K954" s="3">
        <v>45302.541666666664</v>
      </c>
      <c r="L954" s="4">
        <f>ROUNDDOWN(Table1[[#This Row],[Ordered]],0)</f>
        <v>45300</v>
      </c>
      <c r="M954" s="4">
        <f>Table1[[#This Row],[Date ]]</f>
        <v>45300</v>
      </c>
      <c r="N954" s="5">
        <f>Table1[[#This Row],[Ordered]]-Table1[[#This Row],[Date ]]</f>
        <v>0.375</v>
      </c>
      <c r="O954">
        <f>Table1[[#This Row],[Company]]</f>
        <v>15</v>
      </c>
      <c r="P954">
        <f>IF(((Table1[[#This Row],[Arrived]]-Table1[[#This Row],[Delivery]])*24-Table1[[#This Row],[Promised]])&lt;0, 0, (Table1[[#This Row],[Arrived]]-Table1[[#This Row],[Delivery]])*24-Table1[[#This Row],[Promised]])</f>
        <v>0</v>
      </c>
      <c r="Q954"/>
    </row>
    <row r="955" spans="1:17" x14ac:dyDescent="0.45">
      <c r="A955" s="3">
        <v>45300.375</v>
      </c>
      <c r="B955" t="s">
        <v>14</v>
      </c>
      <c r="C955">
        <v>9</v>
      </c>
      <c r="D955">
        <v>1010</v>
      </c>
      <c r="E955" t="s">
        <v>15</v>
      </c>
      <c r="F955">
        <v>4</v>
      </c>
      <c r="G955">
        <v>6650</v>
      </c>
      <c r="H955">
        <v>26600</v>
      </c>
      <c r="I955" s="3">
        <v>45301.333333333336</v>
      </c>
      <c r="J955">
        <v>96</v>
      </c>
      <c r="K955" s="3">
        <v>45304.333333333336</v>
      </c>
      <c r="L955" s="4">
        <f>ROUNDDOWN(Table1[[#This Row],[Ordered]],0)</f>
        <v>45300</v>
      </c>
      <c r="M955" s="4">
        <f>Table1[[#This Row],[Date ]]</f>
        <v>45300</v>
      </c>
      <c r="N955" s="5">
        <f>Table1[[#This Row],[Ordered]]-Table1[[#This Row],[Date ]]</f>
        <v>0.375</v>
      </c>
      <c r="O955">
        <f>Table1[[#This Row],[Company]]</f>
        <v>9</v>
      </c>
      <c r="P955">
        <f>IF(((Table1[[#This Row],[Arrived]]-Table1[[#This Row],[Delivery]])*24-Table1[[#This Row],[Promised]])&lt;0, 0, (Table1[[#This Row],[Arrived]]-Table1[[#This Row],[Delivery]])*24-Table1[[#This Row],[Promised]])</f>
        <v>0</v>
      </c>
      <c r="Q955"/>
    </row>
    <row r="956" spans="1:17" x14ac:dyDescent="0.45">
      <c r="A956" s="3">
        <v>45300.416666666664</v>
      </c>
      <c r="B956" t="s">
        <v>14</v>
      </c>
      <c r="C956">
        <v>7</v>
      </c>
      <c r="D956">
        <v>1003</v>
      </c>
      <c r="E956" t="s">
        <v>16</v>
      </c>
      <c r="F956">
        <v>30</v>
      </c>
      <c r="G956">
        <v>3650</v>
      </c>
      <c r="H956">
        <v>109500</v>
      </c>
      <c r="I956" s="3">
        <v>45301.666666666664</v>
      </c>
      <c r="J956">
        <v>96</v>
      </c>
      <c r="K956" s="3">
        <v>45303.666666666664</v>
      </c>
      <c r="L956" s="4">
        <f>ROUNDDOWN(Table1[[#This Row],[Ordered]],0)</f>
        <v>45300</v>
      </c>
      <c r="M956" s="4">
        <f>Table1[[#This Row],[Date ]]</f>
        <v>45300</v>
      </c>
      <c r="N956" s="5">
        <f>Table1[[#This Row],[Ordered]]-Table1[[#This Row],[Date ]]</f>
        <v>0.41666666666424135</v>
      </c>
      <c r="O956">
        <f>Table1[[#This Row],[Company]]</f>
        <v>7</v>
      </c>
      <c r="P956">
        <f>IF(((Table1[[#This Row],[Arrived]]-Table1[[#This Row],[Delivery]])*24-Table1[[#This Row],[Promised]])&lt;0, 0, (Table1[[#This Row],[Arrived]]-Table1[[#This Row],[Delivery]])*24-Table1[[#This Row],[Promised]])</f>
        <v>0</v>
      </c>
      <c r="Q956"/>
    </row>
    <row r="957" spans="1:17" hidden="1" x14ac:dyDescent="0.45">
      <c r="A957" s="3">
        <v>45300.416666666664</v>
      </c>
      <c r="B957" t="s">
        <v>12</v>
      </c>
      <c r="C957">
        <v>11</v>
      </c>
      <c r="D957">
        <v>4</v>
      </c>
      <c r="E957" t="s">
        <v>20</v>
      </c>
      <c r="F957">
        <v>101</v>
      </c>
      <c r="G957">
        <v>15</v>
      </c>
      <c r="H957">
        <v>1515</v>
      </c>
      <c r="I957" s="3">
        <v>45300.416666666664</v>
      </c>
      <c r="J957">
        <v>72</v>
      </c>
      <c r="K957" s="3">
        <v>45303.416666666664</v>
      </c>
      <c r="L957" s="4">
        <f>ROUNDDOWN(Table1[[#This Row],[Ordered]],0)</f>
        <v>45300</v>
      </c>
      <c r="M957" s="4">
        <f>Table1[[#This Row],[Date ]]</f>
        <v>45300</v>
      </c>
      <c r="N957" s="5">
        <f>Table1[[#This Row],[Ordered]]-Table1[[#This Row],[Date ]]</f>
        <v>0.41666666666424135</v>
      </c>
      <c r="O957">
        <f>Table1[[#This Row],[Company]]</f>
        <v>11</v>
      </c>
      <c r="P957">
        <f>IF(((Table1[[#This Row],[Arrived]]-Table1[[#This Row],[Delivery]])*24-Table1[[#This Row],[Promised]])&lt;0, 0, (Table1[[#This Row],[Arrived]]-Table1[[#This Row],[Delivery]])*24-Table1[[#This Row],[Promised]])</f>
        <v>0</v>
      </c>
      <c r="Q957"/>
    </row>
    <row r="958" spans="1:17" x14ac:dyDescent="0.45">
      <c r="A958" s="3">
        <v>45300.416666666664</v>
      </c>
      <c r="B958" t="s">
        <v>14</v>
      </c>
      <c r="C958">
        <v>11</v>
      </c>
      <c r="D958">
        <v>1003</v>
      </c>
      <c r="E958" t="s">
        <v>16</v>
      </c>
      <c r="F958">
        <v>22</v>
      </c>
      <c r="G958">
        <v>4000</v>
      </c>
      <c r="H958">
        <v>88000</v>
      </c>
      <c r="I958" s="3">
        <v>45300.625</v>
      </c>
      <c r="J958">
        <v>96</v>
      </c>
      <c r="K958" s="3">
        <v>45303.625</v>
      </c>
      <c r="L958" s="4">
        <f>ROUNDDOWN(Table1[[#This Row],[Ordered]],0)</f>
        <v>45300</v>
      </c>
      <c r="M958" s="4">
        <f>Table1[[#This Row],[Date ]]</f>
        <v>45300</v>
      </c>
      <c r="N958" s="5">
        <f>Table1[[#This Row],[Ordered]]-Table1[[#This Row],[Date ]]</f>
        <v>0.41666666666424135</v>
      </c>
      <c r="O958">
        <f>Table1[[#This Row],[Company]]</f>
        <v>11</v>
      </c>
      <c r="P958">
        <f>IF(((Table1[[#This Row],[Arrived]]-Table1[[#This Row],[Delivery]])*24-Table1[[#This Row],[Promised]])&lt;0, 0, (Table1[[#This Row],[Arrived]]-Table1[[#This Row],[Delivery]])*24-Table1[[#This Row],[Promised]])</f>
        <v>0</v>
      </c>
      <c r="Q958"/>
    </row>
    <row r="959" spans="1:17" x14ac:dyDescent="0.45">
      <c r="A959" s="3">
        <v>45300.416666666664</v>
      </c>
      <c r="B959" t="s">
        <v>14</v>
      </c>
      <c r="C959">
        <v>13</v>
      </c>
      <c r="D959">
        <v>1003</v>
      </c>
      <c r="E959" t="s">
        <v>16</v>
      </c>
      <c r="F959">
        <v>30</v>
      </c>
      <c r="G959">
        <v>3750</v>
      </c>
      <c r="H959">
        <v>112500</v>
      </c>
      <c r="I959" s="3">
        <v>45301.041666666664</v>
      </c>
      <c r="J959">
        <v>96</v>
      </c>
      <c r="K959" s="3">
        <v>45304.041666666664</v>
      </c>
      <c r="L959" s="4">
        <f>ROUNDDOWN(Table1[[#This Row],[Ordered]],0)</f>
        <v>45300</v>
      </c>
      <c r="M959" s="4">
        <f>Table1[[#This Row],[Date ]]</f>
        <v>45300</v>
      </c>
      <c r="N959" s="5">
        <f>Table1[[#This Row],[Ordered]]-Table1[[#This Row],[Date ]]</f>
        <v>0.41666666666424135</v>
      </c>
      <c r="O959">
        <f>Table1[[#This Row],[Company]]</f>
        <v>13</v>
      </c>
      <c r="P959">
        <f>IF(((Table1[[#This Row],[Arrived]]-Table1[[#This Row],[Delivery]])*24-Table1[[#This Row],[Promised]])&lt;0, 0, (Table1[[#This Row],[Arrived]]-Table1[[#This Row],[Delivery]])*24-Table1[[#This Row],[Promised]])</f>
        <v>0</v>
      </c>
      <c r="Q959"/>
    </row>
    <row r="960" spans="1:17" x14ac:dyDescent="0.45">
      <c r="A960" s="3">
        <v>45300.416666666664</v>
      </c>
      <c r="B960" t="s">
        <v>14</v>
      </c>
      <c r="C960">
        <v>8</v>
      </c>
      <c r="D960">
        <v>1003</v>
      </c>
      <c r="E960" t="s">
        <v>16</v>
      </c>
      <c r="F960">
        <v>50</v>
      </c>
      <c r="G960">
        <v>3300</v>
      </c>
      <c r="H960">
        <v>165000</v>
      </c>
      <c r="I960" s="3">
        <v>45302.5</v>
      </c>
      <c r="J960">
        <v>120</v>
      </c>
      <c r="K960" s="3">
        <v>45304.5</v>
      </c>
      <c r="L960" s="4">
        <f>ROUNDDOWN(Table1[[#This Row],[Ordered]],0)</f>
        <v>45300</v>
      </c>
      <c r="M960" s="4">
        <f>Table1[[#This Row],[Date ]]</f>
        <v>45300</v>
      </c>
      <c r="N960" s="5">
        <f>Table1[[#This Row],[Ordered]]-Table1[[#This Row],[Date ]]</f>
        <v>0.41666666666424135</v>
      </c>
      <c r="O960">
        <f>Table1[[#This Row],[Company]]</f>
        <v>8</v>
      </c>
      <c r="P960">
        <f>IF(((Table1[[#This Row],[Arrived]]-Table1[[#This Row],[Delivery]])*24-Table1[[#This Row],[Promised]])&lt;0, 0, (Table1[[#This Row],[Arrived]]-Table1[[#This Row],[Delivery]])*24-Table1[[#This Row],[Promised]])</f>
        <v>0</v>
      </c>
      <c r="Q960"/>
    </row>
    <row r="961" spans="1:17" x14ac:dyDescent="0.45">
      <c r="A961" s="3">
        <v>45300.416666666664</v>
      </c>
      <c r="B961" t="s">
        <v>14</v>
      </c>
      <c r="C961">
        <v>12</v>
      </c>
      <c r="D961">
        <v>1003</v>
      </c>
      <c r="E961" t="s">
        <v>16</v>
      </c>
      <c r="F961">
        <v>15</v>
      </c>
      <c r="G961">
        <v>4000</v>
      </c>
      <c r="H961">
        <v>60000</v>
      </c>
      <c r="I961" s="3">
        <v>45300.458333333336</v>
      </c>
      <c r="J961">
        <v>60</v>
      </c>
      <c r="K961" s="3">
        <v>45302.458333333336</v>
      </c>
      <c r="L961" s="4">
        <f>ROUNDDOWN(Table1[[#This Row],[Ordered]],0)</f>
        <v>45300</v>
      </c>
      <c r="M961" s="4">
        <f>Table1[[#This Row],[Date ]]</f>
        <v>45300</v>
      </c>
      <c r="N961" s="5">
        <f>Table1[[#This Row],[Ordered]]-Table1[[#This Row],[Date ]]</f>
        <v>0.41666666666424135</v>
      </c>
      <c r="O961">
        <f>Table1[[#This Row],[Company]]</f>
        <v>12</v>
      </c>
      <c r="P961">
        <f>IF(((Table1[[#This Row],[Arrived]]-Table1[[#This Row],[Delivery]])*24-Table1[[#This Row],[Promised]])&lt;0, 0, (Table1[[#This Row],[Arrived]]-Table1[[#This Row],[Delivery]])*24-Table1[[#This Row],[Promised]])</f>
        <v>0</v>
      </c>
      <c r="Q961"/>
    </row>
    <row r="962" spans="1:17" x14ac:dyDescent="0.45">
      <c r="A962" s="3">
        <v>45300.416666666664</v>
      </c>
      <c r="B962" t="s">
        <v>14</v>
      </c>
      <c r="C962">
        <v>9</v>
      </c>
      <c r="D962">
        <v>1003</v>
      </c>
      <c r="E962" t="s">
        <v>16</v>
      </c>
      <c r="F962">
        <v>30</v>
      </c>
      <c r="G962">
        <v>3750</v>
      </c>
      <c r="H962">
        <v>112500</v>
      </c>
      <c r="I962" s="3">
        <v>45301.333333333336</v>
      </c>
      <c r="J962">
        <v>96</v>
      </c>
      <c r="K962" s="3">
        <v>45304.333333333336</v>
      </c>
      <c r="L962" s="4">
        <f>ROUNDDOWN(Table1[[#This Row],[Ordered]],0)</f>
        <v>45300</v>
      </c>
      <c r="M962" s="4">
        <f>Table1[[#This Row],[Date ]]</f>
        <v>45300</v>
      </c>
      <c r="N962" s="5">
        <f>Table1[[#This Row],[Ordered]]-Table1[[#This Row],[Date ]]</f>
        <v>0.41666666666424135</v>
      </c>
      <c r="O962">
        <f>Table1[[#This Row],[Company]]</f>
        <v>9</v>
      </c>
      <c r="P962">
        <f>IF(((Table1[[#This Row],[Arrived]]-Table1[[#This Row],[Delivery]])*24-Table1[[#This Row],[Promised]])&lt;0, 0, (Table1[[#This Row],[Arrived]]-Table1[[#This Row],[Delivery]])*24-Table1[[#This Row],[Promised]])</f>
        <v>0</v>
      </c>
      <c r="Q962"/>
    </row>
    <row r="963" spans="1:17" x14ac:dyDescent="0.45">
      <c r="A963" s="3">
        <v>45300.416666666664</v>
      </c>
      <c r="B963" t="s">
        <v>14</v>
      </c>
      <c r="C963">
        <v>16</v>
      </c>
      <c r="D963">
        <v>1003</v>
      </c>
      <c r="E963" t="s">
        <v>16</v>
      </c>
      <c r="F963">
        <v>30</v>
      </c>
      <c r="G963">
        <v>3750</v>
      </c>
      <c r="H963">
        <v>112500</v>
      </c>
      <c r="I963" s="3">
        <v>45300.583333333336</v>
      </c>
      <c r="J963">
        <v>96</v>
      </c>
      <c r="K963" s="3">
        <v>45303.583333333336</v>
      </c>
      <c r="L963" s="4">
        <f>ROUNDDOWN(Table1[[#This Row],[Ordered]],0)</f>
        <v>45300</v>
      </c>
      <c r="M963" s="4">
        <f>Table1[[#This Row],[Date ]]</f>
        <v>45300</v>
      </c>
      <c r="N963" s="5">
        <f>Table1[[#This Row],[Ordered]]-Table1[[#This Row],[Date ]]</f>
        <v>0.41666666666424135</v>
      </c>
      <c r="O963">
        <f>Table1[[#This Row],[Company]]</f>
        <v>16</v>
      </c>
      <c r="P963">
        <f>IF(((Table1[[#This Row],[Arrived]]-Table1[[#This Row],[Delivery]])*24-Table1[[#This Row],[Promised]])&lt;0, 0, (Table1[[#This Row],[Arrived]]-Table1[[#This Row],[Delivery]])*24-Table1[[#This Row],[Promised]])</f>
        <v>0</v>
      </c>
      <c r="Q963"/>
    </row>
    <row r="964" spans="1:17" x14ac:dyDescent="0.45">
      <c r="A964" s="3">
        <v>45300.416666666664</v>
      </c>
      <c r="B964" t="s">
        <v>14</v>
      </c>
      <c r="C964">
        <v>15</v>
      </c>
      <c r="D964">
        <v>1003</v>
      </c>
      <c r="E964" t="s">
        <v>16</v>
      </c>
      <c r="F964">
        <v>25</v>
      </c>
      <c r="G964">
        <v>3750</v>
      </c>
      <c r="H964">
        <v>93750</v>
      </c>
      <c r="I964" s="3">
        <v>45300.75</v>
      </c>
      <c r="J964">
        <v>96</v>
      </c>
      <c r="K964" s="3">
        <v>45303.75</v>
      </c>
      <c r="L964" s="4">
        <f>ROUNDDOWN(Table1[[#This Row],[Ordered]],0)</f>
        <v>45300</v>
      </c>
      <c r="M964" s="4">
        <f>Table1[[#This Row],[Date ]]</f>
        <v>45300</v>
      </c>
      <c r="N964" s="5">
        <f>Table1[[#This Row],[Ordered]]-Table1[[#This Row],[Date ]]</f>
        <v>0.41666666666424135</v>
      </c>
      <c r="O964">
        <f>Table1[[#This Row],[Company]]</f>
        <v>15</v>
      </c>
      <c r="P964">
        <f>IF(((Table1[[#This Row],[Arrived]]-Table1[[#This Row],[Delivery]])*24-Table1[[#This Row],[Promised]])&lt;0, 0, (Table1[[#This Row],[Arrived]]-Table1[[#This Row],[Delivery]])*24-Table1[[#This Row],[Promised]])</f>
        <v>0</v>
      </c>
      <c r="Q964"/>
    </row>
    <row r="965" spans="1:17" x14ac:dyDescent="0.45">
      <c r="A965" s="3">
        <v>45300.416666666664</v>
      </c>
      <c r="B965" t="s">
        <v>14</v>
      </c>
      <c r="C965">
        <v>14</v>
      </c>
      <c r="D965">
        <v>1003</v>
      </c>
      <c r="E965" t="s">
        <v>16</v>
      </c>
      <c r="F965">
        <v>29</v>
      </c>
      <c r="G965">
        <v>3750</v>
      </c>
      <c r="H965">
        <v>108750</v>
      </c>
      <c r="I965" s="3">
        <v>45300.791666666664</v>
      </c>
      <c r="J965">
        <v>96</v>
      </c>
      <c r="K965" s="3">
        <v>45303.791666666664</v>
      </c>
      <c r="L965" s="4">
        <f>ROUNDDOWN(Table1[[#This Row],[Ordered]],0)</f>
        <v>45300</v>
      </c>
      <c r="M965" s="4">
        <f>Table1[[#This Row],[Date ]]</f>
        <v>45300</v>
      </c>
      <c r="N965" s="5">
        <f>Table1[[#This Row],[Ordered]]-Table1[[#This Row],[Date ]]</f>
        <v>0.41666666666424135</v>
      </c>
      <c r="O965">
        <f>Table1[[#This Row],[Company]]</f>
        <v>14</v>
      </c>
      <c r="P965">
        <f>IF(((Table1[[#This Row],[Arrived]]-Table1[[#This Row],[Delivery]])*24-Table1[[#This Row],[Promised]])&lt;0, 0, (Table1[[#This Row],[Arrived]]-Table1[[#This Row],[Delivery]])*24-Table1[[#This Row],[Promised]])</f>
        <v>0</v>
      </c>
      <c r="Q965"/>
    </row>
    <row r="966" spans="1:17" hidden="1" x14ac:dyDescent="0.45">
      <c r="A966" s="3">
        <v>45300.458333333336</v>
      </c>
      <c r="B966" t="s">
        <v>12</v>
      </c>
      <c r="C966">
        <v>4</v>
      </c>
      <c r="D966">
        <v>11</v>
      </c>
      <c r="E966" t="s">
        <v>13</v>
      </c>
      <c r="F966">
        <v>2500</v>
      </c>
      <c r="G966">
        <v>110</v>
      </c>
      <c r="H966">
        <v>275000</v>
      </c>
      <c r="I966" s="3">
        <v>45300.708333333336</v>
      </c>
      <c r="J966">
        <v>72</v>
      </c>
      <c r="K966" s="3">
        <v>45303.708333333336</v>
      </c>
      <c r="L966" s="4">
        <f>ROUNDDOWN(Table1[[#This Row],[Ordered]],0)</f>
        <v>45300</v>
      </c>
      <c r="M966" s="4">
        <f>Table1[[#This Row],[Date ]]</f>
        <v>45300</v>
      </c>
      <c r="N966" s="5">
        <f>Table1[[#This Row],[Ordered]]-Table1[[#This Row],[Date ]]</f>
        <v>0.45833333333575865</v>
      </c>
      <c r="O966">
        <f>Table1[[#This Row],[Company]]</f>
        <v>4</v>
      </c>
      <c r="P966">
        <f>IF(((Table1[[#This Row],[Arrived]]-Table1[[#This Row],[Delivery]])*24-Table1[[#This Row],[Promised]])&lt;0, 0, (Table1[[#This Row],[Arrived]]-Table1[[#This Row],[Delivery]])*24-Table1[[#This Row],[Promised]])</f>
        <v>0</v>
      </c>
      <c r="Q966"/>
    </row>
    <row r="967" spans="1:17" hidden="1" x14ac:dyDescent="0.45">
      <c r="A967" s="3">
        <v>45300.458333333336</v>
      </c>
      <c r="B967" t="s">
        <v>12</v>
      </c>
      <c r="C967">
        <v>9</v>
      </c>
      <c r="D967">
        <v>4</v>
      </c>
      <c r="E967" t="s">
        <v>20</v>
      </c>
      <c r="F967">
        <v>453</v>
      </c>
      <c r="G967">
        <v>11</v>
      </c>
      <c r="H967">
        <v>4983</v>
      </c>
      <c r="I967" s="3">
        <v>45300.5</v>
      </c>
      <c r="J967">
        <v>48</v>
      </c>
      <c r="K967" s="3">
        <v>45302.5</v>
      </c>
      <c r="L967" s="4">
        <f>ROUNDDOWN(Table1[[#This Row],[Ordered]],0)</f>
        <v>45300</v>
      </c>
      <c r="M967" s="4">
        <f>Table1[[#This Row],[Date ]]</f>
        <v>45300</v>
      </c>
      <c r="N967" s="5">
        <f>Table1[[#This Row],[Ordered]]-Table1[[#This Row],[Date ]]</f>
        <v>0.45833333333575865</v>
      </c>
      <c r="O967">
        <f>Table1[[#This Row],[Company]]</f>
        <v>9</v>
      </c>
      <c r="P967">
        <f>IF(((Table1[[#This Row],[Arrived]]-Table1[[#This Row],[Delivery]])*24-Table1[[#This Row],[Promised]])&lt;0, 0, (Table1[[#This Row],[Arrived]]-Table1[[#This Row],[Delivery]])*24-Table1[[#This Row],[Promised]])</f>
        <v>0</v>
      </c>
      <c r="Q967"/>
    </row>
    <row r="968" spans="1:17" x14ac:dyDescent="0.45">
      <c r="A968" s="3">
        <v>45300.5</v>
      </c>
      <c r="B968" t="s">
        <v>14</v>
      </c>
      <c r="C968">
        <v>15</v>
      </c>
      <c r="D968">
        <v>1010</v>
      </c>
      <c r="E968" t="s">
        <v>16</v>
      </c>
      <c r="F968">
        <v>20</v>
      </c>
      <c r="G968">
        <v>3850</v>
      </c>
      <c r="H968">
        <v>77000</v>
      </c>
      <c r="I968" s="3">
        <v>45300.666666666664</v>
      </c>
      <c r="J968">
        <v>92</v>
      </c>
      <c r="K968" s="3">
        <v>45303.666666666664</v>
      </c>
      <c r="L968" s="4">
        <f>ROUNDDOWN(Table1[[#This Row],[Ordered]],0)</f>
        <v>45300</v>
      </c>
      <c r="M968" s="4">
        <f>Table1[[#This Row],[Date ]]</f>
        <v>45300</v>
      </c>
      <c r="N968" s="5">
        <f>Table1[[#This Row],[Ordered]]-Table1[[#This Row],[Date ]]</f>
        <v>0.5</v>
      </c>
      <c r="O968">
        <f>Table1[[#This Row],[Company]]</f>
        <v>15</v>
      </c>
      <c r="P968">
        <f>IF(((Table1[[#This Row],[Arrived]]-Table1[[#This Row],[Delivery]])*24-Table1[[#This Row],[Promised]])&lt;0, 0, (Table1[[#This Row],[Arrived]]-Table1[[#This Row],[Delivery]])*24-Table1[[#This Row],[Promised]])</f>
        <v>0</v>
      </c>
      <c r="Q968"/>
    </row>
    <row r="969" spans="1:17" x14ac:dyDescent="0.45">
      <c r="A969" s="3">
        <v>45300.5</v>
      </c>
      <c r="B969" t="s">
        <v>14</v>
      </c>
      <c r="C969">
        <v>16</v>
      </c>
      <c r="D969">
        <v>1010</v>
      </c>
      <c r="E969" t="s">
        <v>16</v>
      </c>
      <c r="F969">
        <v>30</v>
      </c>
      <c r="G969">
        <v>3750</v>
      </c>
      <c r="H969">
        <v>112500</v>
      </c>
      <c r="I969" s="3">
        <v>45300.583333333336</v>
      </c>
      <c r="J969">
        <v>96</v>
      </c>
      <c r="K969" s="3">
        <v>45303.583333333336</v>
      </c>
      <c r="L969" s="4">
        <f>ROUNDDOWN(Table1[[#This Row],[Ordered]],0)</f>
        <v>45300</v>
      </c>
      <c r="M969" s="4">
        <f>Table1[[#This Row],[Date ]]</f>
        <v>45300</v>
      </c>
      <c r="N969" s="5">
        <f>Table1[[#This Row],[Ordered]]-Table1[[#This Row],[Date ]]</f>
        <v>0.5</v>
      </c>
      <c r="O969">
        <f>Table1[[#This Row],[Company]]</f>
        <v>16</v>
      </c>
      <c r="P969">
        <f>IF(((Table1[[#This Row],[Arrived]]-Table1[[#This Row],[Delivery]])*24-Table1[[#This Row],[Promised]])&lt;0, 0, (Table1[[#This Row],[Arrived]]-Table1[[#This Row],[Delivery]])*24-Table1[[#This Row],[Promised]])</f>
        <v>0</v>
      </c>
      <c r="Q969"/>
    </row>
    <row r="970" spans="1:17" x14ac:dyDescent="0.45">
      <c r="A970" s="3">
        <v>45300.5</v>
      </c>
      <c r="B970" t="s">
        <v>14</v>
      </c>
      <c r="C970">
        <v>13</v>
      </c>
      <c r="D970">
        <v>1010</v>
      </c>
      <c r="E970" t="s">
        <v>16</v>
      </c>
      <c r="F970">
        <v>26</v>
      </c>
      <c r="G970">
        <v>3750</v>
      </c>
      <c r="H970">
        <v>97500</v>
      </c>
      <c r="I970" s="3">
        <v>45301.208333333336</v>
      </c>
      <c r="J970">
        <v>96</v>
      </c>
      <c r="K970" s="3">
        <v>45304.208333333336</v>
      </c>
      <c r="L970" s="4">
        <f>ROUNDDOWN(Table1[[#This Row],[Ordered]],0)</f>
        <v>45300</v>
      </c>
      <c r="M970" s="4">
        <f>Table1[[#This Row],[Date ]]</f>
        <v>45300</v>
      </c>
      <c r="N970" s="5">
        <f>Table1[[#This Row],[Ordered]]-Table1[[#This Row],[Date ]]</f>
        <v>0.5</v>
      </c>
      <c r="O970">
        <f>Table1[[#This Row],[Company]]</f>
        <v>13</v>
      </c>
      <c r="P970">
        <f>IF(((Table1[[#This Row],[Arrived]]-Table1[[#This Row],[Delivery]])*24-Table1[[#This Row],[Promised]])&lt;0, 0, (Table1[[#This Row],[Arrived]]-Table1[[#This Row],[Delivery]])*24-Table1[[#This Row],[Promised]])</f>
        <v>0</v>
      </c>
      <c r="Q970"/>
    </row>
    <row r="971" spans="1:17" x14ac:dyDescent="0.45">
      <c r="A971" s="3">
        <v>45300.5</v>
      </c>
      <c r="B971" t="s">
        <v>14</v>
      </c>
      <c r="C971">
        <v>12</v>
      </c>
      <c r="D971">
        <v>1010</v>
      </c>
      <c r="E971" t="s">
        <v>16</v>
      </c>
      <c r="F971">
        <v>15</v>
      </c>
      <c r="G971">
        <v>4000</v>
      </c>
      <c r="H971">
        <v>60000</v>
      </c>
      <c r="I971" s="3">
        <v>45300.5</v>
      </c>
      <c r="J971">
        <v>60</v>
      </c>
      <c r="K971" s="3">
        <v>45302.5</v>
      </c>
      <c r="L971" s="4">
        <f>ROUNDDOWN(Table1[[#This Row],[Ordered]],0)</f>
        <v>45300</v>
      </c>
      <c r="M971" s="4">
        <f>Table1[[#This Row],[Date ]]</f>
        <v>45300</v>
      </c>
      <c r="N971" s="5">
        <f>Table1[[#This Row],[Ordered]]-Table1[[#This Row],[Date ]]</f>
        <v>0.5</v>
      </c>
      <c r="O971">
        <f>Table1[[#This Row],[Company]]</f>
        <v>12</v>
      </c>
      <c r="P971">
        <f>IF(((Table1[[#This Row],[Arrived]]-Table1[[#This Row],[Delivery]])*24-Table1[[#This Row],[Promised]])&lt;0, 0, (Table1[[#This Row],[Arrived]]-Table1[[#This Row],[Delivery]])*24-Table1[[#This Row],[Promised]])</f>
        <v>0</v>
      </c>
      <c r="Q971"/>
    </row>
    <row r="972" spans="1:17" x14ac:dyDescent="0.45">
      <c r="A972" s="3">
        <v>45300.5</v>
      </c>
      <c r="B972" t="s">
        <v>14</v>
      </c>
      <c r="C972">
        <v>11</v>
      </c>
      <c r="D972">
        <v>1010</v>
      </c>
      <c r="E972" t="s">
        <v>16</v>
      </c>
      <c r="F972">
        <v>17</v>
      </c>
      <c r="G972">
        <v>4000</v>
      </c>
      <c r="H972">
        <v>68000</v>
      </c>
      <c r="I972" s="3">
        <v>45300.791666666664</v>
      </c>
      <c r="J972">
        <v>96</v>
      </c>
      <c r="K972" s="3">
        <v>45303.791666666664</v>
      </c>
      <c r="L972" s="4">
        <f>ROUNDDOWN(Table1[[#This Row],[Ordered]],0)</f>
        <v>45300</v>
      </c>
      <c r="M972" s="4">
        <f>Table1[[#This Row],[Date ]]</f>
        <v>45300</v>
      </c>
      <c r="N972" s="5">
        <f>Table1[[#This Row],[Ordered]]-Table1[[#This Row],[Date ]]</f>
        <v>0.5</v>
      </c>
      <c r="O972">
        <f>Table1[[#This Row],[Company]]</f>
        <v>11</v>
      </c>
      <c r="P972">
        <f>IF(((Table1[[#This Row],[Arrived]]-Table1[[#This Row],[Delivery]])*24-Table1[[#This Row],[Promised]])&lt;0, 0, (Table1[[#This Row],[Arrived]]-Table1[[#This Row],[Delivery]])*24-Table1[[#This Row],[Promised]])</f>
        <v>0</v>
      </c>
      <c r="Q972"/>
    </row>
    <row r="973" spans="1:17" x14ac:dyDescent="0.45">
      <c r="A973" s="3">
        <v>45300.5</v>
      </c>
      <c r="B973" t="s">
        <v>14</v>
      </c>
      <c r="C973">
        <v>8</v>
      </c>
      <c r="D973">
        <v>1010</v>
      </c>
      <c r="E973" t="s">
        <v>16</v>
      </c>
      <c r="F973">
        <v>30</v>
      </c>
      <c r="G973">
        <v>3600</v>
      </c>
      <c r="H973">
        <v>108000</v>
      </c>
      <c r="I973" s="3">
        <v>45301.166666666664</v>
      </c>
      <c r="J973">
        <v>96</v>
      </c>
      <c r="K973" s="3">
        <v>45304.25</v>
      </c>
      <c r="L973" s="4">
        <f>ROUNDDOWN(Table1[[#This Row],[Ordered]],0)</f>
        <v>45300</v>
      </c>
      <c r="M973" s="4">
        <f>Table1[[#This Row],[Date ]]</f>
        <v>45300</v>
      </c>
      <c r="N973" s="5">
        <f>Table1[[#This Row],[Ordered]]-Table1[[#This Row],[Date ]]</f>
        <v>0.5</v>
      </c>
      <c r="O973">
        <f>Table1[[#This Row],[Company]]</f>
        <v>8</v>
      </c>
      <c r="P973">
        <f>IF(((Table1[[#This Row],[Arrived]]-Table1[[#This Row],[Delivery]])*24-Table1[[#This Row],[Promised]])&lt;0, 0, (Table1[[#This Row],[Arrived]]-Table1[[#This Row],[Delivery]])*24-Table1[[#This Row],[Promised]])</f>
        <v>0</v>
      </c>
      <c r="Q973"/>
    </row>
    <row r="974" spans="1:17" x14ac:dyDescent="0.45">
      <c r="A974" s="3">
        <v>45300.5</v>
      </c>
      <c r="B974" t="s">
        <v>14</v>
      </c>
      <c r="C974">
        <v>14</v>
      </c>
      <c r="D974">
        <v>1010</v>
      </c>
      <c r="E974" t="s">
        <v>16</v>
      </c>
      <c r="F974">
        <v>23</v>
      </c>
      <c r="G974">
        <v>3750</v>
      </c>
      <c r="H974">
        <v>86250</v>
      </c>
      <c r="I974" s="3">
        <v>45300.916666666664</v>
      </c>
      <c r="J974">
        <v>96</v>
      </c>
      <c r="K974" s="3">
        <v>45303.916666666664</v>
      </c>
      <c r="L974" s="4">
        <f>ROUNDDOWN(Table1[[#This Row],[Ordered]],0)</f>
        <v>45300</v>
      </c>
      <c r="M974" s="4">
        <f>Table1[[#This Row],[Date ]]</f>
        <v>45300</v>
      </c>
      <c r="N974" s="5">
        <f>Table1[[#This Row],[Ordered]]-Table1[[#This Row],[Date ]]</f>
        <v>0.5</v>
      </c>
      <c r="O974">
        <f>Table1[[#This Row],[Company]]</f>
        <v>14</v>
      </c>
      <c r="P974">
        <f>IF(((Table1[[#This Row],[Arrived]]-Table1[[#This Row],[Delivery]])*24-Table1[[#This Row],[Promised]])&lt;0, 0, (Table1[[#This Row],[Arrived]]-Table1[[#This Row],[Delivery]])*24-Table1[[#This Row],[Promised]])</f>
        <v>0</v>
      </c>
      <c r="Q974"/>
    </row>
    <row r="975" spans="1:17" x14ac:dyDescent="0.45">
      <c r="A975" s="3">
        <v>45300.5</v>
      </c>
      <c r="B975" t="s">
        <v>14</v>
      </c>
      <c r="C975">
        <v>7</v>
      </c>
      <c r="D975">
        <v>1010</v>
      </c>
      <c r="E975" t="s">
        <v>16</v>
      </c>
      <c r="F975">
        <v>30</v>
      </c>
      <c r="G975">
        <v>3650</v>
      </c>
      <c r="H975">
        <v>109500</v>
      </c>
      <c r="I975" s="3">
        <v>45301.75</v>
      </c>
      <c r="J975">
        <v>96</v>
      </c>
      <c r="K975" s="3">
        <v>45303.75</v>
      </c>
      <c r="L975" s="4">
        <f>ROUNDDOWN(Table1[[#This Row],[Ordered]],0)</f>
        <v>45300</v>
      </c>
      <c r="M975" s="4">
        <f>Table1[[#This Row],[Date ]]</f>
        <v>45300</v>
      </c>
      <c r="N975" s="5">
        <f>Table1[[#This Row],[Ordered]]-Table1[[#This Row],[Date ]]</f>
        <v>0.5</v>
      </c>
      <c r="O975">
        <f>Table1[[#This Row],[Company]]</f>
        <v>7</v>
      </c>
      <c r="P975">
        <f>IF(((Table1[[#This Row],[Arrived]]-Table1[[#This Row],[Delivery]])*24-Table1[[#This Row],[Promised]])&lt;0, 0, (Table1[[#This Row],[Arrived]]-Table1[[#This Row],[Delivery]])*24-Table1[[#This Row],[Promised]])</f>
        <v>0</v>
      </c>
      <c r="Q975"/>
    </row>
    <row r="976" spans="1:17" x14ac:dyDescent="0.45">
      <c r="A976" s="3">
        <v>45300.5</v>
      </c>
      <c r="B976" t="s">
        <v>14</v>
      </c>
      <c r="C976">
        <v>9</v>
      </c>
      <c r="D976">
        <v>1010</v>
      </c>
      <c r="E976" t="s">
        <v>16</v>
      </c>
      <c r="F976">
        <v>15</v>
      </c>
      <c r="G976">
        <v>3900</v>
      </c>
      <c r="H976">
        <v>58500</v>
      </c>
      <c r="I976" s="3">
        <v>45300.5</v>
      </c>
      <c r="J976">
        <v>72</v>
      </c>
      <c r="K976" s="3">
        <v>45303.666666666664</v>
      </c>
      <c r="L976" s="4">
        <f>ROUNDDOWN(Table1[[#This Row],[Ordered]],0)</f>
        <v>45300</v>
      </c>
      <c r="M976" s="4">
        <f>Table1[[#This Row],[Date ]]</f>
        <v>45300</v>
      </c>
      <c r="N976" s="5">
        <f>Table1[[#This Row],[Ordered]]-Table1[[#This Row],[Date ]]</f>
        <v>0.5</v>
      </c>
      <c r="O976">
        <f>Table1[[#This Row],[Company]]</f>
        <v>9</v>
      </c>
      <c r="P976">
        <f>IF(((Table1[[#This Row],[Arrived]]-Table1[[#This Row],[Delivery]])*24-Table1[[#This Row],[Promised]])&lt;0, 0, (Table1[[#This Row],[Arrived]]-Table1[[#This Row],[Delivery]])*24-Table1[[#This Row],[Promised]])</f>
        <v>3.9999999999417923</v>
      </c>
      <c r="Q976"/>
    </row>
    <row r="977" spans="1:17" x14ac:dyDescent="0.45">
      <c r="A977" s="3">
        <v>45300.666666666664</v>
      </c>
      <c r="B977" t="s">
        <v>0</v>
      </c>
      <c r="C977">
        <v>11</v>
      </c>
      <c r="D977">
        <v>2003</v>
      </c>
      <c r="E977" t="s">
        <v>15</v>
      </c>
      <c r="F977">
        <v>29</v>
      </c>
      <c r="G977">
        <v>6650</v>
      </c>
      <c r="H977">
        <v>192850</v>
      </c>
      <c r="I977" s="3">
        <v>45300.916666666664</v>
      </c>
      <c r="J977">
        <v>132</v>
      </c>
      <c r="K977" s="3">
        <v>45305.5</v>
      </c>
      <c r="L977" s="4">
        <f>ROUNDDOWN(Table1[[#This Row],[Ordered]],0)</f>
        <v>45300</v>
      </c>
      <c r="M977" s="4">
        <f>Table1[[#This Row],[Date ]]</f>
        <v>45300</v>
      </c>
      <c r="N977" s="5">
        <f>Table1[[#This Row],[Ordered]]-Table1[[#This Row],[Date ]]</f>
        <v>0.66666666666424135</v>
      </c>
      <c r="O977">
        <f>Table1[[#This Row],[Company]]</f>
        <v>11</v>
      </c>
      <c r="P977">
        <f>IF(((Table1[[#This Row],[Arrived]]-Table1[[#This Row],[Delivery]])*24-Table1[[#This Row],[Promised]])&lt;0, 0, (Table1[[#This Row],[Arrived]]-Table1[[#This Row],[Delivery]])*24-Table1[[#This Row],[Promised]])</f>
        <v>0</v>
      </c>
      <c r="Q977"/>
    </row>
    <row r="978" spans="1:17" x14ac:dyDescent="0.45">
      <c r="A978" s="3">
        <v>45300.666666666664</v>
      </c>
      <c r="B978" t="s">
        <v>0</v>
      </c>
      <c r="C978">
        <v>10</v>
      </c>
      <c r="D978">
        <v>2003</v>
      </c>
      <c r="E978" t="s">
        <v>15</v>
      </c>
      <c r="F978">
        <v>43</v>
      </c>
      <c r="G978">
        <v>6500</v>
      </c>
      <c r="H978">
        <v>279500</v>
      </c>
      <c r="I978" s="3">
        <v>45300.666666666664</v>
      </c>
      <c r="J978">
        <v>120</v>
      </c>
      <c r="K978" s="3">
        <v>45305.166666666664</v>
      </c>
      <c r="L978" s="4">
        <f>ROUNDDOWN(Table1[[#This Row],[Ordered]],0)</f>
        <v>45300</v>
      </c>
      <c r="M978" s="4">
        <f>Table1[[#This Row],[Date ]]</f>
        <v>45300</v>
      </c>
      <c r="N978" s="5">
        <f>Table1[[#This Row],[Ordered]]-Table1[[#This Row],[Date ]]</f>
        <v>0.66666666666424135</v>
      </c>
      <c r="O978">
        <f>Table1[[#This Row],[Company]]</f>
        <v>10</v>
      </c>
      <c r="P978">
        <f>IF(((Table1[[#This Row],[Arrived]]-Table1[[#This Row],[Delivery]])*24-Table1[[#This Row],[Promised]])&lt;0, 0, (Table1[[#This Row],[Arrived]]-Table1[[#This Row],[Delivery]])*24-Table1[[#This Row],[Promised]])</f>
        <v>0</v>
      </c>
      <c r="Q978"/>
    </row>
    <row r="979" spans="1:17" x14ac:dyDescent="0.45">
      <c r="A979" s="3">
        <v>45300.666666666664</v>
      </c>
      <c r="B979" t="s">
        <v>0</v>
      </c>
      <c r="C979">
        <v>15</v>
      </c>
      <c r="D979">
        <v>2003</v>
      </c>
      <c r="E979" t="s">
        <v>15</v>
      </c>
      <c r="F979">
        <v>40</v>
      </c>
      <c r="G979">
        <v>6900</v>
      </c>
      <c r="H979">
        <v>276000</v>
      </c>
      <c r="I979" s="3">
        <v>45300.75</v>
      </c>
      <c r="J979">
        <v>54</v>
      </c>
      <c r="K979" s="3">
        <v>45302.25</v>
      </c>
      <c r="L979" s="4">
        <f>ROUNDDOWN(Table1[[#This Row],[Ordered]],0)</f>
        <v>45300</v>
      </c>
      <c r="M979" s="4">
        <f>Table1[[#This Row],[Date ]]</f>
        <v>45300</v>
      </c>
      <c r="N979" s="5">
        <f>Table1[[#This Row],[Ordered]]-Table1[[#This Row],[Date ]]</f>
        <v>0.66666666666424135</v>
      </c>
      <c r="O979">
        <f>Table1[[#This Row],[Company]]</f>
        <v>15</v>
      </c>
      <c r="P979">
        <f>IF(((Table1[[#This Row],[Arrived]]-Table1[[#This Row],[Delivery]])*24-Table1[[#This Row],[Promised]])&lt;0, 0, (Table1[[#This Row],[Arrived]]-Table1[[#This Row],[Delivery]])*24-Table1[[#This Row],[Promised]])</f>
        <v>0</v>
      </c>
      <c r="Q979"/>
    </row>
    <row r="980" spans="1:17" x14ac:dyDescent="0.45">
      <c r="A980" s="3">
        <v>45300.666666666664</v>
      </c>
      <c r="B980" t="s">
        <v>0</v>
      </c>
      <c r="C980">
        <v>15</v>
      </c>
      <c r="D980">
        <v>2003</v>
      </c>
      <c r="E980" t="s">
        <v>16</v>
      </c>
      <c r="F980">
        <v>30</v>
      </c>
      <c r="G980">
        <v>3850</v>
      </c>
      <c r="H980">
        <v>115500</v>
      </c>
      <c r="I980" s="3">
        <v>45300.708333333336</v>
      </c>
      <c r="J980">
        <v>120</v>
      </c>
      <c r="K980" s="3">
        <v>45305.208333333336</v>
      </c>
      <c r="L980" s="4">
        <f>ROUNDDOWN(Table1[[#This Row],[Ordered]],0)</f>
        <v>45300</v>
      </c>
      <c r="M980" s="4">
        <f>Table1[[#This Row],[Date ]]</f>
        <v>45300</v>
      </c>
      <c r="N980" s="5">
        <f>Table1[[#This Row],[Ordered]]-Table1[[#This Row],[Date ]]</f>
        <v>0.66666666666424135</v>
      </c>
      <c r="O980">
        <f>Table1[[#This Row],[Company]]</f>
        <v>15</v>
      </c>
      <c r="P980">
        <f>IF(((Table1[[#This Row],[Arrived]]-Table1[[#This Row],[Delivery]])*24-Table1[[#This Row],[Promised]])&lt;0, 0, (Table1[[#This Row],[Arrived]]-Table1[[#This Row],[Delivery]])*24-Table1[[#This Row],[Promised]])</f>
        <v>0</v>
      </c>
      <c r="Q980"/>
    </row>
    <row r="981" spans="1:17" x14ac:dyDescent="0.45">
      <c r="A981" s="3">
        <v>45300.666666666664</v>
      </c>
      <c r="B981" t="s">
        <v>0</v>
      </c>
      <c r="C981">
        <v>16</v>
      </c>
      <c r="D981">
        <v>2003</v>
      </c>
      <c r="E981" t="s">
        <v>15</v>
      </c>
      <c r="F981">
        <v>30</v>
      </c>
      <c r="G981">
        <v>6650</v>
      </c>
      <c r="H981">
        <v>199500</v>
      </c>
      <c r="I981" s="3">
        <v>45300.791666666664</v>
      </c>
      <c r="J981">
        <v>132</v>
      </c>
      <c r="K981" s="3">
        <v>45305.291666666664</v>
      </c>
      <c r="L981" s="4">
        <f>ROUNDDOWN(Table1[[#This Row],[Ordered]],0)</f>
        <v>45300</v>
      </c>
      <c r="M981" s="4">
        <f>Table1[[#This Row],[Date ]]</f>
        <v>45300</v>
      </c>
      <c r="N981" s="5">
        <f>Table1[[#This Row],[Ordered]]-Table1[[#This Row],[Date ]]</f>
        <v>0.66666666666424135</v>
      </c>
      <c r="O981">
        <f>Table1[[#This Row],[Company]]</f>
        <v>16</v>
      </c>
      <c r="P981">
        <f>IF(((Table1[[#This Row],[Arrived]]-Table1[[#This Row],[Delivery]])*24-Table1[[#This Row],[Promised]])&lt;0, 0, (Table1[[#This Row],[Arrived]]-Table1[[#This Row],[Delivery]])*24-Table1[[#This Row],[Promised]])</f>
        <v>0</v>
      </c>
      <c r="Q981"/>
    </row>
    <row r="982" spans="1:17" x14ac:dyDescent="0.45">
      <c r="A982" s="3">
        <v>45300.666666666664</v>
      </c>
      <c r="B982" t="s">
        <v>0</v>
      </c>
      <c r="C982">
        <v>10</v>
      </c>
      <c r="D982">
        <v>2003</v>
      </c>
      <c r="E982" t="s">
        <v>16</v>
      </c>
      <c r="F982">
        <v>30</v>
      </c>
      <c r="G982">
        <v>4200</v>
      </c>
      <c r="H982">
        <v>126000</v>
      </c>
      <c r="I982" s="3">
        <v>45300.875</v>
      </c>
      <c r="J982">
        <v>132</v>
      </c>
      <c r="K982" s="3">
        <v>45305.416666666664</v>
      </c>
      <c r="L982" s="4">
        <f>ROUNDDOWN(Table1[[#This Row],[Ordered]],0)</f>
        <v>45300</v>
      </c>
      <c r="M982" s="4">
        <f>Table1[[#This Row],[Date ]]</f>
        <v>45300</v>
      </c>
      <c r="N982" s="5">
        <f>Table1[[#This Row],[Ordered]]-Table1[[#This Row],[Date ]]</f>
        <v>0.66666666666424135</v>
      </c>
      <c r="O982">
        <f>Table1[[#This Row],[Company]]</f>
        <v>10</v>
      </c>
      <c r="P982">
        <f>IF(((Table1[[#This Row],[Arrived]]-Table1[[#This Row],[Delivery]])*24-Table1[[#This Row],[Promised]])&lt;0, 0, (Table1[[#This Row],[Arrived]]-Table1[[#This Row],[Delivery]])*24-Table1[[#This Row],[Promised]])</f>
        <v>0</v>
      </c>
      <c r="Q982"/>
    </row>
    <row r="983" spans="1:17" x14ac:dyDescent="0.45">
      <c r="A983" s="3">
        <v>45300.666666666664</v>
      </c>
      <c r="B983" t="s">
        <v>0</v>
      </c>
      <c r="C983">
        <v>11</v>
      </c>
      <c r="D983">
        <v>2003</v>
      </c>
      <c r="E983" t="s">
        <v>16</v>
      </c>
      <c r="F983">
        <v>40</v>
      </c>
      <c r="G983">
        <v>4200</v>
      </c>
      <c r="H983">
        <v>168000</v>
      </c>
      <c r="I983" s="3">
        <v>45300.916666666664</v>
      </c>
      <c r="J983">
        <v>132</v>
      </c>
      <c r="K983" s="3">
        <v>45305.416666666664</v>
      </c>
      <c r="L983" s="4">
        <f>ROUNDDOWN(Table1[[#This Row],[Ordered]],0)</f>
        <v>45300</v>
      </c>
      <c r="M983" s="4">
        <f>Table1[[#This Row],[Date ]]</f>
        <v>45300</v>
      </c>
      <c r="N983" s="5">
        <f>Table1[[#This Row],[Ordered]]-Table1[[#This Row],[Date ]]</f>
        <v>0.66666666666424135</v>
      </c>
      <c r="O983">
        <f>Table1[[#This Row],[Company]]</f>
        <v>11</v>
      </c>
      <c r="P983">
        <f>IF(((Table1[[#This Row],[Arrived]]-Table1[[#This Row],[Delivery]])*24-Table1[[#This Row],[Promised]])&lt;0, 0, (Table1[[#This Row],[Arrived]]-Table1[[#This Row],[Delivery]])*24-Table1[[#This Row],[Promised]])</f>
        <v>0</v>
      </c>
      <c r="Q983"/>
    </row>
    <row r="984" spans="1:17" x14ac:dyDescent="0.45">
      <c r="A984" s="3">
        <v>45300.666666666664</v>
      </c>
      <c r="B984" t="s">
        <v>0</v>
      </c>
      <c r="C984">
        <v>12</v>
      </c>
      <c r="D984">
        <v>2003</v>
      </c>
      <c r="E984" t="s">
        <v>15</v>
      </c>
      <c r="F984">
        <v>30</v>
      </c>
      <c r="G984">
        <v>6750</v>
      </c>
      <c r="H984">
        <v>202500</v>
      </c>
      <c r="I984" s="3">
        <v>45300.708333333336</v>
      </c>
      <c r="J984">
        <v>120</v>
      </c>
      <c r="K984" s="3">
        <v>45305.208333333336</v>
      </c>
      <c r="L984" s="4">
        <f>ROUNDDOWN(Table1[[#This Row],[Ordered]],0)</f>
        <v>45300</v>
      </c>
      <c r="M984" s="4">
        <f>Table1[[#This Row],[Date ]]</f>
        <v>45300</v>
      </c>
      <c r="N984" s="5">
        <f>Table1[[#This Row],[Ordered]]-Table1[[#This Row],[Date ]]</f>
        <v>0.66666666666424135</v>
      </c>
      <c r="O984">
        <f>Table1[[#This Row],[Company]]</f>
        <v>12</v>
      </c>
      <c r="P984">
        <f>IF(((Table1[[#This Row],[Arrived]]-Table1[[#This Row],[Delivery]])*24-Table1[[#This Row],[Promised]])&lt;0, 0, (Table1[[#This Row],[Arrived]]-Table1[[#This Row],[Delivery]])*24-Table1[[#This Row],[Promised]])</f>
        <v>0</v>
      </c>
      <c r="Q984"/>
    </row>
    <row r="985" spans="1:17" x14ac:dyDescent="0.45">
      <c r="A985" s="3">
        <v>45300.666666666664</v>
      </c>
      <c r="B985" t="s">
        <v>0</v>
      </c>
      <c r="C985">
        <v>14</v>
      </c>
      <c r="D985">
        <v>2003</v>
      </c>
      <c r="E985" t="s">
        <v>15</v>
      </c>
      <c r="F985">
        <v>22</v>
      </c>
      <c r="G985">
        <v>6650</v>
      </c>
      <c r="H985">
        <v>146300</v>
      </c>
      <c r="I985" s="3">
        <v>45300.916666666664</v>
      </c>
      <c r="J985">
        <v>132</v>
      </c>
      <c r="K985" s="3">
        <v>45305.416666666664</v>
      </c>
      <c r="L985" s="4">
        <f>ROUNDDOWN(Table1[[#This Row],[Ordered]],0)</f>
        <v>45300</v>
      </c>
      <c r="M985" s="4">
        <f>Table1[[#This Row],[Date ]]</f>
        <v>45300</v>
      </c>
      <c r="N985" s="5">
        <f>Table1[[#This Row],[Ordered]]-Table1[[#This Row],[Date ]]</f>
        <v>0.66666666666424135</v>
      </c>
      <c r="O985">
        <f>Table1[[#This Row],[Company]]</f>
        <v>14</v>
      </c>
      <c r="P985">
        <f>IF(((Table1[[#This Row],[Arrived]]-Table1[[#This Row],[Delivery]])*24-Table1[[#This Row],[Promised]])&lt;0, 0, (Table1[[#This Row],[Arrived]]-Table1[[#This Row],[Delivery]])*24-Table1[[#This Row],[Promised]])</f>
        <v>0</v>
      </c>
      <c r="Q985"/>
    </row>
    <row r="986" spans="1:17" x14ac:dyDescent="0.45">
      <c r="A986" s="3">
        <v>45300.666666666664</v>
      </c>
      <c r="B986" t="s">
        <v>0</v>
      </c>
      <c r="C986">
        <v>16</v>
      </c>
      <c r="D986">
        <v>2003</v>
      </c>
      <c r="E986" t="s">
        <v>16</v>
      </c>
      <c r="F986">
        <v>30</v>
      </c>
      <c r="G986">
        <v>3750</v>
      </c>
      <c r="H986">
        <v>112500</v>
      </c>
      <c r="I986" s="3">
        <v>45300.916666666664</v>
      </c>
      <c r="J986">
        <v>132</v>
      </c>
      <c r="K986" s="3">
        <v>45305.416666666664</v>
      </c>
      <c r="L986" s="4">
        <f>ROUNDDOWN(Table1[[#This Row],[Ordered]],0)</f>
        <v>45300</v>
      </c>
      <c r="M986" s="4">
        <f>Table1[[#This Row],[Date ]]</f>
        <v>45300</v>
      </c>
      <c r="N986" s="5">
        <f>Table1[[#This Row],[Ordered]]-Table1[[#This Row],[Date ]]</f>
        <v>0.66666666666424135</v>
      </c>
      <c r="O986">
        <f>Table1[[#This Row],[Company]]</f>
        <v>16</v>
      </c>
      <c r="P986">
        <f>IF(((Table1[[#This Row],[Arrived]]-Table1[[#This Row],[Delivery]])*24-Table1[[#This Row],[Promised]])&lt;0, 0, (Table1[[#This Row],[Arrived]]-Table1[[#This Row],[Delivery]])*24-Table1[[#This Row],[Promised]])</f>
        <v>0</v>
      </c>
      <c r="Q986"/>
    </row>
    <row r="987" spans="1:17" x14ac:dyDescent="0.45">
      <c r="A987" s="3">
        <v>45300.666666666664</v>
      </c>
      <c r="B987" t="s">
        <v>0</v>
      </c>
      <c r="C987">
        <v>14</v>
      </c>
      <c r="D987">
        <v>2003</v>
      </c>
      <c r="E987" t="s">
        <v>16</v>
      </c>
      <c r="F987">
        <v>30</v>
      </c>
      <c r="G987">
        <v>3750</v>
      </c>
      <c r="H987">
        <v>112500</v>
      </c>
      <c r="I987" s="3">
        <v>45301.166666666664</v>
      </c>
      <c r="J987">
        <v>132</v>
      </c>
      <c r="K987" s="3">
        <v>45305.666666666664</v>
      </c>
      <c r="L987" s="4">
        <f>ROUNDDOWN(Table1[[#This Row],[Ordered]],0)</f>
        <v>45300</v>
      </c>
      <c r="M987" s="4">
        <f>Table1[[#This Row],[Date ]]</f>
        <v>45300</v>
      </c>
      <c r="N987" s="5">
        <f>Table1[[#This Row],[Ordered]]-Table1[[#This Row],[Date ]]</f>
        <v>0.66666666666424135</v>
      </c>
      <c r="O987">
        <f>Table1[[#This Row],[Company]]</f>
        <v>14</v>
      </c>
      <c r="P987">
        <f>IF(((Table1[[#This Row],[Arrived]]-Table1[[#This Row],[Delivery]])*24-Table1[[#This Row],[Promised]])&lt;0, 0, (Table1[[#This Row],[Arrived]]-Table1[[#This Row],[Delivery]])*24-Table1[[#This Row],[Promised]])</f>
        <v>0</v>
      </c>
      <c r="Q987"/>
    </row>
    <row r="988" spans="1:17" x14ac:dyDescent="0.45">
      <c r="A988" s="3">
        <v>45300.666666666664</v>
      </c>
      <c r="B988" t="s">
        <v>0</v>
      </c>
      <c r="C988">
        <v>7</v>
      </c>
      <c r="D988">
        <v>2003</v>
      </c>
      <c r="E988" t="s">
        <v>15</v>
      </c>
      <c r="F988">
        <v>30</v>
      </c>
      <c r="G988">
        <v>6650</v>
      </c>
      <c r="H988">
        <v>199500</v>
      </c>
      <c r="I988" s="3">
        <v>45301.208333333336</v>
      </c>
      <c r="J988">
        <v>132</v>
      </c>
      <c r="K988" s="3">
        <v>45305.708333333336</v>
      </c>
      <c r="L988" s="4">
        <f>ROUNDDOWN(Table1[[#This Row],[Ordered]],0)</f>
        <v>45300</v>
      </c>
      <c r="M988" s="4">
        <f>Table1[[#This Row],[Date ]]</f>
        <v>45300</v>
      </c>
      <c r="N988" s="5">
        <f>Table1[[#This Row],[Ordered]]-Table1[[#This Row],[Date ]]</f>
        <v>0.66666666666424135</v>
      </c>
      <c r="O988">
        <f>Table1[[#This Row],[Company]]</f>
        <v>7</v>
      </c>
      <c r="P988">
        <f>IF(((Table1[[#This Row],[Arrived]]-Table1[[#This Row],[Delivery]])*24-Table1[[#This Row],[Promised]])&lt;0, 0, (Table1[[#This Row],[Arrived]]-Table1[[#This Row],[Delivery]])*24-Table1[[#This Row],[Promised]])</f>
        <v>0</v>
      </c>
      <c r="Q988"/>
    </row>
    <row r="989" spans="1:17" x14ac:dyDescent="0.45">
      <c r="A989" s="3">
        <v>45300.666666666664</v>
      </c>
      <c r="B989" t="s">
        <v>0</v>
      </c>
      <c r="C989">
        <v>13</v>
      </c>
      <c r="D989">
        <v>2003</v>
      </c>
      <c r="E989" t="s">
        <v>16</v>
      </c>
      <c r="F989">
        <v>30</v>
      </c>
      <c r="G989">
        <v>3500</v>
      </c>
      <c r="H989">
        <v>105000</v>
      </c>
      <c r="I989" s="3">
        <v>45301.5</v>
      </c>
      <c r="J989">
        <v>132</v>
      </c>
      <c r="K989" s="3">
        <v>45306</v>
      </c>
      <c r="L989" s="4">
        <f>ROUNDDOWN(Table1[[#This Row],[Ordered]],0)</f>
        <v>45300</v>
      </c>
      <c r="M989" s="4">
        <f>Table1[[#This Row],[Date ]]</f>
        <v>45300</v>
      </c>
      <c r="N989" s="5">
        <f>Table1[[#This Row],[Ordered]]-Table1[[#This Row],[Date ]]</f>
        <v>0.66666666666424135</v>
      </c>
      <c r="O989">
        <f>Table1[[#This Row],[Company]]</f>
        <v>13</v>
      </c>
      <c r="P989">
        <f>IF(((Table1[[#This Row],[Arrived]]-Table1[[#This Row],[Delivery]])*24-Table1[[#This Row],[Promised]])&lt;0, 0, (Table1[[#This Row],[Arrived]]-Table1[[#This Row],[Delivery]])*24-Table1[[#This Row],[Promised]])</f>
        <v>0</v>
      </c>
      <c r="Q989"/>
    </row>
    <row r="990" spans="1:17" x14ac:dyDescent="0.45">
      <c r="A990" s="3">
        <v>45300.666666666664</v>
      </c>
      <c r="B990" t="s">
        <v>0</v>
      </c>
      <c r="C990">
        <v>13</v>
      </c>
      <c r="D990">
        <v>2003</v>
      </c>
      <c r="E990" t="s">
        <v>15</v>
      </c>
      <c r="F990">
        <v>30</v>
      </c>
      <c r="G990">
        <v>6400</v>
      </c>
      <c r="H990">
        <v>192000</v>
      </c>
      <c r="I990" s="3">
        <v>45301.375</v>
      </c>
      <c r="J990">
        <v>132</v>
      </c>
      <c r="K990" s="3">
        <v>45305.875</v>
      </c>
      <c r="L990" s="4">
        <f>ROUNDDOWN(Table1[[#This Row],[Ordered]],0)</f>
        <v>45300</v>
      </c>
      <c r="M990" s="4">
        <f>Table1[[#This Row],[Date ]]</f>
        <v>45300</v>
      </c>
      <c r="N990" s="5">
        <f>Table1[[#This Row],[Ordered]]-Table1[[#This Row],[Date ]]</f>
        <v>0.66666666666424135</v>
      </c>
      <c r="O990">
        <f>Table1[[#This Row],[Company]]</f>
        <v>13</v>
      </c>
      <c r="P990">
        <f>IF(((Table1[[#This Row],[Arrived]]-Table1[[#This Row],[Delivery]])*24-Table1[[#This Row],[Promised]])&lt;0, 0, (Table1[[#This Row],[Arrived]]-Table1[[#This Row],[Delivery]])*24-Table1[[#This Row],[Promised]])</f>
        <v>0</v>
      </c>
      <c r="Q990"/>
    </row>
    <row r="991" spans="1:17" x14ac:dyDescent="0.45">
      <c r="A991" s="3">
        <v>45300.666666666664</v>
      </c>
      <c r="B991" t="s">
        <v>0</v>
      </c>
      <c r="C991">
        <v>8</v>
      </c>
      <c r="D991">
        <v>2003</v>
      </c>
      <c r="E991" t="s">
        <v>16</v>
      </c>
      <c r="F991">
        <v>30</v>
      </c>
      <c r="G991">
        <v>3380</v>
      </c>
      <c r="H991">
        <v>101400</v>
      </c>
      <c r="I991" s="3">
        <v>45301.541666666664</v>
      </c>
      <c r="J991">
        <v>132</v>
      </c>
      <c r="K991" s="3">
        <v>45306.041666666664</v>
      </c>
      <c r="L991" s="4">
        <f>ROUNDDOWN(Table1[[#This Row],[Ordered]],0)</f>
        <v>45300</v>
      </c>
      <c r="M991" s="4">
        <f>Table1[[#This Row],[Date ]]</f>
        <v>45300</v>
      </c>
      <c r="N991" s="5">
        <f>Table1[[#This Row],[Ordered]]-Table1[[#This Row],[Date ]]</f>
        <v>0.66666666666424135</v>
      </c>
      <c r="O991">
        <f>Table1[[#This Row],[Company]]</f>
        <v>8</v>
      </c>
      <c r="P991">
        <f>IF(((Table1[[#This Row],[Arrived]]-Table1[[#This Row],[Delivery]])*24-Table1[[#This Row],[Promised]])&lt;0, 0, (Table1[[#This Row],[Arrived]]-Table1[[#This Row],[Delivery]])*24-Table1[[#This Row],[Promised]])</f>
        <v>0</v>
      </c>
      <c r="Q991"/>
    </row>
    <row r="992" spans="1:17" x14ac:dyDescent="0.45">
      <c r="A992" s="3">
        <v>45300.666666666664</v>
      </c>
      <c r="B992" t="s">
        <v>0</v>
      </c>
      <c r="C992">
        <v>9</v>
      </c>
      <c r="D992">
        <v>2003</v>
      </c>
      <c r="E992" t="s">
        <v>15</v>
      </c>
      <c r="F992">
        <v>25</v>
      </c>
      <c r="G992">
        <v>6650</v>
      </c>
      <c r="H992">
        <v>166250</v>
      </c>
      <c r="I992" s="3">
        <v>45301.583333333336</v>
      </c>
      <c r="J992">
        <v>132</v>
      </c>
      <c r="K992" s="3">
        <v>45306.083333333336</v>
      </c>
      <c r="L992" s="4">
        <f>ROUNDDOWN(Table1[[#This Row],[Ordered]],0)</f>
        <v>45300</v>
      </c>
      <c r="M992" s="4">
        <f>Table1[[#This Row],[Date ]]</f>
        <v>45300</v>
      </c>
      <c r="N992" s="5">
        <f>Table1[[#This Row],[Ordered]]-Table1[[#This Row],[Date ]]</f>
        <v>0.66666666666424135</v>
      </c>
      <c r="O992">
        <f>Table1[[#This Row],[Company]]</f>
        <v>9</v>
      </c>
      <c r="P992">
        <f>IF(((Table1[[#This Row],[Arrived]]-Table1[[#This Row],[Delivery]])*24-Table1[[#This Row],[Promised]])&lt;0, 0, (Table1[[#This Row],[Arrived]]-Table1[[#This Row],[Delivery]])*24-Table1[[#This Row],[Promised]])</f>
        <v>0</v>
      </c>
      <c r="Q992"/>
    </row>
    <row r="993" spans="1:17" x14ac:dyDescent="0.45">
      <c r="A993" s="3">
        <v>45300.666666666664</v>
      </c>
      <c r="B993" t="s">
        <v>0</v>
      </c>
      <c r="C993">
        <v>8</v>
      </c>
      <c r="D993">
        <v>2003</v>
      </c>
      <c r="E993" t="s">
        <v>15</v>
      </c>
      <c r="F993">
        <v>30</v>
      </c>
      <c r="G993">
        <v>5700</v>
      </c>
      <c r="H993">
        <v>171000</v>
      </c>
      <c r="I993" s="3">
        <v>45301.625</v>
      </c>
      <c r="J993">
        <v>132</v>
      </c>
      <c r="K993" s="3">
        <v>45306.125</v>
      </c>
      <c r="L993" s="4">
        <f>ROUNDDOWN(Table1[[#This Row],[Ordered]],0)</f>
        <v>45300</v>
      </c>
      <c r="M993" s="4">
        <f>Table1[[#This Row],[Date ]]</f>
        <v>45300</v>
      </c>
      <c r="N993" s="5">
        <f>Table1[[#This Row],[Ordered]]-Table1[[#This Row],[Date ]]</f>
        <v>0.66666666666424135</v>
      </c>
      <c r="O993">
        <f>Table1[[#This Row],[Company]]</f>
        <v>8</v>
      </c>
      <c r="P993">
        <f>IF(((Table1[[#This Row],[Arrived]]-Table1[[#This Row],[Delivery]])*24-Table1[[#This Row],[Promised]])&lt;0, 0, (Table1[[#This Row],[Arrived]]-Table1[[#This Row],[Delivery]])*24-Table1[[#This Row],[Promised]])</f>
        <v>0</v>
      </c>
      <c r="Q993"/>
    </row>
    <row r="994" spans="1:17" x14ac:dyDescent="0.45">
      <c r="A994" s="3">
        <v>45300.666666666664</v>
      </c>
      <c r="B994" t="s">
        <v>0</v>
      </c>
      <c r="C994">
        <v>9</v>
      </c>
      <c r="D994">
        <v>2003</v>
      </c>
      <c r="E994" t="s">
        <v>16</v>
      </c>
      <c r="F994">
        <v>50</v>
      </c>
      <c r="G994">
        <v>3980</v>
      </c>
      <c r="H994">
        <v>199000</v>
      </c>
      <c r="I994" s="3">
        <v>45301.541666666664</v>
      </c>
      <c r="J994">
        <v>96</v>
      </c>
      <c r="K994" s="3">
        <v>45304.541666666664</v>
      </c>
      <c r="L994" s="4">
        <f>ROUNDDOWN(Table1[[#This Row],[Ordered]],0)</f>
        <v>45300</v>
      </c>
      <c r="M994" s="4">
        <f>Table1[[#This Row],[Date ]]</f>
        <v>45300</v>
      </c>
      <c r="N994" s="5">
        <f>Table1[[#This Row],[Ordered]]-Table1[[#This Row],[Date ]]</f>
        <v>0.66666666666424135</v>
      </c>
      <c r="O994">
        <f>Table1[[#This Row],[Company]]</f>
        <v>9</v>
      </c>
      <c r="P994">
        <f>IF(((Table1[[#This Row],[Arrived]]-Table1[[#This Row],[Delivery]])*24-Table1[[#This Row],[Promised]])&lt;0, 0, (Table1[[#This Row],[Arrived]]-Table1[[#This Row],[Delivery]])*24-Table1[[#This Row],[Promised]])</f>
        <v>0</v>
      </c>
      <c r="Q994"/>
    </row>
    <row r="995" spans="1:17" x14ac:dyDescent="0.45">
      <c r="A995" s="3">
        <v>45300.666666666664</v>
      </c>
      <c r="B995" t="s">
        <v>0</v>
      </c>
      <c r="C995">
        <v>7</v>
      </c>
      <c r="D995">
        <v>2003</v>
      </c>
      <c r="E995" t="s">
        <v>16</v>
      </c>
      <c r="F995">
        <v>30</v>
      </c>
      <c r="G995">
        <v>3750</v>
      </c>
      <c r="H995">
        <v>112500</v>
      </c>
      <c r="I995" s="3">
        <v>45301.916666666664</v>
      </c>
      <c r="J995">
        <v>132</v>
      </c>
      <c r="K995" s="3">
        <v>45306.416666666664</v>
      </c>
      <c r="L995" s="4">
        <f>ROUNDDOWN(Table1[[#This Row],[Ordered]],0)</f>
        <v>45300</v>
      </c>
      <c r="M995" s="4">
        <f>Table1[[#This Row],[Date ]]</f>
        <v>45300</v>
      </c>
      <c r="N995" s="5">
        <f>Table1[[#This Row],[Ordered]]-Table1[[#This Row],[Date ]]</f>
        <v>0.66666666666424135</v>
      </c>
      <c r="O995">
        <f>Table1[[#This Row],[Company]]</f>
        <v>7</v>
      </c>
      <c r="P995">
        <f>IF(((Table1[[#This Row],[Arrived]]-Table1[[#This Row],[Delivery]])*24-Table1[[#This Row],[Promised]])&lt;0, 0, (Table1[[#This Row],[Arrived]]-Table1[[#This Row],[Delivery]])*24-Table1[[#This Row],[Promised]])</f>
        <v>0</v>
      </c>
      <c r="Q995"/>
    </row>
    <row r="996" spans="1:17" x14ac:dyDescent="0.45">
      <c r="A996" s="3">
        <v>45300.666666666664</v>
      </c>
      <c r="B996" t="s">
        <v>0</v>
      </c>
      <c r="C996">
        <v>12</v>
      </c>
      <c r="D996">
        <v>2003</v>
      </c>
      <c r="E996" t="s">
        <v>16</v>
      </c>
      <c r="F996">
        <v>30</v>
      </c>
      <c r="G996">
        <v>3800</v>
      </c>
      <c r="H996">
        <v>114000</v>
      </c>
      <c r="I996" s="3">
        <v>45302.375</v>
      </c>
      <c r="J996">
        <v>120</v>
      </c>
      <c r="K996" s="3">
        <v>45305.375</v>
      </c>
      <c r="L996" s="4">
        <f>ROUNDDOWN(Table1[[#This Row],[Ordered]],0)</f>
        <v>45300</v>
      </c>
      <c r="M996" s="4">
        <f>Table1[[#This Row],[Date ]]</f>
        <v>45300</v>
      </c>
      <c r="N996" s="5">
        <f>Table1[[#This Row],[Ordered]]-Table1[[#This Row],[Date ]]</f>
        <v>0.66666666666424135</v>
      </c>
      <c r="O996">
        <f>Table1[[#This Row],[Company]]</f>
        <v>12</v>
      </c>
      <c r="P996">
        <f>IF(((Table1[[#This Row],[Arrived]]-Table1[[#This Row],[Delivery]])*24-Table1[[#This Row],[Promised]])&lt;0, 0, (Table1[[#This Row],[Arrived]]-Table1[[#This Row],[Delivery]])*24-Table1[[#This Row],[Promised]])</f>
        <v>0</v>
      </c>
      <c r="Q996"/>
    </row>
    <row r="997" spans="1:17" hidden="1" x14ac:dyDescent="0.45">
      <c r="A997" s="3">
        <v>45300.708333333336</v>
      </c>
      <c r="B997" t="s">
        <v>12</v>
      </c>
      <c r="C997">
        <v>6</v>
      </c>
      <c r="D997">
        <v>15</v>
      </c>
      <c r="E997" t="s">
        <v>17</v>
      </c>
      <c r="F997">
        <v>318</v>
      </c>
      <c r="G997">
        <v>1100</v>
      </c>
      <c r="H997">
        <v>349800</v>
      </c>
      <c r="I997" s="3">
        <v>45300.708333333336</v>
      </c>
      <c r="J997">
        <v>72</v>
      </c>
      <c r="K997" s="3">
        <v>45303.708333333336</v>
      </c>
      <c r="L997" s="4">
        <f>ROUNDDOWN(Table1[[#This Row],[Ordered]],0)</f>
        <v>45300</v>
      </c>
      <c r="M997" s="4">
        <f>Table1[[#This Row],[Date ]]</f>
        <v>45300</v>
      </c>
      <c r="N997" s="5">
        <f>Table1[[#This Row],[Ordered]]-Table1[[#This Row],[Date ]]</f>
        <v>0.70833333333575865</v>
      </c>
      <c r="O997">
        <f>Table1[[#This Row],[Company]]</f>
        <v>6</v>
      </c>
      <c r="P997">
        <f>IF(((Table1[[#This Row],[Arrived]]-Table1[[#This Row],[Delivery]])*24-Table1[[#This Row],[Promised]])&lt;0, 0, (Table1[[#This Row],[Arrived]]-Table1[[#This Row],[Delivery]])*24-Table1[[#This Row],[Promised]])</f>
        <v>0</v>
      </c>
      <c r="Q997"/>
    </row>
    <row r="998" spans="1:17" hidden="1" x14ac:dyDescent="0.45">
      <c r="A998" s="3">
        <v>45300.708333333336</v>
      </c>
      <c r="B998" t="s">
        <v>12</v>
      </c>
      <c r="C998">
        <v>3</v>
      </c>
      <c r="D998">
        <v>12</v>
      </c>
      <c r="E998" t="s">
        <v>17</v>
      </c>
      <c r="F998">
        <v>213</v>
      </c>
      <c r="G998">
        <v>1170</v>
      </c>
      <c r="H998">
        <v>249210</v>
      </c>
      <c r="I998" s="3">
        <v>45300.708333333336</v>
      </c>
      <c r="J998">
        <v>24</v>
      </c>
      <c r="K998" s="3">
        <v>45301.708333333336</v>
      </c>
      <c r="L998" s="4">
        <f>ROUNDDOWN(Table1[[#This Row],[Ordered]],0)</f>
        <v>45300</v>
      </c>
      <c r="M998" s="4">
        <f>Table1[[#This Row],[Date ]]</f>
        <v>45300</v>
      </c>
      <c r="N998" s="5">
        <f>Table1[[#This Row],[Ordered]]-Table1[[#This Row],[Date ]]</f>
        <v>0.70833333333575865</v>
      </c>
      <c r="O998">
        <f>Table1[[#This Row],[Company]]</f>
        <v>3</v>
      </c>
      <c r="P998">
        <f>IF(((Table1[[#This Row],[Arrived]]-Table1[[#This Row],[Delivery]])*24-Table1[[#This Row],[Promised]])&lt;0, 0, (Table1[[#This Row],[Arrived]]-Table1[[#This Row],[Delivery]])*24-Table1[[#This Row],[Promised]])</f>
        <v>0</v>
      </c>
      <c r="Q998"/>
    </row>
    <row r="999" spans="1:17" hidden="1" x14ac:dyDescent="0.45">
      <c r="A999" s="3">
        <v>45300.708333333336</v>
      </c>
      <c r="B999" t="s">
        <v>12</v>
      </c>
      <c r="C999">
        <v>6</v>
      </c>
      <c r="D999">
        <v>15</v>
      </c>
      <c r="E999" t="s">
        <v>17</v>
      </c>
      <c r="F999">
        <v>318</v>
      </c>
      <c r="G999">
        <v>1100</v>
      </c>
      <c r="H999">
        <v>349800</v>
      </c>
      <c r="I999" s="3">
        <v>45300.791666666664</v>
      </c>
      <c r="J999">
        <v>72</v>
      </c>
      <c r="K999" s="3">
        <v>45303.791666666664</v>
      </c>
      <c r="L999" s="4">
        <f>ROUNDDOWN(Table1[[#This Row],[Ordered]],0)</f>
        <v>45300</v>
      </c>
      <c r="M999" s="4">
        <f>Table1[[#This Row],[Date ]]</f>
        <v>45300</v>
      </c>
      <c r="N999" s="5">
        <f>Table1[[#This Row],[Ordered]]-Table1[[#This Row],[Date ]]</f>
        <v>0.70833333333575865</v>
      </c>
      <c r="O999">
        <f>Table1[[#This Row],[Company]]</f>
        <v>6</v>
      </c>
      <c r="P999">
        <f>IF(((Table1[[#This Row],[Arrived]]-Table1[[#This Row],[Delivery]])*24-Table1[[#This Row],[Promised]])&lt;0, 0, (Table1[[#This Row],[Arrived]]-Table1[[#This Row],[Delivery]])*24-Table1[[#This Row],[Promised]])</f>
        <v>0</v>
      </c>
      <c r="Q999"/>
    </row>
    <row r="1000" spans="1:17" x14ac:dyDescent="0.45">
      <c r="A1000" s="3">
        <v>45300.75</v>
      </c>
      <c r="B1000" t="s">
        <v>14</v>
      </c>
      <c r="C1000">
        <v>13</v>
      </c>
      <c r="D1000">
        <v>1008</v>
      </c>
      <c r="E1000" t="s">
        <v>16</v>
      </c>
      <c r="F1000">
        <v>48</v>
      </c>
      <c r="G1000">
        <v>3650</v>
      </c>
      <c r="H1000">
        <v>175200</v>
      </c>
      <c r="I1000" s="3">
        <v>45303.416666666664</v>
      </c>
      <c r="J1000">
        <v>120</v>
      </c>
      <c r="K1000" s="3">
        <v>45305.416666666664</v>
      </c>
      <c r="L1000" s="4">
        <f>ROUNDDOWN(Table1[[#This Row],[Ordered]],0)</f>
        <v>45300</v>
      </c>
      <c r="M1000" s="4">
        <f>Table1[[#This Row],[Date ]]</f>
        <v>45300</v>
      </c>
      <c r="N1000" s="5">
        <f>Table1[[#This Row],[Ordered]]-Table1[[#This Row],[Date ]]</f>
        <v>0.75</v>
      </c>
      <c r="O1000">
        <f>Table1[[#This Row],[Company]]</f>
        <v>13</v>
      </c>
      <c r="P1000">
        <f>IF(((Table1[[#This Row],[Arrived]]-Table1[[#This Row],[Delivery]])*24-Table1[[#This Row],[Promised]])&lt;0, 0, (Table1[[#This Row],[Arrived]]-Table1[[#This Row],[Delivery]])*24-Table1[[#This Row],[Promised]])</f>
        <v>0</v>
      </c>
      <c r="Q1000"/>
    </row>
    <row r="1001" spans="1:17" x14ac:dyDescent="0.45">
      <c r="A1001" s="3">
        <v>45300.75</v>
      </c>
      <c r="B1001" t="s">
        <v>14</v>
      </c>
      <c r="C1001">
        <v>16</v>
      </c>
      <c r="D1001">
        <v>1008</v>
      </c>
      <c r="E1001" t="s">
        <v>16</v>
      </c>
      <c r="F1001">
        <v>50</v>
      </c>
      <c r="G1001">
        <v>3650</v>
      </c>
      <c r="H1001">
        <v>182500</v>
      </c>
      <c r="I1001" s="3">
        <v>45302.083333333336</v>
      </c>
      <c r="J1001">
        <v>120</v>
      </c>
      <c r="K1001" s="3">
        <v>45305.083333333336</v>
      </c>
      <c r="L1001" s="4">
        <f>ROUNDDOWN(Table1[[#This Row],[Ordered]],0)</f>
        <v>45300</v>
      </c>
      <c r="M1001" s="4">
        <f>Table1[[#This Row],[Date ]]</f>
        <v>45300</v>
      </c>
      <c r="N1001" s="5">
        <f>Table1[[#This Row],[Ordered]]-Table1[[#This Row],[Date ]]</f>
        <v>0.75</v>
      </c>
      <c r="O1001">
        <f>Table1[[#This Row],[Company]]</f>
        <v>16</v>
      </c>
      <c r="P1001">
        <f>IF(((Table1[[#This Row],[Arrived]]-Table1[[#This Row],[Delivery]])*24-Table1[[#This Row],[Promised]])&lt;0, 0, (Table1[[#This Row],[Arrived]]-Table1[[#This Row],[Delivery]])*24-Table1[[#This Row],[Promised]])</f>
        <v>0</v>
      </c>
      <c r="Q1001"/>
    </row>
    <row r="1002" spans="1:17" x14ac:dyDescent="0.45">
      <c r="A1002" s="3">
        <v>45300.75</v>
      </c>
      <c r="B1002" t="s">
        <v>14</v>
      </c>
      <c r="C1002">
        <v>7</v>
      </c>
      <c r="D1002">
        <v>1008</v>
      </c>
      <c r="E1002" t="s">
        <v>16</v>
      </c>
      <c r="F1002">
        <v>30</v>
      </c>
      <c r="G1002">
        <v>3650</v>
      </c>
      <c r="H1002">
        <v>109500</v>
      </c>
      <c r="I1002" s="3">
        <v>45301.916666666664</v>
      </c>
      <c r="J1002">
        <v>96</v>
      </c>
      <c r="K1002" s="3">
        <v>45303.916666666664</v>
      </c>
      <c r="L1002" s="4">
        <f>ROUNDDOWN(Table1[[#This Row],[Ordered]],0)</f>
        <v>45300</v>
      </c>
      <c r="M1002" s="4">
        <f>Table1[[#This Row],[Date ]]</f>
        <v>45300</v>
      </c>
      <c r="N1002" s="5">
        <f>Table1[[#This Row],[Ordered]]-Table1[[#This Row],[Date ]]</f>
        <v>0.75</v>
      </c>
      <c r="O1002">
        <f>Table1[[#This Row],[Company]]</f>
        <v>7</v>
      </c>
      <c r="P1002">
        <f>IF(((Table1[[#This Row],[Arrived]]-Table1[[#This Row],[Delivery]])*24-Table1[[#This Row],[Promised]])&lt;0, 0, (Table1[[#This Row],[Arrived]]-Table1[[#This Row],[Delivery]])*24-Table1[[#This Row],[Promised]])</f>
        <v>0</v>
      </c>
      <c r="Q1002"/>
    </row>
    <row r="1003" spans="1:17" x14ac:dyDescent="0.45">
      <c r="A1003" s="3">
        <v>45300.75</v>
      </c>
      <c r="B1003" t="s">
        <v>14</v>
      </c>
      <c r="C1003">
        <v>15</v>
      </c>
      <c r="D1003">
        <v>1008</v>
      </c>
      <c r="E1003" t="s">
        <v>16</v>
      </c>
      <c r="F1003">
        <v>28</v>
      </c>
      <c r="G1003">
        <v>3750</v>
      </c>
      <c r="H1003">
        <v>105000</v>
      </c>
      <c r="I1003" s="3">
        <v>45301.041666666664</v>
      </c>
      <c r="J1003">
        <v>96</v>
      </c>
      <c r="K1003" s="3">
        <v>45304.083333333336</v>
      </c>
      <c r="L1003" s="4">
        <f>ROUNDDOWN(Table1[[#This Row],[Ordered]],0)</f>
        <v>45300</v>
      </c>
      <c r="M1003" s="4">
        <f>Table1[[#This Row],[Date ]]</f>
        <v>45300</v>
      </c>
      <c r="N1003" s="5">
        <f>Table1[[#This Row],[Ordered]]-Table1[[#This Row],[Date ]]</f>
        <v>0.75</v>
      </c>
      <c r="O1003">
        <f>Table1[[#This Row],[Company]]</f>
        <v>15</v>
      </c>
      <c r="P1003">
        <f>IF(((Table1[[#This Row],[Arrived]]-Table1[[#This Row],[Delivery]])*24-Table1[[#This Row],[Promised]])&lt;0, 0, (Table1[[#This Row],[Arrived]]-Table1[[#This Row],[Delivery]])*24-Table1[[#This Row],[Promised]])</f>
        <v>0</v>
      </c>
      <c r="Q1003"/>
    </row>
    <row r="1004" spans="1:17" x14ac:dyDescent="0.45">
      <c r="A1004" s="3">
        <v>45300.75</v>
      </c>
      <c r="B1004" t="s">
        <v>14</v>
      </c>
      <c r="C1004">
        <v>9</v>
      </c>
      <c r="D1004">
        <v>1008</v>
      </c>
      <c r="E1004" t="s">
        <v>16</v>
      </c>
      <c r="F1004">
        <v>42</v>
      </c>
      <c r="G1004">
        <v>3650</v>
      </c>
      <c r="H1004">
        <v>153300</v>
      </c>
      <c r="I1004" s="3">
        <v>45302.625</v>
      </c>
      <c r="J1004">
        <v>120</v>
      </c>
      <c r="K1004" s="3">
        <v>45305.791666666664</v>
      </c>
      <c r="L1004" s="4">
        <f>ROUNDDOWN(Table1[[#This Row],[Ordered]],0)</f>
        <v>45300</v>
      </c>
      <c r="M1004" s="4">
        <f>Table1[[#This Row],[Date ]]</f>
        <v>45300</v>
      </c>
      <c r="N1004" s="5">
        <f>Table1[[#This Row],[Ordered]]-Table1[[#This Row],[Date ]]</f>
        <v>0.75</v>
      </c>
      <c r="O1004">
        <f>Table1[[#This Row],[Company]]</f>
        <v>9</v>
      </c>
      <c r="P1004">
        <f>IF(((Table1[[#This Row],[Arrived]]-Table1[[#This Row],[Delivery]])*24-Table1[[#This Row],[Promised]])&lt;0, 0, (Table1[[#This Row],[Arrived]]-Table1[[#This Row],[Delivery]])*24-Table1[[#This Row],[Promised]])</f>
        <v>0</v>
      </c>
      <c r="Q1004"/>
    </row>
    <row r="1005" spans="1:17" x14ac:dyDescent="0.45">
      <c r="A1005" s="3">
        <v>45300.75</v>
      </c>
      <c r="B1005" t="s">
        <v>14</v>
      </c>
      <c r="C1005">
        <v>8</v>
      </c>
      <c r="D1005">
        <v>1008</v>
      </c>
      <c r="E1005" t="s">
        <v>16</v>
      </c>
      <c r="F1005">
        <v>50</v>
      </c>
      <c r="G1005">
        <v>3300</v>
      </c>
      <c r="H1005">
        <v>165000</v>
      </c>
      <c r="I1005" s="3">
        <v>45303.375</v>
      </c>
      <c r="J1005">
        <v>120</v>
      </c>
      <c r="K1005" s="3">
        <v>45305.375</v>
      </c>
      <c r="L1005" s="4">
        <f>ROUNDDOWN(Table1[[#This Row],[Ordered]],0)</f>
        <v>45300</v>
      </c>
      <c r="M1005" s="4">
        <f>Table1[[#This Row],[Date ]]</f>
        <v>45300</v>
      </c>
      <c r="N1005" s="5">
        <f>Table1[[#This Row],[Ordered]]-Table1[[#This Row],[Date ]]</f>
        <v>0.75</v>
      </c>
      <c r="O1005">
        <f>Table1[[#This Row],[Company]]</f>
        <v>8</v>
      </c>
      <c r="P1005">
        <f>IF(((Table1[[#This Row],[Arrived]]-Table1[[#This Row],[Delivery]])*24-Table1[[#This Row],[Promised]])&lt;0, 0, (Table1[[#This Row],[Arrived]]-Table1[[#This Row],[Delivery]])*24-Table1[[#This Row],[Promised]])</f>
        <v>0</v>
      </c>
      <c r="Q1005"/>
    </row>
    <row r="1006" spans="1:17" hidden="1" x14ac:dyDescent="0.45">
      <c r="A1006" s="3">
        <v>45300.75</v>
      </c>
      <c r="B1006" t="s">
        <v>12</v>
      </c>
      <c r="C1006">
        <v>1</v>
      </c>
      <c r="D1006">
        <v>14</v>
      </c>
      <c r="E1006" t="s">
        <v>17</v>
      </c>
      <c r="F1006">
        <v>300</v>
      </c>
      <c r="G1006">
        <v>1500</v>
      </c>
      <c r="H1006">
        <v>450000</v>
      </c>
      <c r="I1006" s="3">
        <v>45300.791666666664</v>
      </c>
      <c r="J1006">
        <v>24</v>
      </c>
      <c r="K1006" s="3">
        <v>45301.791666666664</v>
      </c>
      <c r="L1006" s="4">
        <f>ROUNDDOWN(Table1[[#This Row],[Ordered]],0)</f>
        <v>45300</v>
      </c>
      <c r="M1006" s="4">
        <f>Table1[[#This Row],[Date ]]</f>
        <v>45300</v>
      </c>
      <c r="N1006" s="5">
        <f>Table1[[#This Row],[Ordered]]-Table1[[#This Row],[Date ]]</f>
        <v>0.75</v>
      </c>
      <c r="O1006">
        <f>Table1[[#This Row],[Company]]</f>
        <v>1</v>
      </c>
      <c r="P1006">
        <f>IF(((Table1[[#This Row],[Arrived]]-Table1[[#This Row],[Delivery]])*24-Table1[[#This Row],[Promised]])&lt;0, 0, (Table1[[#This Row],[Arrived]]-Table1[[#This Row],[Delivery]])*24-Table1[[#This Row],[Promised]])</f>
        <v>0</v>
      </c>
      <c r="Q1006"/>
    </row>
    <row r="1007" spans="1:17" x14ac:dyDescent="0.45">
      <c r="A1007" s="3">
        <v>45300.75</v>
      </c>
      <c r="B1007" t="s">
        <v>14</v>
      </c>
      <c r="C1007">
        <v>14</v>
      </c>
      <c r="D1007">
        <v>1008</v>
      </c>
      <c r="E1007" t="s">
        <v>16</v>
      </c>
      <c r="F1007">
        <v>37</v>
      </c>
      <c r="G1007">
        <v>3650</v>
      </c>
      <c r="H1007">
        <v>135050</v>
      </c>
      <c r="I1007" s="3">
        <v>45302.083333333336</v>
      </c>
      <c r="J1007">
        <v>120</v>
      </c>
      <c r="K1007" s="3">
        <v>45305.083333333336</v>
      </c>
      <c r="L1007" s="4">
        <f>ROUNDDOWN(Table1[[#This Row],[Ordered]],0)</f>
        <v>45300</v>
      </c>
      <c r="M1007" s="4">
        <f>Table1[[#This Row],[Date ]]</f>
        <v>45300</v>
      </c>
      <c r="N1007" s="5">
        <f>Table1[[#This Row],[Ordered]]-Table1[[#This Row],[Date ]]</f>
        <v>0.75</v>
      </c>
      <c r="O1007">
        <f>Table1[[#This Row],[Company]]</f>
        <v>14</v>
      </c>
      <c r="P1007">
        <f>IF(((Table1[[#This Row],[Arrived]]-Table1[[#This Row],[Delivery]])*24-Table1[[#This Row],[Promised]])&lt;0, 0, (Table1[[#This Row],[Arrived]]-Table1[[#This Row],[Delivery]])*24-Table1[[#This Row],[Promised]])</f>
        <v>0</v>
      </c>
      <c r="Q1007"/>
    </row>
    <row r="1008" spans="1:17" x14ac:dyDescent="0.45">
      <c r="A1008" s="3">
        <v>45300.75</v>
      </c>
      <c r="B1008" t="s">
        <v>14</v>
      </c>
      <c r="C1008">
        <v>12</v>
      </c>
      <c r="D1008">
        <v>1008</v>
      </c>
      <c r="E1008" t="s">
        <v>16</v>
      </c>
      <c r="F1008">
        <v>32</v>
      </c>
      <c r="G1008">
        <v>3700</v>
      </c>
      <c r="H1008">
        <v>118400</v>
      </c>
      <c r="I1008" s="3">
        <v>45302.458333333336</v>
      </c>
      <c r="J1008">
        <v>120</v>
      </c>
      <c r="K1008" s="3">
        <v>45305.458333333336</v>
      </c>
      <c r="L1008" s="4">
        <f>ROUNDDOWN(Table1[[#This Row],[Ordered]],0)</f>
        <v>45300</v>
      </c>
      <c r="M1008" s="4">
        <f>Table1[[#This Row],[Date ]]</f>
        <v>45300</v>
      </c>
      <c r="N1008" s="5">
        <f>Table1[[#This Row],[Ordered]]-Table1[[#This Row],[Date ]]</f>
        <v>0.75</v>
      </c>
      <c r="O1008">
        <f>Table1[[#This Row],[Company]]</f>
        <v>12</v>
      </c>
      <c r="P1008">
        <f>IF(((Table1[[#This Row],[Arrived]]-Table1[[#This Row],[Delivery]])*24-Table1[[#This Row],[Promised]])&lt;0, 0, (Table1[[#This Row],[Arrived]]-Table1[[#This Row],[Delivery]])*24-Table1[[#This Row],[Promised]])</f>
        <v>0</v>
      </c>
      <c r="Q1008"/>
    </row>
    <row r="1009" spans="1:17" x14ac:dyDescent="0.45">
      <c r="A1009" s="3">
        <v>45300.75</v>
      </c>
      <c r="B1009" t="s">
        <v>14</v>
      </c>
      <c r="C1009">
        <v>11</v>
      </c>
      <c r="D1009">
        <v>1008</v>
      </c>
      <c r="E1009" t="s">
        <v>16</v>
      </c>
      <c r="F1009">
        <v>24</v>
      </c>
      <c r="G1009">
        <v>4050</v>
      </c>
      <c r="H1009">
        <v>97200</v>
      </c>
      <c r="I1009" s="3">
        <v>45302.041666666664</v>
      </c>
      <c r="J1009">
        <v>120</v>
      </c>
      <c r="K1009" s="3">
        <v>45305.041666666664</v>
      </c>
      <c r="L1009" s="4">
        <f>ROUNDDOWN(Table1[[#This Row],[Ordered]],0)</f>
        <v>45300</v>
      </c>
      <c r="M1009" s="4">
        <f>Table1[[#This Row],[Date ]]</f>
        <v>45300</v>
      </c>
      <c r="N1009" s="5">
        <f>Table1[[#This Row],[Ordered]]-Table1[[#This Row],[Date ]]</f>
        <v>0.75</v>
      </c>
      <c r="O1009">
        <f>Table1[[#This Row],[Company]]</f>
        <v>11</v>
      </c>
      <c r="P1009">
        <f>IF(((Table1[[#This Row],[Arrived]]-Table1[[#This Row],[Delivery]])*24-Table1[[#This Row],[Promised]])&lt;0, 0, (Table1[[#This Row],[Arrived]]-Table1[[#This Row],[Delivery]])*24-Table1[[#This Row],[Promised]])</f>
        <v>0</v>
      </c>
      <c r="Q1009"/>
    </row>
    <row r="1010" spans="1:17" x14ac:dyDescent="0.45">
      <c r="A1010" s="3">
        <v>45300.791666666664</v>
      </c>
      <c r="B1010" t="s">
        <v>14</v>
      </c>
      <c r="C1010">
        <v>15</v>
      </c>
      <c r="D1010">
        <v>1004</v>
      </c>
      <c r="E1010" t="s">
        <v>16</v>
      </c>
      <c r="F1010">
        <v>30</v>
      </c>
      <c r="G1010">
        <v>3850</v>
      </c>
      <c r="H1010">
        <v>115500</v>
      </c>
      <c r="I1010" s="3">
        <v>45300.875</v>
      </c>
      <c r="J1010">
        <v>92</v>
      </c>
      <c r="K1010" s="3">
        <v>45303.875</v>
      </c>
      <c r="L1010" s="4">
        <f>ROUNDDOWN(Table1[[#This Row],[Ordered]],0)</f>
        <v>45300</v>
      </c>
      <c r="M1010" s="4">
        <f>Table1[[#This Row],[Date ]]</f>
        <v>45300</v>
      </c>
      <c r="N1010" s="5">
        <f>Table1[[#This Row],[Ordered]]-Table1[[#This Row],[Date ]]</f>
        <v>0.79166666666424135</v>
      </c>
      <c r="O1010">
        <f>Table1[[#This Row],[Company]]</f>
        <v>15</v>
      </c>
      <c r="P1010">
        <f>IF(((Table1[[#This Row],[Arrived]]-Table1[[#This Row],[Delivery]])*24-Table1[[#This Row],[Promised]])&lt;0, 0, (Table1[[#This Row],[Arrived]]-Table1[[#This Row],[Delivery]])*24-Table1[[#This Row],[Promised]])</f>
        <v>0</v>
      </c>
      <c r="Q1010"/>
    </row>
    <row r="1011" spans="1:17" x14ac:dyDescent="0.45">
      <c r="A1011" s="3">
        <v>45300.791666666664</v>
      </c>
      <c r="B1011" t="s">
        <v>14</v>
      </c>
      <c r="C1011">
        <v>12</v>
      </c>
      <c r="D1011">
        <v>1004</v>
      </c>
      <c r="E1011" t="s">
        <v>16</v>
      </c>
      <c r="F1011">
        <v>30</v>
      </c>
      <c r="G1011">
        <v>3800</v>
      </c>
      <c r="H1011">
        <v>114000</v>
      </c>
      <c r="I1011" s="3">
        <v>45301.75</v>
      </c>
      <c r="J1011">
        <v>96</v>
      </c>
      <c r="K1011" s="3">
        <v>45304.75</v>
      </c>
      <c r="L1011" s="4">
        <f>ROUNDDOWN(Table1[[#This Row],[Ordered]],0)</f>
        <v>45300</v>
      </c>
      <c r="M1011" s="4">
        <f>Table1[[#This Row],[Date ]]</f>
        <v>45300</v>
      </c>
      <c r="N1011" s="5">
        <f>Table1[[#This Row],[Ordered]]-Table1[[#This Row],[Date ]]</f>
        <v>0.79166666666424135</v>
      </c>
      <c r="O1011">
        <f>Table1[[#This Row],[Company]]</f>
        <v>12</v>
      </c>
      <c r="P1011">
        <f>IF(((Table1[[#This Row],[Arrived]]-Table1[[#This Row],[Delivery]])*24-Table1[[#This Row],[Promised]])&lt;0, 0, (Table1[[#This Row],[Arrived]]-Table1[[#This Row],[Delivery]])*24-Table1[[#This Row],[Promised]])</f>
        <v>0</v>
      </c>
      <c r="Q1011"/>
    </row>
    <row r="1012" spans="1:17" x14ac:dyDescent="0.45">
      <c r="A1012" s="3">
        <v>45300.791666666664</v>
      </c>
      <c r="B1012" t="s">
        <v>14</v>
      </c>
      <c r="C1012">
        <v>16</v>
      </c>
      <c r="D1012">
        <v>1004</v>
      </c>
      <c r="E1012" t="s">
        <v>16</v>
      </c>
      <c r="F1012">
        <v>30</v>
      </c>
      <c r="G1012">
        <v>3750</v>
      </c>
      <c r="H1012">
        <v>112500</v>
      </c>
      <c r="I1012" s="3">
        <v>45301.208333333336</v>
      </c>
      <c r="J1012">
        <v>96</v>
      </c>
      <c r="K1012" s="3">
        <v>45304.208333333336</v>
      </c>
      <c r="L1012" s="4">
        <f>ROUNDDOWN(Table1[[#This Row],[Ordered]],0)</f>
        <v>45300</v>
      </c>
      <c r="M1012" s="4">
        <f>Table1[[#This Row],[Date ]]</f>
        <v>45300</v>
      </c>
      <c r="N1012" s="5">
        <f>Table1[[#This Row],[Ordered]]-Table1[[#This Row],[Date ]]</f>
        <v>0.79166666666424135</v>
      </c>
      <c r="O1012">
        <f>Table1[[#This Row],[Company]]</f>
        <v>16</v>
      </c>
      <c r="P1012">
        <f>IF(((Table1[[#This Row],[Arrived]]-Table1[[#This Row],[Delivery]])*24-Table1[[#This Row],[Promised]])&lt;0, 0, (Table1[[#This Row],[Arrived]]-Table1[[#This Row],[Delivery]])*24-Table1[[#This Row],[Promised]])</f>
        <v>0</v>
      </c>
      <c r="Q1012"/>
    </row>
    <row r="1013" spans="1:17" x14ac:dyDescent="0.45">
      <c r="A1013" s="3">
        <v>45300.791666666664</v>
      </c>
      <c r="B1013" t="s">
        <v>14</v>
      </c>
      <c r="C1013">
        <v>13</v>
      </c>
      <c r="D1013">
        <v>1004</v>
      </c>
      <c r="E1013" t="s">
        <v>16</v>
      </c>
      <c r="F1013">
        <v>30</v>
      </c>
      <c r="G1013">
        <v>3750</v>
      </c>
      <c r="H1013">
        <v>112500</v>
      </c>
      <c r="I1013" s="3">
        <v>45301.5</v>
      </c>
      <c r="J1013">
        <v>96</v>
      </c>
      <c r="K1013" s="3">
        <v>45304.5</v>
      </c>
      <c r="L1013" s="4">
        <f>ROUNDDOWN(Table1[[#This Row],[Ordered]],0)</f>
        <v>45300</v>
      </c>
      <c r="M1013" s="4">
        <f>Table1[[#This Row],[Date ]]</f>
        <v>45300</v>
      </c>
      <c r="N1013" s="5">
        <f>Table1[[#This Row],[Ordered]]-Table1[[#This Row],[Date ]]</f>
        <v>0.79166666666424135</v>
      </c>
      <c r="O1013">
        <f>Table1[[#This Row],[Company]]</f>
        <v>13</v>
      </c>
      <c r="P1013">
        <f>IF(((Table1[[#This Row],[Arrived]]-Table1[[#This Row],[Delivery]])*24-Table1[[#This Row],[Promised]])&lt;0, 0, (Table1[[#This Row],[Arrived]]-Table1[[#This Row],[Delivery]])*24-Table1[[#This Row],[Promised]])</f>
        <v>0</v>
      </c>
      <c r="Q1013"/>
    </row>
    <row r="1014" spans="1:17" x14ac:dyDescent="0.45">
      <c r="A1014" s="3">
        <v>45300.791666666664</v>
      </c>
      <c r="B1014" t="s">
        <v>14</v>
      </c>
      <c r="C1014">
        <v>11</v>
      </c>
      <c r="D1014">
        <v>1004</v>
      </c>
      <c r="E1014" t="s">
        <v>16</v>
      </c>
      <c r="F1014">
        <v>26</v>
      </c>
      <c r="G1014">
        <v>4150</v>
      </c>
      <c r="H1014">
        <v>107900</v>
      </c>
      <c r="I1014" s="3">
        <v>45301.083333333336</v>
      </c>
      <c r="J1014">
        <v>96</v>
      </c>
      <c r="K1014" s="3">
        <v>45304.083333333336</v>
      </c>
      <c r="L1014" s="4">
        <f>ROUNDDOWN(Table1[[#This Row],[Ordered]],0)</f>
        <v>45300</v>
      </c>
      <c r="M1014" s="4">
        <f>Table1[[#This Row],[Date ]]</f>
        <v>45300</v>
      </c>
      <c r="N1014" s="5">
        <f>Table1[[#This Row],[Ordered]]-Table1[[#This Row],[Date ]]</f>
        <v>0.79166666666424135</v>
      </c>
      <c r="O1014">
        <f>Table1[[#This Row],[Company]]</f>
        <v>11</v>
      </c>
      <c r="P1014">
        <f>IF(((Table1[[#This Row],[Arrived]]-Table1[[#This Row],[Delivery]])*24-Table1[[#This Row],[Promised]])&lt;0, 0, (Table1[[#This Row],[Arrived]]-Table1[[#This Row],[Delivery]])*24-Table1[[#This Row],[Promised]])</f>
        <v>0</v>
      </c>
      <c r="Q1014"/>
    </row>
    <row r="1015" spans="1:17" x14ac:dyDescent="0.45">
      <c r="A1015" s="3">
        <v>45300.791666666664</v>
      </c>
      <c r="B1015" t="s">
        <v>14</v>
      </c>
      <c r="C1015">
        <v>8</v>
      </c>
      <c r="D1015">
        <v>1004</v>
      </c>
      <c r="E1015" t="s">
        <v>16</v>
      </c>
      <c r="F1015">
        <v>50</v>
      </c>
      <c r="G1015">
        <v>3380</v>
      </c>
      <c r="H1015">
        <v>169000</v>
      </c>
      <c r="I1015" s="3">
        <v>45303.541666666664</v>
      </c>
      <c r="J1015">
        <v>120</v>
      </c>
      <c r="K1015" s="3">
        <v>45305.541666666664</v>
      </c>
      <c r="L1015" s="4">
        <f>ROUNDDOWN(Table1[[#This Row],[Ordered]],0)</f>
        <v>45300</v>
      </c>
      <c r="M1015" s="4">
        <f>Table1[[#This Row],[Date ]]</f>
        <v>45300</v>
      </c>
      <c r="N1015" s="5">
        <f>Table1[[#This Row],[Ordered]]-Table1[[#This Row],[Date ]]</f>
        <v>0.79166666666424135</v>
      </c>
      <c r="O1015">
        <f>Table1[[#This Row],[Company]]</f>
        <v>8</v>
      </c>
      <c r="P1015">
        <f>IF(((Table1[[#This Row],[Arrived]]-Table1[[#This Row],[Delivery]])*24-Table1[[#This Row],[Promised]])&lt;0, 0, (Table1[[#This Row],[Arrived]]-Table1[[#This Row],[Delivery]])*24-Table1[[#This Row],[Promised]])</f>
        <v>0</v>
      </c>
      <c r="Q1015"/>
    </row>
    <row r="1016" spans="1:17" x14ac:dyDescent="0.45">
      <c r="A1016" s="3">
        <v>45300.791666666664</v>
      </c>
      <c r="B1016" t="s">
        <v>14</v>
      </c>
      <c r="C1016">
        <v>7</v>
      </c>
      <c r="D1016">
        <v>1004</v>
      </c>
      <c r="E1016" t="s">
        <v>16</v>
      </c>
      <c r="F1016">
        <v>30</v>
      </c>
      <c r="G1016">
        <v>3650</v>
      </c>
      <c r="H1016">
        <v>109500</v>
      </c>
      <c r="I1016" s="3">
        <v>45301.958333333336</v>
      </c>
      <c r="J1016">
        <v>96</v>
      </c>
      <c r="K1016" s="3">
        <v>45303.958333333336</v>
      </c>
      <c r="L1016" s="4">
        <f>ROUNDDOWN(Table1[[#This Row],[Ordered]],0)</f>
        <v>45300</v>
      </c>
      <c r="M1016" s="4">
        <f>Table1[[#This Row],[Date ]]</f>
        <v>45300</v>
      </c>
      <c r="N1016" s="5">
        <f>Table1[[#This Row],[Ordered]]-Table1[[#This Row],[Date ]]</f>
        <v>0.79166666666424135</v>
      </c>
      <c r="O1016">
        <f>Table1[[#This Row],[Company]]</f>
        <v>7</v>
      </c>
      <c r="P1016">
        <f>IF(((Table1[[#This Row],[Arrived]]-Table1[[#This Row],[Delivery]])*24-Table1[[#This Row],[Promised]])&lt;0, 0, (Table1[[#This Row],[Arrived]]-Table1[[#This Row],[Delivery]])*24-Table1[[#This Row],[Promised]])</f>
        <v>0</v>
      </c>
      <c r="Q1016"/>
    </row>
    <row r="1017" spans="1:17" x14ac:dyDescent="0.45">
      <c r="A1017" s="3">
        <v>45300.791666666664</v>
      </c>
      <c r="B1017" t="s">
        <v>14</v>
      </c>
      <c r="C1017">
        <v>9</v>
      </c>
      <c r="D1017">
        <v>1004</v>
      </c>
      <c r="E1017" t="s">
        <v>16</v>
      </c>
      <c r="F1017">
        <v>30</v>
      </c>
      <c r="G1017">
        <v>3750</v>
      </c>
      <c r="H1017">
        <v>112500</v>
      </c>
      <c r="I1017" s="3">
        <v>45301.666666666664</v>
      </c>
      <c r="J1017">
        <v>96</v>
      </c>
      <c r="K1017" s="3">
        <v>45304.666666666664</v>
      </c>
      <c r="L1017" s="4">
        <f>ROUNDDOWN(Table1[[#This Row],[Ordered]],0)</f>
        <v>45300</v>
      </c>
      <c r="M1017" s="4">
        <f>Table1[[#This Row],[Date ]]</f>
        <v>45300</v>
      </c>
      <c r="N1017" s="5">
        <f>Table1[[#This Row],[Ordered]]-Table1[[#This Row],[Date ]]</f>
        <v>0.79166666666424135</v>
      </c>
      <c r="O1017">
        <f>Table1[[#This Row],[Company]]</f>
        <v>9</v>
      </c>
      <c r="P1017">
        <f>IF(((Table1[[#This Row],[Arrived]]-Table1[[#This Row],[Delivery]])*24-Table1[[#This Row],[Promised]])&lt;0, 0, (Table1[[#This Row],[Arrived]]-Table1[[#This Row],[Delivery]])*24-Table1[[#This Row],[Promised]])</f>
        <v>0</v>
      </c>
      <c r="Q1017"/>
    </row>
    <row r="1018" spans="1:17" x14ac:dyDescent="0.45">
      <c r="A1018" s="3">
        <v>45300.791666666664</v>
      </c>
      <c r="B1018" t="s">
        <v>14</v>
      </c>
      <c r="C1018">
        <v>14</v>
      </c>
      <c r="D1018">
        <v>1004</v>
      </c>
      <c r="E1018" t="s">
        <v>16</v>
      </c>
      <c r="F1018">
        <v>30</v>
      </c>
      <c r="G1018">
        <v>3750</v>
      </c>
      <c r="H1018">
        <v>112500</v>
      </c>
      <c r="I1018" s="3">
        <v>45301.208333333336</v>
      </c>
      <c r="J1018">
        <v>96</v>
      </c>
      <c r="K1018" s="3">
        <v>45304.208333333336</v>
      </c>
      <c r="L1018" s="4">
        <f>ROUNDDOWN(Table1[[#This Row],[Ordered]],0)</f>
        <v>45300</v>
      </c>
      <c r="M1018" s="4">
        <f>Table1[[#This Row],[Date ]]</f>
        <v>45300</v>
      </c>
      <c r="N1018" s="5">
        <f>Table1[[#This Row],[Ordered]]-Table1[[#This Row],[Date ]]</f>
        <v>0.79166666666424135</v>
      </c>
      <c r="O1018">
        <f>Table1[[#This Row],[Company]]</f>
        <v>14</v>
      </c>
      <c r="P1018">
        <f>IF(((Table1[[#This Row],[Arrived]]-Table1[[#This Row],[Delivery]])*24-Table1[[#This Row],[Promised]])&lt;0, 0, (Table1[[#This Row],[Arrived]]-Table1[[#This Row],[Delivery]])*24-Table1[[#This Row],[Promised]])</f>
        <v>0</v>
      </c>
      <c r="Q1018"/>
    </row>
    <row r="1019" spans="1:17" hidden="1" x14ac:dyDescent="0.45">
      <c r="A1019" s="3">
        <v>45300.833333333336</v>
      </c>
      <c r="B1019" t="s">
        <v>12</v>
      </c>
      <c r="C1019">
        <v>4</v>
      </c>
      <c r="D1019">
        <v>11</v>
      </c>
      <c r="E1019" t="s">
        <v>17</v>
      </c>
      <c r="F1019">
        <v>400</v>
      </c>
      <c r="G1019">
        <v>1350</v>
      </c>
      <c r="H1019">
        <v>540000</v>
      </c>
      <c r="I1019" s="3">
        <v>45300.916666666664</v>
      </c>
      <c r="J1019">
        <v>72</v>
      </c>
      <c r="K1019" s="3">
        <v>45303.916666666664</v>
      </c>
      <c r="L1019" s="4">
        <f>ROUNDDOWN(Table1[[#This Row],[Ordered]],0)</f>
        <v>45300</v>
      </c>
      <c r="M1019" s="4">
        <f>Table1[[#This Row],[Date ]]</f>
        <v>45300</v>
      </c>
      <c r="N1019" s="5">
        <f>Table1[[#This Row],[Ordered]]-Table1[[#This Row],[Date ]]</f>
        <v>0.83333333333575865</v>
      </c>
      <c r="O1019">
        <f>Table1[[#This Row],[Company]]</f>
        <v>4</v>
      </c>
      <c r="P1019">
        <f>IF(((Table1[[#This Row],[Arrived]]-Table1[[#This Row],[Delivery]])*24-Table1[[#This Row],[Promised]])&lt;0, 0, (Table1[[#This Row],[Arrived]]-Table1[[#This Row],[Delivery]])*24-Table1[[#This Row],[Promised]])</f>
        <v>0</v>
      </c>
      <c r="Q1019"/>
    </row>
    <row r="1020" spans="1:17" hidden="1" x14ac:dyDescent="0.45">
      <c r="A1020" s="3">
        <v>45300.833333333336</v>
      </c>
      <c r="B1020" t="s">
        <v>12</v>
      </c>
      <c r="C1020">
        <v>6</v>
      </c>
      <c r="D1020">
        <v>10</v>
      </c>
      <c r="E1020" t="s">
        <v>13</v>
      </c>
      <c r="F1020">
        <v>3000</v>
      </c>
      <c r="G1020">
        <v>100</v>
      </c>
      <c r="H1020">
        <v>300000</v>
      </c>
      <c r="I1020" s="3">
        <v>45300.875</v>
      </c>
      <c r="J1020">
        <v>72</v>
      </c>
      <c r="K1020" s="3">
        <v>45303.875</v>
      </c>
      <c r="L1020" s="4">
        <f>ROUNDDOWN(Table1[[#This Row],[Ordered]],0)</f>
        <v>45300</v>
      </c>
      <c r="M1020" s="4">
        <f>Table1[[#This Row],[Date ]]</f>
        <v>45300</v>
      </c>
      <c r="N1020" s="5">
        <f>Table1[[#This Row],[Ordered]]-Table1[[#This Row],[Date ]]</f>
        <v>0.83333333333575865</v>
      </c>
      <c r="O1020">
        <f>Table1[[#This Row],[Company]]</f>
        <v>6</v>
      </c>
      <c r="P1020">
        <f>IF(((Table1[[#This Row],[Arrived]]-Table1[[#This Row],[Delivery]])*24-Table1[[#This Row],[Promised]])&lt;0, 0, (Table1[[#This Row],[Arrived]]-Table1[[#This Row],[Delivery]])*24-Table1[[#This Row],[Promised]])</f>
        <v>0</v>
      </c>
      <c r="Q1020"/>
    </row>
    <row r="1021" spans="1:17" x14ac:dyDescent="0.45">
      <c r="A1021" s="3">
        <v>45300.916666666664</v>
      </c>
      <c r="B1021" t="s">
        <v>14</v>
      </c>
      <c r="C1021">
        <v>14</v>
      </c>
      <c r="D1021">
        <v>1009</v>
      </c>
      <c r="E1021" t="s">
        <v>15</v>
      </c>
      <c r="F1021">
        <v>2</v>
      </c>
      <c r="G1021">
        <v>6650</v>
      </c>
      <c r="H1021">
        <v>13300</v>
      </c>
      <c r="I1021" s="3">
        <v>45301.458333333336</v>
      </c>
      <c r="J1021">
        <v>96</v>
      </c>
      <c r="K1021" s="3">
        <v>45304.458333333336</v>
      </c>
      <c r="L1021" s="4">
        <f>ROUNDDOWN(Table1[[#This Row],[Ordered]],0)</f>
        <v>45300</v>
      </c>
      <c r="M1021" s="4">
        <f>Table1[[#This Row],[Date ]]</f>
        <v>45300</v>
      </c>
      <c r="N1021" s="5">
        <f>Table1[[#This Row],[Ordered]]-Table1[[#This Row],[Date ]]</f>
        <v>0.91666666666424135</v>
      </c>
      <c r="O1021">
        <f>Table1[[#This Row],[Company]]</f>
        <v>14</v>
      </c>
      <c r="P1021">
        <f>IF(((Table1[[#This Row],[Arrived]]-Table1[[#This Row],[Delivery]])*24-Table1[[#This Row],[Promised]])&lt;0, 0, (Table1[[#This Row],[Arrived]]-Table1[[#This Row],[Delivery]])*24-Table1[[#This Row],[Promised]])</f>
        <v>0</v>
      </c>
      <c r="Q1021"/>
    </row>
    <row r="1022" spans="1:17" x14ac:dyDescent="0.45">
      <c r="A1022" s="3">
        <v>45300.916666666664</v>
      </c>
      <c r="B1022" t="s">
        <v>14</v>
      </c>
      <c r="C1022">
        <v>8</v>
      </c>
      <c r="D1022">
        <v>1009</v>
      </c>
      <c r="E1022" t="s">
        <v>15</v>
      </c>
      <c r="F1022">
        <v>7</v>
      </c>
      <c r="G1022">
        <v>5450</v>
      </c>
      <c r="H1022">
        <v>38150</v>
      </c>
      <c r="I1022" s="3">
        <v>45301.666666666664</v>
      </c>
      <c r="J1022">
        <v>96</v>
      </c>
      <c r="K1022" s="3">
        <v>45304.666666666664</v>
      </c>
      <c r="L1022" s="4">
        <f>ROUNDDOWN(Table1[[#This Row],[Ordered]],0)</f>
        <v>45300</v>
      </c>
      <c r="M1022" s="4">
        <f>Table1[[#This Row],[Date ]]</f>
        <v>45300</v>
      </c>
      <c r="N1022" s="5">
        <f>Table1[[#This Row],[Ordered]]-Table1[[#This Row],[Date ]]</f>
        <v>0.91666666666424135</v>
      </c>
      <c r="O1022">
        <f>Table1[[#This Row],[Company]]</f>
        <v>8</v>
      </c>
      <c r="P1022">
        <f>IF(((Table1[[#This Row],[Arrived]]-Table1[[#This Row],[Delivery]])*24-Table1[[#This Row],[Promised]])&lt;0, 0, (Table1[[#This Row],[Arrived]]-Table1[[#This Row],[Delivery]])*24-Table1[[#This Row],[Promised]])</f>
        <v>0</v>
      </c>
      <c r="Q1022"/>
    </row>
    <row r="1023" spans="1:17" x14ac:dyDescent="0.45">
      <c r="A1023" s="3">
        <v>45300.916666666664</v>
      </c>
      <c r="B1023" t="s">
        <v>14</v>
      </c>
      <c r="C1023">
        <v>15</v>
      </c>
      <c r="D1023">
        <v>1009</v>
      </c>
      <c r="E1023" t="s">
        <v>15</v>
      </c>
      <c r="F1023">
        <v>5</v>
      </c>
      <c r="G1023">
        <v>6650</v>
      </c>
      <c r="H1023">
        <v>33250</v>
      </c>
      <c r="I1023" s="3">
        <v>45301.083333333336</v>
      </c>
      <c r="J1023">
        <v>68</v>
      </c>
      <c r="K1023" s="3">
        <v>45303.083333333336</v>
      </c>
      <c r="L1023" s="4">
        <f>ROUNDDOWN(Table1[[#This Row],[Ordered]],0)</f>
        <v>45300</v>
      </c>
      <c r="M1023" s="4">
        <f>Table1[[#This Row],[Date ]]</f>
        <v>45300</v>
      </c>
      <c r="N1023" s="5">
        <f>Table1[[#This Row],[Ordered]]-Table1[[#This Row],[Date ]]</f>
        <v>0.91666666666424135</v>
      </c>
      <c r="O1023">
        <f>Table1[[#This Row],[Company]]</f>
        <v>15</v>
      </c>
      <c r="P1023">
        <f>IF(((Table1[[#This Row],[Arrived]]-Table1[[#This Row],[Delivery]])*24-Table1[[#This Row],[Promised]])&lt;0, 0, (Table1[[#This Row],[Arrived]]-Table1[[#This Row],[Delivery]])*24-Table1[[#This Row],[Promised]])</f>
        <v>0</v>
      </c>
      <c r="Q1023"/>
    </row>
    <row r="1024" spans="1:17" x14ac:dyDescent="0.45">
      <c r="A1024" s="3">
        <v>45300.916666666664</v>
      </c>
      <c r="B1024" t="s">
        <v>14</v>
      </c>
      <c r="C1024">
        <v>12</v>
      </c>
      <c r="D1024">
        <v>1009</v>
      </c>
      <c r="E1024" t="s">
        <v>15</v>
      </c>
      <c r="F1024">
        <v>4</v>
      </c>
      <c r="G1024">
        <v>6700</v>
      </c>
      <c r="H1024">
        <v>26800</v>
      </c>
      <c r="I1024" s="3">
        <v>45301.208333333336</v>
      </c>
      <c r="J1024">
        <v>96</v>
      </c>
      <c r="K1024" s="3">
        <v>45304.208333333336</v>
      </c>
      <c r="L1024" s="4">
        <f>ROUNDDOWN(Table1[[#This Row],[Ordered]],0)</f>
        <v>45300</v>
      </c>
      <c r="M1024" s="4">
        <f>Table1[[#This Row],[Date ]]</f>
        <v>45300</v>
      </c>
      <c r="N1024" s="5">
        <f>Table1[[#This Row],[Ordered]]-Table1[[#This Row],[Date ]]</f>
        <v>0.91666666666424135</v>
      </c>
      <c r="O1024">
        <f>Table1[[#This Row],[Company]]</f>
        <v>12</v>
      </c>
      <c r="P1024">
        <f>IF(((Table1[[#This Row],[Arrived]]-Table1[[#This Row],[Delivery]])*24-Table1[[#This Row],[Promised]])&lt;0, 0, (Table1[[#This Row],[Arrived]]-Table1[[#This Row],[Delivery]])*24-Table1[[#This Row],[Promised]])</f>
        <v>0</v>
      </c>
      <c r="Q1024"/>
    </row>
    <row r="1025" spans="1:17" x14ac:dyDescent="0.45">
      <c r="A1025" s="3">
        <v>45300.916666666664</v>
      </c>
      <c r="B1025" t="s">
        <v>14</v>
      </c>
      <c r="C1025">
        <v>16</v>
      </c>
      <c r="D1025">
        <v>1009</v>
      </c>
      <c r="E1025" t="s">
        <v>15</v>
      </c>
      <c r="F1025">
        <v>6</v>
      </c>
      <c r="G1025">
        <v>6650</v>
      </c>
      <c r="H1025">
        <v>39900</v>
      </c>
      <c r="I1025" s="3">
        <v>45301.208333333336</v>
      </c>
      <c r="J1025">
        <v>96</v>
      </c>
      <c r="K1025" s="3">
        <v>45304.208333333336</v>
      </c>
      <c r="L1025" s="4">
        <f>ROUNDDOWN(Table1[[#This Row],[Ordered]],0)</f>
        <v>45300</v>
      </c>
      <c r="M1025" s="4">
        <f>Table1[[#This Row],[Date ]]</f>
        <v>45300</v>
      </c>
      <c r="N1025" s="5">
        <f>Table1[[#This Row],[Ordered]]-Table1[[#This Row],[Date ]]</f>
        <v>0.91666666666424135</v>
      </c>
      <c r="O1025">
        <f>Table1[[#This Row],[Company]]</f>
        <v>16</v>
      </c>
      <c r="P1025">
        <f>IF(((Table1[[#This Row],[Arrived]]-Table1[[#This Row],[Delivery]])*24-Table1[[#This Row],[Promised]])&lt;0, 0, (Table1[[#This Row],[Arrived]]-Table1[[#This Row],[Delivery]])*24-Table1[[#This Row],[Promised]])</f>
        <v>0</v>
      </c>
      <c r="Q1025"/>
    </row>
    <row r="1026" spans="1:17" hidden="1" x14ac:dyDescent="0.45">
      <c r="A1026" s="3">
        <v>45300.916666666664</v>
      </c>
      <c r="B1026" t="s">
        <v>12</v>
      </c>
      <c r="C1026">
        <v>3</v>
      </c>
      <c r="D1026">
        <v>13</v>
      </c>
      <c r="E1026" t="s">
        <v>13</v>
      </c>
      <c r="F1026">
        <v>2000</v>
      </c>
      <c r="G1026">
        <v>125</v>
      </c>
      <c r="H1026">
        <v>250000</v>
      </c>
      <c r="I1026" s="3">
        <v>45301.333333333336</v>
      </c>
      <c r="J1026">
        <v>72</v>
      </c>
      <c r="K1026" s="3">
        <v>45304.333333333336</v>
      </c>
      <c r="L1026" s="4">
        <f>ROUNDDOWN(Table1[[#This Row],[Ordered]],0)</f>
        <v>45300</v>
      </c>
      <c r="M1026" s="4">
        <f>Table1[[#This Row],[Date ]]</f>
        <v>45300</v>
      </c>
      <c r="N1026" s="5">
        <f>Table1[[#This Row],[Ordered]]-Table1[[#This Row],[Date ]]</f>
        <v>0.91666666666424135</v>
      </c>
      <c r="O1026">
        <f>Table1[[#This Row],[Company]]</f>
        <v>3</v>
      </c>
      <c r="P1026">
        <f>IF(((Table1[[#This Row],[Arrived]]-Table1[[#This Row],[Delivery]])*24-Table1[[#This Row],[Promised]])&lt;0, 0, (Table1[[#This Row],[Arrived]]-Table1[[#This Row],[Delivery]])*24-Table1[[#This Row],[Promised]])</f>
        <v>0</v>
      </c>
      <c r="Q1026"/>
    </row>
    <row r="1027" spans="1:17" x14ac:dyDescent="0.45">
      <c r="A1027" s="3">
        <v>45300.916666666664</v>
      </c>
      <c r="B1027" t="s">
        <v>14</v>
      </c>
      <c r="C1027">
        <v>9</v>
      </c>
      <c r="D1027">
        <v>1009</v>
      </c>
      <c r="E1027" t="s">
        <v>15</v>
      </c>
      <c r="F1027">
        <v>3</v>
      </c>
      <c r="G1027">
        <v>6650</v>
      </c>
      <c r="H1027">
        <v>19950</v>
      </c>
      <c r="I1027" s="3">
        <v>45301.791666666664</v>
      </c>
      <c r="J1027">
        <v>96</v>
      </c>
      <c r="K1027" s="3">
        <v>45304.875</v>
      </c>
      <c r="L1027" s="4">
        <f>ROUNDDOWN(Table1[[#This Row],[Ordered]],0)</f>
        <v>45300</v>
      </c>
      <c r="M1027" s="4">
        <f>Table1[[#This Row],[Date ]]</f>
        <v>45300</v>
      </c>
      <c r="N1027" s="5">
        <f>Table1[[#This Row],[Ordered]]-Table1[[#This Row],[Date ]]</f>
        <v>0.91666666666424135</v>
      </c>
      <c r="O1027">
        <f>Table1[[#This Row],[Company]]</f>
        <v>9</v>
      </c>
      <c r="P1027">
        <f>IF(((Table1[[#This Row],[Arrived]]-Table1[[#This Row],[Delivery]])*24-Table1[[#This Row],[Promised]])&lt;0, 0, (Table1[[#This Row],[Arrived]]-Table1[[#This Row],[Delivery]])*24-Table1[[#This Row],[Promised]])</f>
        <v>0</v>
      </c>
      <c r="Q1027"/>
    </row>
    <row r="1028" spans="1:17" x14ac:dyDescent="0.45">
      <c r="A1028" s="3">
        <v>45300.916666666664</v>
      </c>
      <c r="B1028" t="s">
        <v>14</v>
      </c>
      <c r="C1028">
        <v>13</v>
      </c>
      <c r="D1028">
        <v>1009</v>
      </c>
      <c r="E1028" t="s">
        <v>15</v>
      </c>
      <c r="F1028">
        <v>5</v>
      </c>
      <c r="G1028">
        <v>6400</v>
      </c>
      <c r="H1028">
        <v>32000</v>
      </c>
      <c r="I1028" s="3">
        <v>45301.583333333336</v>
      </c>
      <c r="J1028">
        <v>96</v>
      </c>
      <c r="K1028" s="3">
        <v>45304.583333333336</v>
      </c>
      <c r="L1028" s="4">
        <f>ROUNDDOWN(Table1[[#This Row],[Ordered]],0)</f>
        <v>45300</v>
      </c>
      <c r="M1028" s="4">
        <f>Table1[[#This Row],[Date ]]</f>
        <v>45300</v>
      </c>
      <c r="N1028" s="5">
        <f>Table1[[#This Row],[Ordered]]-Table1[[#This Row],[Date ]]</f>
        <v>0.91666666666424135</v>
      </c>
      <c r="O1028">
        <f>Table1[[#This Row],[Company]]</f>
        <v>13</v>
      </c>
      <c r="P1028">
        <f>IF(((Table1[[#This Row],[Arrived]]-Table1[[#This Row],[Delivery]])*24-Table1[[#This Row],[Promised]])&lt;0, 0, (Table1[[#This Row],[Arrived]]-Table1[[#This Row],[Delivery]])*24-Table1[[#This Row],[Promised]])</f>
        <v>0</v>
      </c>
      <c r="Q1028"/>
    </row>
    <row r="1029" spans="1:17" x14ac:dyDescent="0.45">
      <c r="A1029" s="3">
        <v>45300.916666666664</v>
      </c>
      <c r="B1029" t="s">
        <v>14</v>
      </c>
      <c r="C1029">
        <v>7</v>
      </c>
      <c r="D1029">
        <v>1009</v>
      </c>
      <c r="E1029" t="s">
        <v>15</v>
      </c>
      <c r="F1029">
        <v>4</v>
      </c>
      <c r="G1029">
        <v>6650</v>
      </c>
      <c r="H1029">
        <v>26600</v>
      </c>
      <c r="I1029" s="3">
        <v>45301.041666666664</v>
      </c>
      <c r="J1029">
        <v>96</v>
      </c>
      <c r="K1029" s="3">
        <v>45304.041666666664</v>
      </c>
      <c r="L1029" s="4">
        <f>ROUNDDOWN(Table1[[#This Row],[Ordered]],0)</f>
        <v>45300</v>
      </c>
      <c r="M1029" s="4">
        <f>Table1[[#This Row],[Date ]]</f>
        <v>45300</v>
      </c>
      <c r="N1029" s="5">
        <f>Table1[[#This Row],[Ordered]]-Table1[[#This Row],[Date ]]</f>
        <v>0.91666666666424135</v>
      </c>
      <c r="O1029">
        <f>Table1[[#This Row],[Company]]</f>
        <v>7</v>
      </c>
      <c r="P1029">
        <f>IF(((Table1[[#This Row],[Arrived]]-Table1[[#This Row],[Delivery]])*24-Table1[[#This Row],[Promised]])&lt;0, 0, (Table1[[#This Row],[Arrived]]-Table1[[#This Row],[Delivery]])*24-Table1[[#This Row],[Promised]])</f>
        <v>0</v>
      </c>
      <c r="Q1029"/>
    </row>
    <row r="1030" spans="1:17" x14ac:dyDescent="0.45">
      <c r="A1030" s="3">
        <v>45300.958333333336</v>
      </c>
      <c r="B1030" t="s">
        <v>19</v>
      </c>
      <c r="C1030">
        <v>7</v>
      </c>
      <c r="D1030">
        <v>3006</v>
      </c>
      <c r="E1030" t="s">
        <v>16</v>
      </c>
      <c r="F1030">
        <v>6</v>
      </c>
      <c r="G1030">
        <v>4350</v>
      </c>
      <c r="H1030">
        <v>26100</v>
      </c>
      <c r="I1030" s="3">
        <v>45302.083333333336</v>
      </c>
      <c r="J1030">
        <v>288</v>
      </c>
      <c r="K1030" s="3">
        <v>45312.083333333336</v>
      </c>
      <c r="L1030" s="4">
        <f>ROUNDDOWN(Table1[[#This Row],[Ordered]],0)</f>
        <v>45300</v>
      </c>
      <c r="M1030" s="4">
        <f>Table1[[#This Row],[Date ]]</f>
        <v>45300</v>
      </c>
      <c r="N1030" s="5">
        <f>Table1[[#This Row],[Ordered]]-Table1[[#This Row],[Date ]]</f>
        <v>0.95833333333575865</v>
      </c>
      <c r="O1030">
        <f>Table1[[#This Row],[Company]]</f>
        <v>7</v>
      </c>
      <c r="P1030">
        <f>IF(((Table1[[#This Row],[Arrived]]-Table1[[#This Row],[Delivery]])*24-Table1[[#This Row],[Promised]])&lt;0, 0, (Table1[[#This Row],[Arrived]]-Table1[[#This Row],[Delivery]])*24-Table1[[#This Row],[Promised]])</f>
        <v>0</v>
      </c>
      <c r="Q1030"/>
    </row>
    <row r="1031" spans="1:17" x14ac:dyDescent="0.45">
      <c r="A1031" s="3">
        <v>45300.958333333336</v>
      </c>
      <c r="B1031" t="s">
        <v>19</v>
      </c>
      <c r="C1031">
        <v>7</v>
      </c>
      <c r="D1031">
        <v>3005</v>
      </c>
      <c r="E1031" t="s">
        <v>16</v>
      </c>
      <c r="F1031">
        <v>7</v>
      </c>
      <c r="G1031">
        <v>4350</v>
      </c>
      <c r="H1031">
        <v>30450</v>
      </c>
      <c r="I1031" s="3">
        <v>45302.083333333336</v>
      </c>
      <c r="J1031">
        <v>288</v>
      </c>
      <c r="K1031" s="3">
        <v>45312.083333333336</v>
      </c>
      <c r="L1031" s="4">
        <f>ROUNDDOWN(Table1[[#This Row],[Ordered]],0)</f>
        <v>45300</v>
      </c>
      <c r="M1031" s="4">
        <f>Table1[[#This Row],[Date ]]</f>
        <v>45300</v>
      </c>
      <c r="N1031" s="5">
        <f>Table1[[#This Row],[Ordered]]-Table1[[#This Row],[Date ]]</f>
        <v>0.95833333333575865</v>
      </c>
      <c r="O1031">
        <f>Table1[[#This Row],[Company]]</f>
        <v>7</v>
      </c>
      <c r="P1031">
        <f>IF(((Table1[[#This Row],[Arrived]]-Table1[[#This Row],[Delivery]])*24-Table1[[#This Row],[Promised]])&lt;0, 0, (Table1[[#This Row],[Arrived]]-Table1[[#This Row],[Delivery]])*24-Table1[[#This Row],[Promised]])</f>
        <v>0</v>
      </c>
      <c r="Q1031"/>
    </row>
    <row r="1032" spans="1:17" hidden="1" x14ac:dyDescent="0.45">
      <c r="A1032" s="3">
        <v>45300.958333333336</v>
      </c>
      <c r="B1032" t="s">
        <v>12</v>
      </c>
      <c r="C1032">
        <v>7</v>
      </c>
      <c r="D1032">
        <v>6</v>
      </c>
      <c r="E1032" t="s">
        <v>20</v>
      </c>
      <c r="F1032">
        <v>58</v>
      </c>
      <c r="G1032">
        <v>23</v>
      </c>
      <c r="H1032">
        <v>1334</v>
      </c>
      <c r="I1032" s="3">
        <v>45301.333333333336</v>
      </c>
      <c r="J1032">
        <v>72</v>
      </c>
      <c r="K1032" s="3">
        <v>45304.333333333336</v>
      </c>
      <c r="L1032" s="4">
        <f>ROUNDDOWN(Table1[[#This Row],[Ordered]],0)</f>
        <v>45300</v>
      </c>
      <c r="M1032" s="4">
        <f>Table1[[#This Row],[Date ]]</f>
        <v>45300</v>
      </c>
      <c r="N1032" s="5">
        <f>Table1[[#This Row],[Ordered]]-Table1[[#This Row],[Date ]]</f>
        <v>0.95833333333575865</v>
      </c>
      <c r="O1032">
        <f>Table1[[#This Row],[Company]]</f>
        <v>7</v>
      </c>
      <c r="P1032">
        <f>IF(((Table1[[#This Row],[Arrived]]-Table1[[#This Row],[Delivery]])*24-Table1[[#This Row],[Promised]])&lt;0, 0, (Table1[[#This Row],[Arrived]]-Table1[[#This Row],[Delivery]])*24-Table1[[#This Row],[Promised]])</f>
        <v>0</v>
      </c>
      <c r="Q1032"/>
    </row>
    <row r="1033" spans="1:17" x14ac:dyDescent="0.45">
      <c r="A1033" s="3">
        <v>45300.958333333336</v>
      </c>
      <c r="B1033" t="s">
        <v>19</v>
      </c>
      <c r="C1033">
        <v>7</v>
      </c>
      <c r="D1033">
        <v>3002</v>
      </c>
      <c r="E1033" t="s">
        <v>16</v>
      </c>
      <c r="F1033">
        <v>4</v>
      </c>
      <c r="G1033">
        <v>4350</v>
      </c>
      <c r="H1033">
        <v>17400</v>
      </c>
      <c r="I1033" s="3">
        <v>45302.083333333336</v>
      </c>
      <c r="J1033">
        <v>288</v>
      </c>
      <c r="K1033" s="3">
        <v>45312.083333333336</v>
      </c>
      <c r="L1033" s="4">
        <f>ROUNDDOWN(Table1[[#This Row],[Ordered]],0)</f>
        <v>45300</v>
      </c>
      <c r="M1033" s="4">
        <f>Table1[[#This Row],[Date ]]</f>
        <v>45300</v>
      </c>
      <c r="N1033" s="5">
        <f>Table1[[#This Row],[Ordered]]-Table1[[#This Row],[Date ]]</f>
        <v>0.95833333333575865</v>
      </c>
      <c r="O1033">
        <f>Table1[[#This Row],[Company]]</f>
        <v>7</v>
      </c>
      <c r="P1033">
        <f>IF(((Table1[[#This Row],[Arrived]]-Table1[[#This Row],[Delivery]])*24-Table1[[#This Row],[Promised]])&lt;0, 0, (Table1[[#This Row],[Arrived]]-Table1[[#This Row],[Delivery]])*24-Table1[[#This Row],[Promised]])</f>
        <v>0</v>
      </c>
      <c r="Q1033"/>
    </row>
    <row r="1034" spans="1:17" x14ac:dyDescent="0.45">
      <c r="A1034" s="3">
        <v>45300.958333333336</v>
      </c>
      <c r="B1034" t="s">
        <v>19</v>
      </c>
      <c r="C1034">
        <v>7</v>
      </c>
      <c r="D1034">
        <v>3003</v>
      </c>
      <c r="E1034" t="s">
        <v>16</v>
      </c>
      <c r="F1034">
        <v>7</v>
      </c>
      <c r="G1034">
        <v>4350</v>
      </c>
      <c r="H1034">
        <v>30450</v>
      </c>
      <c r="I1034" s="3">
        <v>45302.083333333336</v>
      </c>
      <c r="J1034">
        <v>288</v>
      </c>
      <c r="K1034" s="3">
        <v>45312.083333333336</v>
      </c>
      <c r="L1034" s="4">
        <f>ROUNDDOWN(Table1[[#This Row],[Ordered]],0)</f>
        <v>45300</v>
      </c>
      <c r="M1034" s="4">
        <f>Table1[[#This Row],[Date ]]</f>
        <v>45300</v>
      </c>
      <c r="N1034" s="5">
        <f>Table1[[#This Row],[Ordered]]-Table1[[#This Row],[Date ]]</f>
        <v>0.95833333333575865</v>
      </c>
      <c r="O1034">
        <f>Table1[[#This Row],[Company]]</f>
        <v>7</v>
      </c>
      <c r="P1034">
        <f>IF(((Table1[[#This Row],[Arrived]]-Table1[[#This Row],[Delivery]])*24-Table1[[#This Row],[Promised]])&lt;0, 0, (Table1[[#This Row],[Arrived]]-Table1[[#This Row],[Delivery]])*24-Table1[[#This Row],[Promised]])</f>
        <v>0</v>
      </c>
      <c r="Q1034"/>
    </row>
    <row r="1035" spans="1:17" hidden="1" x14ac:dyDescent="0.45">
      <c r="A1035" s="3">
        <v>45301.125</v>
      </c>
      <c r="B1035" t="s">
        <v>12</v>
      </c>
      <c r="C1035">
        <v>5</v>
      </c>
      <c r="D1035">
        <v>16</v>
      </c>
      <c r="E1035" t="s">
        <v>17</v>
      </c>
      <c r="F1035">
        <v>310</v>
      </c>
      <c r="G1035">
        <v>1020</v>
      </c>
      <c r="H1035">
        <v>316200</v>
      </c>
      <c r="I1035" s="3">
        <v>45301.333333333336</v>
      </c>
      <c r="J1035">
        <v>24</v>
      </c>
      <c r="K1035" s="3">
        <v>45302.333333333336</v>
      </c>
      <c r="L1035" s="4">
        <f>ROUNDDOWN(Table1[[#This Row],[Ordered]],0)</f>
        <v>45301</v>
      </c>
      <c r="M1035" s="4">
        <f>Table1[[#This Row],[Date ]]</f>
        <v>45301</v>
      </c>
      <c r="N1035" s="5">
        <f>Table1[[#This Row],[Ordered]]-Table1[[#This Row],[Date ]]</f>
        <v>0.125</v>
      </c>
      <c r="O1035">
        <f>Table1[[#This Row],[Company]]</f>
        <v>5</v>
      </c>
      <c r="P1035">
        <f>IF(((Table1[[#This Row],[Arrived]]-Table1[[#This Row],[Delivery]])*24-Table1[[#This Row],[Promised]])&lt;0, 0, (Table1[[#This Row],[Arrived]]-Table1[[#This Row],[Delivery]])*24-Table1[[#This Row],[Promised]])</f>
        <v>0</v>
      </c>
      <c r="Q1035"/>
    </row>
    <row r="1036" spans="1:17" x14ac:dyDescent="0.45">
      <c r="A1036" s="3">
        <v>45301.166666666664</v>
      </c>
      <c r="B1036" t="s">
        <v>14</v>
      </c>
      <c r="C1036">
        <v>14</v>
      </c>
      <c r="D1036">
        <v>1004</v>
      </c>
      <c r="E1036" t="s">
        <v>15</v>
      </c>
      <c r="F1036">
        <v>4</v>
      </c>
      <c r="G1036">
        <v>6650</v>
      </c>
      <c r="H1036">
        <v>26600</v>
      </c>
      <c r="I1036" s="3">
        <v>45301.5</v>
      </c>
      <c r="J1036">
        <v>96</v>
      </c>
      <c r="K1036" s="3">
        <v>45304.5</v>
      </c>
      <c r="L1036" s="4">
        <f>ROUNDDOWN(Table1[[#This Row],[Ordered]],0)</f>
        <v>45301</v>
      </c>
      <c r="M1036" s="4">
        <f>Table1[[#This Row],[Date ]]</f>
        <v>45301</v>
      </c>
      <c r="N1036" s="5">
        <f>Table1[[#This Row],[Ordered]]-Table1[[#This Row],[Date ]]</f>
        <v>0.16666666666424135</v>
      </c>
      <c r="O1036">
        <f>Table1[[#This Row],[Company]]</f>
        <v>14</v>
      </c>
      <c r="P1036">
        <f>IF(((Table1[[#This Row],[Arrived]]-Table1[[#This Row],[Delivery]])*24-Table1[[#This Row],[Promised]])&lt;0, 0, (Table1[[#This Row],[Arrived]]-Table1[[#This Row],[Delivery]])*24-Table1[[#This Row],[Promised]])</f>
        <v>0</v>
      </c>
      <c r="Q1036"/>
    </row>
    <row r="1037" spans="1:17" x14ac:dyDescent="0.45">
      <c r="A1037" s="3">
        <v>45301.166666666664</v>
      </c>
      <c r="B1037" t="s">
        <v>14</v>
      </c>
      <c r="C1037">
        <v>15</v>
      </c>
      <c r="D1037">
        <v>1004</v>
      </c>
      <c r="E1037" t="s">
        <v>15</v>
      </c>
      <c r="F1037">
        <v>6</v>
      </c>
      <c r="G1037">
        <v>6500</v>
      </c>
      <c r="H1037">
        <v>39000</v>
      </c>
      <c r="I1037" s="3">
        <v>45301.25</v>
      </c>
      <c r="J1037">
        <v>68</v>
      </c>
      <c r="K1037" s="3">
        <v>45303.333333333336</v>
      </c>
      <c r="L1037" s="4">
        <f>ROUNDDOWN(Table1[[#This Row],[Ordered]],0)</f>
        <v>45301</v>
      </c>
      <c r="M1037" s="4">
        <f>Table1[[#This Row],[Date ]]</f>
        <v>45301</v>
      </c>
      <c r="N1037" s="5">
        <f>Table1[[#This Row],[Ordered]]-Table1[[#This Row],[Date ]]</f>
        <v>0.16666666666424135</v>
      </c>
      <c r="O1037">
        <f>Table1[[#This Row],[Company]]</f>
        <v>15</v>
      </c>
      <c r="P1037">
        <f>IF(((Table1[[#This Row],[Arrived]]-Table1[[#This Row],[Delivery]])*24-Table1[[#This Row],[Promised]])&lt;0, 0, (Table1[[#This Row],[Arrived]]-Table1[[#This Row],[Delivery]])*24-Table1[[#This Row],[Promised]])</f>
        <v>0</v>
      </c>
      <c r="Q1037"/>
    </row>
    <row r="1038" spans="1:17" x14ac:dyDescent="0.45">
      <c r="A1038" s="3">
        <v>45301.166666666664</v>
      </c>
      <c r="B1038" t="s">
        <v>14</v>
      </c>
      <c r="C1038">
        <v>8</v>
      </c>
      <c r="D1038">
        <v>1004</v>
      </c>
      <c r="E1038" t="s">
        <v>15</v>
      </c>
      <c r="F1038">
        <v>13</v>
      </c>
      <c r="G1038">
        <v>5450</v>
      </c>
      <c r="H1038">
        <v>70850</v>
      </c>
      <c r="I1038" s="3">
        <v>45302</v>
      </c>
      <c r="J1038">
        <v>96</v>
      </c>
      <c r="K1038" s="3">
        <v>45305</v>
      </c>
      <c r="L1038" s="4">
        <f>ROUNDDOWN(Table1[[#This Row],[Ordered]],0)</f>
        <v>45301</v>
      </c>
      <c r="M1038" s="4">
        <f>Table1[[#This Row],[Date ]]</f>
        <v>45301</v>
      </c>
      <c r="N1038" s="5">
        <f>Table1[[#This Row],[Ordered]]-Table1[[#This Row],[Date ]]</f>
        <v>0.16666666666424135</v>
      </c>
      <c r="O1038">
        <f>Table1[[#This Row],[Company]]</f>
        <v>8</v>
      </c>
      <c r="P1038">
        <f>IF(((Table1[[#This Row],[Arrived]]-Table1[[#This Row],[Delivery]])*24-Table1[[#This Row],[Promised]])&lt;0, 0, (Table1[[#This Row],[Arrived]]-Table1[[#This Row],[Delivery]])*24-Table1[[#This Row],[Promised]])</f>
        <v>0</v>
      </c>
      <c r="Q1038"/>
    </row>
    <row r="1039" spans="1:17" x14ac:dyDescent="0.45">
      <c r="A1039" s="3">
        <v>45301.166666666664</v>
      </c>
      <c r="B1039" t="s">
        <v>14</v>
      </c>
      <c r="C1039">
        <v>13</v>
      </c>
      <c r="D1039">
        <v>1004</v>
      </c>
      <c r="E1039" t="s">
        <v>15</v>
      </c>
      <c r="F1039">
        <v>7</v>
      </c>
      <c r="G1039">
        <v>6400</v>
      </c>
      <c r="H1039">
        <v>44800</v>
      </c>
      <c r="I1039" s="3">
        <v>45302</v>
      </c>
      <c r="J1039">
        <v>96</v>
      </c>
      <c r="K1039" s="3">
        <v>45305</v>
      </c>
      <c r="L1039" s="4">
        <f>ROUNDDOWN(Table1[[#This Row],[Ordered]],0)</f>
        <v>45301</v>
      </c>
      <c r="M1039" s="4">
        <f>Table1[[#This Row],[Date ]]</f>
        <v>45301</v>
      </c>
      <c r="N1039" s="5">
        <f>Table1[[#This Row],[Ordered]]-Table1[[#This Row],[Date ]]</f>
        <v>0.16666666666424135</v>
      </c>
      <c r="O1039">
        <f>Table1[[#This Row],[Company]]</f>
        <v>13</v>
      </c>
      <c r="P1039">
        <f>IF(((Table1[[#This Row],[Arrived]]-Table1[[#This Row],[Delivery]])*24-Table1[[#This Row],[Promised]])&lt;0, 0, (Table1[[#This Row],[Arrived]]-Table1[[#This Row],[Delivery]])*24-Table1[[#This Row],[Promised]])</f>
        <v>0</v>
      </c>
      <c r="Q1039"/>
    </row>
    <row r="1040" spans="1:17" x14ac:dyDescent="0.45">
      <c r="A1040" s="3">
        <v>45301.166666666664</v>
      </c>
      <c r="B1040" t="s">
        <v>14</v>
      </c>
      <c r="C1040">
        <v>9</v>
      </c>
      <c r="D1040">
        <v>1004</v>
      </c>
      <c r="E1040" t="s">
        <v>15</v>
      </c>
      <c r="F1040">
        <v>5</v>
      </c>
      <c r="G1040">
        <v>6650</v>
      </c>
      <c r="H1040">
        <v>33250</v>
      </c>
      <c r="I1040" s="3">
        <v>45302.083333333336</v>
      </c>
      <c r="J1040">
        <v>96</v>
      </c>
      <c r="K1040" s="3">
        <v>45305.083333333336</v>
      </c>
      <c r="L1040" s="4">
        <f>ROUNDDOWN(Table1[[#This Row],[Ordered]],0)</f>
        <v>45301</v>
      </c>
      <c r="M1040" s="4">
        <f>Table1[[#This Row],[Date ]]</f>
        <v>45301</v>
      </c>
      <c r="N1040" s="5">
        <f>Table1[[#This Row],[Ordered]]-Table1[[#This Row],[Date ]]</f>
        <v>0.16666666666424135</v>
      </c>
      <c r="O1040">
        <f>Table1[[#This Row],[Company]]</f>
        <v>9</v>
      </c>
      <c r="P1040">
        <f>IF(((Table1[[#This Row],[Arrived]]-Table1[[#This Row],[Delivery]])*24-Table1[[#This Row],[Promised]])&lt;0, 0, (Table1[[#This Row],[Arrived]]-Table1[[#This Row],[Delivery]])*24-Table1[[#This Row],[Promised]])</f>
        <v>0</v>
      </c>
      <c r="Q1040"/>
    </row>
    <row r="1041" spans="1:17" x14ac:dyDescent="0.45">
      <c r="A1041" s="3">
        <v>45301.166666666664</v>
      </c>
      <c r="B1041" t="s">
        <v>14</v>
      </c>
      <c r="C1041">
        <v>7</v>
      </c>
      <c r="D1041">
        <v>1004</v>
      </c>
      <c r="E1041" t="s">
        <v>15</v>
      </c>
      <c r="F1041">
        <v>9</v>
      </c>
      <c r="G1041">
        <v>6650</v>
      </c>
      <c r="H1041">
        <v>59850</v>
      </c>
      <c r="I1041" s="3">
        <v>45301.416666666664</v>
      </c>
      <c r="J1041">
        <v>96</v>
      </c>
      <c r="K1041" s="3">
        <v>45304.416666666664</v>
      </c>
      <c r="L1041" s="4">
        <f>ROUNDDOWN(Table1[[#This Row],[Ordered]],0)</f>
        <v>45301</v>
      </c>
      <c r="M1041" s="4">
        <f>Table1[[#This Row],[Date ]]</f>
        <v>45301</v>
      </c>
      <c r="N1041" s="5">
        <f>Table1[[#This Row],[Ordered]]-Table1[[#This Row],[Date ]]</f>
        <v>0.16666666666424135</v>
      </c>
      <c r="O1041">
        <f>Table1[[#This Row],[Company]]</f>
        <v>7</v>
      </c>
      <c r="P1041">
        <f>IF(((Table1[[#This Row],[Arrived]]-Table1[[#This Row],[Delivery]])*24-Table1[[#This Row],[Promised]])&lt;0, 0, (Table1[[#This Row],[Arrived]]-Table1[[#This Row],[Delivery]])*24-Table1[[#This Row],[Promised]])</f>
        <v>0</v>
      </c>
      <c r="Q1041"/>
    </row>
    <row r="1042" spans="1:17" x14ac:dyDescent="0.45">
      <c r="A1042" s="3">
        <v>45301.166666666664</v>
      </c>
      <c r="B1042" t="s">
        <v>14</v>
      </c>
      <c r="C1042">
        <v>16</v>
      </c>
      <c r="D1042">
        <v>1004</v>
      </c>
      <c r="E1042" t="s">
        <v>15</v>
      </c>
      <c r="F1042">
        <v>12</v>
      </c>
      <c r="G1042">
        <v>6650</v>
      </c>
      <c r="H1042">
        <v>79800</v>
      </c>
      <c r="I1042" s="3">
        <v>45301.708333333336</v>
      </c>
      <c r="J1042">
        <v>96</v>
      </c>
      <c r="K1042" s="3">
        <v>45304.708333333336</v>
      </c>
      <c r="L1042" s="4">
        <f>ROUNDDOWN(Table1[[#This Row],[Ordered]],0)</f>
        <v>45301</v>
      </c>
      <c r="M1042" s="4">
        <f>Table1[[#This Row],[Date ]]</f>
        <v>45301</v>
      </c>
      <c r="N1042" s="5">
        <f>Table1[[#This Row],[Ordered]]-Table1[[#This Row],[Date ]]</f>
        <v>0.16666666666424135</v>
      </c>
      <c r="O1042">
        <f>Table1[[#This Row],[Company]]</f>
        <v>16</v>
      </c>
      <c r="P1042">
        <f>IF(((Table1[[#This Row],[Arrived]]-Table1[[#This Row],[Delivery]])*24-Table1[[#This Row],[Promised]])&lt;0, 0, (Table1[[#This Row],[Arrived]]-Table1[[#This Row],[Delivery]])*24-Table1[[#This Row],[Promised]])</f>
        <v>0</v>
      </c>
      <c r="Q1042"/>
    </row>
    <row r="1043" spans="1:17" x14ac:dyDescent="0.45">
      <c r="A1043" s="3">
        <v>45301.208333333336</v>
      </c>
      <c r="B1043" t="s">
        <v>14</v>
      </c>
      <c r="C1043">
        <v>7</v>
      </c>
      <c r="D1043">
        <v>1001</v>
      </c>
      <c r="E1043" t="s">
        <v>16</v>
      </c>
      <c r="F1043">
        <v>30</v>
      </c>
      <c r="G1043">
        <v>3650</v>
      </c>
      <c r="H1043">
        <v>109500</v>
      </c>
      <c r="I1043" s="3">
        <v>45302.041666666664</v>
      </c>
      <c r="J1043">
        <v>96</v>
      </c>
      <c r="K1043" s="3">
        <v>45305.041666666664</v>
      </c>
      <c r="L1043" s="4">
        <f>ROUNDDOWN(Table1[[#This Row],[Ordered]],0)</f>
        <v>45301</v>
      </c>
      <c r="M1043" s="4">
        <f>Table1[[#This Row],[Date ]]</f>
        <v>45301</v>
      </c>
      <c r="N1043" s="5">
        <f>Table1[[#This Row],[Ordered]]-Table1[[#This Row],[Date ]]</f>
        <v>0.20833333333575865</v>
      </c>
      <c r="O1043">
        <f>Table1[[#This Row],[Company]]</f>
        <v>7</v>
      </c>
      <c r="P1043">
        <f>IF(((Table1[[#This Row],[Arrived]]-Table1[[#This Row],[Delivery]])*24-Table1[[#This Row],[Promised]])&lt;0, 0, (Table1[[#This Row],[Arrived]]-Table1[[#This Row],[Delivery]])*24-Table1[[#This Row],[Promised]])</f>
        <v>0</v>
      </c>
      <c r="Q1043"/>
    </row>
    <row r="1044" spans="1:17" hidden="1" x14ac:dyDescent="0.45">
      <c r="A1044" s="3">
        <v>45301.208333333336</v>
      </c>
      <c r="B1044" t="s">
        <v>12</v>
      </c>
      <c r="C1044">
        <v>5</v>
      </c>
      <c r="D1044">
        <v>16</v>
      </c>
      <c r="E1044" t="s">
        <v>13</v>
      </c>
      <c r="F1044">
        <v>1500</v>
      </c>
      <c r="G1044">
        <v>120</v>
      </c>
      <c r="H1044">
        <v>180000</v>
      </c>
      <c r="I1044" s="3">
        <v>45301.333333333336</v>
      </c>
      <c r="J1044">
        <v>24</v>
      </c>
      <c r="K1044" s="3">
        <v>45302.333333333336</v>
      </c>
      <c r="L1044" s="4">
        <f>ROUNDDOWN(Table1[[#This Row],[Ordered]],0)</f>
        <v>45301</v>
      </c>
      <c r="M1044" s="4">
        <f>Table1[[#This Row],[Date ]]</f>
        <v>45301</v>
      </c>
      <c r="N1044" s="5">
        <f>Table1[[#This Row],[Ordered]]-Table1[[#This Row],[Date ]]</f>
        <v>0.20833333333575865</v>
      </c>
      <c r="O1044">
        <f>Table1[[#This Row],[Company]]</f>
        <v>5</v>
      </c>
      <c r="P1044">
        <f>IF(((Table1[[#This Row],[Arrived]]-Table1[[#This Row],[Delivery]])*24-Table1[[#This Row],[Promised]])&lt;0, 0, (Table1[[#This Row],[Arrived]]-Table1[[#This Row],[Delivery]])*24-Table1[[#This Row],[Promised]])</f>
        <v>0</v>
      </c>
      <c r="Q1044"/>
    </row>
    <row r="1045" spans="1:17" x14ac:dyDescent="0.45">
      <c r="A1045" s="3">
        <v>45301.208333333336</v>
      </c>
      <c r="B1045" t="s">
        <v>14</v>
      </c>
      <c r="C1045">
        <v>8</v>
      </c>
      <c r="D1045">
        <v>1001</v>
      </c>
      <c r="E1045" t="s">
        <v>16</v>
      </c>
      <c r="F1045">
        <v>30</v>
      </c>
      <c r="G1045">
        <v>3600</v>
      </c>
      <c r="H1045">
        <v>108000</v>
      </c>
      <c r="I1045" s="3">
        <v>45302.208333333336</v>
      </c>
      <c r="J1045">
        <v>96</v>
      </c>
      <c r="K1045" s="3">
        <v>45305.208333333336</v>
      </c>
      <c r="L1045" s="4">
        <f>ROUNDDOWN(Table1[[#This Row],[Ordered]],0)</f>
        <v>45301</v>
      </c>
      <c r="M1045" s="4">
        <f>Table1[[#This Row],[Date ]]</f>
        <v>45301</v>
      </c>
      <c r="N1045" s="5">
        <f>Table1[[#This Row],[Ordered]]-Table1[[#This Row],[Date ]]</f>
        <v>0.20833333333575865</v>
      </c>
      <c r="O1045">
        <f>Table1[[#This Row],[Company]]</f>
        <v>8</v>
      </c>
      <c r="P1045">
        <f>IF(((Table1[[#This Row],[Arrived]]-Table1[[#This Row],[Delivery]])*24-Table1[[#This Row],[Promised]])&lt;0, 0, (Table1[[#This Row],[Arrived]]-Table1[[#This Row],[Delivery]])*24-Table1[[#This Row],[Promised]])</f>
        <v>0</v>
      </c>
      <c r="Q1045"/>
    </row>
    <row r="1046" spans="1:17" x14ac:dyDescent="0.45">
      <c r="A1046" s="3">
        <v>45301.208333333336</v>
      </c>
      <c r="B1046" t="s">
        <v>14</v>
      </c>
      <c r="C1046">
        <v>14</v>
      </c>
      <c r="D1046">
        <v>1001</v>
      </c>
      <c r="E1046" t="s">
        <v>16</v>
      </c>
      <c r="F1046">
        <v>30</v>
      </c>
      <c r="G1046">
        <v>3750</v>
      </c>
      <c r="H1046">
        <v>112500</v>
      </c>
      <c r="I1046" s="3">
        <v>45301.791666666664</v>
      </c>
      <c r="J1046">
        <v>96</v>
      </c>
      <c r="K1046" s="3">
        <v>45304.791666666664</v>
      </c>
      <c r="L1046" s="4">
        <f>ROUNDDOWN(Table1[[#This Row],[Ordered]],0)</f>
        <v>45301</v>
      </c>
      <c r="M1046" s="4">
        <f>Table1[[#This Row],[Date ]]</f>
        <v>45301</v>
      </c>
      <c r="N1046" s="5">
        <f>Table1[[#This Row],[Ordered]]-Table1[[#This Row],[Date ]]</f>
        <v>0.20833333333575865</v>
      </c>
      <c r="O1046">
        <f>Table1[[#This Row],[Company]]</f>
        <v>14</v>
      </c>
      <c r="P1046">
        <f>IF(((Table1[[#This Row],[Arrived]]-Table1[[#This Row],[Delivery]])*24-Table1[[#This Row],[Promised]])&lt;0, 0, (Table1[[#This Row],[Arrived]]-Table1[[#This Row],[Delivery]])*24-Table1[[#This Row],[Promised]])</f>
        <v>0</v>
      </c>
      <c r="Q1046"/>
    </row>
    <row r="1047" spans="1:17" x14ac:dyDescent="0.45">
      <c r="A1047" s="3">
        <v>45301.208333333336</v>
      </c>
      <c r="B1047" t="s">
        <v>14</v>
      </c>
      <c r="C1047">
        <v>9</v>
      </c>
      <c r="D1047">
        <v>1001</v>
      </c>
      <c r="E1047" t="s">
        <v>16</v>
      </c>
      <c r="F1047">
        <v>30</v>
      </c>
      <c r="G1047">
        <v>3750</v>
      </c>
      <c r="H1047">
        <v>112500</v>
      </c>
      <c r="I1047" s="3">
        <v>45302.083333333336</v>
      </c>
      <c r="J1047">
        <v>96</v>
      </c>
      <c r="K1047" s="3">
        <v>45305.083333333336</v>
      </c>
      <c r="L1047" s="4">
        <f>ROUNDDOWN(Table1[[#This Row],[Ordered]],0)</f>
        <v>45301</v>
      </c>
      <c r="M1047" s="4">
        <f>Table1[[#This Row],[Date ]]</f>
        <v>45301</v>
      </c>
      <c r="N1047" s="5">
        <f>Table1[[#This Row],[Ordered]]-Table1[[#This Row],[Date ]]</f>
        <v>0.20833333333575865</v>
      </c>
      <c r="O1047">
        <f>Table1[[#This Row],[Company]]</f>
        <v>9</v>
      </c>
      <c r="P1047">
        <f>IF(((Table1[[#This Row],[Arrived]]-Table1[[#This Row],[Delivery]])*24-Table1[[#This Row],[Promised]])&lt;0, 0, (Table1[[#This Row],[Arrived]]-Table1[[#This Row],[Delivery]])*24-Table1[[#This Row],[Promised]])</f>
        <v>0</v>
      </c>
      <c r="Q1047"/>
    </row>
    <row r="1048" spans="1:17" x14ac:dyDescent="0.45">
      <c r="A1048" s="3">
        <v>45301.208333333336</v>
      </c>
      <c r="B1048" t="s">
        <v>14</v>
      </c>
      <c r="C1048">
        <v>16</v>
      </c>
      <c r="D1048">
        <v>1001</v>
      </c>
      <c r="E1048" t="s">
        <v>16</v>
      </c>
      <c r="F1048">
        <v>30</v>
      </c>
      <c r="G1048">
        <v>3750</v>
      </c>
      <c r="H1048">
        <v>112500</v>
      </c>
      <c r="I1048" s="3">
        <v>45301.333333333336</v>
      </c>
      <c r="J1048">
        <v>96</v>
      </c>
      <c r="K1048" s="3">
        <v>45304.333333333336</v>
      </c>
      <c r="L1048" s="4">
        <f>ROUNDDOWN(Table1[[#This Row],[Ordered]],0)</f>
        <v>45301</v>
      </c>
      <c r="M1048" s="4">
        <f>Table1[[#This Row],[Date ]]</f>
        <v>45301</v>
      </c>
      <c r="N1048" s="5">
        <f>Table1[[#This Row],[Ordered]]-Table1[[#This Row],[Date ]]</f>
        <v>0.20833333333575865</v>
      </c>
      <c r="O1048">
        <f>Table1[[#This Row],[Company]]</f>
        <v>16</v>
      </c>
      <c r="P1048">
        <f>IF(((Table1[[#This Row],[Arrived]]-Table1[[#This Row],[Delivery]])*24-Table1[[#This Row],[Promised]])&lt;0, 0, (Table1[[#This Row],[Arrived]]-Table1[[#This Row],[Delivery]])*24-Table1[[#This Row],[Promised]])</f>
        <v>0</v>
      </c>
      <c r="Q1048"/>
    </row>
    <row r="1049" spans="1:17" x14ac:dyDescent="0.45">
      <c r="A1049" s="3">
        <v>45301.208333333336</v>
      </c>
      <c r="B1049" t="s">
        <v>14</v>
      </c>
      <c r="C1049">
        <v>12</v>
      </c>
      <c r="D1049">
        <v>1001</v>
      </c>
      <c r="E1049" t="s">
        <v>16</v>
      </c>
      <c r="F1049">
        <v>15</v>
      </c>
      <c r="G1049">
        <v>4000</v>
      </c>
      <c r="H1049">
        <v>60000</v>
      </c>
      <c r="I1049" s="3">
        <v>45301.791666666664</v>
      </c>
      <c r="J1049">
        <v>60</v>
      </c>
      <c r="K1049" s="3">
        <v>45302.791666666664</v>
      </c>
      <c r="L1049" s="4">
        <f>ROUNDDOWN(Table1[[#This Row],[Ordered]],0)</f>
        <v>45301</v>
      </c>
      <c r="M1049" s="4">
        <f>Table1[[#This Row],[Date ]]</f>
        <v>45301</v>
      </c>
      <c r="N1049" s="5">
        <f>Table1[[#This Row],[Ordered]]-Table1[[#This Row],[Date ]]</f>
        <v>0.20833333333575865</v>
      </c>
      <c r="O1049">
        <f>Table1[[#This Row],[Company]]</f>
        <v>12</v>
      </c>
      <c r="P1049">
        <f>IF(((Table1[[#This Row],[Arrived]]-Table1[[#This Row],[Delivery]])*24-Table1[[#This Row],[Promised]])&lt;0, 0, (Table1[[#This Row],[Arrived]]-Table1[[#This Row],[Delivery]])*24-Table1[[#This Row],[Promised]])</f>
        <v>0</v>
      </c>
      <c r="Q1049"/>
    </row>
    <row r="1050" spans="1:17" x14ac:dyDescent="0.45">
      <c r="A1050" s="3">
        <v>45301.208333333336</v>
      </c>
      <c r="B1050" t="s">
        <v>14</v>
      </c>
      <c r="C1050">
        <v>11</v>
      </c>
      <c r="D1050">
        <v>1001</v>
      </c>
      <c r="E1050" t="s">
        <v>16</v>
      </c>
      <c r="F1050">
        <v>23</v>
      </c>
      <c r="G1050">
        <v>4050</v>
      </c>
      <c r="H1050">
        <v>93150</v>
      </c>
      <c r="I1050" s="3">
        <v>45301.416666666664</v>
      </c>
      <c r="J1050">
        <v>96</v>
      </c>
      <c r="K1050" s="3">
        <v>45304.416666666664</v>
      </c>
      <c r="L1050" s="4">
        <f>ROUNDDOWN(Table1[[#This Row],[Ordered]],0)</f>
        <v>45301</v>
      </c>
      <c r="M1050" s="4">
        <f>Table1[[#This Row],[Date ]]</f>
        <v>45301</v>
      </c>
      <c r="N1050" s="5">
        <f>Table1[[#This Row],[Ordered]]-Table1[[#This Row],[Date ]]</f>
        <v>0.20833333333575865</v>
      </c>
      <c r="O1050">
        <f>Table1[[#This Row],[Company]]</f>
        <v>11</v>
      </c>
      <c r="P1050">
        <f>IF(((Table1[[#This Row],[Arrived]]-Table1[[#This Row],[Delivery]])*24-Table1[[#This Row],[Promised]])&lt;0, 0, (Table1[[#This Row],[Arrived]]-Table1[[#This Row],[Delivery]])*24-Table1[[#This Row],[Promised]])</f>
        <v>0</v>
      </c>
      <c r="Q1050"/>
    </row>
    <row r="1051" spans="1:17" x14ac:dyDescent="0.45">
      <c r="A1051" s="3">
        <v>45301.208333333336</v>
      </c>
      <c r="B1051" t="s">
        <v>14</v>
      </c>
      <c r="C1051">
        <v>15</v>
      </c>
      <c r="D1051">
        <v>1001</v>
      </c>
      <c r="E1051" t="s">
        <v>16</v>
      </c>
      <c r="F1051">
        <v>27</v>
      </c>
      <c r="G1051">
        <v>3750</v>
      </c>
      <c r="H1051">
        <v>101250</v>
      </c>
      <c r="I1051" s="3">
        <v>45301.5</v>
      </c>
      <c r="J1051">
        <v>96</v>
      </c>
      <c r="K1051" s="3">
        <v>45304.5</v>
      </c>
      <c r="L1051" s="4">
        <f>ROUNDDOWN(Table1[[#This Row],[Ordered]],0)</f>
        <v>45301</v>
      </c>
      <c r="M1051" s="4">
        <f>Table1[[#This Row],[Date ]]</f>
        <v>45301</v>
      </c>
      <c r="N1051" s="5">
        <f>Table1[[#This Row],[Ordered]]-Table1[[#This Row],[Date ]]</f>
        <v>0.20833333333575865</v>
      </c>
      <c r="O1051">
        <f>Table1[[#This Row],[Company]]</f>
        <v>15</v>
      </c>
      <c r="P1051">
        <f>IF(((Table1[[#This Row],[Arrived]]-Table1[[#This Row],[Delivery]])*24-Table1[[#This Row],[Promised]])&lt;0, 0, (Table1[[#This Row],[Arrived]]-Table1[[#This Row],[Delivery]])*24-Table1[[#This Row],[Promised]])</f>
        <v>0</v>
      </c>
      <c r="Q1051"/>
    </row>
    <row r="1052" spans="1:17" x14ac:dyDescent="0.45">
      <c r="A1052" s="3">
        <v>45301.208333333336</v>
      </c>
      <c r="B1052" t="s">
        <v>14</v>
      </c>
      <c r="C1052">
        <v>13</v>
      </c>
      <c r="D1052">
        <v>1001</v>
      </c>
      <c r="E1052" t="s">
        <v>16</v>
      </c>
      <c r="F1052">
        <v>30</v>
      </c>
      <c r="G1052">
        <v>3750</v>
      </c>
      <c r="H1052">
        <v>112500</v>
      </c>
      <c r="I1052" s="3">
        <v>45301.875</v>
      </c>
      <c r="J1052">
        <v>96</v>
      </c>
      <c r="K1052" s="3">
        <v>45305.041666666664</v>
      </c>
      <c r="L1052" s="4">
        <f>ROUNDDOWN(Table1[[#This Row],[Ordered]],0)</f>
        <v>45301</v>
      </c>
      <c r="M1052" s="4">
        <f>Table1[[#This Row],[Date ]]</f>
        <v>45301</v>
      </c>
      <c r="N1052" s="5">
        <f>Table1[[#This Row],[Ordered]]-Table1[[#This Row],[Date ]]</f>
        <v>0.20833333333575865</v>
      </c>
      <c r="O1052">
        <f>Table1[[#This Row],[Company]]</f>
        <v>13</v>
      </c>
      <c r="P1052">
        <f>IF(((Table1[[#This Row],[Arrived]]-Table1[[#This Row],[Delivery]])*24-Table1[[#This Row],[Promised]])&lt;0, 0, (Table1[[#This Row],[Arrived]]-Table1[[#This Row],[Delivery]])*24-Table1[[#This Row],[Promised]])</f>
        <v>0</v>
      </c>
      <c r="Q1052"/>
    </row>
    <row r="1053" spans="1:17" x14ac:dyDescent="0.45">
      <c r="A1053" s="3">
        <v>45301.25</v>
      </c>
      <c r="B1053" t="s">
        <v>14</v>
      </c>
      <c r="C1053">
        <v>7</v>
      </c>
      <c r="D1053">
        <v>1009</v>
      </c>
      <c r="E1053" t="s">
        <v>16</v>
      </c>
      <c r="F1053">
        <v>30</v>
      </c>
      <c r="G1053">
        <v>3650</v>
      </c>
      <c r="H1053">
        <v>109500</v>
      </c>
      <c r="I1053" s="3">
        <v>45302.083333333336</v>
      </c>
      <c r="J1053">
        <v>96</v>
      </c>
      <c r="K1053" s="3">
        <v>45305.083333333336</v>
      </c>
      <c r="L1053" s="4">
        <f>ROUNDDOWN(Table1[[#This Row],[Ordered]],0)</f>
        <v>45301</v>
      </c>
      <c r="M1053" s="4">
        <f>Table1[[#This Row],[Date ]]</f>
        <v>45301</v>
      </c>
      <c r="N1053" s="5">
        <f>Table1[[#This Row],[Ordered]]-Table1[[#This Row],[Date ]]</f>
        <v>0.25</v>
      </c>
      <c r="O1053">
        <f>Table1[[#This Row],[Company]]</f>
        <v>7</v>
      </c>
      <c r="P1053">
        <f>IF(((Table1[[#This Row],[Arrived]]-Table1[[#This Row],[Delivery]])*24-Table1[[#This Row],[Promised]])&lt;0, 0, (Table1[[#This Row],[Arrived]]-Table1[[#This Row],[Delivery]])*24-Table1[[#This Row],[Promised]])</f>
        <v>0</v>
      </c>
      <c r="Q1053"/>
    </row>
    <row r="1054" spans="1:17" x14ac:dyDescent="0.45">
      <c r="A1054" s="3">
        <v>45301.25</v>
      </c>
      <c r="B1054" t="s">
        <v>14</v>
      </c>
      <c r="C1054">
        <v>9</v>
      </c>
      <c r="D1054">
        <v>1009</v>
      </c>
      <c r="E1054" t="s">
        <v>16</v>
      </c>
      <c r="F1054">
        <v>23</v>
      </c>
      <c r="G1054">
        <v>3750</v>
      </c>
      <c r="H1054">
        <v>86250</v>
      </c>
      <c r="I1054" s="3">
        <v>45302.083333333336</v>
      </c>
      <c r="J1054">
        <v>96</v>
      </c>
      <c r="K1054" s="3">
        <v>45305.083333333336</v>
      </c>
      <c r="L1054" s="4">
        <f>ROUNDDOWN(Table1[[#This Row],[Ordered]],0)</f>
        <v>45301</v>
      </c>
      <c r="M1054" s="4">
        <f>Table1[[#This Row],[Date ]]</f>
        <v>45301</v>
      </c>
      <c r="N1054" s="5">
        <f>Table1[[#This Row],[Ordered]]-Table1[[#This Row],[Date ]]</f>
        <v>0.25</v>
      </c>
      <c r="O1054">
        <f>Table1[[#This Row],[Company]]</f>
        <v>9</v>
      </c>
      <c r="P1054">
        <f>IF(((Table1[[#This Row],[Arrived]]-Table1[[#This Row],[Delivery]])*24-Table1[[#This Row],[Promised]])&lt;0, 0, (Table1[[#This Row],[Arrived]]-Table1[[#This Row],[Delivery]])*24-Table1[[#This Row],[Promised]])</f>
        <v>0</v>
      </c>
      <c r="Q1054"/>
    </row>
    <row r="1055" spans="1:17" x14ac:dyDescent="0.45">
      <c r="A1055" s="3">
        <v>45301.25</v>
      </c>
      <c r="B1055" t="s">
        <v>14</v>
      </c>
      <c r="C1055">
        <v>12</v>
      </c>
      <c r="D1055">
        <v>1011</v>
      </c>
      <c r="E1055" t="s">
        <v>15</v>
      </c>
      <c r="F1055">
        <v>6</v>
      </c>
      <c r="G1055">
        <v>6700</v>
      </c>
      <c r="H1055">
        <v>40200</v>
      </c>
      <c r="I1055" s="3">
        <v>45301.375</v>
      </c>
      <c r="J1055">
        <v>96</v>
      </c>
      <c r="K1055" s="3">
        <v>45304.375</v>
      </c>
      <c r="L1055" s="4">
        <f>ROUNDDOWN(Table1[[#This Row],[Ordered]],0)</f>
        <v>45301</v>
      </c>
      <c r="M1055" s="4">
        <f>Table1[[#This Row],[Date ]]</f>
        <v>45301</v>
      </c>
      <c r="N1055" s="5">
        <f>Table1[[#This Row],[Ordered]]-Table1[[#This Row],[Date ]]</f>
        <v>0.25</v>
      </c>
      <c r="O1055">
        <f>Table1[[#This Row],[Company]]</f>
        <v>12</v>
      </c>
      <c r="P1055">
        <f>IF(((Table1[[#This Row],[Arrived]]-Table1[[#This Row],[Delivery]])*24-Table1[[#This Row],[Promised]])&lt;0, 0, (Table1[[#This Row],[Arrived]]-Table1[[#This Row],[Delivery]])*24-Table1[[#This Row],[Promised]])</f>
        <v>0</v>
      </c>
      <c r="Q1055"/>
    </row>
    <row r="1056" spans="1:17" hidden="1" x14ac:dyDescent="0.45">
      <c r="A1056" s="3">
        <v>45301.25</v>
      </c>
      <c r="B1056" t="s">
        <v>12</v>
      </c>
      <c r="C1056">
        <v>2</v>
      </c>
      <c r="D1056">
        <v>15</v>
      </c>
      <c r="E1056" t="s">
        <v>13</v>
      </c>
      <c r="F1056">
        <v>1800</v>
      </c>
      <c r="G1056">
        <v>140</v>
      </c>
      <c r="H1056">
        <v>252000</v>
      </c>
      <c r="I1056" s="3">
        <v>45301.291666666664</v>
      </c>
      <c r="J1056">
        <v>72</v>
      </c>
      <c r="K1056" s="3">
        <v>45304.291666666664</v>
      </c>
      <c r="L1056" s="4">
        <f>ROUNDDOWN(Table1[[#This Row],[Ordered]],0)</f>
        <v>45301</v>
      </c>
      <c r="M1056" s="4">
        <f>Table1[[#This Row],[Date ]]</f>
        <v>45301</v>
      </c>
      <c r="N1056" s="5">
        <f>Table1[[#This Row],[Ordered]]-Table1[[#This Row],[Date ]]</f>
        <v>0.25</v>
      </c>
      <c r="O1056">
        <f>Table1[[#This Row],[Company]]</f>
        <v>2</v>
      </c>
      <c r="P1056">
        <f>IF(((Table1[[#This Row],[Arrived]]-Table1[[#This Row],[Delivery]])*24-Table1[[#This Row],[Promised]])&lt;0, 0, (Table1[[#This Row],[Arrived]]-Table1[[#This Row],[Delivery]])*24-Table1[[#This Row],[Promised]])</f>
        <v>0</v>
      </c>
      <c r="Q1056"/>
    </row>
    <row r="1057" spans="1:17" x14ac:dyDescent="0.45">
      <c r="A1057" s="3">
        <v>45301.25</v>
      </c>
      <c r="B1057" t="s">
        <v>14</v>
      </c>
      <c r="C1057">
        <v>16</v>
      </c>
      <c r="D1057">
        <v>1011</v>
      </c>
      <c r="E1057" t="s">
        <v>15</v>
      </c>
      <c r="F1057">
        <v>8</v>
      </c>
      <c r="G1057">
        <v>6650</v>
      </c>
      <c r="H1057">
        <v>53200</v>
      </c>
      <c r="I1057" s="3">
        <v>45301.416666666664</v>
      </c>
      <c r="J1057">
        <v>96</v>
      </c>
      <c r="K1057" s="3">
        <v>45304.416666666664</v>
      </c>
      <c r="L1057" s="4">
        <f>ROUNDDOWN(Table1[[#This Row],[Ordered]],0)</f>
        <v>45301</v>
      </c>
      <c r="M1057" s="4">
        <f>Table1[[#This Row],[Date ]]</f>
        <v>45301</v>
      </c>
      <c r="N1057" s="5">
        <f>Table1[[#This Row],[Ordered]]-Table1[[#This Row],[Date ]]</f>
        <v>0.25</v>
      </c>
      <c r="O1057">
        <f>Table1[[#This Row],[Company]]</f>
        <v>16</v>
      </c>
      <c r="P1057">
        <f>IF(((Table1[[#This Row],[Arrived]]-Table1[[#This Row],[Delivery]])*24-Table1[[#This Row],[Promised]])&lt;0, 0, (Table1[[#This Row],[Arrived]]-Table1[[#This Row],[Delivery]])*24-Table1[[#This Row],[Promised]])</f>
        <v>0</v>
      </c>
      <c r="Q1057"/>
    </row>
    <row r="1058" spans="1:17" x14ac:dyDescent="0.45">
      <c r="A1058" s="3">
        <v>45301.25</v>
      </c>
      <c r="B1058" t="s">
        <v>14</v>
      </c>
      <c r="C1058">
        <v>14</v>
      </c>
      <c r="D1058">
        <v>1011</v>
      </c>
      <c r="E1058" t="s">
        <v>15</v>
      </c>
      <c r="F1058">
        <v>3</v>
      </c>
      <c r="G1058">
        <v>6650</v>
      </c>
      <c r="H1058">
        <v>19950</v>
      </c>
      <c r="I1058" s="3">
        <v>45301.5</v>
      </c>
      <c r="J1058">
        <v>96</v>
      </c>
      <c r="K1058" s="3">
        <v>45304.5</v>
      </c>
      <c r="L1058" s="4">
        <f>ROUNDDOWN(Table1[[#This Row],[Ordered]],0)</f>
        <v>45301</v>
      </c>
      <c r="M1058" s="4">
        <f>Table1[[#This Row],[Date ]]</f>
        <v>45301</v>
      </c>
      <c r="N1058" s="5">
        <f>Table1[[#This Row],[Ordered]]-Table1[[#This Row],[Date ]]</f>
        <v>0.25</v>
      </c>
      <c r="O1058">
        <f>Table1[[#This Row],[Company]]</f>
        <v>14</v>
      </c>
      <c r="P1058">
        <f>IF(((Table1[[#This Row],[Arrived]]-Table1[[#This Row],[Delivery]])*24-Table1[[#This Row],[Promised]])&lt;0, 0, (Table1[[#This Row],[Arrived]]-Table1[[#This Row],[Delivery]])*24-Table1[[#This Row],[Promised]])</f>
        <v>0</v>
      </c>
      <c r="Q1058"/>
    </row>
    <row r="1059" spans="1:17" hidden="1" x14ac:dyDescent="0.45">
      <c r="A1059" s="3">
        <v>45301.25</v>
      </c>
      <c r="B1059" t="s">
        <v>12</v>
      </c>
      <c r="C1059">
        <v>10</v>
      </c>
      <c r="D1059">
        <v>4</v>
      </c>
      <c r="E1059" t="s">
        <v>20</v>
      </c>
      <c r="F1059">
        <v>300</v>
      </c>
      <c r="G1059">
        <v>25</v>
      </c>
      <c r="H1059">
        <v>7500</v>
      </c>
      <c r="I1059" s="3">
        <v>45301.333333333336</v>
      </c>
      <c r="J1059">
        <v>72</v>
      </c>
      <c r="K1059" s="3">
        <v>45304.333333333336</v>
      </c>
      <c r="L1059" s="4">
        <f>ROUNDDOWN(Table1[[#This Row],[Ordered]],0)</f>
        <v>45301</v>
      </c>
      <c r="M1059" s="4">
        <f>Table1[[#This Row],[Date ]]</f>
        <v>45301</v>
      </c>
      <c r="N1059" s="5">
        <f>Table1[[#This Row],[Ordered]]-Table1[[#This Row],[Date ]]</f>
        <v>0.25</v>
      </c>
      <c r="O1059" s="5">
        <f>Table1[[#This Row],[Company]]</f>
        <v>10</v>
      </c>
      <c r="P1059">
        <f>IF(((Table1[[#This Row],[Arrived]]-Table1[[#This Row],[Delivery]])*24-Table1[[#This Row],[Promised]])&lt;0, 0, (Table1[[#This Row],[Arrived]]-Table1[[#This Row],[Delivery]])*24-Table1[[#This Row],[Promised]])</f>
        <v>0</v>
      </c>
      <c r="Q1059"/>
    </row>
    <row r="1060" spans="1:17" x14ac:dyDescent="0.45">
      <c r="A1060" s="3">
        <v>45301.25</v>
      </c>
      <c r="B1060" t="s">
        <v>14</v>
      </c>
      <c r="C1060">
        <v>15</v>
      </c>
      <c r="D1060">
        <v>1011</v>
      </c>
      <c r="E1060" t="s">
        <v>15</v>
      </c>
      <c r="F1060">
        <v>9</v>
      </c>
      <c r="G1060">
        <v>6500</v>
      </c>
      <c r="H1060">
        <v>58500</v>
      </c>
      <c r="I1060" s="3">
        <v>45301.375</v>
      </c>
      <c r="J1060">
        <v>68</v>
      </c>
      <c r="K1060" s="3">
        <v>45303.375</v>
      </c>
      <c r="L1060" s="4">
        <f>ROUNDDOWN(Table1[[#This Row],[Ordered]],0)</f>
        <v>45301</v>
      </c>
      <c r="M1060" s="4">
        <f>Table1[[#This Row],[Date ]]</f>
        <v>45301</v>
      </c>
      <c r="N1060" s="5">
        <f>Table1[[#This Row],[Ordered]]-Table1[[#This Row],[Date ]]</f>
        <v>0.25</v>
      </c>
      <c r="O1060">
        <f>Table1[[#This Row],[Company]]</f>
        <v>15</v>
      </c>
      <c r="P1060">
        <f>IF(((Table1[[#This Row],[Arrived]]-Table1[[#This Row],[Delivery]])*24-Table1[[#This Row],[Promised]])&lt;0, 0, (Table1[[#This Row],[Arrived]]-Table1[[#This Row],[Delivery]])*24-Table1[[#This Row],[Promised]])</f>
        <v>0</v>
      </c>
      <c r="Q1060"/>
    </row>
    <row r="1061" spans="1:17" x14ac:dyDescent="0.45">
      <c r="A1061" s="3">
        <v>45301.25</v>
      </c>
      <c r="B1061" t="s">
        <v>14</v>
      </c>
      <c r="C1061">
        <v>16</v>
      </c>
      <c r="D1061">
        <v>1009</v>
      </c>
      <c r="E1061" t="s">
        <v>16</v>
      </c>
      <c r="F1061">
        <v>30</v>
      </c>
      <c r="G1061">
        <v>3750</v>
      </c>
      <c r="H1061">
        <v>112500</v>
      </c>
      <c r="I1061" s="3">
        <v>45301.375</v>
      </c>
      <c r="J1061">
        <v>96</v>
      </c>
      <c r="K1061" s="3">
        <v>45304.416666666664</v>
      </c>
      <c r="L1061" s="4">
        <f>ROUNDDOWN(Table1[[#This Row],[Ordered]],0)</f>
        <v>45301</v>
      </c>
      <c r="M1061" s="4">
        <f>Table1[[#This Row],[Date ]]</f>
        <v>45301</v>
      </c>
      <c r="N1061" s="5">
        <f>Table1[[#This Row],[Ordered]]-Table1[[#This Row],[Date ]]</f>
        <v>0.25</v>
      </c>
      <c r="O1061">
        <f>Table1[[#This Row],[Company]]</f>
        <v>16</v>
      </c>
      <c r="P1061">
        <f>IF(((Table1[[#This Row],[Arrived]]-Table1[[#This Row],[Delivery]])*24-Table1[[#This Row],[Promised]])&lt;0, 0, (Table1[[#This Row],[Arrived]]-Table1[[#This Row],[Delivery]])*24-Table1[[#This Row],[Promised]])</f>
        <v>0</v>
      </c>
      <c r="Q1061"/>
    </row>
    <row r="1062" spans="1:17" x14ac:dyDescent="0.45">
      <c r="A1062" s="3">
        <v>45301.25</v>
      </c>
      <c r="B1062" t="s">
        <v>14</v>
      </c>
      <c r="C1062">
        <v>7</v>
      </c>
      <c r="D1062">
        <v>1011</v>
      </c>
      <c r="E1062" t="s">
        <v>15</v>
      </c>
      <c r="F1062">
        <v>5</v>
      </c>
      <c r="G1062">
        <v>6650</v>
      </c>
      <c r="H1062">
        <v>33250</v>
      </c>
      <c r="I1062" s="3">
        <v>45301.416666666664</v>
      </c>
      <c r="J1062">
        <v>96</v>
      </c>
      <c r="K1062" s="3">
        <v>45304.416666666664</v>
      </c>
      <c r="L1062" s="4">
        <f>ROUNDDOWN(Table1[[#This Row],[Ordered]],0)</f>
        <v>45301</v>
      </c>
      <c r="M1062" s="4">
        <f>Table1[[#This Row],[Date ]]</f>
        <v>45301</v>
      </c>
      <c r="N1062" s="5">
        <f>Table1[[#This Row],[Ordered]]-Table1[[#This Row],[Date ]]</f>
        <v>0.25</v>
      </c>
      <c r="O1062">
        <f>Table1[[#This Row],[Company]]</f>
        <v>7</v>
      </c>
      <c r="P1062">
        <f>IF(((Table1[[#This Row],[Arrived]]-Table1[[#This Row],[Delivery]])*24-Table1[[#This Row],[Promised]])&lt;0, 0, (Table1[[#This Row],[Arrived]]-Table1[[#This Row],[Delivery]])*24-Table1[[#This Row],[Promised]])</f>
        <v>0</v>
      </c>
      <c r="Q1062"/>
    </row>
    <row r="1063" spans="1:17" x14ac:dyDescent="0.45">
      <c r="A1063" s="3">
        <v>45301.25</v>
      </c>
      <c r="B1063" t="s">
        <v>14</v>
      </c>
      <c r="C1063">
        <v>13</v>
      </c>
      <c r="D1063">
        <v>1009</v>
      </c>
      <c r="E1063" t="s">
        <v>16</v>
      </c>
      <c r="F1063">
        <v>20</v>
      </c>
      <c r="G1063">
        <v>3750</v>
      </c>
      <c r="H1063">
        <v>75000</v>
      </c>
      <c r="I1063" s="3">
        <v>45302.041666666664</v>
      </c>
      <c r="J1063">
        <v>96</v>
      </c>
      <c r="K1063" s="3">
        <v>45305.041666666664</v>
      </c>
      <c r="L1063" s="4">
        <f>ROUNDDOWN(Table1[[#This Row],[Ordered]],0)</f>
        <v>45301</v>
      </c>
      <c r="M1063" s="4">
        <f>Table1[[#This Row],[Date ]]</f>
        <v>45301</v>
      </c>
      <c r="N1063" s="5">
        <f>Table1[[#This Row],[Ordered]]-Table1[[#This Row],[Date ]]</f>
        <v>0.25</v>
      </c>
      <c r="O1063">
        <f>Table1[[#This Row],[Company]]</f>
        <v>13</v>
      </c>
      <c r="P1063">
        <f>IF(((Table1[[#This Row],[Arrived]]-Table1[[#This Row],[Delivery]])*24-Table1[[#This Row],[Promised]])&lt;0, 0, (Table1[[#This Row],[Arrived]]-Table1[[#This Row],[Delivery]])*24-Table1[[#This Row],[Promised]])</f>
        <v>0</v>
      </c>
      <c r="Q1063"/>
    </row>
    <row r="1064" spans="1:17" x14ac:dyDescent="0.45">
      <c r="A1064" s="3">
        <v>45301.25</v>
      </c>
      <c r="B1064" t="s">
        <v>14</v>
      </c>
      <c r="C1064">
        <v>14</v>
      </c>
      <c r="D1064">
        <v>1009</v>
      </c>
      <c r="E1064" t="s">
        <v>16</v>
      </c>
      <c r="F1064">
        <v>26</v>
      </c>
      <c r="G1064">
        <v>3750</v>
      </c>
      <c r="H1064">
        <v>97500</v>
      </c>
      <c r="I1064" s="3">
        <v>45301.791666666664</v>
      </c>
      <c r="J1064">
        <v>96</v>
      </c>
      <c r="K1064" s="3">
        <v>45304.791666666664</v>
      </c>
      <c r="L1064" s="4">
        <f>ROUNDDOWN(Table1[[#This Row],[Ordered]],0)</f>
        <v>45301</v>
      </c>
      <c r="M1064" s="4">
        <f>Table1[[#This Row],[Date ]]</f>
        <v>45301</v>
      </c>
      <c r="N1064" s="5">
        <f>Table1[[#This Row],[Ordered]]-Table1[[#This Row],[Date ]]</f>
        <v>0.25</v>
      </c>
      <c r="O1064">
        <f>Table1[[#This Row],[Company]]</f>
        <v>14</v>
      </c>
      <c r="P1064">
        <f>IF(((Table1[[#This Row],[Arrived]]-Table1[[#This Row],[Delivery]])*24-Table1[[#This Row],[Promised]])&lt;0, 0, (Table1[[#This Row],[Arrived]]-Table1[[#This Row],[Delivery]])*24-Table1[[#This Row],[Promised]])</f>
        <v>0</v>
      </c>
      <c r="Q1064"/>
    </row>
    <row r="1065" spans="1:17" x14ac:dyDescent="0.45">
      <c r="A1065" s="3">
        <v>45301.25</v>
      </c>
      <c r="B1065" t="s">
        <v>14</v>
      </c>
      <c r="C1065">
        <v>12</v>
      </c>
      <c r="D1065">
        <v>1009</v>
      </c>
      <c r="E1065" t="s">
        <v>16</v>
      </c>
      <c r="F1065">
        <v>15</v>
      </c>
      <c r="G1065">
        <v>4000</v>
      </c>
      <c r="H1065">
        <v>60000</v>
      </c>
      <c r="I1065" s="3">
        <v>45301.833333333336</v>
      </c>
      <c r="J1065">
        <v>60</v>
      </c>
      <c r="K1065" s="3">
        <v>45302.833333333336</v>
      </c>
      <c r="L1065" s="4">
        <f>ROUNDDOWN(Table1[[#This Row],[Ordered]],0)</f>
        <v>45301</v>
      </c>
      <c r="M1065" s="4">
        <f>Table1[[#This Row],[Date ]]</f>
        <v>45301</v>
      </c>
      <c r="N1065" s="5">
        <f>Table1[[#This Row],[Ordered]]-Table1[[#This Row],[Date ]]</f>
        <v>0.25</v>
      </c>
      <c r="O1065">
        <f>Table1[[#This Row],[Company]]</f>
        <v>12</v>
      </c>
      <c r="P1065">
        <f>IF(((Table1[[#This Row],[Arrived]]-Table1[[#This Row],[Delivery]])*24-Table1[[#This Row],[Promised]])&lt;0, 0, (Table1[[#This Row],[Arrived]]-Table1[[#This Row],[Delivery]])*24-Table1[[#This Row],[Promised]])</f>
        <v>0</v>
      </c>
      <c r="Q1065"/>
    </row>
    <row r="1066" spans="1:17" x14ac:dyDescent="0.45">
      <c r="A1066" s="3">
        <v>45301.25</v>
      </c>
      <c r="B1066" t="s">
        <v>14</v>
      </c>
      <c r="C1066">
        <v>13</v>
      </c>
      <c r="D1066">
        <v>1011</v>
      </c>
      <c r="E1066" t="s">
        <v>15</v>
      </c>
      <c r="F1066">
        <v>7</v>
      </c>
      <c r="G1066">
        <v>6400</v>
      </c>
      <c r="H1066">
        <v>44800</v>
      </c>
      <c r="I1066" s="3">
        <v>45302.041666666664</v>
      </c>
      <c r="J1066">
        <v>96</v>
      </c>
      <c r="K1066" s="3">
        <v>45305.041666666664</v>
      </c>
      <c r="L1066" s="4">
        <f>ROUNDDOWN(Table1[[#This Row],[Ordered]],0)</f>
        <v>45301</v>
      </c>
      <c r="M1066" s="4">
        <f>Table1[[#This Row],[Date ]]</f>
        <v>45301</v>
      </c>
      <c r="N1066" s="5">
        <f>Table1[[#This Row],[Ordered]]-Table1[[#This Row],[Date ]]</f>
        <v>0.25</v>
      </c>
      <c r="O1066">
        <f>Table1[[#This Row],[Company]]</f>
        <v>13</v>
      </c>
      <c r="P1066">
        <f>IF(((Table1[[#This Row],[Arrived]]-Table1[[#This Row],[Delivery]])*24-Table1[[#This Row],[Promised]])&lt;0, 0, (Table1[[#This Row],[Arrived]]-Table1[[#This Row],[Delivery]])*24-Table1[[#This Row],[Promised]])</f>
        <v>0</v>
      </c>
      <c r="Q1066"/>
    </row>
    <row r="1067" spans="1:17" x14ac:dyDescent="0.45">
      <c r="A1067" s="3">
        <v>45301.25</v>
      </c>
      <c r="B1067" t="s">
        <v>14</v>
      </c>
      <c r="C1067">
        <v>10</v>
      </c>
      <c r="D1067">
        <v>1008</v>
      </c>
      <c r="E1067" t="s">
        <v>15</v>
      </c>
      <c r="F1067">
        <v>7</v>
      </c>
      <c r="G1067">
        <v>6600</v>
      </c>
      <c r="H1067">
        <v>46200</v>
      </c>
      <c r="I1067" s="3">
        <v>45303.333333333336</v>
      </c>
      <c r="J1067">
        <v>144</v>
      </c>
      <c r="K1067" s="3">
        <v>45306.333333333336</v>
      </c>
      <c r="L1067" s="4">
        <f>ROUNDDOWN(Table1[[#This Row],[Ordered]],0)</f>
        <v>45301</v>
      </c>
      <c r="M1067" s="4">
        <f>Table1[[#This Row],[Date ]]</f>
        <v>45301</v>
      </c>
      <c r="N1067" s="5">
        <f>Table1[[#This Row],[Ordered]]-Table1[[#This Row],[Date ]]</f>
        <v>0.25</v>
      </c>
      <c r="O1067">
        <f>Table1[[#This Row],[Company]]</f>
        <v>10</v>
      </c>
      <c r="P1067">
        <f>IF(((Table1[[#This Row],[Arrived]]-Table1[[#This Row],[Delivery]])*24-Table1[[#This Row],[Promised]])&lt;0, 0, (Table1[[#This Row],[Arrived]]-Table1[[#This Row],[Delivery]])*24-Table1[[#This Row],[Promised]])</f>
        <v>0</v>
      </c>
      <c r="Q1067"/>
    </row>
    <row r="1068" spans="1:17" x14ac:dyDescent="0.45">
      <c r="A1068" s="3">
        <v>45301.25</v>
      </c>
      <c r="B1068" t="s">
        <v>14</v>
      </c>
      <c r="C1068">
        <v>8</v>
      </c>
      <c r="D1068">
        <v>1011</v>
      </c>
      <c r="E1068" t="s">
        <v>15</v>
      </c>
      <c r="F1068">
        <v>10</v>
      </c>
      <c r="G1068">
        <v>5450</v>
      </c>
      <c r="H1068">
        <v>54500</v>
      </c>
      <c r="I1068" s="3">
        <v>45302.041666666664</v>
      </c>
      <c r="J1068">
        <v>96</v>
      </c>
      <c r="K1068" s="3">
        <v>45305.041666666664</v>
      </c>
      <c r="L1068" s="4">
        <f>ROUNDDOWN(Table1[[#This Row],[Ordered]],0)</f>
        <v>45301</v>
      </c>
      <c r="M1068" s="4">
        <f>Table1[[#This Row],[Date ]]</f>
        <v>45301</v>
      </c>
      <c r="N1068" s="5">
        <f>Table1[[#This Row],[Ordered]]-Table1[[#This Row],[Date ]]</f>
        <v>0.25</v>
      </c>
      <c r="O1068">
        <f>Table1[[#This Row],[Company]]</f>
        <v>8</v>
      </c>
      <c r="P1068">
        <f>IF(((Table1[[#This Row],[Arrived]]-Table1[[#This Row],[Delivery]])*24-Table1[[#This Row],[Promised]])&lt;0, 0, (Table1[[#This Row],[Arrived]]-Table1[[#This Row],[Delivery]])*24-Table1[[#This Row],[Promised]])</f>
        <v>0</v>
      </c>
      <c r="Q1068"/>
    </row>
    <row r="1069" spans="1:17" x14ac:dyDescent="0.45">
      <c r="A1069" s="3">
        <v>45301.25</v>
      </c>
      <c r="B1069" t="s">
        <v>14</v>
      </c>
      <c r="C1069">
        <v>16</v>
      </c>
      <c r="D1069">
        <v>1008</v>
      </c>
      <c r="E1069" t="s">
        <v>15</v>
      </c>
      <c r="F1069">
        <v>22</v>
      </c>
      <c r="G1069">
        <v>6550</v>
      </c>
      <c r="H1069">
        <v>144100</v>
      </c>
      <c r="I1069" s="3">
        <v>45302.416666666664</v>
      </c>
      <c r="J1069">
        <v>120</v>
      </c>
      <c r="K1069" s="3">
        <v>45305.416666666664</v>
      </c>
      <c r="L1069" s="4">
        <f>ROUNDDOWN(Table1[[#This Row],[Ordered]],0)</f>
        <v>45301</v>
      </c>
      <c r="M1069" s="4">
        <f>Table1[[#This Row],[Date ]]</f>
        <v>45301</v>
      </c>
      <c r="N1069" s="5">
        <f>Table1[[#This Row],[Ordered]]-Table1[[#This Row],[Date ]]</f>
        <v>0.25</v>
      </c>
      <c r="O1069">
        <f>Table1[[#This Row],[Company]]</f>
        <v>16</v>
      </c>
      <c r="P1069">
        <f>IF(((Table1[[#This Row],[Arrived]]-Table1[[#This Row],[Delivery]])*24-Table1[[#This Row],[Promised]])&lt;0, 0, (Table1[[#This Row],[Arrived]]-Table1[[#This Row],[Delivery]])*24-Table1[[#This Row],[Promised]])</f>
        <v>0</v>
      </c>
      <c r="Q1069"/>
    </row>
    <row r="1070" spans="1:17" x14ac:dyDescent="0.45">
      <c r="A1070" s="3">
        <v>45301.25</v>
      </c>
      <c r="B1070" t="s">
        <v>14</v>
      </c>
      <c r="C1070">
        <v>8</v>
      </c>
      <c r="D1070">
        <v>1009</v>
      </c>
      <c r="E1070" t="s">
        <v>16</v>
      </c>
      <c r="F1070">
        <v>30</v>
      </c>
      <c r="G1070">
        <v>3600</v>
      </c>
      <c r="H1070">
        <v>108000</v>
      </c>
      <c r="I1070" s="3">
        <v>45302.041666666664</v>
      </c>
      <c r="J1070">
        <v>96</v>
      </c>
      <c r="K1070" s="3">
        <v>45305.041666666664</v>
      </c>
      <c r="L1070" s="4">
        <f>ROUNDDOWN(Table1[[#This Row],[Ordered]],0)</f>
        <v>45301</v>
      </c>
      <c r="M1070" s="4">
        <f>Table1[[#This Row],[Date ]]</f>
        <v>45301</v>
      </c>
      <c r="N1070" s="5">
        <f>Table1[[#This Row],[Ordered]]-Table1[[#This Row],[Date ]]</f>
        <v>0.25</v>
      </c>
      <c r="O1070">
        <f>Table1[[#This Row],[Company]]</f>
        <v>8</v>
      </c>
      <c r="P1070">
        <f>IF(((Table1[[#This Row],[Arrived]]-Table1[[#This Row],[Delivery]])*24-Table1[[#This Row],[Promised]])&lt;0, 0, (Table1[[#This Row],[Arrived]]-Table1[[#This Row],[Delivery]])*24-Table1[[#This Row],[Promised]])</f>
        <v>0</v>
      </c>
      <c r="Q1070"/>
    </row>
    <row r="1071" spans="1:17" hidden="1" x14ac:dyDescent="0.45">
      <c r="A1071" s="3">
        <v>45301.291666666664</v>
      </c>
      <c r="B1071" t="s">
        <v>12</v>
      </c>
      <c r="C1071">
        <v>15</v>
      </c>
      <c r="D1071">
        <v>6</v>
      </c>
      <c r="E1071" t="s">
        <v>20</v>
      </c>
      <c r="F1071">
        <v>93</v>
      </c>
      <c r="G1071">
        <v>23</v>
      </c>
      <c r="H1071">
        <v>2139</v>
      </c>
      <c r="I1071" s="3">
        <v>45301.333333333336</v>
      </c>
      <c r="J1071">
        <v>72</v>
      </c>
      <c r="K1071" s="3">
        <v>45304.333333333336</v>
      </c>
      <c r="L1071" s="4">
        <f>ROUNDDOWN(Table1[[#This Row],[Ordered]],0)</f>
        <v>45301</v>
      </c>
      <c r="M1071" s="4">
        <f>Table1[[#This Row],[Date ]]</f>
        <v>45301</v>
      </c>
      <c r="N1071" s="5">
        <f>Table1[[#This Row],[Ordered]]-Table1[[#This Row],[Date ]]</f>
        <v>0.29166666666424135</v>
      </c>
      <c r="O1071">
        <f>Table1[[#This Row],[Company]]</f>
        <v>15</v>
      </c>
      <c r="P1071">
        <f>IF(((Table1[[#This Row],[Arrived]]-Table1[[#This Row],[Delivery]])*24-Table1[[#This Row],[Promised]])&lt;0, 0, (Table1[[#This Row],[Arrived]]-Table1[[#This Row],[Delivery]])*24-Table1[[#This Row],[Promised]])</f>
        <v>0</v>
      </c>
      <c r="Q1071"/>
    </row>
    <row r="1072" spans="1:17" hidden="1" x14ac:dyDescent="0.45">
      <c r="A1072" s="3">
        <v>45301.291666666664</v>
      </c>
      <c r="B1072" t="s">
        <v>12</v>
      </c>
      <c r="C1072">
        <v>2</v>
      </c>
      <c r="D1072">
        <v>13</v>
      </c>
      <c r="E1072" t="s">
        <v>13</v>
      </c>
      <c r="F1072">
        <v>1000</v>
      </c>
      <c r="G1072">
        <v>140</v>
      </c>
      <c r="H1072">
        <v>140000</v>
      </c>
      <c r="I1072" s="3">
        <v>45301.333333333336</v>
      </c>
      <c r="J1072">
        <v>72</v>
      </c>
      <c r="K1072" s="3">
        <v>45304.333333333336</v>
      </c>
      <c r="L1072" s="4">
        <f>ROUNDDOWN(Table1[[#This Row],[Ordered]],0)</f>
        <v>45301</v>
      </c>
      <c r="M1072" s="4">
        <f>Table1[[#This Row],[Date ]]</f>
        <v>45301</v>
      </c>
      <c r="N1072" s="5">
        <f>Table1[[#This Row],[Ordered]]-Table1[[#This Row],[Date ]]</f>
        <v>0.29166666666424135</v>
      </c>
      <c r="O1072">
        <f>Table1[[#This Row],[Company]]</f>
        <v>2</v>
      </c>
      <c r="P1072">
        <f>IF(((Table1[[#This Row],[Arrived]]-Table1[[#This Row],[Delivery]])*24-Table1[[#This Row],[Promised]])&lt;0, 0, (Table1[[#This Row],[Arrived]]-Table1[[#This Row],[Delivery]])*24-Table1[[#This Row],[Promised]])</f>
        <v>0</v>
      </c>
      <c r="Q1072"/>
    </row>
    <row r="1073" spans="1:17" x14ac:dyDescent="0.45">
      <c r="A1073" s="3">
        <v>45301.375</v>
      </c>
      <c r="B1073" t="s">
        <v>14</v>
      </c>
      <c r="C1073">
        <v>13</v>
      </c>
      <c r="D1073">
        <v>1001</v>
      </c>
      <c r="E1073" t="s">
        <v>15</v>
      </c>
      <c r="F1073">
        <v>5</v>
      </c>
      <c r="G1073">
        <v>6400</v>
      </c>
      <c r="H1073">
        <v>32000</v>
      </c>
      <c r="I1073" s="3">
        <v>45302.083333333336</v>
      </c>
      <c r="J1073">
        <v>96</v>
      </c>
      <c r="K1073" s="3">
        <v>45305.083333333336</v>
      </c>
      <c r="L1073" s="4">
        <f>ROUNDDOWN(Table1[[#This Row],[Ordered]],0)</f>
        <v>45301</v>
      </c>
      <c r="M1073" s="4">
        <f>Table1[[#This Row],[Date ]]</f>
        <v>45301</v>
      </c>
      <c r="N1073" s="5">
        <f>Table1[[#This Row],[Ordered]]-Table1[[#This Row],[Date ]]</f>
        <v>0.375</v>
      </c>
      <c r="O1073">
        <f>Table1[[#This Row],[Company]]</f>
        <v>13</v>
      </c>
      <c r="P1073">
        <f>IF(((Table1[[#This Row],[Arrived]]-Table1[[#This Row],[Delivery]])*24-Table1[[#This Row],[Promised]])&lt;0, 0, (Table1[[#This Row],[Arrived]]-Table1[[#This Row],[Delivery]])*24-Table1[[#This Row],[Promised]])</f>
        <v>0</v>
      </c>
      <c r="Q1073"/>
    </row>
    <row r="1074" spans="1:17" x14ac:dyDescent="0.45">
      <c r="A1074" s="3">
        <v>45301.375</v>
      </c>
      <c r="B1074" t="s">
        <v>14</v>
      </c>
      <c r="C1074">
        <v>8</v>
      </c>
      <c r="D1074">
        <v>1001</v>
      </c>
      <c r="E1074" t="s">
        <v>15</v>
      </c>
      <c r="F1074">
        <v>8</v>
      </c>
      <c r="G1074">
        <v>5450</v>
      </c>
      <c r="H1074">
        <v>43600</v>
      </c>
      <c r="I1074" s="3">
        <v>45302.166666666664</v>
      </c>
      <c r="J1074">
        <v>96</v>
      </c>
      <c r="K1074" s="3">
        <v>45305.166666666664</v>
      </c>
      <c r="L1074" s="4">
        <f>ROUNDDOWN(Table1[[#This Row],[Ordered]],0)</f>
        <v>45301</v>
      </c>
      <c r="M1074" s="4">
        <f>Table1[[#This Row],[Date ]]</f>
        <v>45301</v>
      </c>
      <c r="N1074" s="5">
        <f>Table1[[#This Row],[Ordered]]-Table1[[#This Row],[Date ]]</f>
        <v>0.375</v>
      </c>
      <c r="O1074">
        <f>Table1[[#This Row],[Company]]</f>
        <v>8</v>
      </c>
      <c r="P1074">
        <f>IF(((Table1[[#This Row],[Arrived]]-Table1[[#This Row],[Delivery]])*24-Table1[[#This Row],[Promised]])&lt;0, 0, (Table1[[#This Row],[Arrived]]-Table1[[#This Row],[Delivery]])*24-Table1[[#This Row],[Promised]])</f>
        <v>0</v>
      </c>
      <c r="Q1074"/>
    </row>
    <row r="1075" spans="1:17" hidden="1" x14ac:dyDescent="0.45">
      <c r="A1075" s="3">
        <v>45301.375</v>
      </c>
      <c r="B1075" t="s">
        <v>12</v>
      </c>
      <c r="C1075">
        <v>2</v>
      </c>
      <c r="D1075">
        <v>15</v>
      </c>
      <c r="E1075" t="s">
        <v>17</v>
      </c>
      <c r="F1075">
        <v>240</v>
      </c>
      <c r="G1075">
        <v>1400</v>
      </c>
      <c r="H1075">
        <v>336000</v>
      </c>
      <c r="I1075" s="3">
        <v>45301.416666666664</v>
      </c>
      <c r="J1075">
        <v>48</v>
      </c>
      <c r="K1075" s="3">
        <v>45303.416666666664</v>
      </c>
      <c r="L1075" s="4">
        <f>ROUNDDOWN(Table1[[#This Row],[Ordered]],0)</f>
        <v>45301</v>
      </c>
      <c r="M1075" s="4">
        <f>Table1[[#This Row],[Date ]]</f>
        <v>45301</v>
      </c>
      <c r="N1075" s="5">
        <f>Table1[[#This Row],[Ordered]]-Table1[[#This Row],[Date ]]</f>
        <v>0.375</v>
      </c>
      <c r="O1075">
        <f>Table1[[#This Row],[Company]]</f>
        <v>2</v>
      </c>
      <c r="P1075">
        <f>IF(((Table1[[#This Row],[Arrived]]-Table1[[#This Row],[Delivery]])*24-Table1[[#This Row],[Promised]])&lt;0, 0, (Table1[[#This Row],[Arrived]]-Table1[[#This Row],[Delivery]])*24-Table1[[#This Row],[Promised]])</f>
        <v>0</v>
      </c>
      <c r="Q1075"/>
    </row>
    <row r="1076" spans="1:17" hidden="1" x14ac:dyDescent="0.45">
      <c r="A1076" s="3">
        <v>45301.375</v>
      </c>
      <c r="B1076" t="s">
        <v>12</v>
      </c>
      <c r="C1076">
        <v>9</v>
      </c>
      <c r="D1076">
        <v>6</v>
      </c>
      <c r="E1076" t="s">
        <v>20</v>
      </c>
      <c r="F1076">
        <v>82</v>
      </c>
      <c r="G1076">
        <v>23</v>
      </c>
      <c r="H1076">
        <v>1886</v>
      </c>
      <c r="I1076" s="3">
        <v>45301.666666666664</v>
      </c>
      <c r="J1076">
        <v>24</v>
      </c>
      <c r="K1076" s="3">
        <v>45302.666666666664</v>
      </c>
      <c r="L1076" s="4">
        <f>ROUNDDOWN(Table1[[#This Row],[Ordered]],0)</f>
        <v>45301</v>
      </c>
      <c r="M1076" s="4">
        <f>Table1[[#This Row],[Date ]]</f>
        <v>45301</v>
      </c>
      <c r="N1076" s="5">
        <f>Table1[[#This Row],[Ordered]]-Table1[[#This Row],[Date ]]</f>
        <v>0.375</v>
      </c>
      <c r="O1076">
        <f>Table1[[#This Row],[Company]]</f>
        <v>9</v>
      </c>
      <c r="P1076">
        <f>IF(((Table1[[#This Row],[Arrived]]-Table1[[#This Row],[Delivery]])*24-Table1[[#This Row],[Promised]])&lt;0, 0, (Table1[[#This Row],[Arrived]]-Table1[[#This Row],[Delivery]])*24-Table1[[#This Row],[Promised]])</f>
        <v>0</v>
      </c>
      <c r="Q1076"/>
    </row>
    <row r="1077" spans="1:17" x14ac:dyDescent="0.45">
      <c r="A1077" s="3">
        <v>45301.375</v>
      </c>
      <c r="B1077" t="s">
        <v>14</v>
      </c>
      <c r="C1077">
        <v>15</v>
      </c>
      <c r="D1077">
        <v>1001</v>
      </c>
      <c r="E1077" t="s">
        <v>15</v>
      </c>
      <c r="F1077">
        <v>7</v>
      </c>
      <c r="G1077">
        <v>6500</v>
      </c>
      <c r="H1077">
        <v>45500</v>
      </c>
      <c r="I1077" s="3">
        <v>45301.541666666664</v>
      </c>
      <c r="J1077">
        <v>68</v>
      </c>
      <c r="K1077" s="3">
        <v>45303.541666666664</v>
      </c>
      <c r="L1077" s="4">
        <f>ROUNDDOWN(Table1[[#This Row],[Ordered]],0)</f>
        <v>45301</v>
      </c>
      <c r="M1077" s="4">
        <f>Table1[[#This Row],[Date ]]</f>
        <v>45301</v>
      </c>
      <c r="N1077" s="5">
        <f>Table1[[#This Row],[Ordered]]-Table1[[#This Row],[Date ]]</f>
        <v>0.375</v>
      </c>
      <c r="O1077">
        <f>Table1[[#This Row],[Company]]</f>
        <v>15</v>
      </c>
      <c r="P1077">
        <f>IF(((Table1[[#This Row],[Arrived]]-Table1[[#This Row],[Delivery]])*24-Table1[[#This Row],[Promised]])&lt;0, 0, (Table1[[#This Row],[Arrived]]-Table1[[#This Row],[Delivery]])*24-Table1[[#This Row],[Promised]])</f>
        <v>0</v>
      </c>
      <c r="Q1077"/>
    </row>
    <row r="1078" spans="1:17" x14ac:dyDescent="0.45">
      <c r="A1078" s="3">
        <v>45301.375</v>
      </c>
      <c r="B1078" t="s">
        <v>14</v>
      </c>
      <c r="C1078">
        <v>7</v>
      </c>
      <c r="D1078">
        <v>1001</v>
      </c>
      <c r="E1078" t="s">
        <v>15</v>
      </c>
      <c r="F1078">
        <v>3</v>
      </c>
      <c r="G1078">
        <v>6650</v>
      </c>
      <c r="H1078">
        <v>19950</v>
      </c>
      <c r="I1078" s="3">
        <v>45301.791666666664</v>
      </c>
      <c r="J1078">
        <v>96</v>
      </c>
      <c r="K1078" s="3">
        <v>45304.791666666664</v>
      </c>
      <c r="L1078" s="4">
        <f>ROUNDDOWN(Table1[[#This Row],[Ordered]],0)</f>
        <v>45301</v>
      </c>
      <c r="M1078" s="4">
        <f>Table1[[#This Row],[Date ]]</f>
        <v>45301</v>
      </c>
      <c r="N1078" s="5">
        <f>Table1[[#This Row],[Ordered]]-Table1[[#This Row],[Date ]]</f>
        <v>0.375</v>
      </c>
      <c r="O1078">
        <f>Table1[[#This Row],[Company]]</f>
        <v>7</v>
      </c>
      <c r="P1078">
        <f>IF(((Table1[[#This Row],[Arrived]]-Table1[[#This Row],[Delivery]])*24-Table1[[#This Row],[Promised]])&lt;0, 0, (Table1[[#This Row],[Arrived]]-Table1[[#This Row],[Delivery]])*24-Table1[[#This Row],[Promised]])</f>
        <v>0</v>
      </c>
      <c r="Q1078"/>
    </row>
    <row r="1079" spans="1:17" x14ac:dyDescent="0.45">
      <c r="A1079" s="3">
        <v>45301.375</v>
      </c>
      <c r="B1079" t="s">
        <v>14</v>
      </c>
      <c r="C1079">
        <v>16</v>
      </c>
      <c r="D1079">
        <v>1001</v>
      </c>
      <c r="E1079" t="s">
        <v>15</v>
      </c>
      <c r="F1079">
        <v>6</v>
      </c>
      <c r="G1079">
        <v>6650</v>
      </c>
      <c r="H1079">
        <v>39900</v>
      </c>
      <c r="I1079" s="3">
        <v>45301.416666666664</v>
      </c>
      <c r="J1079">
        <v>96</v>
      </c>
      <c r="K1079" s="3">
        <v>45304.416666666664</v>
      </c>
      <c r="L1079" s="4">
        <f>ROUNDDOWN(Table1[[#This Row],[Ordered]],0)</f>
        <v>45301</v>
      </c>
      <c r="M1079" s="4">
        <f>Table1[[#This Row],[Date ]]</f>
        <v>45301</v>
      </c>
      <c r="N1079" s="5">
        <f>Table1[[#This Row],[Ordered]]-Table1[[#This Row],[Date ]]</f>
        <v>0.375</v>
      </c>
      <c r="O1079">
        <f>Table1[[#This Row],[Company]]</f>
        <v>16</v>
      </c>
      <c r="P1079">
        <f>IF(((Table1[[#This Row],[Arrived]]-Table1[[#This Row],[Delivery]])*24-Table1[[#This Row],[Promised]])&lt;0, 0, (Table1[[#This Row],[Arrived]]-Table1[[#This Row],[Delivery]])*24-Table1[[#This Row],[Promised]])</f>
        <v>0</v>
      </c>
      <c r="Q1079"/>
    </row>
    <row r="1080" spans="1:17" hidden="1" x14ac:dyDescent="0.45">
      <c r="A1080" s="3">
        <v>45301.375</v>
      </c>
      <c r="B1080" t="s">
        <v>12</v>
      </c>
      <c r="C1080">
        <v>12</v>
      </c>
      <c r="D1080">
        <v>3</v>
      </c>
      <c r="E1080" t="s">
        <v>20</v>
      </c>
      <c r="F1080">
        <v>161</v>
      </c>
      <c r="G1080">
        <v>7</v>
      </c>
      <c r="H1080">
        <v>1127</v>
      </c>
      <c r="I1080" s="3">
        <v>45301.416666666664</v>
      </c>
      <c r="J1080">
        <v>72</v>
      </c>
      <c r="K1080" s="3">
        <v>45304.416666666664</v>
      </c>
      <c r="L1080" s="4">
        <f>ROUNDDOWN(Table1[[#This Row],[Ordered]],0)</f>
        <v>45301</v>
      </c>
      <c r="M1080" s="4">
        <f>Table1[[#This Row],[Date ]]</f>
        <v>45301</v>
      </c>
      <c r="N1080" s="5">
        <f>Table1[[#This Row],[Ordered]]-Table1[[#This Row],[Date ]]</f>
        <v>0.375</v>
      </c>
      <c r="O1080">
        <f>Table1[[#This Row],[Company]]</f>
        <v>12</v>
      </c>
      <c r="P1080">
        <f>IF(((Table1[[#This Row],[Arrived]]-Table1[[#This Row],[Delivery]])*24-Table1[[#This Row],[Promised]])&lt;0, 0, (Table1[[#This Row],[Arrived]]-Table1[[#This Row],[Delivery]])*24-Table1[[#This Row],[Promised]])</f>
        <v>0</v>
      </c>
      <c r="Q1080"/>
    </row>
    <row r="1081" spans="1:17" x14ac:dyDescent="0.45">
      <c r="A1081" s="3">
        <v>45301.375</v>
      </c>
      <c r="B1081" t="s">
        <v>14</v>
      </c>
      <c r="C1081">
        <v>14</v>
      </c>
      <c r="D1081">
        <v>1001</v>
      </c>
      <c r="E1081" t="s">
        <v>15</v>
      </c>
      <c r="F1081">
        <v>2</v>
      </c>
      <c r="G1081">
        <v>6650</v>
      </c>
      <c r="H1081">
        <v>13300</v>
      </c>
      <c r="I1081" s="3">
        <v>45301.791666666664</v>
      </c>
      <c r="J1081">
        <v>96</v>
      </c>
      <c r="K1081" s="3">
        <v>45304.791666666664</v>
      </c>
      <c r="L1081" s="4">
        <f>ROUNDDOWN(Table1[[#This Row],[Ordered]],0)</f>
        <v>45301</v>
      </c>
      <c r="M1081" s="4">
        <f>Table1[[#This Row],[Date ]]</f>
        <v>45301</v>
      </c>
      <c r="N1081" s="5">
        <f>Table1[[#This Row],[Ordered]]-Table1[[#This Row],[Date ]]</f>
        <v>0.375</v>
      </c>
      <c r="O1081">
        <f>Table1[[#This Row],[Company]]</f>
        <v>14</v>
      </c>
      <c r="P1081">
        <f>IF(((Table1[[#This Row],[Arrived]]-Table1[[#This Row],[Delivery]])*24-Table1[[#This Row],[Promised]])&lt;0, 0, (Table1[[#This Row],[Arrived]]-Table1[[#This Row],[Delivery]])*24-Table1[[#This Row],[Promised]])</f>
        <v>0</v>
      </c>
      <c r="Q1081"/>
    </row>
    <row r="1082" spans="1:17" x14ac:dyDescent="0.45">
      <c r="A1082" s="3">
        <v>45301.375</v>
      </c>
      <c r="B1082" t="s">
        <v>14</v>
      </c>
      <c r="C1082">
        <v>12</v>
      </c>
      <c r="D1082">
        <v>1001</v>
      </c>
      <c r="E1082" t="s">
        <v>15</v>
      </c>
      <c r="F1082">
        <v>4</v>
      </c>
      <c r="G1082">
        <v>6700</v>
      </c>
      <c r="H1082">
        <v>26800</v>
      </c>
      <c r="I1082" s="3">
        <v>45301.833333333336</v>
      </c>
      <c r="J1082">
        <v>96</v>
      </c>
      <c r="K1082" s="3">
        <v>45304.833333333336</v>
      </c>
      <c r="L1082" s="4">
        <f>ROUNDDOWN(Table1[[#This Row],[Ordered]],0)</f>
        <v>45301</v>
      </c>
      <c r="M1082" s="4">
        <f>Table1[[#This Row],[Date ]]</f>
        <v>45301</v>
      </c>
      <c r="N1082" s="5">
        <f>Table1[[#This Row],[Ordered]]-Table1[[#This Row],[Date ]]</f>
        <v>0.375</v>
      </c>
      <c r="O1082">
        <f>Table1[[#This Row],[Company]]</f>
        <v>12</v>
      </c>
      <c r="P1082">
        <f>IF(((Table1[[#This Row],[Arrived]]-Table1[[#This Row],[Delivery]])*24-Table1[[#This Row],[Promised]])&lt;0, 0, (Table1[[#This Row],[Arrived]]-Table1[[#This Row],[Delivery]])*24-Table1[[#This Row],[Promised]])</f>
        <v>0</v>
      </c>
      <c r="Q1082"/>
    </row>
    <row r="1083" spans="1:17" x14ac:dyDescent="0.45">
      <c r="A1083" s="3">
        <v>45301.416666666664</v>
      </c>
      <c r="B1083" t="s">
        <v>14</v>
      </c>
      <c r="C1083">
        <v>16</v>
      </c>
      <c r="D1083">
        <v>1005</v>
      </c>
      <c r="E1083" t="s">
        <v>16</v>
      </c>
      <c r="F1083">
        <v>30</v>
      </c>
      <c r="G1083">
        <v>3750</v>
      </c>
      <c r="H1083">
        <v>112500</v>
      </c>
      <c r="I1083" s="3">
        <v>45301.666666666664</v>
      </c>
      <c r="J1083">
        <v>96</v>
      </c>
      <c r="K1083" s="3">
        <v>45304.666666666664</v>
      </c>
      <c r="L1083" s="4">
        <f>ROUNDDOWN(Table1[[#This Row],[Ordered]],0)</f>
        <v>45301</v>
      </c>
      <c r="M1083" s="4">
        <f>Table1[[#This Row],[Date ]]</f>
        <v>45301</v>
      </c>
      <c r="N1083" s="5">
        <f>Table1[[#This Row],[Ordered]]-Table1[[#This Row],[Date ]]</f>
        <v>0.41666666666424135</v>
      </c>
      <c r="O1083">
        <f>Table1[[#This Row],[Company]]</f>
        <v>16</v>
      </c>
      <c r="P1083">
        <f>IF(((Table1[[#This Row],[Arrived]]-Table1[[#This Row],[Delivery]])*24-Table1[[#This Row],[Promised]])&lt;0, 0, (Table1[[#This Row],[Arrived]]-Table1[[#This Row],[Delivery]])*24-Table1[[#This Row],[Promised]])</f>
        <v>0</v>
      </c>
      <c r="Q1083"/>
    </row>
    <row r="1084" spans="1:17" x14ac:dyDescent="0.45">
      <c r="A1084" s="3">
        <v>45301.416666666664</v>
      </c>
      <c r="B1084" t="s">
        <v>14</v>
      </c>
      <c r="C1084">
        <v>8</v>
      </c>
      <c r="D1084">
        <v>1005</v>
      </c>
      <c r="E1084" t="s">
        <v>16</v>
      </c>
      <c r="F1084">
        <v>30</v>
      </c>
      <c r="G1084">
        <v>3600</v>
      </c>
      <c r="H1084">
        <v>108000</v>
      </c>
      <c r="I1084" s="3">
        <v>45302.291666666664</v>
      </c>
      <c r="J1084">
        <v>96</v>
      </c>
      <c r="K1084" s="3">
        <v>45305.416666666664</v>
      </c>
      <c r="L1084" s="4">
        <f>ROUNDDOWN(Table1[[#This Row],[Ordered]],0)</f>
        <v>45301</v>
      </c>
      <c r="M1084" s="4">
        <f>Table1[[#This Row],[Date ]]</f>
        <v>45301</v>
      </c>
      <c r="N1084" s="5">
        <f>Table1[[#This Row],[Ordered]]-Table1[[#This Row],[Date ]]</f>
        <v>0.41666666666424135</v>
      </c>
      <c r="O1084">
        <f>Table1[[#This Row],[Company]]</f>
        <v>8</v>
      </c>
      <c r="P1084">
        <f>IF(((Table1[[#This Row],[Arrived]]-Table1[[#This Row],[Delivery]])*24-Table1[[#This Row],[Promised]])&lt;0, 0, (Table1[[#This Row],[Arrived]]-Table1[[#This Row],[Delivery]])*24-Table1[[#This Row],[Promised]])</f>
        <v>0</v>
      </c>
      <c r="Q1084"/>
    </row>
    <row r="1085" spans="1:17" x14ac:dyDescent="0.45">
      <c r="A1085" s="3">
        <v>45301.416666666664</v>
      </c>
      <c r="B1085" t="s">
        <v>14</v>
      </c>
      <c r="C1085">
        <v>7</v>
      </c>
      <c r="D1085">
        <v>1005</v>
      </c>
      <c r="E1085" t="s">
        <v>16</v>
      </c>
      <c r="F1085">
        <v>30</v>
      </c>
      <c r="G1085">
        <v>3650</v>
      </c>
      <c r="H1085">
        <v>109500</v>
      </c>
      <c r="I1085" s="3">
        <v>45302.541666666664</v>
      </c>
      <c r="J1085">
        <v>96</v>
      </c>
      <c r="K1085" s="3">
        <v>45304.541666666664</v>
      </c>
      <c r="L1085" s="4">
        <f>ROUNDDOWN(Table1[[#This Row],[Ordered]],0)</f>
        <v>45301</v>
      </c>
      <c r="M1085" s="4">
        <f>Table1[[#This Row],[Date ]]</f>
        <v>45301</v>
      </c>
      <c r="N1085" s="5">
        <f>Table1[[#This Row],[Ordered]]-Table1[[#This Row],[Date ]]</f>
        <v>0.41666666666424135</v>
      </c>
      <c r="O1085">
        <f>Table1[[#This Row],[Company]]</f>
        <v>7</v>
      </c>
      <c r="P1085">
        <f>IF(((Table1[[#This Row],[Arrived]]-Table1[[#This Row],[Delivery]])*24-Table1[[#This Row],[Promised]])&lt;0, 0, (Table1[[#This Row],[Arrived]]-Table1[[#This Row],[Delivery]])*24-Table1[[#This Row],[Promised]])</f>
        <v>0</v>
      </c>
      <c r="Q1085"/>
    </row>
    <row r="1086" spans="1:17" x14ac:dyDescent="0.45">
      <c r="A1086" s="3">
        <v>45301.416666666664</v>
      </c>
      <c r="B1086" t="s">
        <v>14</v>
      </c>
      <c r="C1086">
        <v>9</v>
      </c>
      <c r="D1086">
        <v>1005</v>
      </c>
      <c r="E1086" t="s">
        <v>16</v>
      </c>
      <c r="F1086">
        <v>15</v>
      </c>
      <c r="G1086">
        <v>3900</v>
      </c>
      <c r="H1086">
        <v>58500</v>
      </c>
      <c r="I1086" s="3">
        <v>45301.416666666664</v>
      </c>
      <c r="J1086">
        <v>72</v>
      </c>
      <c r="K1086" s="3">
        <v>45304.416666666664</v>
      </c>
      <c r="L1086" s="4">
        <f>ROUNDDOWN(Table1[[#This Row],[Ordered]],0)</f>
        <v>45301</v>
      </c>
      <c r="M1086" s="4">
        <f>Table1[[#This Row],[Date ]]</f>
        <v>45301</v>
      </c>
      <c r="N1086" s="5">
        <f>Table1[[#This Row],[Ordered]]-Table1[[#This Row],[Date ]]</f>
        <v>0.41666666666424135</v>
      </c>
      <c r="O1086">
        <f>Table1[[#This Row],[Company]]</f>
        <v>9</v>
      </c>
      <c r="P1086">
        <f>IF(((Table1[[#This Row],[Arrived]]-Table1[[#This Row],[Delivery]])*24-Table1[[#This Row],[Promised]])&lt;0, 0, (Table1[[#This Row],[Arrived]]-Table1[[#This Row],[Delivery]])*24-Table1[[#This Row],[Promised]])</f>
        <v>0</v>
      </c>
      <c r="Q1086"/>
    </row>
    <row r="1087" spans="1:17" x14ac:dyDescent="0.45">
      <c r="A1087" s="3">
        <v>45301.416666666664</v>
      </c>
      <c r="B1087" t="s">
        <v>14</v>
      </c>
      <c r="C1087">
        <v>12</v>
      </c>
      <c r="D1087">
        <v>1005</v>
      </c>
      <c r="E1087" t="s">
        <v>16</v>
      </c>
      <c r="F1087">
        <v>15</v>
      </c>
      <c r="G1087">
        <v>4000</v>
      </c>
      <c r="H1087">
        <v>60000</v>
      </c>
      <c r="I1087" s="3">
        <v>45301.833333333336</v>
      </c>
      <c r="J1087">
        <v>60</v>
      </c>
      <c r="K1087" s="3">
        <v>45303.833333333336</v>
      </c>
      <c r="L1087" s="4">
        <f>ROUNDDOWN(Table1[[#This Row],[Ordered]],0)</f>
        <v>45301</v>
      </c>
      <c r="M1087" s="4">
        <f>Table1[[#This Row],[Date ]]</f>
        <v>45301</v>
      </c>
      <c r="N1087" s="5">
        <f>Table1[[#This Row],[Ordered]]-Table1[[#This Row],[Date ]]</f>
        <v>0.41666666666424135</v>
      </c>
      <c r="O1087">
        <f>Table1[[#This Row],[Company]]</f>
        <v>12</v>
      </c>
      <c r="P1087">
        <f>IF(((Table1[[#This Row],[Arrived]]-Table1[[#This Row],[Delivery]])*24-Table1[[#This Row],[Promised]])&lt;0, 0, (Table1[[#This Row],[Arrived]]-Table1[[#This Row],[Delivery]])*24-Table1[[#This Row],[Promised]])</f>
        <v>0</v>
      </c>
      <c r="Q1087"/>
    </row>
    <row r="1088" spans="1:17" x14ac:dyDescent="0.45">
      <c r="A1088" s="3">
        <v>45301.416666666664</v>
      </c>
      <c r="B1088" t="s">
        <v>14</v>
      </c>
      <c r="C1088">
        <v>11</v>
      </c>
      <c r="D1088">
        <v>1005</v>
      </c>
      <c r="E1088" t="s">
        <v>16</v>
      </c>
      <c r="F1088">
        <v>37</v>
      </c>
      <c r="G1088">
        <v>4050</v>
      </c>
      <c r="H1088">
        <v>149850</v>
      </c>
      <c r="I1088" s="3">
        <v>45301.666666666664</v>
      </c>
      <c r="J1088">
        <v>96</v>
      </c>
      <c r="K1088" s="3">
        <v>45304.666666666664</v>
      </c>
      <c r="L1088" s="4">
        <f>ROUNDDOWN(Table1[[#This Row],[Ordered]],0)</f>
        <v>45301</v>
      </c>
      <c r="M1088" s="4">
        <f>Table1[[#This Row],[Date ]]</f>
        <v>45301</v>
      </c>
      <c r="N1088" s="5">
        <f>Table1[[#This Row],[Ordered]]-Table1[[#This Row],[Date ]]</f>
        <v>0.41666666666424135</v>
      </c>
      <c r="O1088">
        <f>Table1[[#This Row],[Company]]</f>
        <v>11</v>
      </c>
      <c r="P1088">
        <f>IF(((Table1[[#This Row],[Arrived]]-Table1[[#This Row],[Delivery]])*24-Table1[[#This Row],[Promised]])&lt;0, 0, (Table1[[#This Row],[Arrived]]-Table1[[#This Row],[Delivery]])*24-Table1[[#This Row],[Promised]])</f>
        <v>0</v>
      </c>
      <c r="Q1088"/>
    </row>
    <row r="1089" spans="1:17" x14ac:dyDescent="0.45">
      <c r="A1089" s="3">
        <v>45301.416666666664</v>
      </c>
      <c r="B1089" t="s">
        <v>14</v>
      </c>
      <c r="C1089">
        <v>13</v>
      </c>
      <c r="D1089">
        <v>1005</v>
      </c>
      <c r="E1089" t="s">
        <v>16</v>
      </c>
      <c r="F1089">
        <v>30</v>
      </c>
      <c r="G1089">
        <v>3750</v>
      </c>
      <c r="H1089">
        <v>112500</v>
      </c>
      <c r="I1089" s="3">
        <v>45302.041666666664</v>
      </c>
      <c r="J1089">
        <v>96</v>
      </c>
      <c r="K1089" s="3">
        <v>45305.041666666664</v>
      </c>
      <c r="L1089" s="4">
        <f>ROUNDDOWN(Table1[[#This Row],[Ordered]],0)</f>
        <v>45301</v>
      </c>
      <c r="M1089" s="4">
        <f>Table1[[#This Row],[Date ]]</f>
        <v>45301</v>
      </c>
      <c r="N1089" s="5">
        <f>Table1[[#This Row],[Ordered]]-Table1[[#This Row],[Date ]]</f>
        <v>0.41666666666424135</v>
      </c>
      <c r="O1089">
        <f>Table1[[#This Row],[Company]]</f>
        <v>13</v>
      </c>
      <c r="P1089">
        <f>IF(((Table1[[#This Row],[Arrived]]-Table1[[#This Row],[Delivery]])*24-Table1[[#This Row],[Promised]])&lt;0, 0, (Table1[[#This Row],[Arrived]]-Table1[[#This Row],[Delivery]])*24-Table1[[#This Row],[Promised]])</f>
        <v>0</v>
      </c>
      <c r="Q1089"/>
    </row>
    <row r="1090" spans="1:17" x14ac:dyDescent="0.45">
      <c r="A1090" s="3">
        <v>45301.416666666664</v>
      </c>
      <c r="B1090" t="s">
        <v>14</v>
      </c>
      <c r="C1090">
        <v>14</v>
      </c>
      <c r="D1090">
        <v>1005</v>
      </c>
      <c r="E1090" t="s">
        <v>16</v>
      </c>
      <c r="F1090">
        <v>30</v>
      </c>
      <c r="G1090">
        <v>3750</v>
      </c>
      <c r="H1090">
        <v>112500</v>
      </c>
      <c r="I1090" s="3">
        <v>45301.791666666664</v>
      </c>
      <c r="J1090">
        <v>96</v>
      </c>
      <c r="K1090" s="3">
        <v>45304.791666666664</v>
      </c>
      <c r="L1090" s="4">
        <f>ROUNDDOWN(Table1[[#This Row],[Ordered]],0)</f>
        <v>45301</v>
      </c>
      <c r="M1090" s="4">
        <f>Table1[[#This Row],[Date ]]</f>
        <v>45301</v>
      </c>
      <c r="N1090" s="5">
        <f>Table1[[#This Row],[Ordered]]-Table1[[#This Row],[Date ]]</f>
        <v>0.41666666666424135</v>
      </c>
      <c r="O1090">
        <f>Table1[[#This Row],[Company]]</f>
        <v>14</v>
      </c>
      <c r="P1090">
        <f>IF(((Table1[[#This Row],[Arrived]]-Table1[[#This Row],[Delivery]])*24-Table1[[#This Row],[Promised]])&lt;0, 0, (Table1[[#This Row],[Arrived]]-Table1[[#This Row],[Delivery]])*24-Table1[[#This Row],[Promised]])</f>
        <v>0</v>
      </c>
      <c r="Q1090"/>
    </row>
    <row r="1091" spans="1:17" x14ac:dyDescent="0.45">
      <c r="A1091" s="3">
        <v>45301.416666666664</v>
      </c>
      <c r="B1091" t="s">
        <v>14</v>
      </c>
      <c r="C1091">
        <v>15</v>
      </c>
      <c r="D1091">
        <v>1005</v>
      </c>
      <c r="E1091" t="s">
        <v>16</v>
      </c>
      <c r="F1091">
        <v>43</v>
      </c>
      <c r="G1091">
        <v>3750</v>
      </c>
      <c r="H1091">
        <v>161250</v>
      </c>
      <c r="I1091" s="3">
        <v>45301.666666666664</v>
      </c>
      <c r="J1091">
        <v>96</v>
      </c>
      <c r="K1091" s="3">
        <v>45304.666666666664</v>
      </c>
      <c r="L1091" s="4">
        <f>ROUNDDOWN(Table1[[#This Row],[Ordered]],0)</f>
        <v>45301</v>
      </c>
      <c r="M1091" s="4">
        <f>Table1[[#This Row],[Date ]]</f>
        <v>45301</v>
      </c>
      <c r="N1091" s="5">
        <f>Table1[[#This Row],[Ordered]]-Table1[[#This Row],[Date ]]</f>
        <v>0.41666666666424135</v>
      </c>
      <c r="O1091">
        <f>Table1[[#This Row],[Company]]</f>
        <v>15</v>
      </c>
      <c r="P1091">
        <f>IF(((Table1[[#This Row],[Arrived]]-Table1[[#This Row],[Delivery]])*24-Table1[[#This Row],[Promised]])&lt;0, 0, (Table1[[#This Row],[Arrived]]-Table1[[#This Row],[Delivery]])*24-Table1[[#This Row],[Promised]])</f>
        <v>0</v>
      </c>
      <c r="Q1091"/>
    </row>
    <row r="1092" spans="1:17" x14ac:dyDescent="0.45">
      <c r="A1092" s="3">
        <v>45301.5</v>
      </c>
      <c r="B1092" t="s">
        <v>0</v>
      </c>
      <c r="C1092">
        <v>16</v>
      </c>
      <c r="D1092">
        <v>2004</v>
      </c>
      <c r="E1092" t="s">
        <v>15</v>
      </c>
      <c r="F1092">
        <v>15</v>
      </c>
      <c r="G1092">
        <v>6650</v>
      </c>
      <c r="H1092">
        <v>99750</v>
      </c>
      <c r="I1092" s="3">
        <v>45301.708333333336</v>
      </c>
      <c r="J1092">
        <v>132</v>
      </c>
      <c r="K1092" s="3">
        <v>45306.208333333336</v>
      </c>
      <c r="L1092" s="4">
        <f>ROUNDDOWN(Table1[[#This Row],[Ordered]],0)</f>
        <v>45301</v>
      </c>
      <c r="M1092" s="4">
        <f>Table1[[#This Row],[Date ]]</f>
        <v>45301</v>
      </c>
      <c r="N1092" s="5">
        <f>Table1[[#This Row],[Ordered]]-Table1[[#This Row],[Date ]]</f>
        <v>0.5</v>
      </c>
      <c r="O1092">
        <f>Table1[[#This Row],[Company]]</f>
        <v>16</v>
      </c>
      <c r="P1092">
        <f>IF(((Table1[[#This Row],[Arrived]]-Table1[[#This Row],[Delivery]])*24-Table1[[#This Row],[Promised]])&lt;0, 0, (Table1[[#This Row],[Arrived]]-Table1[[#This Row],[Delivery]])*24-Table1[[#This Row],[Promised]])</f>
        <v>0</v>
      </c>
      <c r="Q1092"/>
    </row>
    <row r="1093" spans="1:17" x14ac:dyDescent="0.45">
      <c r="A1093" s="3">
        <v>45301.5</v>
      </c>
      <c r="B1093" t="s">
        <v>0</v>
      </c>
      <c r="C1093">
        <v>15</v>
      </c>
      <c r="D1093">
        <v>2004</v>
      </c>
      <c r="E1093" t="s">
        <v>16</v>
      </c>
      <c r="F1093">
        <v>30</v>
      </c>
      <c r="G1093">
        <v>3850</v>
      </c>
      <c r="H1093">
        <v>115500</v>
      </c>
      <c r="I1093" s="3">
        <v>45301.583333333336</v>
      </c>
      <c r="J1093">
        <v>120</v>
      </c>
      <c r="K1093" s="3">
        <v>45306.083333333336</v>
      </c>
      <c r="L1093" s="4">
        <f>ROUNDDOWN(Table1[[#This Row],[Ordered]],0)</f>
        <v>45301</v>
      </c>
      <c r="M1093" s="4">
        <f>Table1[[#This Row],[Date ]]</f>
        <v>45301</v>
      </c>
      <c r="N1093" s="5">
        <f>Table1[[#This Row],[Ordered]]-Table1[[#This Row],[Date ]]</f>
        <v>0.5</v>
      </c>
      <c r="O1093">
        <f>Table1[[#This Row],[Company]]</f>
        <v>15</v>
      </c>
      <c r="P1093">
        <f>IF(((Table1[[#This Row],[Arrived]]-Table1[[#This Row],[Delivery]])*24-Table1[[#This Row],[Promised]])&lt;0, 0, (Table1[[#This Row],[Arrived]]-Table1[[#This Row],[Delivery]])*24-Table1[[#This Row],[Promised]])</f>
        <v>0</v>
      </c>
      <c r="Q1093"/>
    </row>
    <row r="1094" spans="1:17" x14ac:dyDescent="0.45">
      <c r="A1094" s="3">
        <v>45301.5</v>
      </c>
      <c r="B1094" t="s">
        <v>0</v>
      </c>
      <c r="C1094">
        <v>9</v>
      </c>
      <c r="D1094">
        <v>2004</v>
      </c>
      <c r="E1094" t="s">
        <v>15</v>
      </c>
      <c r="F1094">
        <v>8</v>
      </c>
      <c r="G1094">
        <v>6650</v>
      </c>
      <c r="H1094">
        <v>53200</v>
      </c>
      <c r="I1094" s="3">
        <v>45302.416666666664</v>
      </c>
      <c r="J1094">
        <v>132</v>
      </c>
      <c r="K1094" s="3">
        <v>45306.916666666664</v>
      </c>
      <c r="L1094" s="4">
        <f>ROUNDDOWN(Table1[[#This Row],[Ordered]],0)</f>
        <v>45301</v>
      </c>
      <c r="M1094" s="4">
        <f>Table1[[#This Row],[Date ]]</f>
        <v>45301</v>
      </c>
      <c r="N1094" s="5">
        <f>Table1[[#This Row],[Ordered]]-Table1[[#This Row],[Date ]]</f>
        <v>0.5</v>
      </c>
      <c r="O1094">
        <f>Table1[[#This Row],[Company]]</f>
        <v>9</v>
      </c>
      <c r="P1094">
        <f>IF(((Table1[[#This Row],[Arrived]]-Table1[[#This Row],[Delivery]])*24-Table1[[#This Row],[Promised]])&lt;0, 0, (Table1[[#This Row],[Arrived]]-Table1[[#This Row],[Delivery]])*24-Table1[[#This Row],[Promised]])</f>
        <v>0</v>
      </c>
      <c r="Q1094"/>
    </row>
    <row r="1095" spans="1:17" x14ac:dyDescent="0.45">
      <c r="A1095" s="3">
        <v>45301.5</v>
      </c>
      <c r="B1095" t="s">
        <v>0</v>
      </c>
      <c r="C1095">
        <v>14</v>
      </c>
      <c r="D1095">
        <v>2004</v>
      </c>
      <c r="E1095" t="s">
        <v>16</v>
      </c>
      <c r="F1095">
        <v>30</v>
      </c>
      <c r="G1095">
        <v>3750</v>
      </c>
      <c r="H1095">
        <v>112500</v>
      </c>
      <c r="I1095" s="3">
        <v>45301.833333333336</v>
      </c>
      <c r="J1095">
        <v>132</v>
      </c>
      <c r="K1095" s="3">
        <v>45306.333333333336</v>
      </c>
      <c r="L1095" s="4">
        <f>ROUNDDOWN(Table1[[#This Row],[Ordered]],0)</f>
        <v>45301</v>
      </c>
      <c r="M1095" s="4">
        <f>Table1[[#This Row],[Date ]]</f>
        <v>45301</v>
      </c>
      <c r="N1095" s="5">
        <f>Table1[[#This Row],[Ordered]]-Table1[[#This Row],[Date ]]</f>
        <v>0.5</v>
      </c>
      <c r="O1095">
        <f>Table1[[#This Row],[Company]]</f>
        <v>14</v>
      </c>
      <c r="P1095">
        <f>IF(((Table1[[#This Row],[Arrived]]-Table1[[#This Row],[Delivery]])*24-Table1[[#This Row],[Promised]])&lt;0, 0, (Table1[[#This Row],[Arrived]]-Table1[[#This Row],[Delivery]])*24-Table1[[#This Row],[Promised]])</f>
        <v>0</v>
      </c>
      <c r="Q1095"/>
    </row>
    <row r="1096" spans="1:17" x14ac:dyDescent="0.45">
      <c r="A1096" s="3">
        <v>45301.5</v>
      </c>
      <c r="B1096" t="s">
        <v>0</v>
      </c>
      <c r="C1096">
        <v>12</v>
      </c>
      <c r="D1096">
        <v>2004</v>
      </c>
      <c r="E1096" t="s">
        <v>16</v>
      </c>
      <c r="F1096">
        <v>30</v>
      </c>
      <c r="G1096">
        <v>3800</v>
      </c>
      <c r="H1096">
        <v>114000</v>
      </c>
      <c r="I1096" s="3">
        <v>45301.916666666664</v>
      </c>
      <c r="J1096">
        <v>120</v>
      </c>
      <c r="K1096" s="3">
        <v>45306.416666666664</v>
      </c>
      <c r="L1096" s="4">
        <f>ROUNDDOWN(Table1[[#This Row],[Ordered]],0)</f>
        <v>45301</v>
      </c>
      <c r="M1096" s="4">
        <f>Table1[[#This Row],[Date ]]</f>
        <v>45301</v>
      </c>
      <c r="N1096" s="5">
        <f>Table1[[#This Row],[Ordered]]-Table1[[#This Row],[Date ]]</f>
        <v>0.5</v>
      </c>
      <c r="O1096">
        <f>Table1[[#This Row],[Company]]</f>
        <v>12</v>
      </c>
      <c r="P1096">
        <f>IF(((Table1[[#This Row],[Arrived]]-Table1[[#This Row],[Delivery]])*24-Table1[[#This Row],[Promised]])&lt;0, 0, (Table1[[#This Row],[Arrived]]-Table1[[#This Row],[Delivery]])*24-Table1[[#This Row],[Promised]])</f>
        <v>0</v>
      </c>
      <c r="Q1096"/>
    </row>
    <row r="1097" spans="1:17" x14ac:dyDescent="0.45">
      <c r="A1097" s="3">
        <v>45301.5</v>
      </c>
      <c r="B1097" t="s">
        <v>0</v>
      </c>
      <c r="C1097">
        <v>8</v>
      </c>
      <c r="D1097">
        <v>2004</v>
      </c>
      <c r="E1097" t="s">
        <v>15</v>
      </c>
      <c r="F1097">
        <v>25</v>
      </c>
      <c r="G1097">
        <v>5700</v>
      </c>
      <c r="H1097">
        <v>142500</v>
      </c>
      <c r="I1097" s="3">
        <v>45302.416666666664</v>
      </c>
      <c r="J1097">
        <v>132</v>
      </c>
      <c r="K1097" s="3">
        <v>45306.916666666664</v>
      </c>
      <c r="L1097" s="4">
        <f>ROUNDDOWN(Table1[[#This Row],[Ordered]],0)</f>
        <v>45301</v>
      </c>
      <c r="M1097" s="4">
        <f>Table1[[#This Row],[Date ]]</f>
        <v>45301</v>
      </c>
      <c r="N1097" s="5">
        <f>Table1[[#This Row],[Ordered]]-Table1[[#This Row],[Date ]]</f>
        <v>0.5</v>
      </c>
      <c r="O1097">
        <f>Table1[[#This Row],[Company]]</f>
        <v>8</v>
      </c>
      <c r="P1097">
        <f>IF(((Table1[[#This Row],[Arrived]]-Table1[[#This Row],[Delivery]])*24-Table1[[#This Row],[Promised]])&lt;0, 0, (Table1[[#This Row],[Arrived]]-Table1[[#This Row],[Delivery]])*24-Table1[[#This Row],[Promised]])</f>
        <v>0</v>
      </c>
      <c r="Q1097"/>
    </row>
    <row r="1098" spans="1:17" x14ac:dyDescent="0.45">
      <c r="A1098" s="3">
        <v>45301.5</v>
      </c>
      <c r="B1098" t="s">
        <v>0</v>
      </c>
      <c r="C1098">
        <v>8</v>
      </c>
      <c r="D1098">
        <v>2004</v>
      </c>
      <c r="E1098" t="s">
        <v>16</v>
      </c>
      <c r="F1098">
        <v>30</v>
      </c>
      <c r="G1098">
        <v>3800</v>
      </c>
      <c r="H1098">
        <v>114000</v>
      </c>
      <c r="I1098" s="3">
        <v>45302.375</v>
      </c>
      <c r="J1098">
        <v>132</v>
      </c>
      <c r="K1098" s="3">
        <v>45306.875</v>
      </c>
      <c r="L1098" s="4">
        <f>ROUNDDOWN(Table1[[#This Row],[Ordered]],0)</f>
        <v>45301</v>
      </c>
      <c r="M1098" s="4">
        <f>Table1[[#This Row],[Date ]]</f>
        <v>45301</v>
      </c>
      <c r="N1098" s="5">
        <f>Table1[[#This Row],[Ordered]]-Table1[[#This Row],[Date ]]</f>
        <v>0.5</v>
      </c>
      <c r="O1098">
        <f>Table1[[#This Row],[Company]]</f>
        <v>8</v>
      </c>
      <c r="P1098">
        <f>IF(((Table1[[#This Row],[Arrived]]-Table1[[#This Row],[Delivery]])*24-Table1[[#This Row],[Promised]])&lt;0, 0, (Table1[[#This Row],[Arrived]]-Table1[[#This Row],[Delivery]])*24-Table1[[#This Row],[Promised]])</f>
        <v>0</v>
      </c>
      <c r="Q1098"/>
    </row>
    <row r="1099" spans="1:17" x14ac:dyDescent="0.45">
      <c r="A1099" s="3">
        <v>45301.5</v>
      </c>
      <c r="B1099" t="s">
        <v>0</v>
      </c>
      <c r="C1099">
        <v>10</v>
      </c>
      <c r="D1099">
        <v>2004</v>
      </c>
      <c r="E1099" t="s">
        <v>16</v>
      </c>
      <c r="F1099">
        <v>30</v>
      </c>
      <c r="G1099">
        <v>4200</v>
      </c>
      <c r="H1099">
        <v>126000</v>
      </c>
      <c r="I1099" s="3">
        <v>45301.75</v>
      </c>
      <c r="J1099">
        <v>132</v>
      </c>
      <c r="K1099" s="3">
        <v>45306.25</v>
      </c>
      <c r="L1099" s="4">
        <f>ROUNDDOWN(Table1[[#This Row],[Ordered]],0)</f>
        <v>45301</v>
      </c>
      <c r="M1099" s="4">
        <f>Table1[[#This Row],[Date ]]</f>
        <v>45301</v>
      </c>
      <c r="N1099" s="5">
        <f>Table1[[#This Row],[Ordered]]-Table1[[#This Row],[Date ]]</f>
        <v>0.5</v>
      </c>
      <c r="O1099">
        <f>Table1[[#This Row],[Company]]</f>
        <v>10</v>
      </c>
      <c r="P1099">
        <f>IF(((Table1[[#This Row],[Arrived]]-Table1[[#This Row],[Delivery]])*24-Table1[[#This Row],[Promised]])&lt;0, 0, (Table1[[#This Row],[Arrived]]-Table1[[#This Row],[Delivery]])*24-Table1[[#This Row],[Promised]])</f>
        <v>0</v>
      </c>
      <c r="Q1099"/>
    </row>
    <row r="1100" spans="1:17" x14ac:dyDescent="0.45">
      <c r="A1100" s="3">
        <v>45301.5</v>
      </c>
      <c r="B1100" t="s">
        <v>0</v>
      </c>
      <c r="C1100">
        <v>13</v>
      </c>
      <c r="D1100">
        <v>2004</v>
      </c>
      <c r="E1100" t="s">
        <v>16</v>
      </c>
      <c r="F1100">
        <v>30</v>
      </c>
      <c r="G1100">
        <v>3500</v>
      </c>
      <c r="H1100">
        <v>105000</v>
      </c>
      <c r="I1100" s="3">
        <v>45302.25</v>
      </c>
      <c r="J1100">
        <v>132</v>
      </c>
      <c r="K1100" s="3">
        <v>45306.75</v>
      </c>
      <c r="L1100" s="4">
        <f>ROUNDDOWN(Table1[[#This Row],[Ordered]],0)</f>
        <v>45301</v>
      </c>
      <c r="M1100" s="4">
        <f>Table1[[#This Row],[Date ]]</f>
        <v>45301</v>
      </c>
      <c r="N1100" s="5">
        <f>Table1[[#This Row],[Ordered]]-Table1[[#This Row],[Date ]]</f>
        <v>0.5</v>
      </c>
      <c r="O1100">
        <f>Table1[[#This Row],[Company]]</f>
        <v>13</v>
      </c>
      <c r="P1100">
        <f>IF(((Table1[[#This Row],[Arrived]]-Table1[[#This Row],[Delivery]])*24-Table1[[#This Row],[Promised]])&lt;0, 0, (Table1[[#This Row],[Arrived]]-Table1[[#This Row],[Delivery]])*24-Table1[[#This Row],[Promised]])</f>
        <v>0</v>
      </c>
      <c r="Q1100"/>
    </row>
    <row r="1101" spans="1:17" x14ac:dyDescent="0.45">
      <c r="A1101" s="3">
        <v>45301.5</v>
      </c>
      <c r="B1101" t="s">
        <v>0</v>
      </c>
      <c r="C1101">
        <v>13</v>
      </c>
      <c r="D1101">
        <v>2004</v>
      </c>
      <c r="E1101" t="s">
        <v>15</v>
      </c>
      <c r="F1101">
        <v>13</v>
      </c>
      <c r="G1101">
        <v>6400</v>
      </c>
      <c r="H1101">
        <v>83200</v>
      </c>
      <c r="I1101" s="3">
        <v>45302.166666666664</v>
      </c>
      <c r="J1101">
        <v>132</v>
      </c>
      <c r="K1101" s="3">
        <v>45306.666666666664</v>
      </c>
      <c r="L1101" s="4">
        <f>ROUNDDOWN(Table1[[#This Row],[Ordered]],0)</f>
        <v>45301</v>
      </c>
      <c r="M1101" s="4">
        <f>Table1[[#This Row],[Date ]]</f>
        <v>45301</v>
      </c>
      <c r="N1101" s="5">
        <f>Table1[[#This Row],[Ordered]]-Table1[[#This Row],[Date ]]</f>
        <v>0.5</v>
      </c>
      <c r="O1101">
        <f>Table1[[#This Row],[Company]]</f>
        <v>13</v>
      </c>
      <c r="P1101">
        <f>IF(((Table1[[#This Row],[Arrived]]-Table1[[#This Row],[Delivery]])*24-Table1[[#This Row],[Promised]])&lt;0, 0, (Table1[[#This Row],[Arrived]]-Table1[[#This Row],[Delivery]])*24-Table1[[#This Row],[Promised]])</f>
        <v>0</v>
      </c>
      <c r="Q1101"/>
    </row>
    <row r="1102" spans="1:17" x14ac:dyDescent="0.45">
      <c r="A1102" s="3">
        <v>45301.5</v>
      </c>
      <c r="B1102" t="s">
        <v>0</v>
      </c>
      <c r="C1102">
        <v>14</v>
      </c>
      <c r="D1102">
        <v>2004</v>
      </c>
      <c r="E1102" t="s">
        <v>15</v>
      </c>
      <c r="F1102">
        <v>7</v>
      </c>
      <c r="G1102">
        <v>6650</v>
      </c>
      <c r="H1102">
        <v>46550</v>
      </c>
      <c r="I1102" s="3">
        <v>45302</v>
      </c>
      <c r="J1102">
        <v>132</v>
      </c>
      <c r="K1102" s="3">
        <v>45306.5</v>
      </c>
      <c r="L1102" s="4">
        <f>ROUNDDOWN(Table1[[#This Row],[Ordered]],0)</f>
        <v>45301</v>
      </c>
      <c r="M1102" s="4">
        <f>Table1[[#This Row],[Date ]]</f>
        <v>45301</v>
      </c>
      <c r="N1102" s="5">
        <f>Table1[[#This Row],[Ordered]]-Table1[[#This Row],[Date ]]</f>
        <v>0.5</v>
      </c>
      <c r="O1102">
        <f>Table1[[#This Row],[Company]]</f>
        <v>14</v>
      </c>
      <c r="P1102">
        <f>IF(((Table1[[#This Row],[Arrived]]-Table1[[#This Row],[Delivery]])*24-Table1[[#This Row],[Promised]])&lt;0, 0, (Table1[[#This Row],[Arrived]]-Table1[[#This Row],[Delivery]])*24-Table1[[#This Row],[Promised]])</f>
        <v>0</v>
      </c>
      <c r="Q1102"/>
    </row>
    <row r="1103" spans="1:17" x14ac:dyDescent="0.45">
      <c r="A1103" s="3">
        <v>45301.5</v>
      </c>
      <c r="B1103" t="s">
        <v>0</v>
      </c>
      <c r="C1103">
        <v>7</v>
      </c>
      <c r="D1103">
        <v>2004</v>
      </c>
      <c r="E1103" t="s">
        <v>15</v>
      </c>
      <c r="F1103">
        <v>10</v>
      </c>
      <c r="G1103">
        <v>6650</v>
      </c>
      <c r="H1103">
        <v>66500</v>
      </c>
      <c r="I1103" s="3">
        <v>45302.041666666664</v>
      </c>
      <c r="J1103">
        <v>132</v>
      </c>
      <c r="K1103" s="3">
        <v>45306.541666666664</v>
      </c>
      <c r="L1103" s="4">
        <f>ROUNDDOWN(Table1[[#This Row],[Ordered]],0)</f>
        <v>45301</v>
      </c>
      <c r="M1103" s="4">
        <f>Table1[[#This Row],[Date ]]</f>
        <v>45301</v>
      </c>
      <c r="N1103" s="5">
        <f>Table1[[#This Row],[Ordered]]-Table1[[#This Row],[Date ]]</f>
        <v>0.5</v>
      </c>
      <c r="O1103">
        <f>Table1[[#This Row],[Company]]</f>
        <v>7</v>
      </c>
      <c r="P1103">
        <f>IF(((Table1[[#This Row],[Arrived]]-Table1[[#This Row],[Delivery]])*24-Table1[[#This Row],[Promised]])&lt;0, 0, (Table1[[#This Row],[Arrived]]-Table1[[#This Row],[Delivery]])*24-Table1[[#This Row],[Promised]])</f>
        <v>0</v>
      </c>
      <c r="Q1103"/>
    </row>
    <row r="1104" spans="1:17" x14ac:dyDescent="0.45">
      <c r="A1104" s="3">
        <v>45301.5</v>
      </c>
      <c r="B1104" t="s">
        <v>0</v>
      </c>
      <c r="C1104">
        <v>7</v>
      </c>
      <c r="D1104">
        <v>2004</v>
      </c>
      <c r="E1104" t="s">
        <v>16</v>
      </c>
      <c r="F1104">
        <v>30</v>
      </c>
      <c r="G1104">
        <v>3750</v>
      </c>
      <c r="H1104">
        <v>112500</v>
      </c>
      <c r="I1104" s="3">
        <v>45303.416666666664</v>
      </c>
      <c r="J1104">
        <v>132</v>
      </c>
      <c r="K1104" s="3">
        <v>45306.416666666664</v>
      </c>
      <c r="L1104" s="4">
        <f>ROUNDDOWN(Table1[[#This Row],[Ordered]],0)</f>
        <v>45301</v>
      </c>
      <c r="M1104" s="4">
        <f>Table1[[#This Row],[Date ]]</f>
        <v>45301</v>
      </c>
      <c r="N1104" s="5">
        <f>Table1[[#This Row],[Ordered]]-Table1[[#This Row],[Date ]]</f>
        <v>0.5</v>
      </c>
      <c r="O1104">
        <f>Table1[[#This Row],[Company]]</f>
        <v>7</v>
      </c>
      <c r="P1104">
        <f>IF(((Table1[[#This Row],[Arrived]]-Table1[[#This Row],[Delivery]])*24-Table1[[#This Row],[Promised]])&lt;0, 0, (Table1[[#This Row],[Arrived]]-Table1[[#This Row],[Delivery]])*24-Table1[[#This Row],[Promised]])</f>
        <v>0</v>
      </c>
      <c r="Q1104"/>
    </row>
    <row r="1105" spans="1:17" hidden="1" x14ac:dyDescent="0.45">
      <c r="A1105" s="3">
        <v>45301.5</v>
      </c>
      <c r="B1105" t="s">
        <v>12</v>
      </c>
      <c r="C1105">
        <v>2</v>
      </c>
      <c r="D1105">
        <v>9</v>
      </c>
      <c r="E1105" t="s">
        <v>17</v>
      </c>
      <c r="F1105">
        <v>100</v>
      </c>
      <c r="G1105">
        <v>1500</v>
      </c>
      <c r="H1105">
        <v>150000</v>
      </c>
      <c r="I1105" s="3">
        <v>45301.5</v>
      </c>
      <c r="J1105">
        <v>24</v>
      </c>
      <c r="K1105" s="3">
        <v>45302.5</v>
      </c>
      <c r="L1105" s="4">
        <f>ROUNDDOWN(Table1[[#This Row],[Ordered]],0)</f>
        <v>45301</v>
      </c>
      <c r="M1105" s="4">
        <f>Table1[[#This Row],[Date ]]</f>
        <v>45301</v>
      </c>
      <c r="N1105" s="5">
        <f>Table1[[#This Row],[Ordered]]-Table1[[#This Row],[Date ]]</f>
        <v>0.5</v>
      </c>
      <c r="O1105">
        <f>Table1[[#This Row],[Company]]</f>
        <v>2</v>
      </c>
      <c r="P1105">
        <f>IF(((Table1[[#This Row],[Arrived]]-Table1[[#This Row],[Delivery]])*24-Table1[[#This Row],[Promised]])&lt;0, 0, (Table1[[#This Row],[Arrived]]-Table1[[#This Row],[Delivery]])*24-Table1[[#This Row],[Promised]])</f>
        <v>0</v>
      </c>
      <c r="Q1105"/>
    </row>
    <row r="1106" spans="1:17" x14ac:dyDescent="0.45">
      <c r="A1106" s="3">
        <v>45301.5</v>
      </c>
      <c r="B1106" t="s">
        <v>0</v>
      </c>
      <c r="C1106">
        <v>12</v>
      </c>
      <c r="D1106">
        <v>2004</v>
      </c>
      <c r="E1106" t="s">
        <v>15</v>
      </c>
      <c r="F1106">
        <v>17</v>
      </c>
      <c r="G1106">
        <v>6750</v>
      </c>
      <c r="H1106">
        <v>114750</v>
      </c>
      <c r="I1106" s="3">
        <v>45301.5</v>
      </c>
      <c r="J1106">
        <v>120</v>
      </c>
      <c r="K1106" s="3">
        <v>45306</v>
      </c>
      <c r="L1106" s="4">
        <f>ROUNDDOWN(Table1[[#This Row],[Ordered]],0)</f>
        <v>45301</v>
      </c>
      <c r="M1106" s="4">
        <f>Table1[[#This Row],[Date ]]</f>
        <v>45301</v>
      </c>
      <c r="N1106" s="5">
        <f>Table1[[#This Row],[Ordered]]-Table1[[#This Row],[Date ]]</f>
        <v>0.5</v>
      </c>
      <c r="O1106">
        <f>Table1[[#This Row],[Company]]</f>
        <v>12</v>
      </c>
      <c r="P1106">
        <f>IF(((Table1[[#This Row],[Arrived]]-Table1[[#This Row],[Delivery]])*24-Table1[[#This Row],[Promised]])&lt;0, 0, (Table1[[#This Row],[Arrived]]-Table1[[#This Row],[Delivery]])*24-Table1[[#This Row],[Promised]])</f>
        <v>0</v>
      </c>
      <c r="Q1106"/>
    </row>
    <row r="1107" spans="1:17" x14ac:dyDescent="0.45">
      <c r="A1107" s="3">
        <v>45301.5</v>
      </c>
      <c r="B1107" t="s">
        <v>0</v>
      </c>
      <c r="C1107">
        <v>10</v>
      </c>
      <c r="D1107">
        <v>2004</v>
      </c>
      <c r="E1107" t="s">
        <v>15</v>
      </c>
      <c r="F1107">
        <v>19</v>
      </c>
      <c r="G1107">
        <v>6700</v>
      </c>
      <c r="H1107">
        <v>127300</v>
      </c>
      <c r="I1107" s="3">
        <v>45302.083333333336</v>
      </c>
      <c r="J1107">
        <v>72</v>
      </c>
      <c r="K1107" s="3">
        <v>45303.583333333336</v>
      </c>
      <c r="L1107" s="4">
        <f>ROUNDDOWN(Table1[[#This Row],[Ordered]],0)</f>
        <v>45301</v>
      </c>
      <c r="M1107" s="4">
        <f>Table1[[#This Row],[Date ]]</f>
        <v>45301</v>
      </c>
      <c r="N1107" s="5">
        <f>Table1[[#This Row],[Ordered]]-Table1[[#This Row],[Date ]]</f>
        <v>0.5</v>
      </c>
      <c r="O1107">
        <f>Table1[[#This Row],[Company]]</f>
        <v>10</v>
      </c>
      <c r="P1107">
        <f>IF(((Table1[[#This Row],[Arrived]]-Table1[[#This Row],[Delivery]])*24-Table1[[#This Row],[Promised]])&lt;0, 0, (Table1[[#This Row],[Arrived]]-Table1[[#This Row],[Delivery]])*24-Table1[[#This Row],[Promised]])</f>
        <v>0</v>
      </c>
      <c r="Q1107"/>
    </row>
    <row r="1108" spans="1:17" x14ac:dyDescent="0.45">
      <c r="A1108" s="3">
        <v>45301.5</v>
      </c>
      <c r="B1108" t="s">
        <v>0</v>
      </c>
      <c r="C1108">
        <v>9</v>
      </c>
      <c r="D1108">
        <v>2004</v>
      </c>
      <c r="E1108" t="s">
        <v>16</v>
      </c>
      <c r="F1108">
        <v>30</v>
      </c>
      <c r="G1108">
        <v>3750</v>
      </c>
      <c r="H1108">
        <v>112500</v>
      </c>
      <c r="I1108" s="3">
        <v>45302.416666666664</v>
      </c>
      <c r="J1108">
        <v>132</v>
      </c>
      <c r="K1108" s="3">
        <v>45307.041666666664</v>
      </c>
      <c r="L1108" s="4">
        <f>ROUNDDOWN(Table1[[#This Row],[Ordered]],0)</f>
        <v>45301</v>
      </c>
      <c r="M1108" s="4">
        <f>Table1[[#This Row],[Date ]]</f>
        <v>45301</v>
      </c>
      <c r="N1108" s="5">
        <f>Table1[[#This Row],[Ordered]]-Table1[[#This Row],[Date ]]</f>
        <v>0.5</v>
      </c>
      <c r="O1108">
        <f>Table1[[#This Row],[Company]]</f>
        <v>9</v>
      </c>
      <c r="P1108">
        <f>IF(((Table1[[#This Row],[Arrived]]-Table1[[#This Row],[Delivery]])*24-Table1[[#This Row],[Promised]])&lt;0, 0, (Table1[[#This Row],[Arrived]]-Table1[[#This Row],[Delivery]])*24-Table1[[#This Row],[Promised]])</f>
        <v>0</v>
      </c>
      <c r="Q1108"/>
    </row>
    <row r="1109" spans="1:17" x14ac:dyDescent="0.45">
      <c r="A1109" s="3">
        <v>45301.5</v>
      </c>
      <c r="B1109" t="s">
        <v>0</v>
      </c>
      <c r="C1109">
        <v>15</v>
      </c>
      <c r="D1109">
        <v>2004</v>
      </c>
      <c r="E1109" t="s">
        <v>15</v>
      </c>
      <c r="F1109">
        <v>22</v>
      </c>
      <c r="G1109">
        <v>6800</v>
      </c>
      <c r="H1109">
        <v>149600</v>
      </c>
      <c r="I1109" s="3">
        <v>45301.583333333336</v>
      </c>
      <c r="J1109">
        <v>54</v>
      </c>
      <c r="K1109" s="3">
        <v>45303.083333333336</v>
      </c>
      <c r="L1109" s="4">
        <f>ROUNDDOWN(Table1[[#This Row],[Ordered]],0)</f>
        <v>45301</v>
      </c>
      <c r="M1109" s="4">
        <f>Table1[[#This Row],[Date ]]</f>
        <v>45301</v>
      </c>
      <c r="N1109" s="5">
        <f>Table1[[#This Row],[Ordered]]-Table1[[#This Row],[Date ]]</f>
        <v>0.5</v>
      </c>
      <c r="O1109">
        <f>Table1[[#This Row],[Company]]</f>
        <v>15</v>
      </c>
      <c r="P1109">
        <f>IF(((Table1[[#This Row],[Arrived]]-Table1[[#This Row],[Delivery]])*24-Table1[[#This Row],[Promised]])&lt;0, 0, (Table1[[#This Row],[Arrived]]-Table1[[#This Row],[Delivery]])*24-Table1[[#This Row],[Promised]])</f>
        <v>0</v>
      </c>
      <c r="Q1109"/>
    </row>
    <row r="1110" spans="1:17" x14ac:dyDescent="0.45">
      <c r="A1110" s="3">
        <v>45301.5</v>
      </c>
      <c r="B1110" t="s">
        <v>0</v>
      </c>
      <c r="C1110">
        <v>16</v>
      </c>
      <c r="D1110">
        <v>2004</v>
      </c>
      <c r="E1110" t="s">
        <v>16</v>
      </c>
      <c r="F1110">
        <v>30</v>
      </c>
      <c r="G1110">
        <v>3750</v>
      </c>
      <c r="H1110">
        <v>112500</v>
      </c>
      <c r="I1110" s="3">
        <v>45301.708333333336</v>
      </c>
      <c r="J1110">
        <v>132</v>
      </c>
      <c r="K1110" s="3">
        <v>45306.208333333336</v>
      </c>
      <c r="L1110" s="4">
        <f>ROUNDDOWN(Table1[[#This Row],[Ordered]],0)</f>
        <v>45301</v>
      </c>
      <c r="M1110" s="4">
        <f>Table1[[#This Row],[Date ]]</f>
        <v>45301</v>
      </c>
      <c r="N1110" s="5">
        <f>Table1[[#This Row],[Ordered]]-Table1[[#This Row],[Date ]]</f>
        <v>0.5</v>
      </c>
      <c r="O1110">
        <f>Table1[[#This Row],[Company]]</f>
        <v>16</v>
      </c>
      <c r="P1110">
        <f>IF(((Table1[[#This Row],[Arrived]]-Table1[[#This Row],[Delivery]])*24-Table1[[#This Row],[Promised]])&lt;0, 0, (Table1[[#This Row],[Arrived]]-Table1[[#This Row],[Delivery]])*24-Table1[[#This Row],[Promised]])</f>
        <v>0</v>
      </c>
      <c r="Q1110"/>
    </row>
    <row r="1111" spans="1:17" hidden="1" x14ac:dyDescent="0.45">
      <c r="A1111" s="3">
        <v>45301.541666666664</v>
      </c>
      <c r="B1111" t="s">
        <v>12</v>
      </c>
      <c r="C1111">
        <v>3</v>
      </c>
      <c r="D1111">
        <v>12</v>
      </c>
      <c r="E1111" t="s">
        <v>17</v>
      </c>
      <c r="F1111">
        <v>200</v>
      </c>
      <c r="G1111">
        <v>1180</v>
      </c>
      <c r="H1111">
        <v>236000</v>
      </c>
      <c r="I1111" s="3">
        <v>45301.583333333336</v>
      </c>
      <c r="J1111">
        <v>24</v>
      </c>
      <c r="K1111" s="3">
        <v>45302.583333333336</v>
      </c>
      <c r="L1111" s="4">
        <f>ROUNDDOWN(Table1[[#This Row],[Ordered]],0)</f>
        <v>45301</v>
      </c>
      <c r="M1111" s="4">
        <f>Table1[[#This Row],[Date ]]</f>
        <v>45301</v>
      </c>
      <c r="N1111" s="5">
        <f>Table1[[#This Row],[Ordered]]-Table1[[#This Row],[Date ]]</f>
        <v>0.54166666666424135</v>
      </c>
      <c r="O1111" s="5">
        <f>Table1[[#This Row],[Company]]</f>
        <v>3</v>
      </c>
      <c r="P1111">
        <f>IF(((Table1[[#This Row],[Arrived]]-Table1[[#This Row],[Delivery]])*24-Table1[[#This Row],[Promised]])&lt;0, 0, (Table1[[#This Row],[Arrived]]-Table1[[#This Row],[Delivery]])*24-Table1[[#This Row],[Promised]])</f>
        <v>0</v>
      </c>
      <c r="Q1111"/>
    </row>
    <row r="1112" spans="1:17" hidden="1" x14ac:dyDescent="0.45">
      <c r="A1112" s="3">
        <v>45301.541666666664</v>
      </c>
      <c r="B1112" t="s">
        <v>12</v>
      </c>
      <c r="C1112">
        <v>1</v>
      </c>
      <c r="D1112">
        <v>14</v>
      </c>
      <c r="E1112" t="s">
        <v>13</v>
      </c>
      <c r="F1112">
        <v>4500</v>
      </c>
      <c r="G1112">
        <v>140</v>
      </c>
      <c r="H1112">
        <v>630000</v>
      </c>
      <c r="I1112" s="3">
        <v>45301.583333333336</v>
      </c>
      <c r="J1112">
        <v>72</v>
      </c>
      <c r="K1112" s="3">
        <v>45304.583333333336</v>
      </c>
      <c r="L1112" s="4">
        <f>ROUNDDOWN(Table1[[#This Row],[Ordered]],0)</f>
        <v>45301</v>
      </c>
      <c r="M1112" s="4">
        <f>Table1[[#This Row],[Date ]]</f>
        <v>45301</v>
      </c>
      <c r="N1112" s="5">
        <f>Table1[[#This Row],[Ordered]]-Table1[[#This Row],[Date ]]</f>
        <v>0.54166666666424135</v>
      </c>
      <c r="O1112" s="5">
        <f>Table1[[#This Row],[Company]]</f>
        <v>1</v>
      </c>
      <c r="P1112">
        <f>IF(((Table1[[#This Row],[Arrived]]-Table1[[#This Row],[Delivery]])*24-Table1[[#This Row],[Promised]])&lt;0, 0, (Table1[[#This Row],[Arrived]]-Table1[[#This Row],[Delivery]])*24-Table1[[#This Row],[Promised]])</f>
        <v>0</v>
      </c>
      <c r="Q1112"/>
    </row>
    <row r="1113" spans="1:17" x14ac:dyDescent="0.45">
      <c r="A1113" s="3">
        <v>45301.583333333336</v>
      </c>
      <c r="B1113" t="s">
        <v>14</v>
      </c>
      <c r="C1113">
        <v>13</v>
      </c>
      <c r="D1113">
        <v>1011</v>
      </c>
      <c r="E1113" t="s">
        <v>16</v>
      </c>
      <c r="F1113">
        <v>23</v>
      </c>
      <c r="G1113">
        <v>3750</v>
      </c>
      <c r="H1113">
        <v>86250</v>
      </c>
      <c r="I1113" s="3">
        <v>45302.25</v>
      </c>
      <c r="J1113">
        <v>96</v>
      </c>
      <c r="K1113" s="3">
        <v>45305.25</v>
      </c>
      <c r="L1113" s="4">
        <f>ROUNDDOWN(Table1[[#This Row],[Ordered]],0)</f>
        <v>45301</v>
      </c>
      <c r="M1113" s="4">
        <f>Table1[[#This Row],[Date ]]</f>
        <v>45301</v>
      </c>
      <c r="N1113" s="5">
        <f>Table1[[#This Row],[Ordered]]-Table1[[#This Row],[Date ]]</f>
        <v>0.58333333333575865</v>
      </c>
      <c r="O1113">
        <f>Table1[[#This Row],[Company]]</f>
        <v>13</v>
      </c>
      <c r="P1113">
        <f>IF(((Table1[[#This Row],[Arrived]]-Table1[[#This Row],[Delivery]])*24-Table1[[#This Row],[Promised]])&lt;0, 0, (Table1[[#This Row],[Arrived]]-Table1[[#This Row],[Delivery]])*24-Table1[[#This Row],[Promised]])</f>
        <v>0</v>
      </c>
      <c r="Q1113"/>
    </row>
    <row r="1114" spans="1:17" x14ac:dyDescent="0.45">
      <c r="A1114" s="3">
        <v>45301.583333333336</v>
      </c>
      <c r="B1114" t="s">
        <v>14</v>
      </c>
      <c r="C1114">
        <v>12</v>
      </c>
      <c r="D1114">
        <v>1011</v>
      </c>
      <c r="E1114" t="s">
        <v>16</v>
      </c>
      <c r="F1114">
        <v>15</v>
      </c>
      <c r="G1114">
        <v>4000</v>
      </c>
      <c r="H1114">
        <v>60000</v>
      </c>
      <c r="I1114" s="3">
        <v>45301.958333333336</v>
      </c>
      <c r="J1114">
        <v>60</v>
      </c>
      <c r="K1114" s="3">
        <v>45303.958333333336</v>
      </c>
      <c r="L1114" s="4">
        <f>ROUNDDOWN(Table1[[#This Row],[Ordered]],0)</f>
        <v>45301</v>
      </c>
      <c r="M1114" s="4">
        <f>Table1[[#This Row],[Date ]]</f>
        <v>45301</v>
      </c>
      <c r="N1114" s="5">
        <f>Table1[[#This Row],[Ordered]]-Table1[[#This Row],[Date ]]</f>
        <v>0.58333333333575865</v>
      </c>
      <c r="O1114">
        <f>Table1[[#This Row],[Company]]</f>
        <v>12</v>
      </c>
      <c r="P1114">
        <f>IF(((Table1[[#This Row],[Arrived]]-Table1[[#This Row],[Delivery]])*24-Table1[[#This Row],[Promised]])&lt;0, 0, (Table1[[#This Row],[Arrived]]-Table1[[#This Row],[Delivery]])*24-Table1[[#This Row],[Promised]])</f>
        <v>0</v>
      </c>
      <c r="Q1114"/>
    </row>
    <row r="1115" spans="1:17" x14ac:dyDescent="0.45">
      <c r="A1115" s="3">
        <v>45301.583333333336</v>
      </c>
      <c r="B1115" t="s">
        <v>14</v>
      </c>
      <c r="C1115">
        <v>14</v>
      </c>
      <c r="D1115">
        <v>1011</v>
      </c>
      <c r="E1115" t="s">
        <v>16</v>
      </c>
      <c r="F1115">
        <v>30</v>
      </c>
      <c r="G1115">
        <v>3750</v>
      </c>
      <c r="H1115">
        <v>112500</v>
      </c>
      <c r="I1115" s="3">
        <v>45302</v>
      </c>
      <c r="J1115">
        <v>96</v>
      </c>
      <c r="K1115" s="3">
        <v>45305</v>
      </c>
      <c r="L1115" s="4">
        <f>ROUNDDOWN(Table1[[#This Row],[Ordered]],0)</f>
        <v>45301</v>
      </c>
      <c r="M1115" s="4">
        <f>Table1[[#This Row],[Date ]]</f>
        <v>45301</v>
      </c>
      <c r="N1115" s="5">
        <f>Table1[[#This Row],[Ordered]]-Table1[[#This Row],[Date ]]</f>
        <v>0.58333333333575865</v>
      </c>
      <c r="O1115">
        <f>Table1[[#This Row],[Company]]</f>
        <v>14</v>
      </c>
      <c r="P1115">
        <f>IF(((Table1[[#This Row],[Arrived]]-Table1[[#This Row],[Delivery]])*24-Table1[[#This Row],[Promised]])&lt;0, 0, (Table1[[#This Row],[Arrived]]-Table1[[#This Row],[Delivery]])*24-Table1[[#This Row],[Promised]])</f>
        <v>0</v>
      </c>
      <c r="Q1115"/>
    </row>
    <row r="1116" spans="1:17" x14ac:dyDescent="0.45">
      <c r="A1116" s="3">
        <v>45301.583333333336</v>
      </c>
      <c r="B1116" t="s">
        <v>14</v>
      </c>
      <c r="C1116">
        <v>8</v>
      </c>
      <c r="D1116">
        <v>1011</v>
      </c>
      <c r="E1116" t="s">
        <v>16</v>
      </c>
      <c r="F1116">
        <v>20</v>
      </c>
      <c r="G1116">
        <v>3800</v>
      </c>
      <c r="H1116">
        <v>76000</v>
      </c>
      <c r="I1116" s="3">
        <v>45302.5</v>
      </c>
      <c r="J1116">
        <v>96</v>
      </c>
      <c r="K1116" s="3">
        <v>45305.5</v>
      </c>
      <c r="L1116" s="4">
        <f>ROUNDDOWN(Table1[[#This Row],[Ordered]],0)</f>
        <v>45301</v>
      </c>
      <c r="M1116" s="4">
        <f>Table1[[#This Row],[Date ]]</f>
        <v>45301</v>
      </c>
      <c r="N1116" s="5">
        <f>Table1[[#This Row],[Ordered]]-Table1[[#This Row],[Date ]]</f>
        <v>0.58333333333575865</v>
      </c>
      <c r="O1116">
        <f>Table1[[#This Row],[Company]]</f>
        <v>8</v>
      </c>
      <c r="P1116">
        <f>IF(((Table1[[#This Row],[Arrived]]-Table1[[#This Row],[Delivery]])*24-Table1[[#This Row],[Promised]])&lt;0, 0, (Table1[[#This Row],[Arrived]]-Table1[[#This Row],[Delivery]])*24-Table1[[#This Row],[Promised]])</f>
        <v>0</v>
      </c>
      <c r="Q1116"/>
    </row>
    <row r="1117" spans="1:17" x14ac:dyDescent="0.45">
      <c r="A1117" s="3">
        <v>45301.583333333336</v>
      </c>
      <c r="B1117" t="s">
        <v>14</v>
      </c>
      <c r="C1117">
        <v>7</v>
      </c>
      <c r="D1117">
        <v>1011</v>
      </c>
      <c r="E1117" t="s">
        <v>16</v>
      </c>
      <c r="F1117">
        <v>30</v>
      </c>
      <c r="G1117">
        <v>3650</v>
      </c>
      <c r="H1117">
        <v>109500</v>
      </c>
      <c r="I1117" s="3">
        <v>45303.416666666664</v>
      </c>
      <c r="J1117">
        <v>96</v>
      </c>
      <c r="K1117" s="3">
        <v>45305.416666666664</v>
      </c>
      <c r="L1117" s="4">
        <f>ROUNDDOWN(Table1[[#This Row],[Ordered]],0)</f>
        <v>45301</v>
      </c>
      <c r="M1117" s="4">
        <f>Table1[[#This Row],[Date ]]</f>
        <v>45301</v>
      </c>
      <c r="N1117" s="5">
        <f>Table1[[#This Row],[Ordered]]-Table1[[#This Row],[Date ]]</f>
        <v>0.58333333333575865</v>
      </c>
      <c r="O1117">
        <f>Table1[[#This Row],[Company]]</f>
        <v>7</v>
      </c>
      <c r="P1117">
        <f>IF(((Table1[[#This Row],[Arrived]]-Table1[[#This Row],[Delivery]])*24-Table1[[#This Row],[Promised]])&lt;0, 0, (Table1[[#This Row],[Arrived]]-Table1[[#This Row],[Delivery]])*24-Table1[[#This Row],[Promised]])</f>
        <v>0</v>
      </c>
      <c r="Q1117"/>
    </row>
    <row r="1118" spans="1:17" x14ac:dyDescent="0.45">
      <c r="A1118" s="3">
        <v>45301.583333333336</v>
      </c>
      <c r="B1118" t="s">
        <v>14</v>
      </c>
      <c r="C1118">
        <v>16</v>
      </c>
      <c r="D1118">
        <v>1011</v>
      </c>
      <c r="E1118" t="s">
        <v>16</v>
      </c>
      <c r="F1118">
        <v>30</v>
      </c>
      <c r="G1118">
        <v>3750</v>
      </c>
      <c r="H1118">
        <v>112500</v>
      </c>
      <c r="I1118" s="3">
        <v>45301.708333333336</v>
      </c>
      <c r="J1118">
        <v>96</v>
      </c>
      <c r="K1118" s="3">
        <v>45304.708333333336</v>
      </c>
      <c r="L1118" s="4">
        <f>ROUNDDOWN(Table1[[#This Row],[Ordered]],0)</f>
        <v>45301</v>
      </c>
      <c r="M1118" s="4">
        <f>Table1[[#This Row],[Date ]]</f>
        <v>45301</v>
      </c>
      <c r="N1118" s="5">
        <f>Table1[[#This Row],[Ordered]]-Table1[[#This Row],[Date ]]</f>
        <v>0.58333333333575865</v>
      </c>
      <c r="O1118">
        <f>Table1[[#This Row],[Company]]</f>
        <v>16</v>
      </c>
      <c r="P1118">
        <f>IF(((Table1[[#This Row],[Arrived]]-Table1[[#This Row],[Delivery]])*24-Table1[[#This Row],[Promised]])&lt;0, 0, (Table1[[#This Row],[Arrived]]-Table1[[#This Row],[Delivery]])*24-Table1[[#This Row],[Promised]])</f>
        <v>0</v>
      </c>
      <c r="Q1118"/>
    </row>
    <row r="1119" spans="1:17" x14ac:dyDescent="0.45">
      <c r="A1119" s="3">
        <v>45301.583333333336</v>
      </c>
      <c r="B1119" t="s">
        <v>14</v>
      </c>
      <c r="C1119">
        <v>9</v>
      </c>
      <c r="D1119">
        <v>1011</v>
      </c>
      <c r="E1119" t="s">
        <v>16</v>
      </c>
      <c r="F1119">
        <v>26</v>
      </c>
      <c r="G1119">
        <v>3750</v>
      </c>
      <c r="H1119">
        <v>97500</v>
      </c>
      <c r="I1119" s="3">
        <v>45302.458333333336</v>
      </c>
      <c r="J1119">
        <v>96</v>
      </c>
      <c r="K1119" s="3">
        <v>45305.458333333336</v>
      </c>
      <c r="L1119" s="4">
        <f>ROUNDDOWN(Table1[[#This Row],[Ordered]],0)</f>
        <v>45301</v>
      </c>
      <c r="M1119" s="4">
        <f>Table1[[#This Row],[Date ]]</f>
        <v>45301</v>
      </c>
      <c r="N1119" s="5">
        <f>Table1[[#This Row],[Ordered]]-Table1[[#This Row],[Date ]]</f>
        <v>0.58333333333575865</v>
      </c>
      <c r="O1119">
        <f>Table1[[#This Row],[Company]]</f>
        <v>9</v>
      </c>
      <c r="P1119">
        <f>IF(((Table1[[#This Row],[Arrived]]-Table1[[#This Row],[Delivery]])*24-Table1[[#This Row],[Promised]])&lt;0, 0, (Table1[[#This Row],[Arrived]]-Table1[[#This Row],[Delivery]])*24-Table1[[#This Row],[Promised]])</f>
        <v>0</v>
      </c>
      <c r="Q1119"/>
    </row>
    <row r="1120" spans="1:17" x14ac:dyDescent="0.45">
      <c r="A1120" s="3">
        <v>45301.666666666664</v>
      </c>
      <c r="B1120" t="s">
        <v>14</v>
      </c>
      <c r="C1120">
        <v>7</v>
      </c>
      <c r="D1120">
        <v>1005</v>
      </c>
      <c r="E1120" t="s">
        <v>15</v>
      </c>
      <c r="F1120">
        <v>6</v>
      </c>
      <c r="G1120">
        <v>6650</v>
      </c>
      <c r="H1120">
        <v>39900</v>
      </c>
      <c r="I1120" s="3">
        <v>45302.041666666664</v>
      </c>
      <c r="J1120">
        <v>96</v>
      </c>
      <c r="K1120" s="3">
        <v>45305.041666666664</v>
      </c>
      <c r="L1120" s="4">
        <f>ROUNDDOWN(Table1[[#This Row],[Ordered]],0)</f>
        <v>45301</v>
      </c>
      <c r="M1120" s="4">
        <f>Table1[[#This Row],[Date ]]</f>
        <v>45301</v>
      </c>
      <c r="N1120" s="5">
        <f>Table1[[#This Row],[Ordered]]-Table1[[#This Row],[Date ]]</f>
        <v>0.66666666666424135</v>
      </c>
      <c r="O1120">
        <f>Table1[[#This Row],[Company]]</f>
        <v>7</v>
      </c>
      <c r="P1120">
        <f>IF(((Table1[[#This Row],[Arrived]]-Table1[[#This Row],[Delivery]])*24-Table1[[#This Row],[Promised]])&lt;0, 0, (Table1[[#This Row],[Arrived]]-Table1[[#This Row],[Delivery]])*24-Table1[[#This Row],[Promised]])</f>
        <v>0</v>
      </c>
      <c r="Q1120"/>
    </row>
    <row r="1121" spans="1:17" x14ac:dyDescent="0.45">
      <c r="A1121" s="3">
        <v>45301.666666666664</v>
      </c>
      <c r="B1121" t="s">
        <v>14</v>
      </c>
      <c r="C1121">
        <v>9</v>
      </c>
      <c r="D1121">
        <v>1005</v>
      </c>
      <c r="E1121" t="s">
        <v>15</v>
      </c>
      <c r="F1121">
        <v>13</v>
      </c>
      <c r="G1121">
        <v>6700</v>
      </c>
      <c r="H1121">
        <v>87100</v>
      </c>
      <c r="I1121" s="3">
        <v>45301.666666666664</v>
      </c>
      <c r="J1121">
        <v>72</v>
      </c>
      <c r="K1121" s="3">
        <v>45304.666666666664</v>
      </c>
      <c r="L1121" s="4">
        <f>ROUNDDOWN(Table1[[#This Row],[Ordered]],0)</f>
        <v>45301</v>
      </c>
      <c r="M1121" s="4">
        <f>Table1[[#This Row],[Date ]]</f>
        <v>45301</v>
      </c>
      <c r="N1121" s="5">
        <f>Table1[[#This Row],[Ordered]]-Table1[[#This Row],[Date ]]</f>
        <v>0.66666666666424135</v>
      </c>
      <c r="O1121">
        <f>Table1[[#This Row],[Company]]</f>
        <v>9</v>
      </c>
      <c r="P1121">
        <f>IF(((Table1[[#This Row],[Arrived]]-Table1[[#This Row],[Delivery]])*24-Table1[[#This Row],[Promised]])&lt;0, 0, (Table1[[#This Row],[Arrived]]-Table1[[#This Row],[Delivery]])*24-Table1[[#This Row],[Promised]])</f>
        <v>0</v>
      </c>
      <c r="Q1121"/>
    </row>
    <row r="1122" spans="1:17" x14ac:dyDescent="0.45">
      <c r="A1122" s="3">
        <v>45301.666666666664</v>
      </c>
      <c r="B1122" t="s">
        <v>14</v>
      </c>
      <c r="C1122">
        <v>10</v>
      </c>
      <c r="D1122">
        <v>1005</v>
      </c>
      <c r="E1122" t="s">
        <v>15</v>
      </c>
      <c r="F1122">
        <v>10</v>
      </c>
      <c r="G1122">
        <v>6600</v>
      </c>
      <c r="H1122">
        <v>66000</v>
      </c>
      <c r="I1122" s="3">
        <v>45301.708333333336</v>
      </c>
      <c r="J1122">
        <v>84</v>
      </c>
      <c r="K1122" s="3">
        <v>45304.708333333336</v>
      </c>
      <c r="L1122" s="4">
        <f>ROUNDDOWN(Table1[[#This Row],[Ordered]],0)</f>
        <v>45301</v>
      </c>
      <c r="M1122" s="4">
        <f>Table1[[#This Row],[Date ]]</f>
        <v>45301</v>
      </c>
      <c r="N1122" s="5">
        <f>Table1[[#This Row],[Ordered]]-Table1[[#This Row],[Date ]]</f>
        <v>0.66666666666424135</v>
      </c>
      <c r="O1122">
        <f>Table1[[#This Row],[Company]]</f>
        <v>10</v>
      </c>
      <c r="P1122">
        <f>IF(((Table1[[#This Row],[Arrived]]-Table1[[#This Row],[Delivery]])*24-Table1[[#This Row],[Promised]])&lt;0, 0, (Table1[[#This Row],[Arrived]]-Table1[[#This Row],[Delivery]])*24-Table1[[#This Row],[Promised]])</f>
        <v>0</v>
      </c>
      <c r="Q1122"/>
    </row>
    <row r="1123" spans="1:17" x14ac:dyDescent="0.45">
      <c r="A1123" s="3">
        <v>45301.666666666664</v>
      </c>
      <c r="B1123" t="s">
        <v>14</v>
      </c>
      <c r="C1123">
        <v>16</v>
      </c>
      <c r="D1123">
        <v>1005</v>
      </c>
      <c r="E1123" t="s">
        <v>15</v>
      </c>
      <c r="F1123">
        <v>12</v>
      </c>
      <c r="G1123">
        <v>6650</v>
      </c>
      <c r="H1123">
        <v>79800</v>
      </c>
      <c r="I1123" s="3">
        <v>45301.708333333336</v>
      </c>
      <c r="J1123">
        <v>96</v>
      </c>
      <c r="K1123" s="3">
        <v>45304.708333333336</v>
      </c>
      <c r="L1123" s="4">
        <f>ROUNDDOWN(Table1[[#This Row],[Ordered]],0)</f>
        <v>45301</v>
      </c>
      <c r="M1123" s="4">
        <f>Table1[[#This Row],[Date ]]</f>
        <v>45301</v>
      </c>
      <c r="N1123" s="5">
        <f>Table1[[#This Row],[Ordered]]-Table1[[#This Row],[Date ]]</f>
        <v>0.66666666666424135</v>
      </c>
      <c r="O1123">
        <f>Table1[[#This Row],[Company]]</f>
        <v>16</v>
      </c>
      <c r="P1123">
        <f>IF(((Table1[[#This Row],[Arrived]]-Table1[[#This Row],[Delivery]])*24-Table1[[#This Row],[Promised]])&lt;0, 0, (Table1[[#This Row],[Arrived]]-Table1[[#This Row],[Delivery]])*24-Table1[[#This Row],[Promised]])</f>
        <v>0</v>
      </c>
      <c r="Q1123"/>
    </row>
    <row r="1124" spans="1:17" x14ac:dyDescent="0.45">
      <c r="A1124" s="3">
        <v>45301.666666666664</v>
      </c>
      <c r="B1124" t="s">
        <v>14</v>
      </c>
      <c r="C1124">
        <v>15</v>
      </c>
      <c r="D1124">
        <v>1005</v>
      </c>
      <c r="E1124" t="s">
        <v>15</v>
      </c>
      <c r="F1124">
        <v>15</v>
      </c>
      <c r="G1124">
        <v>6500</v>
      </c>
      <c r="H1124">
        <v>97500</v>
      </c>
      <c r="I1124" s="3">
        <v>45301.75</v>
      </c>
      <c r="J1124">
        <v>68</v>
      </c>
      <c r="K1124" s="3">
        <v>45303.75</v>
      </c>
      <c r="L1124" s="4">
        <f>ROUNDDOWN(Table1[[#This Row],[Ordered]],0)</f>
        <v>45301</v>
      </c>
      <c r="M1124" s="4">
        <f>Table1[[#This Row],[Date ]]</f>
        <v>45301</v>
      </c>
      <c r="N1124" s="5">
        <f>Table1[[#This Row],[Ordered]]-Table1[[#This Row],[Date ]]</f>
        <v>0.66666666666424135</v>
      </c>
      <c r="O1124">
        <f>Table1[[#This Row],[Company]]</f>
        <v>15</v>
      </c>
      <c r="P1124">
        <f>IF(((Table1[[#This Row],[Arrived]]-Table1[[#This Row],[Delivery]])*24-Table1[[#This Row],[Promised]])&lt;0, 0, (Table1[[#This Row],[Arrived]]-Table1[[#This Row],[Delivery]])*24-Table1[[#This Row],[Promised]])</f>
        <v>0</v>
      </c>
      <c r="Q1124"/>
    </row>
    <row r="1125" spans="1:17" hidden="1" x14ac:dyDescent="0.45">
      <c r="A1125" s="3">
        <v>45301.666666666664</v>
      </c>
      <c r="B1125" t="s">
        <v>12</v>
      </c>
      <c r="C1125">
        <v>10</v>
      </c>
      <c r="D1125">
        <v>6</v>
      </c>
      <c r="E1125" t="s">
        <v>20</v>
      </c>
      <c r="F1125">
        <v>60</v>
      </c>
      <c r="G1125">
        <v>23</v>
      </c>
      <c r="H1125">
        <v>1380</v>
      </c>
      <c r="I1125" s="3">
        <v>45301.916666666664</v>
      </c>
      <c r="J1125">
        <v>72</v>
      </c>
      <c r="K1125" s="3">
        <v>45304.916666666664</v>
      </c>
      <c r="L1125" s="4">
        <f>ROUNDDOWN(Table1[[#This Row],[Ordered]],0)</f>
        <v>45301</v>
      </c>
      <c r="M1125" s="4">
        <f>Table1[[#This Row],[Date ]]</f>
        <v>45301</v>
      </c>
      <c r="N1125" s="5">
        <f>Table1[[#This Row],[Ordered]]-Table1[[#This Row],[Date ]]</f>
        <v>0.66666666666424135</v>
      </c>
      <c r="O1125">
        <f>Table1[[#This Row],[Company]]</f>
        <v>10</v>
      </c>
      <c r="P1125">
        <f>IF(((Table1[[#This Row],[Arrived]]-Table1[[#This Row],[Delivery]])*24-Table1[[#This Row],[Promised]])&lt;0, 0, (Table1[[#This Row],[Arrived]]-Table1[[#This Row],[Delivery]])*24-Table1[[#This Row],[Promised]])</f>
        <v>0</v>
      </c>
      <c r="Q1125"/>
    </row>
    <row r="1126" spans="1:17" x14ac:dyDescent="0.45">
      <c r="A1126" s="3">
        <v>45301.666666666664</v>
      </c>
      <c r="B1126" t="s">
        <v>14</v>
      </c>
      <c r="C1126">
        <v>14</v>
      </c>
      <c r="D1126">
        <v>1005</v>
      </c>
      <c r="E1126" t="s">
        <v>15</v>
      </c>
      <c r="F1126">
        <v>5</v>
      </c>
      <c r="G1126">
        <v>6650</v>
      </c>
      <c r="H1126">
        <v>33250</v>
      </c>
      <c r="I1126" s="3">
        <v>45302</v>
      </c>
      <c r="J1126">
        <v>96</v>
      </c>
      <c r="K1126" s="3">
        <v>45305.041666666664</v>
      </c>
      <c r="L1126" s="4">
        <f>ROUNDDOWN(Table1[[#This Row],[Ordered]],0)</f>
        <v>45301</v>
      </c>
      <c r="M1126" s="4">
        <f>Table1[[#This Row],[Date ]]</f>
        <v>45301</v>
      </c>
      <c r="N1126" s="5">
        <f>Table1[[#This Row],[Ordered]]-Table1[[#This Row],[Date ]]</f>
        <v>0.66666666666424135</v>
      </c>
      <c r="O1126">
        <f>Table1[[#This Row],[Company]]</f>
        <v>14</v>
      </c>
      <c r="P1126">
        <f>IF(((Table1[[#This Row],[Arrived]]-Table1[[#This Row],[Delivery]])*24-Table1[[#This Row],[Promised]])&lt;0, 0, (Table1[[#This Row],[Arrived]]-Table1[[#This Row],[Delivery]])*24-Table1[[#This Row],[Promised]])</f>
        <v>0</v>
      </c>
      <c r="Q1126"/>
    </row>
    <row r="1127" spans="1:17" x14ac:dyDescent="0.45">
      <c r="A1127" s="3">
        <v>45301.666666666664</v>
      </c>
      <c r="B1127" t="s">
        <v>14</v>
      </c>
      <c r="C1127">
        <v>12</v>
      </c>
      <c r="D1127">
        <v>1005</v>
      </c>
      <c r="E1127" t="s">
        <v>15</v>
      </c>
      <c r="F1127">
        <v>9</v>
      </c>
      <c r="G1127">
        <v>6900</v>
      </c>
      <c r="H1127">
        <v>62100</v>
      </c>
      <c r="I1127" s="3">
        <v>45301.916666666664</v>
      </c>
      <c r="J1127">
        <v>84</v>
      </c>
      <c r="K1127" s="3">
        <v>45304.916666666664</v>
      </c>
      <c r="L1127" s="4">
        <f>ROUNDDOWN(Table1[[#This Row],[Ordered]],0)</f>
        <v>45301</v>
      </c>
      <c r="M1127" s="4">
        <f>Table1[[#This Row],[Date ]]</f>
        <v>45301</v>
      </c>
      <c r="N1127" s="5">
        <f>Table1[[#This Row],[Ordered]]-Table1[[#This Row],[Date ]]</f>
        <v>0.66666666666424135</v>
      </c>
      <c r="O1127">
        <f>Table1[[#This Row],[Company]]</f>
        <v>12</v>
      </c>
      <c r="P1127">
        <f>IF(((Table1[[#This Row],[Arrived]]-Table1[[#This Row],[Delivery]])*24-Table1[[#This Row],[Promised]])&lt;0, 0, (Table1[[#This Row],[Arrived]]-Table1[[#This Row],[Delivery]])*24-Table1[[#This Row],[Promised]])</f>
        <v>0</v>
      </c>
      <c r="Q1127"/>
    </row>
    <row r="1128" spans="1:17" x14ac:dyDescent="0.45">
      <c r="A1128" s="3">
        <v>45301.666666666664</v>
      </c>
      <c r="B1128" t="s">
        <v>14</v>
      </c>
      <c r="C1128">
        <v>13</v>
      </c>
      <c r="D1128">
        <v>1005</v>
      </c>
      <c r="E1128" t="s">
        <v>15</v>
      </c>
      <c r="F1128">
        <v>8</v>
      </c>
      <c r="G1128">
        <v>6400</v>
      </c>
      <c r="H1128">
        <v>51200</v>
      </c>
      <c r="I1128" s="3">
        <v>45302.333333333336</v>
      </c>
      <c r="J1128">
        <v>96</v>
      </c>
      <c r="K1128" s="3">
        <v>45305.333333333336</v>
      </c>
      <c r="L1128" s="4">
        <f>ROUNDDOWN(Table1[[#This Row],[Ordered]],0)</f>
        <v>45301</v>
      </c>
      <c r="M1128" s="4">
        <f>Table1[[#This Row],[Date ]]</f>
        <v>45301</v>
      </c>
      <c r="N1128" s="5">
        <f>Table1[[#This Row],[Ordered]]-Table1[[#This Row],[Date ]]</f>
        <v>0.66666666666424135</v>
      </c>
      <c r="O1128">
        <f>Table1[[#This Row],[Company]]</f>
        <v>13</v>
      </c>
      <c r="P1128">
        <f>IF(((Table1[[#This Row],[Arrived]]-Table1[[#This Row],[Delivery]])*24-Table1[[#This Row],[Promised]])&lt;0, 0, (Table1[[#This Row],[Arrived]]-Table1[[#This Row],[Delivery]])*24-Table1[[#This Row],[Promised]])</f>
        <v>0</v>
      </c>
      <c r="Q1128"/>
    </row>
    <row r="1129" spans="1:17" x14ac:dyDescent="0.45">
      <c r="A1129" s="3">
        <v>45301.666666666664</v>
      </c>
      <c r="B1129" t="s">
        <v>14</v>
      </c>
      <c r="C1129">
        <v>8</v>
      </c>
      <c r="D1129">
        <v>1005</v>
      </c>
      <c r="E1129" t="s">
        <v>15</v>
      </c>
      <c r="F1129">
        <v>18</v>
      </c>
      <c r="G1129">
        <v>5450</v>
      </c>
      <c r="H1129">
        <v>98100</v>
      </c>
      <c r="I1129" s="3">
        <v>45302.416666666664</v>
      </c>
      <c r="J1129">
        <v>96</v>
      </c>
      <c r="K1129" s="3">
        <v>45305.416666666664</v>
      </c>
      <c r="L1129" s="4">
        <f>ROUNDDOWN(Table1[[#This Row],[Ordered]],0)</f>
        <v>45301</v>
      </c>
      <c r="M1129" s="4">
        <f>Table1[[#This Row],[Date ]]</f>
        <v>45301</v>
      </c>
      <c r="N1129" s="5">
        <f>Table1[[#This Row],[Ordered]]-Table1[[#This Row],[Date ]]</f>
        <v>0.66666666666424135</v>
      </c>
      <c r="O1129">
        <f>Table1[[#This Row],[Company]]</f>
        <v>8</v>
      </c>
      <c r="P1129">
        <f>IF(((Table1[[#This Row],[Arrived]]-Table1[[#This Row],[Delivery]])*24-Table1[[#This Row],[Promised]])&lt;0, 0, (Table1[[#This Row],[Arrived]]-Table1[[#This Row],[Delivery]])*24-Table1[[#This Row],[Promised]])</f>
        <v>0</v>
      </c>
      <c r="Q1129"/>
    </row>
    <row r="1130" spans="1:17" hidden="1" x14ac:dyDescent="0.45">
      <c r="A1130" s="3">
        <v>45301.708333333336</v>
      </c>
      <c r="B1130" t="s">
        <v>12</v>
      </c>
      <c r="C1130">
        <v>4</v>
      </c>
      <c r="D1130">
        <v>9</v>
      </c>
      <c r="E1130" t="s">
        <v>13</v>
      </c>
      <c r="F1130">
        <v>2987</v>
      </c>
      <c r="G1130">
        <v>105</v>
      </c>
      <c r="H1130">
        <v>313635</v>
      </c>
      <c r="I1130" s="3">
        <v>45301.75</v>
      </c>
      <c r="J1130">
        <v>72</v>
      </c>
      <c r="K1130" s="3">
        <v>45304.75</v>
      </c>
      <c r="L1130" s="4">
        <f>ROUNDDOWN(Table1[[#This Row],[Ordered]],0)</f>
        <v>45301</v>
      </c>
      <c r="M1130" s="4">
        <f>Table1[[#This Row],[Date ]]</f>
        <v>45301</v>
      </c>
      <c r="N1130" s="5">
        <f>Table1[[#This Row],[Ordered]]-Table1[[#This Row],[Date ]]</f>
        <v>0.70833333333575865</v>
      </c>
      <c r="O1130" s="5">
        <f>Table1[[#This Row],[Company]]</f>
        <v>4</v>
      </c>
      <c r="P1130">
        <f>IF(((Table1[[#This Row],[Arrived]]-Table1[[#This Row],[Delivery]])*24-Table1[[#This Row],[Promised]])&lt;0, 0, (Table1[[#This Row],[Arrived]]-Table1[[#This Row],[Delivery]])*24-Table1[[#This Row],[Promised]])</f>
        <v>0</v>
      </c>
      <c r="Q1130"/>
    </row>
    <row r="1131" spans="1:17" hidden="1" x14ac:dyDescent="0.45">
      <c r="A1131" s="3">
        <v>45301.75</v>
      </c>
      <c r="B1131" t="s">
        <v>12</v>
      </c>
      <c r="C1131">
        <v>6</v>
      </c>
      <c r="D1131">
        <v>15</v>
      </c>
      <c r="E1131" t="s">
        <v>17</v>
      </c>
      <c r="F1131">
        <v>315</v>
      </c>
      <c r="G1131">
        <v>1100</v>
      </c>
      <c r="H1131">
        <v>346500</v>
      </c>
      <c r="I1131" s="3">
        <v>45301.791666666664</v>
      </c>
      <c r="J1131">
        <v>72</v>
      </c>
      <c r="K1131" s="3">
        <v>45304.791666666664</v>
      </c>
      <c r="L1131" s="4">
        <f>ROUNDDOWN(Table1[[#This Row],[Ordered]],0)</f>
        <v>45301</v>
      </c>
      <c r="M1131" s="4">
        <f>Table1[[#This Row],[Date ]]</f>
        <v>45301</v>
      </c>
      <c r="N1131" s="5">
        <f>Table1[[#This Row],[Ordered]]-Table1[[#This Row],[Date ]]</f>
        <v>0.75</v>
      </c>
      <c r="O1131" s="5">
        <f>Table1[[#This Row],[Company]]</f>
        <v>6</v>
      </c>
      <c r="P1131">
        <f>IF(((Table1[[#This Row],[Arrived]]-Table1[[#This Row],[Delivery]])*24-Table1[[#This Row],[Promised]])&lt;0, 0, (Table1[[#This Row],[Arrived]]-Table1[[#This Row],[Delivery]])*24-Table1[[#This Row],[Promised]])</f>
        <v>0</v>
      </c>
      <c r="Q1131"/>
    </row>
    <row r="1132" spans="1:17" hidden="1" x14ac:dyDescent="0.45">
      <c r="A1132" s="3">
        <v>45301.75</v>
      </c>
      <c r="B1132" t="s">
        <v>12</v>
      </c>
      <c r="C1132">
        <v>6</v>
      </c>
      <c r="D1132">
        <v>15</v>
      </c>
      <c r="E1132" t="s">
        <v>17</v>
      </c>
      <c r="F1132">
        <v>315</v>
      </c>
      <c r="G1132">
        <v>1100</v>
      </c>
      <c r="H1132">
        <v>346500</v>
      </c>
      <c r="I1132" s="3">
        <v>45301.791666666664</v>
      </c>
      <c r="J1132">
        <v>72</v>
      </c>
      <c r="K1132" s="3">
        <v>45304.791666666664</v>
      </c>
      <c r="L1132" s="4">
        <f>ROUNDDOWN(Table1[[#This Row],[Ordered]],0)</f>
        <v>45301</v>
      </c>
      <c r="M1132" s="4">
        <f>Table1[[#This Row],[Date ]]</f>
        <v>45301</v>
      </c>
      <c r="N1132" s="5">
        <f>Table1[[#This Row],[Ordered]]-Table1[[#This Row],[Date ]]</f>
        <v>0.75</v>
      </c>
      <c r="O1132">
        <f>Table1[[#This Row],[Company]]</f>
        <v>6</v>
      </c>
      <c r="P1132">
        <f>IF(((Table1[[#This Row],[Arrived]]-Table1[[#This Row],[Delivery]])*24-Table1[[#This Row],[Promised]])&lt;0, 0, (Table1[[#This Row],[Arrived]]-Table1[[#This Row],[Delivery]])*24-Table1[[#This Row],[Promised]])</f>
        <v>0</v>
      </c>
      <c r="Q1132"/>
    </row>
    <row r="1133" spans="1:17" hidden="1" x14ac:dyDescent="0.45">
      <c r="A1133" s="3">
        <v>45301.875</v>
      </c>
      <c r="B1133" t="s">
        <v>12</v>
      </c>
      <c r="C1133">
        <v>2</v>
      </c>
      <c r="D1133">
        <v>7</v>
      </c>
      <c r="E1133" t="s">
        <v>17</v>
      </c>
      <c r="F1133">
        <v>100</v>
      </c>
      <c r="G1133">
        <v>1800</v>
      </c>
      <c r="H1133">
        <v>180000</v>
      </c>
      <c r="I1133" s="3">
        <v>45301.916666666664</v>
      </c>
      <c r="J1133">
        <v>24</v>
      </c>
      <c r="K1133" s="3">
        <v>45302.916666666664</v>
      </c>
      <c r="L1133" s="4">
        <f>ROUNDDOWN(Table1[[#This Row],[Ordered]],0)</f>
        <v>45301</v>
      </c>
      <c r="M1133" s="4">
        <f>Table1[[#This Row],[Date ]]</f>
        <v>45301</v>
      </c>
      <c r="N1133" s="5">
        <f>Table1[[#This Row],[Ordered]]-Table1[[#This Row],[Date ]]</f>
        <v>0.875</v>
      </c>
      <c r="O1133">
        <f>Table1[[#This Row],[Company]]</f>
        <v>2</v>
      </c>
      <c r="P1133">
        <f>IF(((Table1[[#This Row],[Arrived]]-Table1[[#This Row],[Delivery]])*24-Table1[[#This Row],[Promised]])&lt;0, 0, (Table1[[#This Row],[Arrived]]-Table1[[#This Row],[Delivery]])*24-Table1[[#This Row],[Promised]])</f>
        <v>0</v>
      </c>
      <c r="Q1133"/>
    </row>
    <row r="1134" spans="1:17" hidden="1" x14ac:dyDescent="0.45">
      <c r="A1134" s="3">
        <v>45301.875</v>
      </c>
      <c r="B1134" t="s">
        <v>12</v>
      </c>
      <c r="C1134">
        <v>1</v>
      </c>
      <c r="D1134">
        <v>14</v>
      </c>
      <c r="E1134" t="s">
        <v>17</v>
      </c>
      <c r="F1134">
        <v>300</v>
      </c>
      <c r="G1134">
        <v>1500</v>
      </c>
      <c r="H1134">
        <v>450000</v>
      </c>
      <c r="I1134" s="3">
        <v>45301.875</v>
      </c>
      <c r="J1134">
        <v>24</v>
      </c>
      <c r="K1134" s="3">
        <v>45302.875</v>
      </c>
      <c r="L1134" s="4">
        <f>ROUNDDOWN(Table1[[#This Row],[Ordered]],0)</f>
        <v>45301</v>
      </c>
      <c r="M1134" s="4">
        <f>Table1[[#This Row],[Date ]]</f>
        <v>45301</v>
      </c>
      <c r="N1134" s="5">
        <f>Table1[[#This Row],[Ordered]]-Table1[[#This Row],[Date ]]</f>
        <v>0.875</v>
      </c>
      <c r="O1134">
        <f>Table1[[#This Row],[Company]]</f>
        <v>1</v>
      </c>
      <c r="P1134">
        <f>IF(((Table1[[#This Row],[Arrived]]-Table1[[#This Row],[Delivery]])*24-Table1[[#This Row],[Promised]])&lt;0, 0, (Table1[[#This Row],[Arrived]]-Table1[[#This Row],[Delivery]])*24-Table1[[#This Row],[Promised]])</f>
        <v>0</v>
      </c>
      <c r="Q1134"/>
    </row>
    <row r="1135" spans="1:17" x14ac:dyDescent="0.45">
      <c r="A1135" s="3">
        <v>45301.916666666664</v>
      </c>
      <c r="B1135" t="s">
        <v>14</v>
      </c>
      <c r="C1135">
        <v>11</v>
      </c>
      <c r="D1135">
        <v>1006</v>
      </c>
      <c r="E1135" t="s">
        <v>16</v>
      </c>
      <c r="F1135">
        <v>33</v>
      </c>
      <c r="G1135">
        <v>4050</v>
      </c>
      <c r="H1135">
        <v>133650</v>
      </c>
      <c r="I1135" s="3">
        <v>45302.166666666664</v>
      </c>
      <c r="J1135">
        <v>96</v>
      </c>
      <c r="K1135" s="3">
        <v>45305.166666666664</v>
      </c>
      <c r="L1135" s="4">
        <f>ROUNDDOWN(Table1[[#This Row],[Ordered]],0)</f>
        <v>45301</v>
      </c>
      <c r="M1135" s="4">
        <f>Table1[[#This Row],[Date ]]</f>
        <v>45301</v>
      </c>
      <c r="N1135" s="5">
        <f>Table1[[#This Row],[Ordered]]-Table1[[#This Row],[Date ]]</f>
        <v>0.91666666666424135</v>
      </c>
      <c r="O1135">
        <f>Table1[[#This Row],[Company]]</f>
        <v>11</v>
      </c>
      <c r="P1135">
        <f>IF(((Table1[[#This Row],[Arrived]]-Table1[[#This Row],[Delivery]])*24-Table1[[#This Row],[Promised]])&lt;0, 0, (Table1[[#This Row],[Arrived]]-Table1[[#This Row],[Delivery]])*24-Table1[[#This Row],[Promised]])</f>
        <v>0</v>
      </c>
      <c r="Q1135"/>
    </row>
    <row r="1136" spans="1:17" x14ac:dyDescent="0.45">
      <c r="A1136" s="3">
        <v>45301.916666666664</v>
      </c>
      <c r="B1136" t="s">
        <v>14</v>
      </c>
      <c r="C1136">
        <v>16</v>
      </c>
      <c r="D1136">
        <v>1006</v>
      </c>
      <c r="E1136" t="s">
        <v>16</v>
      </c>
      <c r="F1136">
        <v>30</v>
      </c>
      <c r="G1136">
        <v>3750</v>
      </c>
      <c r="H1136">
        <v>112500</v>
      </c>
      <c r="I1136" s="3">
        <v>45302.083333333336</v>
      </c>
      <c r="J1136">
        <v>96</v>
      </c>
      <c r="K1136" s="3">
        <v>45305.083333333336</v>
      </c>
      <c r="L1136" s="4">
        <f>ROUNDDOWN(Table1[[#This Row],[Ordered]],0)</f>
        <v>45301</v>
      </c>
      <c r="M1136" s="4">
        <f>Table1[[#This Row],[Date ]]</f>
        <v>45301</v>
      </c>
      <c r="N1136" s="5">
        <f>Table1[[#This Row],[Ordered]]-Table1[[#This Row],[Date ]]</f>
        <v>0.91666666666424135</v>
      </c>
      <c r="O1136">
        <f>Table1[[#This Row],[Company]]</f>
        <v>16</v>
      </c>
      <c r="P1136">
        <f>IF(((Table1[[#This Row],[Arrived]]-Table1[[#This Row],[Delivery]])*24-Table1[[#This Row],[Promised]])&lt;0, 0, (Table1[[#This Row],[Arrived]]-Table1[[#This Row],[Delivery]])*24-Table1[[#This Row],[Promised]])</f>
        <v>0</v>
      </c>
      <c r="Q1136"/>
    </row>
    <row r="1137" spans="1:17" hidden="1" x14ac:dyDescent="0.45">
      <c r="A1137" s="3">
        <v>45301.916666666664</v>
      </c>
      <c r="B1137" t="s">
        <v>12</v>
      </c>
      <c r="C1137">
        <v>6</v>
      </c>
      <c r="D1137">
        <v>7</v>
      </c>
      <c r="E1137" t="s">
        <v>13</v>
      </c>
      <c r="F1137">
        <v>2079</v>
      </c>
      <c r="G1137">
        <v>110</v>
      </c>
      <c r="H1137">
        <v>228690</v>
      </c>
      <c r="I1137" s="3">
        <v>45301.916666666664</v>
      </c>
      <c r="J1137">
        <v>72</v>
      </c>
      <c r="K1137" s="3">
        <v>45304.916666666664</v>
      </c>
      <c r="L1137" s="4">
        <f>ROUNDDOWN(Table1[[#This Row],[Ordered]],0)</f>
        <v>45301</v>
      </c>
      <c r="M1137" s="4">
        <f>Table1[[#This Row],[Date ]]</f>
        <v>45301</v>
      </c>
      <c r="N1137" s="5">
        <f>Table1[[#This Row],[Ordered]]-Table1[[#This Row],[Date ]]</f>
        <v>0.91666666666424135</v>
      </c>
      <c r="O1137">
        <f>Table1[[#This Row],[Company]]</f>
        <v>6</v>
      </c>
      <c r="P1137">
        <f>IF(((Table1[[#This Row],[Arrived]]-Table1[[#This Row],[Delivery]])*24-Table1[[#This Row],[Promised]])&lt;0, 0, (Table1[[#This Row],[Arrived]]-Table1[[#This Row],[Delivery]])*24-Table1[[#This Row],[Promised]])</f>
        <v>0</v>
      </c>
      <c r="Q1137"/>
    </row>
    <row r="1138" spans="1:17" x14ac:dyDescent="0.45">
      <c r="A1138" s="3">
        <v>45301.916666666664</v>
      </c>
      <c r="B1138" t="s">
        <v>14</v>
      </c>
      <c r="C1138">
        <v>12</v>
      </c>
      <c r="D1138">
        <v>1006</v>
      </c>
      <c r="E1138" t="s">
        <v>16</v>
      </c>
      <c r="F1138">
        <v>15</v>
      </c>
      <c r="G1138">
        <v>4000</v>
      </c>
      <c r="H1138">
        <v>60000</v>
      </c>
      <c r="I1138" s="3">
        <v>45301.958333333336</v>
      </c>
      <c r="J1138">
        <v>60</v>
      </c>
      <c r="K1138" s="3">
        <v>45303.958333333336</v>
      </c>
      <c r="L1138" s="4">
        <f>ROUNDDOWN(Table1[[#This Row],[Ordered]],0)</f>
        <v>45301</v>
      </c>
      <c r="M1138" s="4">
        <f>Table1[[#This Row],[Date ]]</f>
        <v>45301</v>
      </c>
      <c r="N1138" s="5">
        <f>Table1[[#This Row],[Ordered]]-Table1[[#This Row],[Date ]]</f>
        <v>0.91666666666424135</v>
      </c>
      <c r="O1138">
        <f>Table1[[#This Row],[Company]]</f>
        <v>12</v>
      </c>
      <c r="P1138">
        <f>IF(((Table1[[#This Row],[Arrived]]-Table1[[#This Row],[Delivery]])*24-Table1[[#This Row],[Promised]])&lt;0, 0, (Table1[[#This Row],[Arrived]]-Table1[[#This Row],[Delivery]])*24-Table1[[#This Row],[Promised]])</f>
        <v>0</v>
      </c>
      <c r="Q1138"/>
    </row>
    <row r="1139" spans="1:17" x14ac:dyDescent="0.45">
      <c r="A1139" s="3">
        <v>45301.916666666664</v>
      </c>
      <c r="B1139" t="s">
        <v>14</v>
      </c>
      <c r="C1139">
        <v>15</v>
      </c>
      <c r="D1139">
        <v>1006</v>
      </c>
      <c r="E1139" t="s">
        <v>16</v>
      </c>
      <c r="F1139">
        <v>38</v>
      </c>
      <c r="G1139">
        <v>3750</v>
      </c>
      <c r="H1139">
        <v>142500</v>
      </c>
      <c r="I1139" s="3">
        <v>45302.25</v>
      </c>
      <c r="J1139">
        <v>96</v>
      </c>
      <c r="K1139" s="3">
        <v>45305.25</v>
      </c>
      <c r="L1139" s="4">
        <f>ROUNDDOWN(Table1[[#This Row],[Ordered]],0)</f>
        <v>45301</v>
      </c>
      <c r="M1139" s="4">
        <f>Table1[[#This Row],[Date ]]</f>
        <v>45301</v>
      </c>
      <c r="N1139" s="5">
        <f>Table1[[#This Row],[Ordered]]-Table1[[#This Row],[Date ]]</f>
        <v>0.91666666666424135</v>
      </c>
      <c r="O1139">
        <f>Table1[[#This Row],[Company]]</f>
        <v>15</v>
      </c>
      <c r="P1139">
        <f>IF(((Table1[[#This Row],[Arrived]]-Table1[[#This Row],[Delivery]])*24-Table1[[#This Row],[Promised]])&lt;0, 0, (Table1[[#This Row],[Arrived]]-Table1[[#This Row],[Delivery]])*24-Table1[[#This Row],[Promised]])</f>
        <v>0</v>
      </c>
      <c r="Q1139"/>
    </row>
    <row r="1140" spans="1:17" x14ac:dyDescent="0.45">
      <c r="A1140" s="3">
        <v>45301.916666666664</v>
      </c>
      <c r="B1140" t="s">
        <v>14</v>
      </c>
      <c r="C1140">
        <v>7</v>
      </c>
      <c r="D1140">
        <v>1006</v>
      </c>
      <c r="E1140" t="s">
        <v>16</v>
      </c>
      <c r="F1140">
        <v>30</v>
      </c>
      <c r="G1140">
        <v>3650</v>
      </c>
      <c r="H1140">
        <v>109500</v>
      </c>
      <c r="I1140" s="3">
        <v>45303.458333333336</v>
      </c>
      <c r="J1140">
        <v>96</v>
      </c>
      <c r="K1140" s="3">
        <v>45305.458333333336</v>
      </c>
      <c r="L1140" s="4">
        <f>ROUNDDOWN(Table1[[#This Row],[Ordered]],0)</f>
        <v>45301</v>
      </c>
      <c r="M1140" s="4">
        <f>Table1[[#This Row],[Date ]]</f>
        <v>45301</v>
      </c>
      <c r="N1140" s="5">
        <f>Table1[[#This Row],[Ordered]]-Table1[[#This Row],[Date ]]</f>
        <v>0.91666666666424135</v>
      </c>
      <c r="O1140">
        <f>Table1[[#This Row],[Company]]</f>
        <v>7</v>
      </c>
      <c r="P1140">
        <f>IF(((Table1[[#This Row],[Arrived]]-Table1[[#This Row],[Delivery]])*24-Table1[[#This Row],[Promised]])&lt;0, 0, (Table1[[#This Row],[Arrived]]-Table1[[#This Row],[Delivery]])*24-Table1[[#This Row],[Promised]])</f>
        <v>0</v>
      </c>
      <c r="Q1140"/>
    </row>
    <row r="1141" spans="1:17" x14ac:dyDescent="0.45">
      <c r="A1141" s="3">
        <v>45301.916666666664</v>
      </c>
      <c r="B1141" t="s">
        <v>14</v>
      </c>
      <c r="C1141">
        <v>9</v>
      </c>
      <c r="D1141">
        <v>1006</v>
      </c>
      <c r="E1141" t="s">
        <v>16</v>
      </c>
      <c r="F1141">
        <v>15</v>
      </c>
      <c r="G1141">
        <v>3900</v>
      </c>
      <c r="H1141">
        <v>58500</v>
      </c>
      <c r="I1141" s="3">
        <v>45301.916666666664</v>
      </c>
      <c r="J1141">
        <v>72</v>
      </c>
      <c r="K1141" s="3">
        <v>45304.916666666664</v>
      </c>
      <c r="L1141" s="4">
        <f>ROUNDDOWN(Table1[[#This Row],[Ordered]],0)</f>
        <v>45301</v>
      </c>
      <c r="M1141" s="4">
        <f>Table1[[#This Row],[Date ]]</f>
        <v>45301</v>
      </c>
      <c r="N1141" s="5">
        <f>Table1[[#This Row],[Ordered]]-Table1[[#This Row],[Date ]]</f>
        <v>0.91666666666424135</v>
      </c>
      <c r="O1141">
        <f>Table1[[#This Row],[Company]]</f>
        <v>9</v>
      </c>
      <c r="P1141">
        <f>IF(((Table1[[#This Row],[Arrived]]-Table1[[#This Row],[Delivery]])*24-Table1[[#This Row],[Promised]])&lt;0, 0, (Table1[[#This Row],[Arrived]]-Table1[[#This Row],[Delivery]])*24-Table1[[#This Row],[Promised]])</f>
        <v>0</v>
      </c>
      <c r="Q1141"/>
    </row>
    <row r="1142" spans="1:17" x14ac:dyDescent="0.45">
      <c r="A1142" s="3">
        <v>45301.916666666664</v>
      </c>
      <c r="B1142" t="s">
        <v>14</v>
      </c>
      <c r="C1142">
        <v>14</v>
      </c>
      <c r="D1142">
        <v>1006</v>
      </c>
      <c r="E1142" t="s">
        <v>16</v>
      </c>
      <c r="F1142">
        <v>30</v>
      </c>
      <c r="G1142">
        <v>3750</v>
      </c>
      <c r="H1142">
        <v>112500</v>
      </c>
      <c r="I1142" s="3">
        <v>45302.333333333336</v>
      </c>
      <c r="J1142">
        <v>96</v>
      </c>
      <c r="K1142" s="3">
        <v>45305.333333333336</v>
      </c>
      <c r="L1142" s="4">
        <f>ROUNDDOWN(Table1[[#This Row],[Ordered]],0)</f>
        <v>45301</v>
      </c>
      <c r="M1142" s="4">
        <f>Table1[[#This Row],[Date ]]</f>
        <v>45301</v>
      </c>
      <c r="N1142" s="5">
        <f>Table1[[#This Row],[Ordered]]-Table1[[#This Row],[Date ]]</f>
        <v>0.91666666666424135</v>
      </c>
      <c r="O1142">
        <f>Table1[[#This Row],[Company]]</f>
        <v>14</v>
      </c>
      <c r="P1142">
        <f>IF(((Table1[[#This Row],[Arrived]]-Table1[[#This Row],[Delivery]])*24-Table1[[#This Row],[Promised]])&lt;0, 0, (Table1[[#This Row],[Arrived]]-Table1[[#This Row],[Delivery]])*24-Table1[[#This Row],[Promised]])</f>
        <v>0</v>
      </c>
      <c r="Q1142"/>
    </row>
    <row r="1143" spans="1:17" x14ac:dyDescent="0.45">
      <c r="A1143" s="3">
        <v>45301.916666666664</v>
      </c>
      <c r="B1143" t="s">
        <v>14</v>
      </c>
      <c r="C1143">
        <v>8</v>
      </c>
      <c r="D1143">
        <v>1006</v>
      </c>
      <c r="E1143" t="s">
        <v>16</v>
      </c>
      <c r="F1143">
        <v>30</v>
      </c>
      <c r="G1143">
        <v>3800</v>
      </c>
      <c r="H1143">
        <v>114000</v>
      </c>
      <c r="I1143" s="3">
        <v>45302.875</v>
      </c>
      <c r="J1143">
        <v>96</v>
      </c>
      <c r="K1143" s="3">
        <v>45305.875</v>
      </c>
      <c r="L1143" s="4">
        <f>ROUNDDOWN(Table1[[#This Row],[Ordered]],0)</f>
        <v>45301</v>
      </c>
      <c r="M1143" s="4">
        <f>Table1[[#This Row],[Date ]]</f>
        <v>45301</v>
      </c>
      <c r="N1143" s="5">
        <f>Table1[[#This Row],[Ordered]]-Table1[[#This Row],[Date ]]</f>
        <v>0.91666666666424135</v>
      </c>
      <c r="O1143">
        <f>Table1[[#This Row],[Company]]</f>
        <v>8</v>
      </c>
      <c r="P1143">
        <f>IF(((Table1[[#This Row],[Arrived]]-Table1[[#This Row],[Delivery]])*24-Table1[[#This Row],[Promised]])&lt;0, 0, (Table1[[#This Row],[Arrived]]-Table1[[#This Row],[Delivery]])*24-Table1[[#This Row],[Promised]])</f>
        <v>0</v>
      </c>
      <c r="Q1143"/>
    </row>
    <row r="1144" spans="1:17" x14ac:dyDescent="0.45">
      <c r="A1144" s="3">
        <v>45301.916666666664</v>
      </c>
      <c r="B1144" t="s">
        <v>14</v>
      </c>
      <c r="C1144">
        <v>13</v>
      </c>
      <c r="D1144">
        <v>1006</v>
      </c>
      <c r="E1144" t="s">
        <v>16</v>
      </c>
      <c r="F1144">
        <v>30</v>
      </c>
      <c r="G1144">
        <v>3750</v>
      </c>
      <c r="H1144">
        <v>112500</v>
      </c>
      <c r="I1144" s="3">
        <v>45303.583333333336</v>
      </c>
      <c r="J1144">
        <v>96</v>
      </c>
      <c r="K1144" s="3">
        <v>45305.583333333336</v>
      </c>
      <c r="L1144" s="4">
        <f>ROUNDDOWN(Table1[[#This Row],[Ordered]],0)</f>
        <v>45301</v>
      </c>
      <c r="M1144" s="4">
        <f>Table1[[#This Row],[Date ]]</f>
        <v>45301</v>
      </c>
      <c r="N1144" s="5">
        <f>Table1[[#This Row],[Ordered]]-Table1[[#This Row],[Date ]]</f>
        <v>0.91666666666424135</v>
      </c>
      <c r="O1144">
        <f>Table1[[#This Row],[Company]]</f>
        <v>13</v>
      </c>
      <c r="P1144">
        <f>IF(((Table1[[#This Row],[Arrived]]-Table1[[#This Row],[Delivery]])*24-Table1[[#This Row],[Promised]])&lt;0, 0, (Table1[[#This Row],[Arrived]]-Table1[[#This Row],[Delivery]])*24-Table1[[#This Row],[Promised]])</f>
        <v>0</v>
      </c>
      <c r="Q1144"/>
    </row>
    <row r="1145" spans="1:17" hidden="1" x14ac:dyDescent="0.45">
      <c r="A1145" s="3">
        <v>45302</v>
      </c>
      <c r="B1145" t="s">
        <v>12</v>
      </c>
      <c r="C1145">
        <v>4</v>
      </c>
      <c r="D1145">
        <v>9</v>
      </c>
      <c r="E1145" t="s">
        <v>17</v>
      </c>
      <c r="F1145">
        <v>587</v>
      </c>
      <c r="G1145">
        <v>1350</v>
      </c>
      <c r="H1145">
        <v>792450</v>
      </c>
      <c r="I1145" s="3">
        <v>45302</v>
      </c>
      <c r="J1145">
        <v>72</v>
      </c>
      <c r="K1145" s="3">
        <v>45305</v>
      </c>
      <c r="L1145" s="4">
        <f>ROUNDDOWN(Table1[[#This Row],[Ordered]],0)</f>
        <v>45302</v>
      </c>
      <c r="M1145" s="4">
        <f>Table1[[#This Row],[Date ]]</f>
        <v>45302</v>
      </c>
      <c r="N1145" s="5">
        <f>Table1[[#This Row],[Ordered]]-Table1[[#This Row],[Date ]]</f>
        <v>0</v>
      </c>
      <c r="O1145">
        <f>Table1[[#This Row],[Company]]</f>
        <v>4</v>
      </c>
      <c r="P1145">
        <f>IF(((Table1[[#This Row],[Arrived]]-Table1[[#This Row],[Delivery]])*24-Table1[[#This Row],[Promised]])&lt;0, 0, (Table1[[#This Row],[Arrived]]-Table1[[#This Row],[Delivery]])*24-Table1[[#This Row],[Promised]])</f>
        <v>0</v>
      </c>
      <c r="Q1145"/>
    </row>
    <row r="1146" spans="1:17" hidden="1" x14ac:dyDescent="0.45">
      <c r="A1146" s="3">
        <v>45302.041666666664</v>
      </c>
      <c r="B1146" t="s">
        <v>12</v>
      </c>
      <c r="C1146">
        <v>5</v>
      </c>
      <c r="D1146">
        <v>16</v>
      </c>
      <c r="E1146" t="s">
        <v>17</v>
      </c>
      <c r="F1146">
        <v>333</v>
      </c>
      <c r="G1146">
        <v>1020</v>
      </c>
      <c r="H1146">
        <v>339660</v>
      </c>
      <c r="I1146" s="3">
        <v>45302.083333333336</v>
      </c>
      <c r="J1146">
        <v>24</v>
      </c>
      <c r="K1146" s="3">
        <v>45303.083333333336</v>
      </c>
      <c r="L1146" s="4">
        <f>ROUNDDOWN(Table1[[#This Row],[Ordered]],0)</f>
        <v>45302</v>
      </c>
      <c r="M1146" s="4">
        <f>Table1[[#This Row],[Date ]]</f>
        <v>45302</v>
      </c>
      <c r="N1146" s="5">
        <f>Table1[[#This Row],[Ordered]]-Table1[[#This Row],[Date ]]</f>
        <v>4.1666666664241347E-2</v>
      </c>
      <c r="O1146">
        <f>Table1[[#This Row],[Company]]</f>
        <v>5</v>
      </c>
      <c r="P1146">
        <f>IF(((Table1[[#This Row],[Arrived]]-Table1[[#This Row],[Delivery]])*24-Table1[[#This Row],[Promised]])&lt;0, 0, (Table1[[#This Row],[Arrived]]-Table1[[#This Row],[Delivery]])*24-Table1[[#This Row],[Promised]])</f>
        <v>0</v>
      </c>
      <c r="Q1146"/>
    </row>
    <row r="1147" spans="1:17" hidden="1" x14ac:dyDescent="0.45">
      <c r="A1147" s="3">
        <v>45302.083333333336</v>
      </c>
      <c r="B1147" t="s">
        <v>12</v>
      </c>
      <c r="C1147">
        <v>3</v>
      </c>
      <c r="D1147">
        <v>13</v>
      </c>
      <c r="E1147" t="s">
        <v>17</v>
      </c>
      <c r="F1147">
        <v>150</v>
      </c>
      <c r="G1147">
        <v>1240</v>
      </c>
      <c r="H1147">
        <v>186000</v>
      </c>
      <c r="I1147" s="3">
        <v>45302.25</v>
      </c>
      <c r="J1147">
        <v>72</v>
      </c>
      <c r="K1147" s="3">
        <v>45305.25</v>
      </c>
      <c r="L1147" s="4">
        <f>ROUNDDOWN(Table1[[#This Row],[Ordered]],0)</f>
        <v>45302</v>
      </c>
      <c r="M1147" s="4">
        <f>Table1[[#This Row],[Date ]]</f>
        <v>45302</v>
      </c>
      <c r="N1147" s="5">
        <f>Table1[[#This Row],[Ordered]]-Table1[[#This Row],[Date ]]</f>
        <v>8.3333333335758653E-2</v>
      </c>
      <c r="O1147">
        <f>Table1[[#This Row],[Company]]</f>
        <v>3</v>
      </c>
      <c r="P1147">
        <f>IF(((Table1[[#This Row],[Arrived]]-Table1[[#This Row],[Delivery]])*24-Table1[[#This Row],[Promised]])&lt;0, 0, (Table1[[#This Row],[Arrived]]-Table1[[#This Row],[Delivery]])*24-Table1[[#This Row],[Promised]])</f>
        <v>0</v>
      </c>
      <c r="Q1147"/>
    </row>
    <row r="1148" spans="1:17" hidden="1" x14ac:dyDescent="0.45">
      <c r="A1148" s="3">
        <v>45302.083333333336</v>
      </c>
      <c r="B1148" t="s">
        <v>12</v>
      </c>
      <c r="C1148">
        <v>5</v>
      </c>
      <c r="D1148">
        <v>16</v>
      </c>
      <c r="E1148" t="s">
        <v>13</v>
      </c>
      <c r="F1148">
        <v>1500</v>
      </c>
      <c r="G1148">
        <v>120</v>
      </c>
      <c r="H1148">
        <v>180000</v>
      </c>
      <c r="I1148" s="3">
        <v>45302.083333333336</v>
      </c>
      <c r="J1148">
        <v>24</v>
      </c>
      <c r="K1148" s="3">
        <v>45303.083333333336</v>
      </c>
      <c r="L1148" s="4">
        <f>ROUNDDOWN(Table1[[#This Row],[Ordered]],0)</f>
        <v>45302</v>
      </c>
      <c r="M1148" s="4">
        <f>Table1[[#This Row],[Date ]]</f>
        <v>45302</v>
      </c>
      <c r="N1148" s="5">
        <f>Table1[[#This Row],[Ordered]]-Table1[[#This Row],[Date ]]</f>
        <v>8.3333333335758653E-2</v>
      </c>
      <c r="O1148" s="5">
        <f>Table1[[#This Row],[Company]]</f>
        <v>5</v>
      </c>
      <c r="P1148">
        <f>IF(((Table1[[#This Row],[Arrived]]-Table1[[#This Row],[Delivery]])*24-Table1[[#This Row],[Promised]])&lt;0, 0, (Table1[[#This Row],[Arrived]]-Table1[[#This Row],[Delivery]])*24-Table1[[#This Row],[Promised]])</f>
        <v>0</v>
      </c>
      <c r="Q1148"/>
    </row>
    <row r="1149" spans="1:17" hidden="1" x14ac:dyDescent="0.45">
      <c r="A1149" s="3">
        <v>45302.083333333336</v>
      </c>
      <c r="B1149" t="s">
        <v>12</v>
      </c>
      <c r="C1149">
        <v>16</v>
      </c>
      <c r="D1149">
        <v>5</v>
      </c>
      <c r="E1149" t="s">
        <v>20</v>
      </c>
      <c r="F1149">
        <v>408</v>
      </c>
      <c r="G1149">
        <v>5</v>
      </c>
      <c r="H1149">
        <v>2040</v>
      </c>
      <c r="I1149" s="3">
        <v>45302.083333333336</v>
      </c>
      <c r="J1149">
        <v>72</v>
      </c>
      <c r="K1149" s="3">
        <v>45305.083333333336</v>
      </c>
      <c r="L1149" s="4">
        <f>ROUNDDOWN(Table1[[#This Row],[Ordered]],0)</f>
        <v>45302</v>
      </c>
      <c r="M1149" s="4">
        <f>Table1[[#This Row],[Date ]]</f>
        <v>45302</v>
      </c>
      <c r="N1149" s="5">
        <f>Table1[[#This Row],[Ordered]]-Table1[[#This Row],[Date ]]</f>
        <v>8.3333333335758653E-2</v>
      </c>
      <c r="O1149">
        <f>Table1[[#This Row],[Company]]</f>
        <v>16</v>
      </c>
      <c r="P1149">
        <f>IF(((Table1[[#This Row],[Arrived]]-Table1[[#This Row],[Delivery]])*24-Table1[[#This Row],[Promised]])&lt;0, 0, (Table1[[#This Row],[Arrived]]-Table1[[#This Row],[Delivery]])*24-Table1[[#This Row],[Promised]])</f>
        <v>0</v>
      </c>
      <c r="Q1149"/>
    </row>
    <row r="1150" spans="1:17" hidden="1" x14ac:dyDescent="0.45">
      <c r="A1150" s="3">
        <v>45302.083333333336</v>
      </c>
      <c r="B1150" t="s">
        <v>12</v>
      </c>
      <c r="C1150">
        <v>1</v>
      </c>
      <c r="D1150">
        <v>10</v>
      </c>
      <c r="E1150" t="s">
        <v>17</v>
      </c>
      <c r="F1150">
        <v>300</v>
      </c>
      <c r="G1150">
        <v>1600</v>
      </c>
      <c r="H1150">
        <v>480000</v>
      </c>
      <c r="I1150" s="3">
        <v>45302.083333333336</v>
      </c>
      <c r="J1150">
        <v>72</v>
      </c>
      <c r="K1150" s="3">
        <v>45305.083333333336</v>
      </c>
      <c r="L1150" s="4">
        <f>ROUNDDOWN(Table1[[#This Row],[Ordered]],0)</f>
        <v>45302</v>
      </c>
      <c r="M1150" s="4">
        <f>Table1[[#This Row],[Date ]]</f>
        <v>45302</v>
      </c>
      <c r="N1150" s="5">
        <f>Table1[[#This Row],[Ordered]]-Table1[[#This Row],[Date ]]</f>
        <v>8.3333333335758653E-2</v>
      </c>
      <c r="O1150">
        <f>Table1[[#This Row],[Company]]</f>
        <v>1</v>
      </c>
      <c r="P1150">
        <f>IF(((Table1[[#This Row],[Arrived]]-Table1[[#This Row],[Delivery]])*24-Table1[[#This Row],[Promised]])&lt;0, 0, (Table1[[#This Row],[Arrived]]-Table1[[#This Row],[Delivery]])*24-Table1[[#This Row],[Promised]])</f>
        <v>0</v>
      </c>
      <c r="Q1150"/>
    </row>
    <row r="1151" spans="1:17" hidden="1" x14ac:dyDescent="0.45">
      <c r="A1151" s="3">
        <v>45302.083333333336</v>
      </c>
      <c r="B1151" t="s">
        <v>12</v>
      </c>
      <c r="C1151">
        <v>2</v>
      </c>
      <c r="D1151">
        <v>9</v>
      </c>
      <c r="E1151" t="s">
        <v>17</v>
      </c>
      <c r="F1151">
        <v>20</v>
      </c>
      <c r="G1151">
        <v>1800</v>
      </c>
      <c r="H1151">
        <v>36000</v>
      </c>
      <c r="I1151" s="3">
        <v>45302.083333333336</v>
      </c>
      <c r="J1151">
        <v>24</v>
      </c>
      <c r="K1151" s="3">
        <v>45303.083333333336</v>
      </c>
      <c r="L1151" s="4">
        <f>ROUNDDOWN(Table1[[#This Row],[Ordered]],0)</f>
        <v>45302</v>
      </c>
      <c r="M1151" s="4">
        <f>Table1[[#This Row],[Date ]]</f>
        <v>45302</v>
      </c>
      <c r="N1151" s="5">
        <f>Table1[[#This Row],[Ordered]]-Table1[[#This Row],[Date ]]</f>
        <v>8.3333333335758653E-2</v>
      </c>
      <c r="O1151">
        <f>Table1[[#This Row],[Company]]</f>
        <v>2</v>
      </c>
      <c r="P1151">
        <f>IF(((Table1[[#This Row],[Arrived]]-Table1[[#This Row],[Delivery]])*24-Table1[[#This Row],[Promised]])&lt;0, 0, (Table1[[#This Row],[Arrived]]-Table1[[#This Row],[Delivery]])*24-Table1[[#This Row],[Promised]])</f>
        <v>0</v>
      </c>
      <c r="Q1151"/>
    </row>
    <row r="1152" spans="1:17" hidden="1" x14ac:dyDescent="0.45">
      <c r="A1152" s="3">
        <v>45302.083333333336</v>
      </c>
      <c r="B1152" t="s">
        <v>12</v>
      </c>
      <c r="C1152">
        <v>3</v>
      </c>
      <c r="D1152">
        <v>12</v>
      </c>
      <c r="E1152" t="s">
        <v>13</v>
      </c>
      <c r="F1152">
        <v>2700</v>
      </c>
      <c r="G1152">
        <v>120</v>
      </c>
      <c r="H1152">
        <v>324000</v>
      </c>
      <c r="I1152" s="3">
        <v>45302.083333333336</v>
      </c>
      <c r="J1152">
        <v>72</v>
      </c>
      <c r="K1152" s="3">
        <v>45305.083333333336</v>
      </c>
      <c r="L1152" s="4">
        <f>ROUNDDOWN(Table1[[#This Row],[Ordered]],0)</f>
        <v>45302</v>
      </c>
      <c r="M1152" s="4">
        <f>Table1[[#This Row],[Date ]]</f>
        <v>45302</v>
      </c>
      <c r="N1152" s="5">
        <f>Table1[[#This Row],[Ordered]]-Table1[[#This Row],[Date ]]</f>
        <v>8.3333333335758653E-2</v>
      </c>
      <c r="O1152" s="5">
        <f>Table1[[#This Row],[Company]]</f>
        <v>3</v>
      </c>
      <c r="P1152">
        <f>IF(((Table1[[#This Row],[Arrived]]-Table1[[#This Row],[Delivery]])*24-Table1[[#This Row],[Promised]])&lt;0, 0, (Table1[[#This Row],[Arrived]]-Table1[[#This Row],[Delivery]])*24-Table1[[#This Row],[Promised]])</f>
        <v>0</v>
      </c>
      <c r="Q1152"/>
    </row>
    <row r="1153" spans="1:17" hidden="1" x14ac:dyDescent="0.45">
      <c r="A1153" s="3">
        <v>45302.083333333336</v>
      </c>
      <c r="B1153" t="s">
        <v>12</v>
      </c>
      <c r="C1153">
        <v>3</v>
      </c>
      <c r="D1153">
        <v>12</v>
      </c>
      <c r="E1153" t="s">
        <v>17</v>
      </c>
      <c r="F1153">
        <v>150</v>
      </c>
      <c r="G1153">
        <v>1190</v>
      </c>
      <c r="H1153">
        <v>178500</v>
      </c>
      <c r="I1153" s="3">
        <v>45302.083333333336</v>
      </c>
      <c r="J1153">
        <v>24</v>
      </c>
      <c r="K1153" s="3">
        <v>45303.083333333336</v>
      </c>
      <c r="L1153" s="4">
        <f>ROUNDDOWN(Table1[[#This Row],[Ordered]],0)</f>
        <v>45302</v>
      </c>
      <c r="M1153" s="4">
        <f>Table1[[#This Row],[Date ]]</f>
        <v>45302</v>
      </c>
      <c r="N1153" s="5">
        <f>Table1[[#This Row],[Ordered]]-Table1[[#This Row],[Date ]]</f>
        <v>8.3333333335758653E-2</v>
      </c>
      <c r="O1153" s="5">
        <f>Table1[[#This Row],[Company]]</f>
        <v>3</v>
      </c>
      <c r="P1153">
        <f>IF(((Table1[[#This Row],[Arrived]]-Table1[[#This Row],[Delivery]])*24-Table1[[#This Row],[Promised]])&lt;0, 0, (Table1[[#This Row],[Arrived]]-Table1[[#This Row],[Delivery]])*24-Table1[[#This Row],[Promised]])</f>
        <v>0</v>
      </c>
      <c r="Q1153"/>
    </row>
    <row r="1154" spans="1:17" x14ac:dyDescent="0.45">
      <c r="A1154" s="3">
        <v>45302.166666666664</v>
      </c>
      <c r="B1154" t="s">
        <v>14</v>
      </c>
      <c r="C1154">
        <v>9</v>
      </c>
      <c r="D1154">
        <v>1006</v>
      </c>
      <c r="E1154" t="s">
        <v>15</v>
      </c>
      <c r="F1154">
        <v>15</v>
      </c>
      <c r="G1154">
        <v>6700</v>
      </c>
      <c r="H1154">
        <v>100500</v>
      </c>
      <c r="I1154" s="3">
        <v>45302.166666666664</v>
      </c>
      <c r="J1154">
        <v>72</v>
      </c>
      <c r="K1154" s="3">
        <v>45305.208333333336</v>
      </c>
      <c r="L1154" s="4">
        <f>ROUNDDOWN(Table1[[#This Row],[Ordered]],0)</f>
        <v>45302</v>
      </c>
      <c r="M1154" s="4">
        <f>Table1[[#This Row],[Date ]]</f>
        <v>45302</v>
      </c>
      <c r="N1154" s="5">
        <f>Table1[[#This Row],[Ordered]]-Table1[[#This Row],[Date ]]</f>
        <v>0.16666666666424135</v>
      </c>
      <c r="O1154">
        <f>Table1[[#This Row],[Company]]</f>
        <v>9</v>
      </c>
      <c r="P1154">
        <f>IF(((Table1[[#This Row],[Arrived]]-Table1[[#This Row],[Delivery]])*24-Table1[[#This Row],[Promised]])&lt;0, 0, (Table1[[#This Row],[Arrived]]-Table1[[#This Row],[Delivery]])*24-Table1[[#This Row],[Promised]])</f>
        <v>1.0000000001164153</v>
      </c>
      <c r="Q1154"/>
    </row>
    <row r="1155" spans="1:17" x14ac:dyDescent="0.45">
      <c r="A1155" s="3">
        <v>45302.166666666664</v>
      </c>
      <c r="B1155" t="s">
        <v>14</v>
      </c>
      <c r="C1155">
        <v>10</v>
      </c>
      <c r="D1155">
        <v>1006</v>
      </c>
      <c r="E1155" t="s">
        <v>15</v>
      </c>
      <c r="F1155">
        <v>10</v>
      </c>
      <c r="G1155">
        <v>6600</v>
      </c>
      <c r="H1155">
        <v>66000</v>
      </c>
      <c r="I1155" s="3">
        <v>45302.208333333336</v>
      </c>
      <c r="J1155">
        <v>84</v>
      </c>
      <c r="K1155" s="3">
        <v>45305.375</v>
      </c>
      <c r="L1155" s="4">
        <f>ROUNDDOWN(Table1[[#This Row],[Ordered]],0)</f>
        <v>45302</v>
      </c>
      <c r="M1155" s="4">
        <f>Table1[[#This Row],[Date ]]</f>
        <v>45302</v>
      </c>
      <c r="N1155" s="5">
        <f>Table1[[#This Row],[Ordered]]-Table1[[#This Row],[Date ]]</f>
        <v>0.16666666666424135</v>
      </c>
      <c r="O1155">
        <f>Table1[[#This Row],[Company]]</f>
        <v>10</v>
      </c>
      <c r="P1155">
        <f>IF(((Table1[[#This Row],[Arrived]]-Table1[[#This Row],[Delivery]])*24-Table1[[#This Row],[Promised]])&lt;0, 0, (Table1[[#This Row],[Arrived]]-Table1[[#This Row],[Delivery]])*24-Table1[[#This Row],[Promised]])</f>
        <v>0</v>
      </c>
      <c r="Q1155"/>
    </row>
    <row r="1156" spans="1:17" x14ac:dyDescent="0.45">
      <c r="A1156" s="3">
        <v>45302.166666666664</v>
      </c>
      <c r="B1156" t="s">
        <v>14</v>
      </c>
      <c r="C1156">
        <v>14</v>
      </c>
      <c r="D1156">
        <v>1006</v>
      </c>
      <c r="E1156" t="s">
        <v>15</v>
      </c>
      <c r="F1156">
        <v>6</v>
      </c>
      <c r="G1156">
        <v>6650</v>
      </c>
      <c r="H1156">
        <v>39900</v>
      </c>
      <c r="I1156" s="3">
        <v>45302.958333333336</v>
      </c>
      <c r="J1156">
        <v>96</v>
      </c>
      <c r="K1156" s="3">
        <v>45305.958333333336</v>
      </c>
      <c r="L1156" s="4">
        <f>ROUNDDOWN(Table1[[#This Row],[Ordered]],0)</f>
        <v>45302</v>
      </c>
      <c r="M1156" s="4">
        <f>Table1[[#This Row],[Date ]]</f>
        <v>45302</v>
      </c>
      <c r="N1156" s="5">
        <f>Table1[[#This Row],[Ordered]]-Table1[[#This Row],[Date ]]</f>
        <v>0.16666666666424135</v>
      </c>
      <c r="O1156">
        <f>Table1[[#This Row],[Company]]</f>
        <v>14</v>
      </c>
      <c r="P1156">
        <f>IF(((Table1[[#This Row],[Arrived]]-Table1[[#This Row],[Delivery]])*24-Table1[[#This Row],[Promised]])&lt;0, 0, (Table1[[#This Row],[Arrived]]-Table1[[#This Row],[Delivery]])*24-Table1[[#This Row],[Promised]])</f>
        <v>0</v>
      </c>
      <c r="Q1156"/>
    </row>
    <row r="1157" spans="1:17" x14ac:dyDescent="0.45">
      <c r="A1157" s="3">
        <v>45302.166666666664</v>
      </c>
      <c r="B1157" t="s">
        <v>14</v>
      </c>
      <c r="C1157">
        <v>15</v>
      </c>
      <c r="D1157">
        <v>1006</v>
      </c>
      <c r="E1157" t="s">
        <v>15</v>
      </c>
      <c r="F1157">
        <v>17</v>
      </c>
      <c r="G1157">
        <v>6000</v>
      </c>
      <c r="H1157">
        <v>102000</v>
      </c>
      <c r="I1157" s="3">
        <v>45302.333333333336</v>
      </c>
      <c r="J1157">
        <v>68</v>
      </c>
      <c r="K1157" s="3">
        <v>45304.333333333336</v>
      </c>
      <c r="L1157" s="4">
        <f>ROUNDDOWN(Table1[[#This Row],[Ordered]],0)</f>
        <v>45302</v>
      </c>
      <c r="M1157" s="4">
        <f>Table1[[#This Row],[Date ]]</f>
        <v>45302</v>
      </c>
      <c r="N1157" s="5">
        <f>Table1[[#This Row],[Ordered]]-Table1[[#This Row],[Date ]]</f>
        <v>0.16666666666424135</v>
      </c>
      <c r="O1157">
        <f>Table1[[#This Row],[Company]]</f>
        <v>15</v>
      </c>
      <c r="P1157">
        <f>IF(((Table1[[#This Row],[Arrived]]-Table1[[#This Row],[Delivery]])*24-Table1[[#This Row],[Promised]])&lt;0, 0, (Table1[[#This Row],[Arrived]]-Table1[[#This Row],[Delivery]])*24-Table1[[#This Row],[Promised]])</f>
        <v>0</v>
      </c>
      <c r="Q1157"/>
    </row>
    <row r="1158" spans="1:17" x14ac:dyDescent="0.45">
      <c r="A1158" s="3">
        <v>45302.166666666664</v>
      </c>
      <c r="B1158" t="s">
        <v>14</v>
      </c>
      <c r="C1158">
        <v>8</v>
      </c>
      <c r="D1158">
        <v>1006</v>
      </c>
      <c r="E1158" t="s">
        <v>15</v>
      </c>
      <c r="F1158">
        <v>20</v>
      </c>
      <c r="G1158">
        <v>5450</v>
      </c>
      <c r="H1158">
        <v>109000</v>
      </c>
      <c r="I1158" s="3">
        <v>45302.791666666664</v>
      </c>
      <c r="J1158">
        <v>96</v>
      </c>
      <c r="K1158" s="3">
        <v>45305.916666666664</v>
      </c>
      <c r="L1158" s="4">
        <f>ROUNDDOWN(Table1[[#This Row],[Ordered]],0)</f>
        <v>45302</v>
      </c>
      <c r="M1158" s="4">
        <f>Table1[[#This Row],[Date ]]</f>
        <v>45302</v>
      </c>
      <c r="N1158" s="5">
        <f>Table1[[#This Row],[Ordered]]-Table1[[#This Row],[Date ]]</f>
        <v>0.16666666666424135</v>
      </c>
      <c r="O1158">
        <f>Table1[[#This Row],[Company]]</f>
        <v>8</v>
      </c>
      <c r="P1158">
        <f>IF(((Table1[[#This Row],[Arrived]]-Table1[[#This Row],[Delivery]])*24-Table1[[#This Row],[Promised]])&lt;0, 0, (Table1[[#This Row],[Arrived]]-Table1[[#This Row],[Delivery]])*24-Table1[[#This Row],[Promised]])</f>
        <v>0</v>
      </c>
      <c r="Q1158"/>
    </row>
    <row r="1159" spans="1:17" hidden="1" x14ac:dyDescent="0.45">
      <c r="A1159" s="3">
        <v>45302.166666666664</v>
      </c>
      <c r="B1159" t="s">
        <v>12</v>
      </c>
      <c r="C1159">
        <v>9</v>
      </c>
      <c r="D1159">
        <v>4</v>
      </c>
      <c r="E1159" t="s">
        <v>20</v>
      </c>
      <c r="F1159">
        <v>56</v>
      </c>
      <c r="G1159">
        <v>25</v>
      </c>
      <c r="H1159">
        <v>1400</v>
      </c>
      <c r="I1159" s="3">
        <v>45302.5</v>
      </c>
      <c r="J1159">
        <v>72</v>
      </c>
      <c r="K1159" s="3">
        <v>45305.5</v>
      </c>
      <c r="L1159" s="4">
        <f>ROUNDDOWN(Table1[[#This Row],[Ordered]],0)</f>
        <v>45302</v>
      </c>
      <c r="M1159" s="4">
        <f>Table1[[#This Row],[Date ]]</f>
        <v>45302</v>
      </c>
      <c r="N1159" s="5">
        <f>Table1[[#This Row],[Ordered]]-Table1[[#This Row],[Date ]]</f>
        <v>0.16666666666424135</v>
      </c>
      <c r="O1159">
        <f>Table1[[#This Row],[Company]]</f>
        <v>9</v>
      </c>
      <c r="P1159">
        <f>IF(((Table1[[#This Row],[Arrived]]-Table1[[#This Row],[Delivery]])*24-Table1[[#This Row],[Promised]])&lt;0, 0, (Table1[[#This Row],[Arrived]]-Table1[[#This Row],[Delivery]])*24-Table1[[#This Row],[Promised]])</f>
        <v>0</v>
      </c>
      <c r="Q1159"/>
    </row>
    <row r="1160" spans="1:17" x14ac:dyDescent="0.45">
      <c r="A1160" s="3">
        <v>45302.166666666664</v>
      </c>
      <c r="B1160" t="s">
        <v>14</v>
      </c>
      <c r="C1160">
        <v>16</v>
      </c>
      <c r="D1160">
        <v>1006</v>
      </c>
      <c r="E1160" t="s">
        <v>15</v>
      </c>
      <c r="F1160">
        <v>13</v>
      </c>
      <c r="G1160">
        <v>6650</v>
      </c>
      <c r="H1160">
        <v>86450</v>
      </c>
      <c r="I1160" s="3">
        <v>45302.25</v>
      </c>
      <c r="J1160">
        <v>96</v>
      </c>
      <c r="K1160" s="3">
        <v>45305.25</v>
      </c>
      <c r="L1160" s="4">
        <f>ROUNDDOWN(Table1[[#This Row],[Ordered]],0)</f>
        <v>45302</v>
      </c>
      <c r="M1160" s="4">
        <f>Table1[[#This Row],[Date ]]</f>
        <v>45302</v>
      </c>
      <c r="N1160" s="5">
        <f>Table1[[#This Row],[Ordered]]-Table1[[#This Row],[Date ]]</f>
        <v>0.16666666666424135</v>
      </c>
      <c r="O1160">
        <f>Table1[[#This Row],[Company]]</f>
        <v>16</v>
      </c>
      <c r="P1160">
        <f>IF(((Table1[[#This Row],[Arrived]]-Table1[[#This Row],[Delivery]])*24-Table1[[#This Row],[Promised]])&lt;0, 0, (Table1[[#This Row],[Arrived]]-Table1[[#This Row],[Delivery]])*24-Table1[[#This Row],[Promised]])</f>
        <v>0</v>
      </c>
      <c r="Q1160"/>
    </row>
    <row r="1161" spans="1:17" x14ac:dyDescent="0.45">
      <c r="A1161" s="3">
        <v>45302.166666666664</v>
      </c>
      <c r="B1161" t="s">
        <v>14</v>
      </c>
      <c r="C1161">
        <v>12</v>
      </c>
      <c r="D1161">
        <v>1006</v>
      </c>
      <c r="E1161" t="s">
        <v>15</v>
      </c>
      <c r="F1161">
        <v>12</v>
      </c>
      <c r="G1161">
        <v>6900</v>
      </c>
      <c r="H1161">
        <v>82800</v>
      </c>
      <c r="I1161" s="3">
        <v>45302.166666666664</v>
      </c>
      <c r="J1161">
        <v>84</v>
      </c>
      <c r="K1161" s="3">
        <v>45305.166666666664</v>
      </c>
      <c r="L1161" s="4">
        <f>ROUNDDOWN(Table1[[#This Row],[Ordered]],0)</f>
        <v>45302</v>
      </c>
      <c r="M1161" s="4">
        <f>Table1[[#This Row],[Date ]]</f>
        <v>45302</v>
      </c>
      <c r="N1161" s="5">
        <f>Table1[[#This Row],[Ordered]]-Table1[[#This Row],[Date ]]</f>
        <v>0.16666666666424135</v>
      </c>
      <c r="O1161">
        <f>Table1[[#This Row],[Company]]</f>
        <v>12</v>
      </c>
      <c r="P1161">
        <f>IF(((Table1[[#This Row],[Arrived]]-Table1[[#This Row],[Delivery]])*24-Table1[[#This Row],[Promised]])&lt;0, 0, (Table1[[#This Row],[Arrived]]-Table1[[#This Row],[Delivery]])*24-Table1[[#This Row],[Promised]])</f>
        <v>0</v>
      </c>
      <c r="Q1161"/>
    </row>
    <row r="1162" spans="1:17" x14ac:dyDescent="0.45">
      <c r="A1162" s="3">
        <v>45302.166666666664</v>
      </c>
      <c r="B1162" t="s">
        <v>14</v>
      </c>
      <c r="C1162">
        <v>7</v>
      </c>
      <c r="D1162">
        <v>1006</v>
      </c>
      <c r="E1162" t="s">
        <v>15</v>
      </c>
      <c r="F1162">
        <v>8</v>
      </c>
      <c r="G1162">
        <v>6650</v>
      </c>
      <c r="H1162">
        <v>53200</v>
      </c>
      <c r="I1162" s="3">
        <v>45302.541666666664</v>
      </c>
      <c r="J1162">
        <v>96</v>
      </c>
      <c r="K1162" s="3">
        <v>45305.541666666664</v>
      </c>
      <c r="L1162" s="4">
        <f>ROUNDDOWN(Table1[[#This Row],[Ordered]],0)</f>
        <v>45302</v>
      </c>
      <c r="M1162" s="4">
        <f>Table1[[#This Row],[Date ]]</f>
        <v>45302</v>
      </c>
      <c r="N1162" s="5">
        <f>Table1[[#This Row],[Ordered]]-Table1[[#This Row],[Date ]]</f>
        <v>0.16666666666424135</v>
      </c>
      <c r="O1162">
        <f>Table1[[#This Row],[Company]]</f>
        <v>7</v>
      </c>
      <c r="P1162">
        <f>IF(((Table1[[#This Row],[Arrived]]-Table1[[#This Row],[Delivery]])*24-Table1[[#This Row],[Promised]])&lt;0, 0, (Table1[[#This Row],[Arrived]]-Table1[[#This Row],[Delivery]])*24-Table1[[#This Row],[Promised]])</f>
        <v>0</v>
      </c>
      <c r="Q1162"/>
    </row>
    <row r="1163" spans="1:17" x14ac:dyDescent="0.45">
      <c r="A1163" s="3">
        <v>45302.166666666664</v>
      </c>
      <c r="B1163" t="s">
        <v>14</v>
      </c>
      <c r="C1163">
        <v>13</v>
      </c>
      <c r="D1163">
        <v>1006</v>
      </c>
      <c r="E1163" t="s">
        <v>15</v>
      </c>
      <c r="F1163">
        <v>9</v>
      </c>
      <c r="G1163">
        <v>6400</v>
      </c>
      <c r="H1163">
        <v>57600</v>
      </c>
      <c r="I1163" s="3">
        <v>45302.791666666664</v>
      </c>
      <c r="J1163">
        <v>96</v>
      </c>
      <c r="K1163" s="3">
        <v>45305.791666666664</v>
      </c>
      <c r="L1163" s="4">
        <f>ROUNDDOWN(Table1[[#This Row],[Ordered]],0)</f>
        <v>45302</v>
      </c>
      <c r="M1163" s="4">
        <f>Table1[[#This Row],[Date ]]</f>
        <v>45302</v>
      </c>
      <c r="N1163" s="5">
        <f>Table1[[#This Row],[Ordered]]-Table1[[#This Row],[Date ]]</f>
        <v>0.16666666666424135</v>
      </c>
      <c r="O1163">
        <f>Table1[[#This Row],[Company]]</f>
        <v>13</v>
      </c>
      <c r="P1163">
        <f>IF(((Table1[[#This Row],[Arrived]]-Table1[[#This Row],[Delivery]])*24-Table1[[#This Row],[Promised]])&lt;0, 0, (Table1[[#This Row],[Arrived]]-Table1[[#This Row],[Delivery]])*24-Table1[[#This Row],[Promised]])</f>
        <v>0</v>
      </c>
      <c r="Q1163"/>
    </row>
    <row r="1164" spans="1:17" hidden="1" x14ac:dyDescent="0.45">
      <c r="A1164" s="3">
        <v>45302.208333333336</v>
      </c>
      <c r="B1164" t="s">
        <v>12</v>
      </c>
      <c r="C1164">
        <v>13</v>
      </c>
      <c r="D1164">
        <v>4</v>
      </c>
      <c r="E1164" t="s">
        <v>20</v>
      </c>
      <c r="F1164">
        <v>206</v>
      </c>
      <c r="G1164">
        <v>5</v>
      </c>
      <c r="H1164">
        <v>1030</v>
      </c>
      <c r="I1164" s="3">
        <v>45302.5</v>
      </c>
      <c r="J1164">
        <v>72</v>
      </c>
      <c r="K1164" s="3">
        <v>45305.5</v>
      </c>
      <c r="L1164" s="4">
        <f>ROUNDDOWN(Table1[[#This Row],[Ordered]],0)</f>
        <v>45302</v>
      </c>
      <c r="M1164" s="4">
        <f>Table1[[#This Row],[Date ]]</f>
        <v>45302</v>
      </c>
      <c r="N1164" s="5">
        <f>Table1[[#This Row],[Ordered]]-Table1[[#This Row],[Date ]]</f>
        <v>0.20833333333575865</v>
      </c>
      <c r="O1164">
        <f>Table1[[#This Row],[Company]]</f>
        <v>13</v>
      </c>
      <c r="P1164">
        <f>IF(((Table1[[#This Row],[Arrived]]-Table1[[#This Row],[Delivery]])*24-Table1[[#This Row],[Promised]])&lt;0, 0, (Table1[[#This Row],[Arrived]]-Table1[[#This Row],[Delivery]])*24-Table1[[#This Row],[Promised]])</f>
        <v>0</v>
      </c>
      <c r="Q1164"/>
    </row>
    <row r="1165" spans="1:17" hidden="1" x14ac:dyDescent="0.45">
      <c r="A1165" s="3">
        <v>45302.25</v>
      </c>
      <c r="B1165" t="s">
        <v>12</v>
      </c>
      <c r="C1165">
        <v>2</v>
      </c>
      <c r="D1165">
        <v>15</v>
      </c>
      <c r="E1165" t="s">
        <v>13</v>
      </c>
      <c r="F1165">
        <v>2700</v>
      </c>
      <c r="G1165">
        <v>130</v>
      </c>
      <c r="H1165">
        <v>351000</v>
      </c>
      <c r="I1165" s="3">
        <v>45302.291666666664</v>
      </c>
      <c r="J1165">
        <v>72</v>
      </c>
      <c r="K1165" s="3">
        <v>45305.291666666664</v>
      </c>
      <c r="L1165" s="4">
        <f>ROUNDDOWN(Table1[[#This Row],[Ordered]],0)</f>
        <v>45302</v>
      </c>
      <c r="M1165" s="4">
        <f>Table1[[#This Row],[Date ]]</f>
        <v>45302</v>
      </c>
      <c r="N1165" s="5">
        <f>Table1[[#This Row],[Ordered]]-Table1[[#This Row],[Date ]]</f>
        <v>0.25</v>
      </c>
      <c r="O1165">
        <f>Table1[[#This Row],[Company]]</f>
        <v>2</v>
      </c>
      <c r="P1165">
        <f>IF(((Table1[[#This Row],[Arrived]]-Table1[[#This Row],[Delivery]])*24-Table1[[#This Row],[Promised]])&lt;0, 0, (Table1[[#This Row],[Arrived]]-Table1[[#This Row],[Delivery]])*24-Table1[[#This Row],[Promised]])</f>
        <v>0</v>
      </c>
      <c r="Q1165"/>
    </row>
    <row r="1166" spans="1:17" hidden="1" x14ac:dyDescent="0.45">
      <c r="A1166" s="3">
        <v>45302.25</v>
      </c>
      <c r="B1166" t="s">
        <v>12</v>
      </c>
      <c r="C1166">
        <v>15</v>
      </c>
      <c r="D1166">
        <v>6</v>
      </c>
      <c r="E1166" t="s">
        <v>20</v>
      </c>
      <c r="F1166">
        <v>27</v>
      </c>
      <c r="G1166">
        <v>23</v>
      </c>
      <c r="H1166">
        <v>621</v>
      </c>
      <c r="I1166" s="3">
        <v>45302.333333333336</v>
      </c>
      <c r="J1166">
        <v>72</v>
      </c>
      <c r="K1166" s="3">
        <v>45305.333333333336</v>
      </c>
      <c r="L1166" s="4">
        <f>ROUNDDOWN(Table1[[#This Row],[Ordered]],0)</f>
        <v>45302</v>
      </c>
      <c r="M1166" s="4">
        <f>Table1[[#This Row],[Date ]]</f>
        <v>45302</v>
      </c>
      <c r="N1166" s="5">
        <f>Table1[[#This Row],[Ordered]]-Table1[[#This Row],[Date ]]</f>
        <v>0.25</v>
      </c>
      <c r="O1166" s="5">
        <f>Table1[[#This Row],[Company]]</f>
        <v>15</v>
      </c>
      <c r="P1166">
        <f>IF(((Table1[[#This Row],[Arrived]]-Table1[[#This Row],[Delivery]])*24-Table1[[#This Row],[Promised]])&lt;0, 0, (Table1[[#This Row],[Arrived]]-Table1[[#This Row],[Delivery]])*24-Table1[[#This Row],[Promised]])</f>
        <v>0</v>
      </c>
      <c r="Q1166"/>
    </row>
    <row r="1167" spans="1:17" x14ac:dyDescent="0.45">
      <c r="A1167" s="3">
        <v>45302.333333333336</v>
      </c>
      <c r="B1167" t="s">
        <v>0</v>
      </c>
      <c r="C1167">
        <v>10</v>
      </c>
      <c r="D1167">
        <v>2005</v>
      </c>
      <c r="E1167" t="s">
        <v>16</v>
      </c>
      <c r="F1167">
        <v>30</v>
      </c>
      <c r="G1167">
        <v>4200</v>
      </c>
      <c r="H1167">
        <v>126000</v>
      </c>
      <c r="I1167" s="3">
        <v>45302.416666666664</v>
      </c>
      <c r="J1167">
        <v>120</v>
      </c>
      <c r="K1167" s="3">
        <v>45306.916666666664</v>
      </c>
      <c r="L1167" s="4">
        <f>ROUNDDOWN(Table1[[#This Row],[Ordered]],0)</f>
        <v>45302</v>
      </c>
      <c r="M1167" s="4">
        <f>Table1[[#This Row],[Date ]]</f>
        <v>45302</v>
      </c>
      <c r="N1167" s="5">
        <f>Table1[[#This Row],[Ordered]]-Table1[[#This Row],[Date ]]</f>
        <v>0.33333333333575865</v>
      </c>
      <c r="O1167">
        <f>Table1[[#This Row],[Company]]</f>
        <v>10</v>
      </c>
      <c r="P1167">
        <f>IF(((Table1[[#This Row],[Arrived]]-Table1[[#This Row],[Delivery]])*24-Table1[[#This Row],[Promised]])&lt;0, 0, (Table1[[#This Row],[Arrived]]-Table1[[#This Row],[Delivery]])*24-Table1[[#This Row],[Promised]])</f>
        <v>0</v>
      </c>
      <c r="Q1167"/>
    </row>
    <row r="1168" spans="1:17" x14ac:dyDescent="0.45">
      <c r="A1168" s="3">
        <v>45302.333333333336</v>
      </c>
      <c r="B1168" t="s">
        <v>0</v>
      </c>
      <c r="C1168">
        <v>8</v>
      </c>
      <c r="D1168">
        <v>2005</v>
      </c>
      <c r="E1168" t="s">
        <v>16</v>
      </c>
      <c r="F1168">
        <v>30</v>
      </c>
      <c r="G1168">
        <v>3800</v>
      </c>
      <c r="H1168">
        <v>114000</v>
      </c>
      <c r="I1168" s="3">
        <v>45304.5</v>
      </c>
      <c r="J1168">
        <v>132</v>
      </c>
      <c r="K1168" s="3">
        <v>45307.666666666664</v>
      </c>
      <c r="L1168" s="4">
        <f>ROUNDDOWN(Table1[[#This Row],[Ordered]],0)</f>
        <v>45302</v>
      </c>
      <c r="M1168" s="4">
        <f>Table1[[#This Row],[Date ]]</f>
        <v>45302</v>
      </c>
      <c r="N1168" s="5">
        <f>Table1[[#This Row],[Ordered]]-Table1[[#This Row],[Date ]]</f>
        <v>0.33333333333575865</v>
      </c>
      <c r="O1168">
        <f>Table1[[#This Row],[Company]]</f>
        <v>8</v>
      </c>
      <c r="P1168">
        <f>IF(((Table1[[#This Row],[Arrived]]-Table1[[#This Row],[Delivery]])*24-Table1[[#This Row],[Promised]])&lt;0, 0, (Table1[[#This Row],[Arrived]]-Table1[[#This Row],[Delivery]])*24-Table1[[#This Row],[Promised]])</f>
        <v>0</v>
      </c>
      <c r="Q1168"/>
    </row>
    <row r="1169" spans="1:17" x14ac:dyDescent="0.45">
      <c r="A1169" s="3">
        <v>45302.333333333336</v>
      </c>
      <c r="B1169" t="s">
        <v>0</v>
      </c>
      <c r="C1169">
        <v>7</v>
      </c>
      <c r="D1169">
        <v>2005</v>
      </c>
      <c r="E1169" t="s">
        <v>16</v>
      </c>
      <c r="F1169">
        <v>30</v>
      </c>
      <c r="G1169">
        <v>3800</v>
      </c>
      <c r="H1169">
        <v>114000</v>
      </c>
      <c r="I1169" s="3">
        <v>45303.708333333336</v>
      </c>
      <c r="J1169">
        <v>132</v>
      </c>
      <c r="K1169" s="3">
        <v>45308.208333333336</v>
      </c>
      <c r="L1169" s="4">
        <f>ROUNDDOWN(Table1[[#This Row],[Ordered]],0)</f>
        <v>45302</v>
      </c>
      <c r="M1169" s="4">
        <f>Table1[[#This Row],[Date ]]</f>
        <v>45302</v>
      </c>
      <c r="N1169" s="5">
        <f>Table1[[#This Row],[Ordered]]-Table1[[#This Row],[Date ]]</f>
        <v>0.33333333333575865</v>
      </c>
      <c r="O1169">
        <f>Table1[[#This Row],[Company]]</f>
        <v>7</v>
      </c>
      <c r="P1169">
        <f>IF(((Table1[[#This Row],[Arrived]]-Table1[[#This Row],[Delivery]])*24-Table1[[#This Row],[Promised]])&lt;0, 0, (Table1[[#This Row],[Arrived]]-Table1[[#This Row],[Delivery]])*24-Table1[[#This Row],[Promised]])</f>
        <v>0</v>
      </c>
      <c r="Q1169"/>
    </row>
    <row r="1170" spans="1:17" x14ac:dyDescent="0.45">
      <c r="A1170" s="3">
        <v>45302.333333333336</v>
      </c>
      <c r="B1170" t="s">
        <v>0</v>
      </c>
      <c r="C1170">
        <v>9</v>
      </c>
      <c r="D1170">
        <v>2005</v>
      </c>
      <c r="E1170" t="s">
        <v>15</v>
      </c>
      <c r="F1170">
        <v>30</v>
      </c>
      <c r="G1170">
        <v>6650</v>
      </c>
      <c r="H1170">
        <v>199500</v>
      </c>
      <c r="I1170" s="3">
        <v>45303.25</v>
      </c>
      <c r="J1170">
        <v>132</v>
      </c>
      <c r="K1170" s="3">
        <v>45307.875</v>
      </c>
      <c r="L1170" s="4">
        <f>ROUNDDOWN(Table1[[#This Row],[Ordered]],0)</f>
        <v>45302</v>
      </c>
      <c r="M1170" s="4">
        <f>Table1[[#This Row],[Date ]]</f>
        <v>45302</v>
      </c>
      <c r="N1170" s="5">
        <f>Table1[[#This Row],[Ordered]]-Table1[[#This Row],[Date ]]</f>
        <v>0.33333333333575865</v>
      </c>
      <c r="O1170">
        <f>Table1[[#This Row],[Company]]</f>
        <v>9</v>
      </c>
      <c r="P1170">
        <f>IF(((Table1[[#This Row],[Arrived]]-Table1[[#This Row],[Delivery]])*24-Table1[[#This Row],[Promised]])&lt;0, 0, (Table1[[#This Row],[Arrived]]-Table1[[#This Row],[Delivery]])*24-Table1[[#This Row],[Promised]])</f>
        <v>0</v>
      </c>
      <c r="Q1170"/>
    </row>
    <row r="1171" spans="1:17" x14ac:dyDescent="0.45">
      <c r="A1171" s="3">
        <v>45302.333333333336</v>
      </c>
      <c r="B1171" t="s">
        <v>0</v>
      </c>
      <c r="C1171">
        <v>9</v>
      </c>
      <c r="D1171">
        <v>2005</v>
      </c>
      <c r="E1171" t="s">
        <v>16</v>
      </c>
      <c r="F1171">
        <v>30</v>
      </c>
      <c r="G1171">
        <v>3750</v>
      </c>
      <c r="H1171">
        <v>112500</v>
      </c>
      <c r="I1171" s="3">
        <v>45303.166666666664</v>
      </c>
      <c r="J1171">
        <v>132</v>
      </c>
      <c r="K1171" s="3">
        <v>45307.666666666664</v>
      </c>
      <c r="L1171" s="4">
        <f>ROUNDDOWN(Table1[[#This Row],[Ordered]],0)</f>
        <v>45302</v>
      </c>
      <c r="M1171" s="4">
        <f>Table1[[#This Row],[Date ]]</f>
        <v>45302</v>
      </c>
      <c r="N1171" s="5">
        <f>Table1[[#This Row],[Ordered]]-Table1[[#This Row],[Date ]]</f>
        <v>0.33333333333575865</v>
      </c>
      <c r="O1171">
        <f>Table1[[#This Row],[Company]]</f>
        <v>9</v>
      </c>
      <c r="P1171">
        <f>IF(((Table1[[#This Row],[Arrived]]-Table1[[#This Row],[Delivery]])*24-Table1[[#This Row],[Promised]])&lt;0, 0, (Table1[[#This Row],[Arrived]]-Table1[[#This Row],[Delivery]])*24-Table1[[#This Row],[Promised]])</f>
        <v>0</v>
      </c>
      <c r="Q1171"/>
    </row>
    <row r="1172" spans="1:17" x14ac:dyDescent="0.45">
      <c r="A1172" s="3">
        <v>45302.333333333336</v>
      </c>
      <c r="B1172" t="s">
        <v>0</v>
      </c>
      <c r="C1172">
        <v>13</v>
      </c>
      <c r="D1172">
        <v>2005</v>
      </c>
      <c r="E1172" t="s">
        <v>15</v>
      </c>
      <c r="F1172">
        <v>30</v>
      </c>
      <c r="G1172">
        <v>6400</v>
      </c>
      <c r="H1172">
        <v>192000</v>
      </c>
      <c r="I1172" s="3">
        <v>45303.083333333336</v>
      </c>
      <c r="J1172">
        <v>132</v>
      </c>
      <c r="K1172" s="3">
        <v>45307.583333333336</v>
      </c>
      <c r="L1172" s="4">
        <f>ROUNDDOWN(Table1[[#This Row],[Ordered]],0)</f>
        <v>45302</v>
      </c>
      <c r="M1172" s="4">
        <f>Table1[[#This Row],[Date ]]</f>
        <v>45302</v>
      </c>
      <c r="N1172" s="5">
        <f>Table1[[#This Row],[Ordered]]-Table1[[#This Row],[Date ]]</f>
        <v>0.33333333333575865</v>
      </c>
      <c r="O1172">
        <f>Table1[[#This Row],[Company]]</f>
        <v>13</v>
      </c>
      <c r="P1172">
        <f>IF(((Table1[[#This Row],[Arrived]]-Table1[[#This Row],[Delivery]])*24-Table1[[#This Row],[Promised]])&lt;0, 0, (Table1[[#This Row],[Arrived]]-Table1[[#This Row],[Delivery]])*24-Table1[[#This Row],[Promised]])</f>
        <v>0</v>
      </c>
      <c r="Q1172"/>
    </row>
    <row r="1173" spans="1:17" x14ac:dyDescent="0.45">
      <c r="A1173" s="3">
        <v>45302.333333333336</v>
      </c>
      <c r="B1173" t="s">
        <v>0</v>
      </c>
      <c r="C1173">
        <v>7</v>
      </c>
      <c r="D1173">
        <v>2005</v>
      </c>
      <c r="E1173" t="s">
        <v>15</v>
      </c>
      <c r="F1173">
        <v>30</v>
      </c>
      <c r="G1173">
        <v>6650</v>
      </c>
      <c r="H1173">
        <v>199500</v>
      </c>
      <c r="I1173" s="3">
        <v>45302.791666666664</v>
      </c>
      <c r="J1173">
        <v>132</v>
      </c>
      <c r="K1173" s="3">
        <v>45307.291666666664</v>
      </c>
      <c r="L1173" s="4">
        <f>ROUNDDOWN(Table1[[#This Row],[Ordered]],0)</f>
        <v>45302</v>
      </c>
      <c r="M1173" s="4">
        <f>Table1[[#This Row],[Date ]]</f>
        <v>45302</v>
      </c>
      <c r="N1173" s="5">
        <f>Table1[[#This Row],[Ordered]]-Table1[[#This Row],[Date ]]</f>
        <v>0.33333333333575865</v>
      </c>
      <c r="O1173">
        <f>Table1[[#This Row],[Company]]</f>
        <v>7</v>
      </c>
      <c r="P11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74" spans="1:17" x14ac:dyDescent="0.45">
      <c r="A1174" s="3">
        <v>45302.333333333336</v>
      </c>
      <c r="B1174" t="s">
        <v>0</v>
      </c>
      <c r="C1174">
        <v>11</v>
      </c>
      <c r="D1174">
        <v>2005</v>
      </c>
      <c r="E1174" t="s">
        <v>15</v>
      </c>
      <c r="F1174">
        <v>49</v>
      </c>
      <c r="G1174">
        <v>6550</v>
      </c>
      <c r="H1174">
        <v>320950</v>
      </c>
      <c r="I1174" s="3">
        <v>45303</v>
      </c>
      <c r="J1174">
        <v>132</v>
      </c>
      <c r="K1174" s="3">
        <v>45307.5</v>
      </c>
      <c r="L1174" s="4">
        <f>ROUNDDOWN(Table1[[#This Row],[Ordered]],0)</f>
        <v>45302</v>
      </c>
      <c r="M1174" s="4">
        <f>Table1[[#This Row],[Date ]]</f>
        <v>45302</v>
      </c>
      <c r="N1174" s="5">
        <f>Table1[[#This Row],[Ordered]]-Table1[[#This Row],[Date ]]</f>
        <v>0.33333333333575865</v>
      </c>
      <c r="O1174">
        <f>Table1[[#This Row],[Company]]</f>
        <v>11</v>
      </c>
      <c r="P11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75" spans="1:17" x14ac:dyDescent="0.45">
      <c r="A1175" s="3">
        <v>45302.333333333336</v>
      </c>
      <c r="B1175" t="s">
        <v>0</v>
      </c>
      <c r="C1175">
        <v>14</v>
      </c>
      <c r="D1175">
        <v>2005</v>
      </c>
      <c r="E1175" t="s">
        <v>16</v>
      </c>
      <c r="F1175">
        <v>30</v>
      </c>
      <c r="G1175">
        <v>3750</v>
      </c>
      <c r="H1175">
        <v>112500</v>
      </c>
      <c r="I1175" s="3">
        <v>45302.666666666664</v>
      </c>
      <c r="J1175">
        <v>132</v>
      </c>
      <c r="K1175" s="3">
        <v>45307.166666666664</v>
      </c>
      <c r="L1175" s="4">
        <f>ROUNDDOWN(Table1[[#This Row],[Ordered]],0)</f>
        <v>45302</v>
      </c>
      <c r="M1175" s="4">
        <f>Table1[[#This Row],[Date ]]</f>
        <v>45302</v>
      </c>
      <c r="N1175" s="5">
        <f>Table1[[#This Row],[Ordered]]-Table1[[#This Row],[Date ]]</f>
        <v>0.33333333333575865</v>
      </c>
      <c r="O1175">
        <f>Table1[[#This Row],[Company]]</f>
        <v>14</v>
      </c>
      <c r="P11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76" spans="1:17" x14ac:dyDescent="0.45">
      <c r="A1176" s="3">
        <v>45302.333333333336</v>
      </c>
      <c r="B1176" t="s">
        <v>0</v>
      </c>
      <c r="C1176">
        <v>8</v>
      </c>
      <c r="D1176">
        <v>2005</v>
      </c>
      <c r="E1176" t="s">
        <v>15</v>
      </c>
      <c r="F1176">
        <v>30</v>
      </c>
      <c r="G1176">
        <v>5700</v>
      </c>
      <c r="H1176">
        <v>171000</v>
      </c>
      <c r="I1176" s="3">
        <v>45303.125</v>
      </c>
      <c r="J1176">
        <v>132</v>
      </c>
      <c r="K1176" s="3">
        <v>45307.708333333336</v>
      </c>
      <c r="L1176" s="4">
        <f>ROUNDDOWN(Table1[[#This Row],[Ordered]],0)</f>
        <v>45302</v>
      </c>
      <c r="M1176" s="4">
        <f>Table1[[#This Row],[Date ]]</f>
        <v>45302</v>
      </c>
      <c r="N1176" s="5">
        <f>Table1[[#This Row],[Ordered]]-Table1[[#This Row],[Date ]]</f>
        <v>0.33333333333575865</v>
      </c>
      <c r="O1176">
        <f>Table1[[#This Row],[Company]]</f>
        <v>8</v>
      </c>
      <c r="P11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77" spans="1:17" x14ac:dyDescent="0.45">
      <c r="A1177" s="3">
        <v>45302.333333333336</v>
      </c>
      <c r="B1177" t="s">
        <v>0</v>
      </c>
      <c r="C1177">
        <v>13</v>
      </c>
      <c r="D1177">
        <v>2005</v>
      </c>
      <c r="E1177" t="s">
        <v>16</v>
      </c>
      <c r="F1177">
        <v>30</v>
      </c>
      <c r="G1177">
        <v>3500</v>
      </c>
      <c r="H1177">
        <v>105000</v>
      </c>
      <c r="I1177" s="3">
        <v>45303</v>
      </c>
      <c r="J1177">
        <v>132</v>
      </c>
      <c r="K1177" s="3">
        <v>45307.5</v>
      </c>
      <c r="L1177" s="4">
        <f>ROUNDDOWN(Table1[[#This Row],[Ordered]],0)</f>
        <v>45302</v>
      </c>
      <c r="M1177" s="4">
        <f>Table1[[#This Row],[Date ]]</f>
        <v>45302</v>
      </c>
      <c r="N1177" s="5">
        <f>Table1[[#This Row],[Ordered]]-Table1[[#This Row],[Date ]]</f>
        <v>0.33333333333575865</v>
      </c>
      <c r="O1177">
        <f>Table1[[#This Row],[Company]]</f>
        <v>13</v>
      </c>
      <c r="P11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78" spans="1:17" x14ac:dyDescent="0.45">
      <c r="A1178" s="3">
        <v>45302.333333333336</v>
      </c>
      <c r="B1178" t="s">
        <v>0</v>
      </c>
      <c r="C1178">
        <v>15</v>
      </c>
      <c r="D1178">
        <v>2005</v>
      </c>
      <c r="E1178" t="s">
        <v>16</v>
      </c>
      <c r="F1178">
        <v>50</v>
      </c>
      <c r="G1178">
        <v>3750</v>
      </c>
      <c r="H1178">
        <v>187500</v>
      </c>
      <c r="I1178" s="3">
        <v>45302.666666666664</v>
      </c>
      <c r="J1178">
        <v>132</v>
      </c>
      <c r="K1178" s="3">
        <v>45307.25</v>
      </c>
      <c r="L1178" s="4">
        <f>ROUNDDOWN(Table1[[#This Row],[Ordered]],0)</f>
        <v>45302</v>
      </c>
      <c r="M1178" s="4">
        <f>Table1[[#This Row],[Date ]]</f>
        <v>45302</v>
      </c>
      <c r="N1178" s="5">
        <f>Table1[[#This Row],[Ordered]]-Table1[[#This Row],[Date ]]</f>
        <v>0.33333333333575865</v>
      </c>
      <c r="O1178">
        <f>Table1[[#This Row],[Company]]</f>
        <v>15</v>
      </c>
      <c r="P11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79" spans="1:17" x14ac:dyDescent="0.45">
      <c r="A1179" s="3">
        <v>45302.333333333336</v>
      </c>
      <c r="B1179" t="s">
        <v>0</v>
      </c>
      <c r="C1179">
        <v>16</v>
      </c>
      <c r="D1179">
        <v>2005</v>
      </c>
      <c r="E1179" t="s">
        <v>15</v>
      </c>
      <c r="F1179">
        <v>30</v>
      </c>
      <c r="G1179">
        <v>6650</v>
      </c>
      <c r="H1179">
        <v>199500</v>
      </c>
      <c r="I1179" s="3">
        <v>45302.458333333336</v>
      </c>
      <c r="J1179">
        <v>132</v>
      </c>
      <c r="K1179" s="3">
        <v>45306.958333333336</v>
      </c>
      <c r="L1179" s="4">
        <f>ROUNDDOWN(Table1[[#This Row],[Ordered]],0)</f>
        <v>45302</v>
      </c>
      <c r="M1179" s="4">
        <f>Table1[[#This Row],[Date ]]</f>
        <v>45302</v>
      </c>
      <c r="N1179" s="5">
        <f>Table1[[#This Row],[Ordered]]-Table1[[#This Row],[Date ]]</f>
        <v>0.33333333333575865</v>
      </c>
      <c r="O1179">
        <f>Table1[[#This Row],[Company]]</f>
        <v>16</v>
      </c>
      <c r="P11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0" spans="1:17" x14ac:dyDescent="0.45">
      <c r="A1180" s="3">
        <v>45302.333333333336</v>
      </c>
      <c r="B1180" t="s">
        <v>0</v>
      </c>
      <c r="C1180">
        <v>16</v>
      </c>
      <c r="D1180">
        <v>2005</v>
      </c>
      <c r="E1180" t="s">
        <v>16</v>
      </c>
      <c r="F1180">
        <v>30</v>
      </c>
      <c r="G1180">
        <v>3750</v>
      </c>
      <c r="H1180">
        <v>112500</v>
      </c>
      <c r="I1180" s="3">
        <v>45302.5</v>
      </c>
      <c r="J1180">
        <v>132</v>
      </c>
      <c r="K1180" s="3">
        <v>45307</v>
      </c>
      <c r="L1180" s="4">
        <f>ROUNDDOWN(Table1[[#This Row],[Ordered]],0)</f>
        <v>45302</v>
      </c>
      <c r="M1180" s="4">
        <f>Table1[[#This Row],[Date ]]</f>
        <v>45302</v>
      </c>
      <c r="N1180" s="5">
        <f>Table1[[#This Row],[Ordered]]-Table1[[#This Row],[Date ]]</f>
        <v>0.33333333333575865</v>
      </c>
      <c r="O1180">
        <f>Table1[[#This Row],[Company]]</f>
        <v>16</v>
      </c>
      <c r="P11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1" spans="1:17" x14ac:dyDescent="0.45">
      <c r="A1181" s="3">
        <v>45302.333333333336</v>
      </c>
      <c r="B1181" t="s">
        <v>0</v>
      </c>
      <c r="C1181">
        <v>15</v>
      </c>
      <c r="D1181">
        <v>2005</v>
      </c>
      <c r="E1181" t="s">
        <v>15</v>
      </c>
      <c r="F1181">
        <v>40</v>
      </c>
      <c r="G1181">
        <v>6000</v>
      </c>
      <c r="H1181">
        <v>240000</v>
      </c>
      <c r="I1181" s="3">
        <v>45302.458333333336</v>
      </c>
      <c r="J1181">
        <v>54</v>
      </c>
      <c r="K1181" s="3">
        <v>45303.958333333336</v>
      </c>
      <c r="L1181" s="4">
        <f>ROUNDDOWN(Table1[[#This Row],[Ordered]],0)</f>
        <v>45302</v>
      </c>
      <c r="M1181" s="4">
        <f>Table1[[#This Row],[Date ]]</f>
        <v>45302</v>
      </c>
      <c r="N1181" s="5">
        <f>Table1[[#This Row],[Ordered]]-Table1[[#This Row],[Date ]]</f>
        <v>0.33333333333575865</v>
      </c>
      <c r="O1181">
        <f>Table1[[#This Row],[Company]]</f>
        <v>15</v>
      </c>
      <c r="P11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2" spans="1:17" x14ac:dyDescent="0.45">
      <c r="A1182" s="3">
        <v>45302.333333333336</v>
      </c>
      <c r="B1182" t="s">
        <v>0</v>
      </c>
      <c r="C1182">
        <v>10</v>
      </c>
      <c r="D1182">
        <v>2005</v>
      </c>
      <c r="E1182" t="s">
        <v>15</v>
      </c>
      <c r="F1182">
        <v>37</v>
      </c>
      <c r="G1182">
        <v>6700</v>
      </c>
      <c r="H1182">
        <v>247900</v>
      </c>
      <c r="I1182" s="3">
        <v>45302.416666666664</v>
      </c>
      <c r="J1182">
        <v>120</v>
      </c>
      <c r="K1182" s="3">
        <v>45306.916666666664</v>
      </c>
      <c r="L1182" s="4">
        <f>ROUNDDOWN(Table1[[#This Row],[Ordered]],0)</f>
        <v>45302</v>
      </c>
      <c r="M1182" s="4">
        <f>Table1[[#This Row],[Date ]]</f>
        <v>45302</v>
      </c>
      <c r="N1182" s="5">
        <f>Table1[[#This Row],[Ordered]]-Table1[[#This Row],[Date ]]</f>
        <v>0.33333333333575865</v>
      </c>
      <c r="O1182">
        <f>Table1[[#This Row],[Company]]</f>
        <v>10</v>
      </c>
      <c r="P11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3" spans="1:17" x14ac:dyDescent="0.45">
      <c r="A1183" s="3">
        <v>45302.333333333336</v>
      </c>
      <c r="B1183" t="s">
        <v>0</v>
      </c>
      <c r="C1183">
        <v>14</v>
      </c>
      <c r="D1183">
        <v>2005</v>
      </c>
      <c r="E1183" t="s">
        <v>15</v>
      </c>
      <c r="F1183">
        <v>30</v>
      </c>
      <c r="G1183">
        <v>6650</v>
      </c>
      <c r="H1183">
        <v>199500</v>
      </c>
      <c r="I1183" s="3">
        <v>45302.583333333336</v>
      </c>
      <c r="J1183">
        <v>132</v>
      </c>
      <c r="K1183" s="3">
        <v>45307.083333333336</v>
      </c>
      <c r="L1183" s="4">
        <f>ROUNDDOWN(Table1[[#This Row],[Ordered]],0)</f>
        <v>45302</v>
      </c>
      <c r="M1183" s="4">
        <f>Table1[[#This Row],[Date ]]</f>
        <v>45302</v>
      </c>
      <c r="N1183" s="5">
        <f>Table1[[#This Row],[Ordered]]-Table1[[#This Row],[Date ]]</f>
        <v>0.33333333333575865</v>
      </c>
      <c r="O1183">
        <f>Table1[[#This Row],[Company]]</f>
        <v>14</v>
      </c>
      <c r="P11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4" spans="1:17" x14ac:dyDescent="0.45">
      <c r="A1184" s="3">
        <v>45302.333333333336</v>
      </c>
      <c r="B1184" t="s">
        <v>0</v>
      </c>
      <c r="C1184">
        <v>12</v>
      </c>
      <c r="D1184">
        <v>2005</v>
      </c>
      <c r="E1184" t="s">
        <v>16</v>
      </c>
      <c r="F1184">
        <v>30</v>
      </c>
      <c r="G1184">
        <v>3800</v>
      </c>
      <c r="H1184">
        <v>114000</v>
      </c>
      <c r="I1184" s="3">
        <v>45302.5</v>
      </c>
      <c r="J1184">
        <v>120</v>
      </c>
      <c r="K1184" s="3">
        <v>45307</v>
      </c>
      <c r="L1184" s="4">
        <f>ROUNDDOWN(Table1[[#This Row],[Ordered]],0)</f>
        <v>45302</v>
      </c>
      <c r="M1184" s="4">
        <f>Table1[[#This Row],[Date ]]</f>
        <v>45302</v>
      </c>
      <c r="N1184" s="5">
        <f>Table1[[#This Row],[Ordered]]-Table1[[#This Row],[Date ]]</f>
        <v>0.33333333333575865</v>
      </c>
      <c r="O1184">
        <f>Table1[[#This Row],[Company]]</f>
        <v>12</v>
      </c>
      <c r="P11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5" spans="1:16" x14ac:dyDescent="0.45">
      <c r="A1185" s="3">
        <v>45302.333333333336</v>
      </c>
      <c r="B1185" t="s">
        <v>0</v>
      </c>
      <c r="C1185">
        <v>12</v>
      </c>
      <c r="D1185">
        <v>2005</v>
      </c>
      <c r="E1185" t="s">
        <v>15</v>
      </c>
      <c r="F1185">
        <v>30</v>
      </c>
      <c r="G1185">
        <v>6750</v>
      </c>
      <c r="H1185">
        <v>202500</v>
      </c>
      <c r="I1185" s="3">
        <v>45302.416666666664</v>
      </c>
      <c r="J1185">
        <v>120</v>
      </c>
      <c r="K1185" s="3">
        <v>45306.916666666664</v>
      </c>
      <c r="L1185" s="4">
        <f>ROUNDDOWN(Table1[[#This Row],[Ordered]],0)</f>
        <v>45302</v>
      </c>
      <c r="M1185" s="4">
        <f>Table1[[#This Row],[Date ]]</f>
        <v>45302</v>
      </c>
      <c r="N1185" s="5">
        <f>Table1[[#This Row],[Ordered]]-Table1[[#This Row],[Date ]]</f>
        <v>0.33333333333575865</v>
      </c>
      <c r="O1185">
        <f>Table1[[#This Row],[Company]]</f>
        <v>12</v>
      </c>
      <c r="P11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6" spans="1:16" hidden="1" x14ac:dyDescent="0.45">
      <c r="A1186" s="3">
        <v>45302.375</v>
      </c>
      <c r="B1186" t="s">
        <v>12</v>
      </c>
      <c r="C1186">
        <v>2</v>
      </c>
      <c r="D1186">
        <v>15</v>
      </c>
      <c r="E1186" t="s">
        <v>17</v>
      </c>
      <c r="F1186">
        <v>187</v>
      </c>
      <c r="G1186">
        <v>1800</v>
      </c>
      <c r="H1186">
        <v>336600</v>
      </c>
      <c r="I1186" s="3">
        <v>45302.375</v>
      </c>
      <c r="J1186">
        <v>48</v>
      </c>
      <c r="K1186" s="3">
        <v>45304.375</v>
      </c>
      <c r="L1186" s="4">
        <f>ROUNDDOWN(Table1[[#This Row],[Ordered]],0)</f>
        <v>45302</v>
      </c>
      <c r="M1186" s="4">
        <f>Table1[[#This Row],[Date ]]</f>
        <v>45302</v>
      </c>
      <c r="N1186" s="5">
        <f>Table1[[#This Row],[Ordered]]-Table1[[#This Row],[Date ]]</f>
        <v>0.375</v>
      </c>
      <c r="O1186">
        <f>Table1[[#This Row],[Company]]</f>
        <v>2</v>
      </c>
      <c r="P11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7" spans="1:16" hidden="1" x14ac:dyDescent="0.45">
      <c r="A1187" s="3">
        <v>45302.416666666664</v>
      </c>
      <c r="B1187" t="s">
        <v>12</v>
      </c>
      <c r="C1187">
        <v>4</v>
      </c>
      <c r="D1187">
        <v>9</v>
      </c>
      <c r="E1187" t="s">
        <v>17</v>
      </c>
      <c r="F1187">
        <v>168</v>
      </c>
      <c r="G1187">
        <v>1340</v>
      </c>
      <c r="H1187">
        <v>225120</v>
      </c>
      <c r="I1187" s="3">
        <v>45302.458333333336</v>
      </c>
      <c r="J1187">
        <v>48</v>
      </c>
      <c r="K1187" s="3">
        <v>45304.458333333336</v>
      </c>
      <c r="L1187" s="4">
        <f>ROUNDDOWN(Table1[[#This Row],[Ordered]],0)</f>
        <v>45302</v>
      </c>
      <c r="M1187" s="4">
        <f>Table1[[#This Row],[Date ]]</f>
        <v>45302</v>
      </c>
      <c r="N1187" s="5">
        <f>Table1[[#This Row],[Ordered]]-Table1[[#This Row],[Date ]]</f>
        <v>0.41666666666424135</v>
      </c>
      <c r="O1187">
        <f>Table1[[#This Row],[Company]]</f>
        <v>4</v>
      </c>
      <c r="P11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8" spans="1:16" x14ac:dyDescent="0.45">
      <c r="A1188" s="3">
        <v>45302.541666666664</v>
      </c>
      <c r="B1188" t="s">
        <v>14</v>
      </c>
      <c r="C1188">
        <v>8</v>
      </c>
      <c r="D1188">
        <v>1002</v>
      </c>
      <c r="E1188" t="s">
        <v>16</v>
      </c>
      <c r="F1188">
        <v>27</v>
      </c>
      <c r="G1188">
        <v>3800</v>
      </c>
      <c r="H1188">
        <v>102600</v>
      </c>
      <c r="I1188" s="3">
        <v>45304.166666666664</v>
      </c>
      <c r="J1188">
        <v>96</v>
      </c>
      <c r="K1188" s="3">
        <v>45306.166666666664</v>
      </c>
      <c r="L1188" s="4">
        <f>ROUNDDOWN(Table1[[#This Row],[Ordered]],0)</f>
        <v>45302</v>
      </c>
      <c r="M1188" s="4">
        <f>Table1[[#This Row],[Date ]]</f>
        <v>45302</v>
      </c>
      <c r="N1188" s="5">
        <f>Table1[[#This Row],[Ordered]]-Table1[[#This Row],[Date ]]</f>
        <v>0.54166666666424135</v>
      </c>
      <c r="O1188">
        <f>Table1[[#This Row],[Company]]</f>
        <v>8</v>
      </c>
      <c r="P11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9" spans="1:16" x14ac:dyDescent="0.45">
      <c r="A1189" s="3">
        <v>45302.541666666664</v>
      </c>
      <c r="B1189" t="s">
        <v>14</v>
      </c>
      <c r="C1189">
        <v>14</v>
      </c>
      <c r="D1189">
        <v>1002</v>
      </c>
      <c r="E1189" t="s">
        <v>16</v>
      </c>
      <c r="F1189">
        <v>30</v>
      </c>
      <c r="G1189">
        <v>3750</v>
      </c>
      <c r="H1189">
        <v>112500</v>
      </c>
      <c r="I1189" s="3">
        <v>45303</v>
      </c>
      <c r="J1189">
        <v>96</v>
      </c>
      <c r="K1189" s="3">
        <v>45306.041666666664</v>
      </c>
      <c r="L1189" s="4">
        <f>ROUNDDOWN(Table1[[#This Row],[Ordered]],0)</f>
        <v>45302</v>
      </c>
      <c r="M1189" s="4">
        <f>Table1[[#This Row],[Date ]]</f>
        <v>45302</v>
      </c>
      <c r="N1189" s="5">
        <f>Table1[[#This Row],[Ordered]]-Table1[[#This Row],[Date ]]</f>
        <v>0.54166666666424135</v>
      </c>
      <c r="O1189">
        <f>Table1[[#This Row],[Company]]</f>
        <v>14</v>
      </c>
      <c r="P11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0" spans="1:16" x14ac:dyDescent="0.45">
      <c r="A1190" s="3">
        <v>45302.541666666664</v>
      </c>
      <c r="B1190" t="s">
        <v>14</v>
      </c>
      <c r="C1190">
        <v>15</v>
      </c>
      <c r="D1190">
        <v>1002</v>
      </c>
      <c r="E1190" t="s">
        <v>16</v>
      </c>
      <c r="F1190">
        <v>20</v>
      </c>
      <c r="G1190">
        <v>3850</v>
      </c>
      <c r="H1190">
        <v>77000</v>
      </c>
      <c r="I1190" s="3">
        <v>45302.708333333336</v>
      </c>
      <c r="J1190">
        <v>92</v>
      </c>
      <c r="K1190" s="3">
        <v>45305.708333333336</v>
      </c>
      <c r="L1190" s="4">
        <f>ROUNDDOWN(Table1[[#This Row],[Ordered]],0)</f>
        <v>45302</v>
      </c>
      <c r="M1190" s="4">
        <f>Table1[[#This Row],[Date ]]</f>
        <v>45302</v>
      </c>
      <c r="N1190" s="5">
        <f>Table1[[#This Row],[Ordered]]-Table1[[#This Row],[Date ]]</f>
        <v>0.54166666666424135</v>
      </c>
      <c r="O1190">
        <f>Table1[[#This Row],[Company]]</f>
        <v>15</v>
      </c>
      <c r="P11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1" spans="1:16" x14ac:dyDescent="0.45">
      <c r="A1191" s="3">
        <v>45302.541666666664</v>
      </c>
      <c r="B1191" t="s">
        <v>14</v>
      </c>
      <c r="C1191">
        <v>7</v>
      </c>
      <c r="D1191">
        <v>1002</v>
      </c>
      <c r="E1191" t="s">
        <v>16</v>
      </c>
      <c r="F1191">
        <v>23</v>
      </c>
      <c r="G1191">
        <v>3850</v>
      </c>
      <c r="H1191">
        <v>88550</v>
      </c>
      <c r="I1191" s="3">
        <v>45303.708333333336</v>
      </c>
      <c r="J1191">
        <v>96</v>
      </c>
      <c r="K1191" s="3">
        <v>45305.708333333336</v>
      </c>
      <c r="L1191" s="4">
        <f>ROUNDDOWN(Table1[[#This Row],[Ordered]],0)</f>
        <v>45302</v>
      </c>
      <c r="M1191" s="4">
        <f>Table1[[#This Row],[Date ]]</f>
        <v>45302</v>
      </c>
      <c r="N1191" s="5">
        <f>Table1[[#This Row],[Ordered]]-Table1[[#This Row],[Date ]]</f>
        <v>0.54166666666424135</v>
      </c>
      <c r="O1191">
        <f>Table1[[#This Row],[Company]]</f>
        <v>7</v>
      </c>
      <c r="P11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2" spans="1:16" x14ac:dyDescent="0.45">
      <c r="A1192" s="3">
        <v>45302.541666666664</v>
      </c>
      <c r="B1192" t="s">
        <v>14</v>
      </c>
      <c r="C1192">
        <v>16</v>
      </c>
      <c r="D1192">
        <v>1002</v>
      </c>
      <c r="E1192" t="s">
        <v>16</v>
      </c>
      <c r="F1192">
        <v>30</v>
      </c>
      <c r="G1192">
        <v>3750</v>
      </c>
      <c r="H1192">
        <v>112500</v>
      </c>
      <c r="I1192" s="3">
        <v>45302.625</v>
      </c>
      <c r="J1192">
        <v>96</v>
      </c>
      <c r="K1192" s="3">
        <v>45305.625</v>
      </c>
      <c r="L1192" s="4">
        <f>ROUNDDOWN(Table1[[#This Row],[Ordered]],0)</f>
        <v>45302</v>
      </c>
      <c r="M1192" s="4">
        <f>Table1[[#This Row],[Date ]]</f>
        <v>45302</v>
      </c>
      <c r="N1192" s="5">
        <f>Table1[[#This Row],[Ordered]]-Table1[[#This Row],[Date ]]</f>
        <v>0.54166666666424135</v>
      </c>
      <c r="O1192">
        <f>Table1[[#This Row],[Company]]</f>
        <v>16</v>
      </c>
      <c r="P11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3" spans="1:16" x14ac:dyDescent="0.45">
      <c r="A1193" s="3">
        <v>45302.541666666664</v>
      </c>
      <c r="B1193" t="s">
        <v>14</v>
      </c>
      <c r="C1193">
        <v>11</v>
      </c>
      <c r="D1193">
        <v>1002</v>
      </c>
      <c r="E1193" t="s">
        <v>16</v>
      </c>
      <c r="F1193">
        <v>18</v>
      </c>
      <c r="G1193">
        <v>4150</v>
      </c>
      <c r="H1193">
        <v>74700</v>
      </c>
      <c r="I1193" s="3">
        <v>45302.875</v>
      </c>
      <c r="J1193">
        <v>96</v>
      </c>
      <c r="K1193" s="3">
        <v>45305.875</v>
      </c>
      <c r="L1193" s="4">
        <f>ROUNDDOWN(Table1[[#This Row],[Ordered]],0)</f>
        <v>45302</v>
      </c>
      <c r="M1193" s="4">
        <f>Table1[[#This Row],[Date ]]</f>
        <v>45302</v>
      </c>
      <c r="N1193" s="5">
        <f>Table1[[#This Row],[Ordered]]-Table1[[#This Row],[Date ]]</f>
        <v>0.54166666666424135</v>
      </c>
      <c r="O1193">
        <f>Table1[[#This Row],[Company]]</f>
        <v>11</v>
      </c>
      <c r="P11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4" spans="1:16" x14ac:dyDescent="0.45">
      <c r="A1194" s="3">
        <v>45302.541666666664</v>
      </c>
      <c r="B1194" t="s">
        <v>14</v>
      </c>
      <c r="C1194">
        <v>13</v>
      </c>
      <c r="D1194">
        <v>1002</v>
      </c>
      <c r="E1194" t="s">
        <v>16</v>
      </c>
      <c r="F1194">
        <v>30</v>
      </c>
      <c r="G1194">
        <v>3600</v>
      </c>
      <c r="H1194">
        <v>108000</v>
      </c>
      <c r="I1194" s="3">
        <v>45303.458333333336</v>
      </c>
      <c r="J1194">
        <v>96</v>
      </c>
      <c r="K1194" s="3">
        <v>45306.458333333336</v>
      </c>
      <c r="L1194" s="4">
        <f>ROUNDDOWN(Table1[[#This Row],[Ordered]],0)</f>
        <v>45302</v>
      </c>
      <c r="M1194" s="4">
        <f>Table1[[#This Row],[Date ]]</f>
        <v>45302</v>
      </c>
      <c r="N1194" s="5">
        <f>Table1[[#This Row],[Ordered]]-Table1[[#This Row],[Date ]]</f>
        <v>0.54166666666424135</v>
      </c>
      <c r="O1194">
        <f>Table1[[#This Row],[Company]]</f>
        <v>13</v>
      </c>
      <c r="P11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5" spans="1:16" x14ac:dyDescent="0.45">
      <c r="A1195" s="3">
        <v>45302.541666666664</v>
      </c>
      <c r="B1195" t="s">
        <v>14</v>
      </c>
      <c r="C1195">
        <v>9</v>
      </c>
      <c r="D1195">
        <v>1002</v>
      </c>
      <c r="E1195" t="s">
        <v>16</v>
      </c>
      <c r="F1195">
        <v>15</v>
      </c>
      <c r="G1195">
        <v>3900</v>
      </c>
      <c r="H1195">
        <v>58500</v>
      </c>
      <c r="I1195" s="3">
        <v>45302.541666666664</v>
      </c>
      <c r="J1195">
        <v>72</v>
      </c>
      <c r="K1195" s="3">
        <v>45305.541666666664</v>
      </c>
      <c r="L1195" s="4">
        <f>ROUNDDOWN(Table1[[#This Row],[Ordered]],0)</f>
        <v>45302</v>
      </c>
      <c r="M1195" s="4">
        <f>Table1[[#This Row],[Date ]]</f>
        <v>45302</v>
      </c>
      <c r="N1195" s="5">
        <f>Table1[[#This Row],[Ordered]]-Table1[[#This Row],[Date ]]</f>
        <v>0.54166666666424135</v>
      </c>
      <c r="O1195">
        <f>Table1[[#This Row],[Company]]</f>
        <v>9</v>
      </c>
      <c r="P11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6" spans="1:16" x14ac:dyDescent="0.45">
      <c r="A1196" s="3">
        <v>45302.541666666664</v>
      </c>
      <c r="B1196" t="s">
        <v>14</v>
      </c>
      <c r="C1196">
        <v>12</v>
      </c>
      <c r="D1196">
        <v>1002</v>
      </c>
      <c r="E1196" t="s">
        <v>16</v>
      </c>
      <c r="F1196">
        <v>15</v>
      </c>
      <c r="G1196">
        <v>4000</v>
      </c>
      <c r="H1196">
        <v>60000</v>
      </c>
      <c r="I1196" s="3">
        <v>45302.541666666664</v>
      </c>
      <c r="J1196">
        <v>60</v>
      </c>
      <c r="K1196" s="3">
        <v>45304.541666666664</v>
      </c>
      <c r="L1196" s="4">
        <f>ROUNDDOWN(Table1[[#This Row],[Ordered]],0)</f>
        <v>45302</v>
      </c>
      <c r="M1196" s="4">
        <f>Table1[[#This Row],[Date ]]</f>
        <v>45302</v>
      </c>
      <c r="N1196" s="5">
        <f>Table1[[#This Row],[Ordered]]-Table1[[#This Row],[Date ]]</f>
        <v>0.54166666666424135</v>
      </c>
      <c r="O1196">
        <f>Table1[[#This Row],[Company]]</f>
        <v>12</v>
      </c>
      <c r="P11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7" spans="1:16" hidden="1" x14ac:dyDescent="0.45">
      <c r="A1197" s="3">
        <v>45302.583333333336</v>
      </c>
      <c r="B1197" t="s">
        <v>12</v>
      </c>
      <c r="C1197">
        <v>6</v>
      </c>
      <c r="D1197">
        <v>7</v>
      </c>
      <c r="E1197" t="s">
        <v>13</v>
      </c>
      <c r="F1197">
        <v>1000</v>
      </c>
      <c r="G1197">
        <v>110</v>
      </c>
      <c r="H1197">
        <v>110000</v>
      </c>
      <c r="I1197" s="3">
        <v>45303.25</v>
      </c>
      <c r="J1197">
        <v>24</v>
      </c>
      <c r="K1197" s="3">
        <v>45304.25</v>
      </c>
      <c r="L1197" s="4">
        <f>ROUNDDOWN(Table1[[#This Row],[Ordered]],0)</f>
        <v>45302</v>
      </c>
      <c r="M1197" s="4">
        <f>Table1[[#This Row],[Date ]]</f>
        <v>45302</v>
      </c>
      <c r="N1197" s="5">
        <f>Table1[[#This Row],[Ordered]]-Table1[[#This Row],[Date ]]</f>
        <v>0.58333333333575865</v>
      </c>
      <c r="O1197">
        <f>Table1[[#This Row],[Company]]</f>
        <v>6</v>
      </c>
      <c r="P11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8" spans="1:16" hidden="1" x14ac:dyDescent="0.45">
      <c r="A1198" s="3">
        <v>45302.708333333336</v>
      </c>
      <c r="B1198" t="s">
        <v>12</v>
      </c>
      <c r="C1198">
        <v>4</v>
      </c>
      <c r="D1198">
        <v>8</v>
      </c>
      <c r="E1198" t="s">
        <v>13</v>
      </c>
      <c r="F1198">
        <v>2000</v>
      </c>
      <c r="G1198">
        <v>110</v>
      </c>
      <c r="H1198">
        <v>220000</v>
      </c>
      <c r="I1198" s="3">
        <v>45303.666666666664</v>
      </c>
      <c r="J1198">
        <v>48</v>
      </c>
      <c r="K1198" s="3">
        <v>45305.666666666664</v>
      </c>
      <c r="L1198" s="4">
        <f>ROUNDDOWN(Table1[[#This Row],[Ordered]],0)</f>
        <v>45302</v>
      </c>
      <c r="M1198" s="4">
        <f>Table1[[#This Row],[Date ]]</f>
        <v>45302</v>
      </c>
      <c r="N1198" s="5">
        <f>Table1[[#This Row],[Ordered]]-Table1[[#This Row],[Date ]]</f>
        <v>0.70833333333575865</v>
      </c>
      <c r="O1198">
        <f>Table1[[#This Row],[Company]]</f>
        <v>4</v>
      </c>
      <c r="P11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9" spans="1:16" x14ac:dyDescent="0.45">
      <c r="A1199" s="3">
        <v>45302.75</v>
      </c>
      <c r="B1199" t="s">
        <v>0</v>
      </c>
      <c r="C1199">
        <v>9</v>
      </c>
      <c r="D1199">
        <v>2006</v>
      </c>
      <c r="E1199" t="s">
        <v>15</v>
      </c>
      <c r="F1199">
        <v>30</v>
      </c>
      <c r="G1199">
        <v>6650</v>
      </c>
      <c r="H1199">
        <v>199500</v>
      </c>
      <c r="I1199" s="3">
        <v>45303.583333333336</v>
      </c>
      <c r="J1199">
        <v>132</v>
      </c>
      <c r="K1199" s="3">
        <v>45308.083333333336</v>
      </c>
      <c r="L1199" s="4">
        <f>ROUNDDOWN(Table1[[#This Row],[Ordered]],0)</f>
        <v>45302</v>
      </c>
      <c r="M1199" s="4">
        <f>Table1[[#This Row],[Date ]]</f>
        <v>45302</v>
      </c>
      <c r="N1199" s="5">
        <f>Table1[[#This Row],[Ordered]]-Table1[[#This Row],[Date ]]</f>
        <v>0.75</v>
      </c>
      <c r="O1199">
        <f>Table1[[#This Row],[Company]]</f>
        <v>9</v>
      </c>
      <c r="P11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0" spans="1:16" x14ac:dyDescent="0.45">
      <c r="A1200" s="3">
        <v>45302.75</v>
      </c>
      <c r="B1200" t="s">
        <v>0</v>
      </c>
      <c r="C1200">
        <v>14</v>
      </c>
      <c r="D1200">
        <v>2006</v>
      </c>
      <c r="E1200" t="s">
        <v>16</v>
      </c>
      <c r="F1200">
        <v>30</v>
      </c>
      <c r="G1200">
        <v>3750</v>
      </c>
      <c r="H1200">
        <v>112500</v>
      </c>
      <c r="I1200" s="3">
        <v>45303</v>
      </c>
      <c r="J1200">
        <v>132</v>
      </c>
      <c r="K1200" s="3">
        <v>45307.5</v>
      </c>
      <c r="L1200" s="4">
        <f>ROUNDDOWN(Table1[[#This Row],[Ordered]],0)</f>
        <v>45302</v>
      </c>
      <c r="M1200" s="4">
        <f>Table1[[#This Row],[Date ]]</f>
        <v>45302</v>
      </c>
      <c r="N1200" s="5">
        <f>Table1[[#This Row],[Ordered]]-Table1[[#This Row],[Date ]]</f>
        <v>0.75</v>
      </c>
      <c r="O1200">
        <f>Table1[[#This Row],[Company]]</f>
        <v>14</v>
      </c>
      <c r="P12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1" spans="1:16" x14ac:dyDescent="0.45">
      <c r="A1201" s="3">
        <v>45302.75</v>
      </c>
      <c r="B1201" t="s">
        <v>0</v>
      </c>
      <c r="C1201">
        <v>9</v>
      </c>
      <c r="D1201">
        <v>2006</v>
      </c>
      <c r="E1201" t="s">
        <v>16</v>
      </c>
      <c r="F1201">
        <v>30</v>
      </c>
      <c r="G1201">
        <v>3750</v>
      </c>
      <c r="H1201">
        <v>112500</v>
      </c>
      <c r="I1201" s="3">
        <v>45303.583333333336</v>
      </c>
      <c r="J1201">
        <v>132</v>
      </c>
      <c r="K1201" s="3">
        <v>45308.083333333336</v>
      </c>
      <c r="L1201" s="4">
        <f>ROUNDDOWN(Table1[[#This Row],[Ordered]],0)</f>
        <v>45302</v>
      </c>
      <c r="M1201" s="4">
        <f>Table1[[#This Row],[Date ]]</f>
        <v>45302</v>
      </c>
      <c r="N1201" s="5">
        <f>Table1[[#This Row],[Ordered]]-Table1[[#This Row],[Date ]]</f>
        <v>0.75</v>
      </c>
      <c r="O1201">
        <f>Table1[[#This Row],[Company]]</f>
        <v>9</v>
      </c>
      <c r="P12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2" spans="1:16" x14ac:dyDescent="0.45">
      <c r="A1202" s="3">
        <v>45302.75</v>
      </c>
      <c r="B1202" t="s">
        <v>0</v>
      </c>
      <c r="C1202">
        <v>8</v>
      </c>
      <c r="D1202">
        <v>2006</v>
      </c>
      <c r="E1202" t="s">
        <v>16</v>
      </c>
      <c r="F1202">
        <v>30</v>
      </c>
      <c r="G1202">
        <v>3800</v>
      </c>
      <c r="H1202">
        <v>114000</v>
      </c>
      <c r="I1202" s="3">
        <v>45303.791666666664</v>
      </c>
      <c r="J1202">
        <v>132</v>
      </c>
      <c r="K1202" s="3">
        <v>45308.291666666664</v>
      </c>
      <c r="L1202" s="4">
        <f>ROUNDDOWN(Table1[[#This Row],[Ordered]],0)</f>
        <v>45302</v>
      </c>
      <c r="M1202" s="4">
        <f>Table1[[#This Row],[Date ]]</f>
        <v>45302</v>
      </c>
      <c r="N1202" s="5">
        <f>Table1[[#This Row],[Ordered]]-Table1[[#This Row],[Date ]]</f>
        <v>0.75</v>
      </c>
      <c r="O1202">
        <f>Table1[[#This Row],[Company]]</f>
        <v>8</v>
      </c>
      <c r="P12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3" spans="1:16" x14ac:dyDescent="0.45">
      <c r="A1203" s="3">
        <v>45302.75</v>
      </c>
      <c r="B1203" t="s">
        <v>0</v>
      </c>
      <c r="C1203">
        <v>16</v>
      </c>
      <c r="D1203">
        <v>2006</v>
      </c>
      <c r="E1203" t="s">
        <v>15</v>
      </c>
      <c r="F1203">
        <v>30</v>
      </c>
      <c r="G1203">
        <v>6650</v>
      </c>
      <c r="H1203">
        <v>199500</v>
      </c>
      <c r="I1203" s="3">
        <v>45302.875</v>
      </c>
      <c r="J1203">
        <v>132</v>
      </c>
      <c r="K1203" s="3">
        <v>45307.375</v>
      </c>
      <c r="L1203" s="4">
        <f>ROUNDDOWN(Table1[[#This Row],[Ordered]],0)</f>
        <v>45302</v>
      </c>
      <c r="M1203" s="4">
        <f>Table1[[#This Row],[Date ]]</f>
        <v>45302</v>
      </c>
      <c r="N1203" s="5">
        <f>Table1[[#This Row],[Ordered]]-Table1[[#This Row],[Date ]]</f>
        <v>0.75</v>
      </c>
      <c r="O1203">
        <f>Table1[[#This Row],[Company]]</f>
        <v>16</v>
      </c>
      <c r="P12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4" spans="1:16" x14ac:dyDescent="0.45">
      <c r="A1204" s="3">
        <v>45302.75</v>
      </c>
      <c r="B1204" t="s">
        <v>0</v>
      </c>
      <c r="C1204">
        <v>15</v>
      </c>
      <c r="D1204">
        <v>2006</v>
      </c>
      <c r="E1204" t="s">
        <v>15</v>
      </c>
      <c r="F1204">
        <v>40</v>
      </c>
      <c r="G1204">
        <v>6000</v>
      </c>
      <c r="H1204">
        <v>240000</v>
      </c>
      <c r="I1204" s="3">
        <v>45302.875</v>
      </c>
      <c r="J1204">
        <v>54</v>
      </c>
      <c r="K1204" s="3">
        <v>45304.375</v>
      </c>
      <c r="L1204" s="4">
        <f>ROUNDDOWN(Table1[[#This Row],[Ordered]],0)</f>
        <v>45302</v>
      </c>
      <c r="M1204" s="4">
        <f>Table1[[#This Row],[Date ]]</f>
        <v>45302</v>
      </c>
      <c r="N1204" s="5">
        <f>Table1[[#This Row],[Ordered]]-Table1[[#This Row],[Date ]]</f>
        <v>0.75</v>
      </c>
      <c r="O1204">
        <f>Table1[[#This Row],[Company]]</f>
        <v>15</v>
      </c>
      <c r="P12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5" spans="1:16" x14ac:dyDescent="0.45">
      <c r="A1205" s="3">
        <v>45302.75</v>
      </c>
      <c r="B1205" t="s">
        <v>0</v>
      </c>
      <c r="C1205">
        <v>12</v>
      </c>
      <c r="D1205">
        <v>2006</v>
      </c>
      <c r="E1205" t="s">
        <v>16</v>
      </c>
      <c r="F1205">
        <v>50</v>
      </c>
      <c r="G1205">
        <v>3700</v>
      </c>
      <c r="H1205">
        <v>185000</v>
      </c>
      <c r="I1205" s="3">
        <v>45303.625</v>
      </c>
      <c r="J1205">
        <v>144</v>
      </c>
      <c r="K1205" s="3">
        <v>45308.125</v>
      </c>
      <c r="L1205" s="4">
        <f>ROUNDDOWN(Table1[[#This Row],[Ordered]],0)</f>
        <v>45302</v>
      </c>
      <c r="M1205" s="4">
        <f>Table1[[#This Row],[Date ]]</f>
        <v>45302</v>
      </c>
      <c r="N1205" s="5">
        <f>Table1[[#This Row],[Ordered]]-Table1[[#This Row],[Date ]]</f>
        <v>0.75</v>
      </c>
      <c r="O1205">
        <f>Table1[[#This Row],[Company]]</f>
        <v>12</v>
      </c>
      <c r="P12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6" spans="1:16" x14ac:dyDescent="0.45">
      <c r="A1206" s="3">
        <v>45302.75</v>
      </c>
      <c r="B1206" t="s">
        <v>0</v>
      </c>
      <c r="C1206">
        <v>15</v>
      </c>
      <c r="D1206">
        <v>2006</v>
      </c>
      <c r="E1206" t="s">
        <v>16</v>
      </c>
      <c r="F1206">
        <v>50</v>
      </c>
      <c r="G1206">
        <v>3750</v>
      </c>
      <c r="H1206">
        <v>187500</v>
      </c>
      <c r="I1206" s="3">
        <v>45303.166666666664</v>
      </c>
      <c r="J1206">
        <v>132</v>
      </c>
      <c r="K1206" s="3">
        <v>45307.666666666664</v>
      </c>
      <c r="L1206" s="4">
        <f>ROUNDDOWN(Table1[[#This Row],[Ordered]],0)</f>
        <v>45302</v>
      </c>
      <c r="M1206" s="4">
        <f>Table1[[#This Row],[Date ]]</f>
        <v>45302</v>
      </c>
      <c r="N1206" s="5">
        <f>Table1[[#This Row],[Ordered]]-Table1[[#This Row],[Date ]]</f>
        <v>0.75</v>
      </c>
      <c r="O1206">
        <f>Table1[[#This Row],[Company]]</f>
        <v>15</v>
      </c>
      <c r="P12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7" spans="1:16" x14ac:dyDescent="0.45">
      <c r="A1207" s="3">
        <v>45302.75</v>
      </c>
      <c r="B1207" t="s">
        <v>0</v>
      </c>
      <c r="C1207">
        <v>13</v>
      </c>
      <c r="D1207">
        <v>2006</v>
      </c>
      <c r="E1207" t="s">
        <v>15</v>
      </c>
      <c r="F1207">
        <v>30</v>
      </c>
      <c r="G1207">
        <v>6300</v>
      </c>
      <c r="H1207">
        <v>189000</v>
      </c>
      <c r="I1207" s="3">
        <v>45303.5</v>
      </c>
      <c r="J1207">
        <v>132</v>
      </c>
      <c r="K1207" s="3">
        <v>45308</v>
      </c>
      <c r="L1207" s="4">
        <f>ROUNDDOWN(Table1[[#This Row],[Ordered]],0)</f>
        <v>45302</v>
      </c>
      <c r="M1207" s="4">
        <f>Table1[[#This Row],[Date ]]</f>
        <v>45302</v>
      </c>
      <c r="N1207" s="5">
        <f>Table1[[#This Row],[Ordered]]-Table1[[#This Row],[Date ]]</f>
        <v>0.75</v>
      </c>
      <c r="O1207">
        <f>Table1[[#This Row],[Company]]</f>
        <v>13</v>
      </c>
      <c r="P12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8" spans="1:16" x14ac:dyDescent="0.45">
      <c r="A1208" s="3">
        <v>45302.75</v>
      </c>
      <c r="B1208" t="s">
        <v>0</v>
      </c>
      <c r="C1208">
        <v>7</v>
      </c>
      <c r="D1208">
        <v>2006</v>
      </c>
      <c r="E1208" t="s">
        <v>16</v>
      </c>
      <c r="F1208">
        <v>30</v>
      </c>
      <c r="G1208">
        <v>3800</v>
      </c>
      <c r="H1208">
        <v>114000</v>
      </c>
      <c r="I1208" s="3">
        <v>45303.708333333336</v>
      </c>
      <c r="J1208">
        <v>132</v>
      </c>
      <c r="K1208" s="3">
        <v>45308.208333333336</v>
      </c>
      <c r="L1208" s="4">
        <f>ROUNDDOWN(Table1[[#This Row],[Ordered]],0)</f>
        <v>45302</v>
      </c>
      <c r="M1208" s="4">
        <f>Table1[[#This Row],[Date ]]</f>
        <v>45302</v>
      </c>
      <c r="N1208" s="5">
        <f>Table1[[#This Row],[Ordered]]-Table1[[#This Row],[Date ]]</f>
        <v>0.75</v>
      </c>
      <c r="O1208">
        <f>Table1[[#This Row],[Company]]</f>
        <v>7</v>
      </c>
      <c r="P12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9" spans="1:16" x14ac:dyDescent="0.45">
      <c r="A1209" s="3">
        <v>45302.75</v>
      </c>
      <c r="B1209" t="s">
        <v>0</v>
      </c>
      <c r="C1209">
        <v>10</v>
      </c>
      <c r="D1209">
        <v>2006</v>
      </c>
      <c r="E1209" t="s">
        <v>16</v>
      </c>
      <c r="F1209">
        <v>30</v>
      </c>
      <c r="G1209">
        <v>4200</v>
      </c>
      <c r="H1209">
        <v>126000</v>
      </c>
      <c r="I1209" s="3">
        <v>45302.958333333336</v>
      </c>
      <c r="J1209">
        <v>84</v>
      </c>
      <c r="K1209" s="3">
        <v>45305.958333333336</v>
      </c>
      <c r="L1209" s="4">
        <f>ROUNDDOWN(Table1[[#This Row],[Ordered]],0)</f>
        <v>45302</v>
      </c>
      <c r="M1209" s="4">
        <f>Table1[[#This Row],[Date ]]</f>
        <v>45302</v>
      </c>
      <c r="N1209" s="5">
        <f>Table1[[#This Row],[Ordered]]-Table1[[#This Row],[Date ]]</f>
        <v>0.75</v>
      </c>
      <c r="O1209">
        <f>Table1[[#This Row],[Company]]</f>
        <v>10</v>
      </c>
      <c r="P12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0" spans="1:16" x14ac:dyDescent="0.45">
      <c r="A1210" s="3">
        <v>45302.75</v>
      </c>
      <c r="B1210" t="s">
        <v>0</v>
      </c>
      <c r="C1210">
        <v>11</v>
      </c>
      <c r="D1210">
        <v>2006</v>
      </c>
      <c r="E1210" t="s">
        <v>15</v>
      </c>
      <c r="F1210">
        <v>50</v>
      </c>
      <c r="G1210">
        <v>6550</v>
      </c>
      <c r="H1210">
        <v>327500</v>
      </c>
      <c r="I1210" s="3">
        <v>45303.125</v>
      </c>
      <c r="J1210">
        <v>132</v>
      </c>
      <c r="K1210" s="3">
        <v>45307.625</v>
      </c>
      <c r="L1210" s="4">
        <f>ROUNDDOWN(Table1[[#This Row],[Ordered]],0)</f>
        <v>45302</v>
      </c>
      <c r="M1210" s="4">
        <f>Table1[[#This Row],[Date ]]</f>
        <v>45302</v>
      </c>
      <c r="N1210" s="5">
        <f>Table1[[#This Row],[Ordered]]-Table1[[#This Row],[Date ]]</f>
        <v>0.75</v>
      </c>
      <c r="O1210">
        <f>Table1[[#This Row],[Company]]</f>
        <v>11</v>
      </c>
      <c r="P12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1" spans="1:16" x14ac:dyDescent="0.45">
      <c r="A1211" s="3">
        <v>45302.75</v>
      </c>
      <c r="B1211" t="s">
        <v>0</v>
      </c>
      <c r="C1211">
        <v>10</v>
      </c>
      <c r="D1211">
        <v>2006</v>
      </c>
      <c r="E1211" t="s">
        <v>15</v>
      </c>
      <c r="F1211">
        <v>40</v>
      </c>
      <c r="G1211">
        <v>6700</v>
      </c>
      <c r="H1211">
        <v>268000</v>
      </c>
      <c r="I1211" s="3">
        <v>45313.583333333336</v>
      </c>
      <c r="J1211">
        <v>120</v>
      </c>
      <c r="K1211" s="3">
        <v>45318.083333333336</v>
      </c>
      <c r="L1211" s="4">
        <f>ROUNDDOWN(Table1[[#This Row],[Ordered]],0)</f>
        <v>45302</v>
      </c>
      <c r="M1211" s="4">
        <f>Table1[[#This Row],[Date ]]</f>
        <v>45302</v>
      </c>
      <c r="N1211" s="5">
        <f>Table1[[#This Row],[Ordered]]-Table1[[#This Row],[Date ]]</f>
        <v>0.75</v>
      </c>
      <c r="O1211">
        <f>Table1[[#This Row],[Company]]</f>
        <v>10</v>
      </c>
      <c r="P12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2" spans="1:16" x14ac:dyDescent="0.45">
      <c r="A1212" s="3">
        <v>45302.75</v>
      </c>
      <c r="B1212" t="s">
        <v>0</v>
      </c>
      <c r="C1212">
        <v>12</v>
      </c>
      <c r="D1212">
        <v>2006</v>
      </c>
      <c r="E1212" t="s">
        <v>15</v>
      </c>
      <c r="F1212">
        <v>30</v>
      </c>
      <c r="G1212">
        <v>6750</v>
      </c>
      <c r="H1212">
        <v>202500</v>
      </c>
      <c r="I1212" s="3">
        <v>45302.791666666664</v>
      </c>
      <c r="J1212">
        <v>120</v>
      </c>
      <c r="K1212" s="3">
        <v>45307.291666666664</v>
      </c>
      <c r="L1212" s="4">
        <f>ROUNDDOWN(Table1[[#This Row],[Ordered]],0)</f>
        <v>45302</v>
      </c>
      <c r="M1212" s="4">
        <f>Table1[[#This Row],[Date ]]</f>
        <v>45302</v>
      </c>
      <c r="N1212" s="5">
        <f>Table1[[#This Row],[Ordered]]-Table1[[#This Row],[Date ]]</f>
        <v>0.75</v>
      </c>
      <c r="O1212">
        <f>Table1[[#This Row],[Company]]</f>
        <v>12</v>
      </c>
      <c r="P12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3" spans="1:16" x14ac:dyDescent="0.45">
      <c r="A1213" s="3">
        <v>45302.75</v>
      </c>
      <c r="B1213" t="s">
        <v>0</v>
      </c>
      <c r="C1213">
        <v>7</v>
      </c>
      <c r="D1213">
        <v>2006</v>
      </c>
      <c r="E1213" t="s">
        <v>15</v>
      </c>
      <c r="F1213">
        <v>30</v>
      </c>
      <c r="G1213">
        <v>6700</v>
      </c>
      <c r="H1213">
        <v>201000</v>
      </c>
      <c r="I1213" s="3">
        <v>45303.416666666664</v>
      </c>
      <c r="J1213">
        <v>132</v>
      </c>
      <c r="K1213" s="3">
        <v>45307.916666666664</v>
      </c>
      <c r="L1213" s="4">
        <f>ROUNDDOWN(Table1[[#This Row],[Ordered]],0)</f>
        <v>45302</v>
      </c>
      <c r="M1213" s="4">
        <f>Table1[[#This Row],[Date ]]</f>
        <v>45302</v>
      </c>
      <c r="N1213" s="5">
        <f>Table1[[#This Row],[Ordered]]-Table1[[#This Row],[Date ]]</f>
        <v>0.75</v>
      </c>
      <c r="O1213">
        <f>Table1[[#This Row],[Company]]</f>
        <v>7</v>
      </c>
      <c r="P12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4" spans="1:16" x14ac:dyDescent="0.45">
      <c r="A1214" s="3">
        <v>45302.75</v>
      </c>
      <c r="B1214" t="s">
        <v>0</v>
      </c>
      <c r="C1214">
        <v>13</v>
      </c>
      <c r="D1214">
        <v>2006</v>
      </c>
      <c r="E1214" t="s">
        <v>16</v>
      </c>
      <c r="F1214">
        <v>30</v>
      </c>
      <c r="G1214">
        <v>3500</v>
      </c>
      <c r="H1214">
        <v>105000</v>
      </c>
      <c r="I1214" s="3">
        <v>45303.541666666664</v>
      </c>
      <c r="J1214">
        <v>132</v>
      </c>
      <c r="K1214" s="3">
        <v>45308.041666666664</v>
      </c>
      <c r="L1214" s="4">
        <f>ROUNDDOWN(Table1[[#This Row],[Ordered]],0)</f>
        <v>45302</v>
      </c>
      <c r="M1214" s="4">
        <f>Table1[[#This Row],[Date ]]</f>
        <v>45302</v>
      </c>
      <c r="N1214" s="5">
        <f>Table1[[#This Row],[Ordered]]-Table1[[#This Row],[Date ]]</f>
        <v>0.75</v>
      </c>
      <c r="O1214">
        <f>Table1[[#This Row],[Company]]</f>
        <v>13</v>
      </c>
      <c r="P12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5" spans="1:16" x14ac:dyDescent="0.45">
      <c r="A1215" s="3">
        <v>45302.75</v>
      </c>
      <c r="B1215" t="s">
        <v>0</v>
      </c>
      <c r="C1215">
        <v>8</v>
      </c>
      <c r="D1215">
        <v>2006</v>
      </c>
      <c r="E1215" t="s">
        <v>15</v>
      </c>
      <c r="F1215">
        <v>30</v>
      </c>
      <c r="G1215">
        <v>5700</v>
      </c>
      <c r="H1215">
        <v>171000</v>
      </c>
      <c r="I1215" s="3">
        <v>45303.583333333336</v>
      </c>
      <c r="J1215">
        <v>132</v>
      </c>
      <c r="K1215" s="3">
        <v>45308.083333333336</v>
      </c>
      <c r="L1215" s="4">
        <f>ROUNDDOWN(Table1[[#This Row],[Ordered]],0)</f>
        <v>45302</v>
      </c>
      <c r="M1215" s="4">
        <f>Table1[[#This Row],[Date ]]</f>
        <v>45302</v>
      </c>
      <c r="N1215" s="5">
        <f>Table1[[#This Row],[Ordered]]-Table1[[#This Row],[Date ]]</f>
        <v>0.75</v>
      </c>
      <c r="O1215">
        <f>Table1[[#This Row],[Company]]</f>
        <v>8</v>
      </c>
      <c r="P12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6" spans="1:16" x14ac:dyDescent="0.45">
      <c r="A1216" s="3">
        <v>45302.75</v>
      </c>
      <c r="B1216" t="s">
        <v>0</v>
      </c>
      <c r="C1216">
        <v>14</v>
      </c>
      <c r="D1216">
        <v>2006</v>
      </c>
      <c r="E1216" t="s">
        <v>15</v>
      </c>
      <c r="F1216">
        <v>30</v>
      </c>
      <c r="G1216">
        <v>6650</v>
      </c>
      <c r="H1216">
        <v>199500</v>
      </c>
      <c r="I1216" s="3">
        <v>45303</v>
      </c>
      <c r="J1216">
        <v>132</v>
      </c>
      <c r="K1216" s="3">
        <v>45307.5</v>
      </c>
      <c r="L1216" s="4">
        <f>ROUNDDOWN(Table1[[#This Row],[Ordered]],0)</f>
        <v>45302</v>
      </c>
      <c r="M1216" s="4">
        <f>Table1[[#This Row],[Date ]]</f>
        <v>45302</v>
      </c>
      <c r="N1216" s="5">
        <f>Table1[[#This Row],[Ordered]]-Table1[[#This Row],[Date ]]</f>
        <v>0.75</v>
      </c>
      <c r="O1216">
        <f>Table1[[#This Row],[Company]]</f>
        <v>14</v>
      </c>
      <c r="P12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7" spans="1:16" x14ac:dyDescent="0.45">
      <c r="A1217" s="3">
        <v>45302.75</v>
      </c>
      <c r="B1217" t="s">
        <v>0</v>
      </c>
      <c r="C1217">
        <v>16</v>
      </c>
      <c r="D1217">
        <v>2006</v>
      </c>
      <c r="E1217" t="s">
        <v>16</v>
      </c>
      <c r="F1217">
        <v>30</v>
      </c>
      <c r="G1217">
        <v>3750</v>
      </c>
      <c r="H1217">
        <v>112500</v>
      </c>
      <c r="I1217" s="3">
        <v>45302.875</v>
      </c>
      <c r="J1217">
        <v>132</v>
      </c>
      <c r="K1217" s="3">
        <v>45307.375</v>
      </c>
      <c r="L1217" s="4">
        <f>ROUNDDOWN(Table1[[#This Row],[Ordered]],0)</f>
        <v>45302</v>
      </c>
      <c r="M1217" s="4">
        <f>Table1[[#This Row],[Date ]]</f>
        <v>45302</v>
      </c>
      <c r="N1217" s="5">
        <f>Table1[[#This Row],[Ordered]]-Table1[[#This Row],[Date ]]</f>
        <v>0.75</v>
      </c>
      <c r="O1217">
        <f>Table1[[#This Row],[Company]]</f>
        <v>16</v>
      </c>
      <c r="P12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8" spans="1:16" hidden="1" x14ac:dyDescent="0.45">
      <c r="A1218" s="3">
        <v>45302.791666666664</v>
      </c>
      <c r="B1218" t="s">
        <v>12</v>
      </c>
      <c r="C1218">
        <v>3</v>
      </c>
      <c r="D1218">
        <v>13</v>
      </c>
      <c r="E1218" t="s">
        <v>13</v>
      </c>
      <c r="F1218">
        <v>2000</v>
      </c>
      <c r="G1218">
        <v>125</v>
      </c>
      <c r="H1218">
        <v>250000</v>
      </c>
      <c r="I1218" s="3">
        <v>45303.458333333336</v>
      </c>
      <c r="J1218">
        <v>72</v>
      </c>
      <c r="K1218" s="3">
        <v>45306.458333333336</v>
      </c>
      <c r="L1218" s="4">
        <f>ROUNDDOWN(Table1[[#This Row],[Ordered]],0)</f>
        <v>45302</v>
      </c>
      <c r="M1218" s="4">
        <f>Table1[[#This Row],[Date ]]</f>
        <v>45302</v>
      </c>
      <c r="N1218" s="5">
        <f>Table1[[#This Row],[Ordered]]-Table1[[#This Row],[Date ]]</f>
        <v>0.79166666666424135</v>
      </c>
      <c r="O1218">
        <f>Table1[[#This Row],[Company]]</f>
        <v>3</v>
      </c>
      <c r="P12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9" spans="1:16" x14ac:dyDescent="0.45">
      <c r="A1219" s="3">
        <v>45302.791666666664</v>
      </c>
      <c r="B1219" t="s">
        <v>14</v>
      </c>
      <c r="C1219">
        <v>12</v>
      </c>
      <c r="D1219">
        <v>1003</v>
      </c>
      <c r="E1219" t="s">
        <v>15</v>
      </c>
      <c r="F1219">
        <v>3</v>
      </c>
      <c r="G1219">
        <v>6700</v>
      </c>
      <c r="H1219">
        <v>20100</v>
      </c>
      <c r="I1219" s="3">
        <v>45304.375</v>
      </c>
      <c r="J1219">
        <v>96</v>
      </c>
      <c r="K1219" s="3">
        <v>45306.375</v>
      </c>
      <c r="L1219" s="4">
        <f>ROUNDDOWN(Table1[[#This Row],[Ordered]],0)</f>
        <v>45302</v>
      </c>
      <c r="M1219" s="4">
        <f>Table1[[#This Row],[Date ]]</f>
        <v>45302</v>
      </c>
      <c r="N1219" s="5">
        <f>Table1[[#This Row],[Ordered]]-Table1[[#This Row],[Date ]]</f>
        <v>0.79166666666424135</v>
      </c>
      <c r="O1219">
        <f>Table1[[#This Row],[Company]]</f>
        <v>12</v>
      </c>
      <c r="P12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0" spans="1:16" x14ac:dyDescent="0.45">
      <c r="A1220" s="3">
        <v>45302.791666666664</v>
      </c>
      <c r="B1220" t="s">
        <v>14</v>
      </c>
      <c r="C1220">
        <v>8</v>
      </c>
      <c r="D1220">
        <v>1003</v>
      </c>
      <c r="E1220" t="s">
        <v>15</v>
      </c>
      <c r="F1220">
        <v>4</v>
      </c>
      <c r="G1220">
        <v>5450</v>
      </c>
      <c r="H1220">
        <v>21800</v>
      </c>
      <c r="I1220" s="3">
        <v>45303.583333333336</v>
      </c>
      <c r="J1220">
        <v>96</v>
      </c>
      <c r="K1220" s="3">
        <v>45306.583333333336</v>
      </c>
      <c r="L1220" s="4">
        <f>ROUNDDOWN(Table1[[#This Row],[Ordered]],0)</f>
        <v>45302</v>
      </c>
      <c r="M1220" s="4">
        <f>Table1[[#This Row],[Date ]]</f>
        <v>45302</v>
      </c>
      <c r="N1220" s="5">
        <f>Table1[[#This Row],[Ordered]]-Table1[[#This Row],[Date ]]</f>
        <v>0.79166666666424135</v>
      </c>
      <c r="O1220">
        <f>Table1[[#This Row],[Company]]</f>
        <v>8</v>
      </c>
      <c r="P12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1" spans="1:16" x14ac:dyDescent="0.45">
      <c r="A1221" s="3">
        <v>45302.791666666664</v>
      </c>
      <c r="B1221" t="s">
        <v>14</v>
      </c>
      <c r="C1221">
        <v>16</v>
      </c>
      <c r="D1221">
        <v>1003</v>
      </c>
      <c r="E1221" t="s">
        <v>15</v>
      </c>
      <c r="F1221">
        <v>3</v>
      </c>
      <c r="G1221">
        <v>6650</v>
      </c>
      <c r="H1221">
        <v>19950</v>
      </c>
      <c r="I1221" s="3">
        <v>45302.916666666664</v>
      </c>
      <c r="J1221">
        <v>96</v>
      </c>
      <c r="K1221" s="3">
        <v>45305.916666666664</v>
      </c>
      <c r="L1221" s="4">
        <f>ROUNDDOWN(Table1[[#This Row],[Ordered]],0)</f>
        <v>45302</v>
      </c>
      <c r="M1221" s="4">
        <f>Table1[[#This Row],[Date ]]</f>
        <v>45302</v>
      </c>
      <c r="N1221" s="5">
        <f>Table1[[#This Row],[Ordered]]-Table1[[#This Row],[Date ]]</f>
        <v>0.79166666666424135</v>
      </c>
      <c r="O1221">
        <f>Table1[[#This Row],[Company]]</f>
        <v>16</v>
      </c>
      <c r="P12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2" spans="1:16" x14ac:dyDescent="0.45">
      <c r="A1222" s="3">
        <v>45302.791666666664</v>
      </c>
      <c r="B1222" t="s">
        <v>14</v>
      </c>
      <c r="C1222">
        <v>13</v>
      </c>
      <c r="D1222">
        <v>1003</v>
      </c>
      <c r="E1222" t="s">
        <v>15</v>
      </c>
      <c r="F1222">
        <v>2</v>
      </c>
      <c r="G1222">
        <v>6300</v>
      </c>
      <c r="H1222">
        <v>12600</v>
      </c>
      <c r="I1222" s="3">
        <v>45303.416666666664</v>
      </c>
      <c r="J1222">
        <v>96</v>
      </c>
      <c r="K1222" s="3">
        <v>45306.416666666664</v>
      </c>
      <c r="L1222" s="4">
        <f>ROUNDDOWN(Table1[[#This Row],[Ordered]],0)</f>
        <v>45302</v>
      </c>
      <c r="M1222" s="4">
        <f>Table1[[#This Row],[Date ]]</f>
        <v>45302</v>
      </c>
      <c r="N1222" s="5">
        <f>Table1[[#This Row],[Ordered]]-Table1[[#This Row],[Date ]]</f>
        <v>0.79166666666424135</v>
      </c>
      <c r="O1222">
        <f>Table1[[#This Row],[Company]]</f>
        <v>13</v>
      </c>
      <c r="P12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3" spans="1:16" x14ac:dyDescent="0.45">
      <c r="A1223" s="3">
        <v>45302.791666666664</v>
      </c>
      <c r="B1223" t="s">
        <v>14</v>
      </c>
      <c r="C1223">
        <v>7</v>
      </c>
      <c r="D1223">
        <v>1003</v>
      </c>
      <c r="E1223" t="s">
        <v>15</v>
      </c>
      <c r="F1223">
        <v>2</v>
      </c>
      <c r="G1223">
        <v>6700</v>
      </c>
      <c r="H1223">
        <v>13400</v>
      </c>
      <c r="I1223" s="3">
        <v>45303.458333333336</v>
      </c>
      <c r="J1223">
        <v>96</v>
      </c>
      <c r="K1223" s="3">
        <v>45306.458333333336</v>
      </c>
      <c r="L1223" s="4">
        <f>ROUNDDOWN(Table1[[#This Row],[Ordered]],0)</f>
        <v>45302</v>
      </c>
      <c r="M1223" s="4">
        <f>Table1[[#This Row],[Date ]]</f>
        <v>45302</v>
      </c>
      <c r="N1223" s="5">
        <f>Table1[[#This Row],[Ordered]]-Table1[[#This Row],[Date ]]</f>
        <v>0.79166666666424135</v>
      </c>
      <c r="O1223">
        <f>Table1[[#This Row],[Company]]</f>
        <v>7</v>
      </c>
      <c r="P12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4" spans="1:16" x14ac:dyDescent="0.45">
      <c r="A1224" s="3">
        <v>45302.791666666664</v>
      </c>
      <c r="B1224" t="s">
        <v>14</v>
      </c>
      <c r="C1224">
        <v>15</v>
      </c>
      <c r="D1224">
        <v>1003</v>
      </c>
      <c r="E1224" t="s">
        <v>15</v>
      </c>
      <c r="F1224">
        <v>4</v>
      </c>
      <c r="G1224">
        <v>6000</v>
      </c>
      <c r="H1224">
        <v>24000</v>
      </c>
      <c r="I1224" s="3">
        <v>45302.958333333336</v>
      </c>
      <c r="J1224">
        <v>68</v>
      </c>
      <c r="K1224" s="3">
        <v>45304.958333333336</v>
      </c>
      <c r="L1224" s="4">
        <f>ROUNDDOWN(Table1[[#This Row],[Ordered]],0)</f>
        <v>45302</v>
      </c>
      <c r="M1224" s="4">
        <f>Table1[[#This Row],[Date ]]</f>
        <v>45302</v>
      </c>
      <c r="N1224" s="5">
        <f>Table1[[#This Row],[Ordered]]-Table1[[#This Row],[Date ]]</f>
        <v>0.79166666666424135</v>
      </c>
      <c r="O1224">
        <f>Table1[[#This Row],[Company]]</f>
        <v>15</v>
      </c>
      <c r="P12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5" spans="1:16" x14ac:dyDescent="0.45">
      <c r="A1225" s="3">
        <v>45302.875</v>
      </c>
      <c r="B1225" t="s">
        <v>14</v>
      </c>
      <c r="C1225">
        <v>14</v>
      </c>
      <c r="D1225">
        <v>1002</v>
      </c>
      <c r="E1225" t="s">
        <v>15</v>
      </c>
      <c r="F1225">
        <v>2</v>
      </c>
      <c r="G1225">
        <v>6650</v>
      </c>
      <c r="H1225">
        <v>13300</v>
      </c>
      <c r="I1225" s="3">
        <v>45303.291666666664</v>
      </c>
      <c r="J1225">
        <v>96</v>
      </c>
      <c r="K1225" s="3">
        <v>45306.291666666664</v>
      </c>
      <c r="L1225" s="4">
        <f>ROUNDDOWN(Table1[[#This Row],[Ordered]],0)</f>
        <v>45302</v>
      </c>
      <c r="M1225" s="4">
        <f>Table1[[#This Row],[Date ]]</f>
        <v>45302</v>
      </c>
      <c r="N1225" s="5">
        <f>Table1[[#This Row],[Ordered]]-Table1[[#This Row],[Date ]]</f>
        <v>0.875</v>
      </c>
      <c r="O1225">
        <f>Table1[[#This Row],[Company]]</f>
        <v>14</v>
      </c>
      <c r="P12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6" spans="1:16" hidden="1" x14ac:dyDescent="0.45">
      <c r="A1226" s="3">
        <v>45302.875</v>
      </c>
      <c r="B1226" t="s">
        <v>12</v>
      </c>
      <c r="C1226">
        <v>2</v>
      </c>
      <c r="D1226">
        <v>9</v>
      </c>
      <c r="E1226" t="s">
        <v>13</v>
      </c>
      <c r="F1226">
        <v>500</v>
      </c>
      <c r="G1226">
        <v>140</v>
      </c>
      <c r="H1226">
        <v>70000</v>
      </c>
      <c r="I1226" s="3">
        <v>45302.916666666664</v>
      </c>
      <c r="J1226">
        <v>24</v>
      </c>
      <c r="K1226" s="3">
        <v>45303.916666666664</v>
      </c>
      <c r="L1226" s="4">
        <f>ROUNDDOWN(Table1[[#This Row],[Ordered]],0)</f>
        <v>45302</v>
      </c>
      <c r="M1226" s="4">
        <f>Table1[[#This Row],[Date ]]</f>
        <v>45302</v>
      </c>
      <c r="N1226" s="5">
        <f>Table1[[#This Row],[Ordered]]-Table1[[#This Row],[Date ]]</f>
        <v>0.875</v>
      </c>
      <c r="O1226">
        <f>Table1[[#This Row],[Company]]</f>
        <v>2</v>
      </c>
      <c r="P12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7" spans="1:16" x14ac:dyDescent="0.45">
      <c r="A1227" s="3">
        <v>45302.875</v>
      </c>
      <c r="B1227" t="s">
        <v>14</v>
      </c>
      <c r="C1227">
        <v>8</v>
      </c>
      <c r="D1227">
        <v>1002</v>
      </c>
      <c r="E1227" t="s">
        <v>15</v>
      </c>
      <c r="F1227">
        <v>8</v>
      </c>
      <c r="G1227">
        <v>5450</v>
      </c>
      <c r="H1227">
        <v>43600</v>
      </c>
      <c r="I1227" s="3">
        <v>45303.583333333336</v>
      </c>
      <c r="J1227">
        <v>96</v>
      </c>
      <c r="K1227" s="3">
        <v>45306.583333333336</v>
      </c>
      <c r="L1227" s="4">
        <f>ROUNDDOWN(Table1[[#This Row],[Ordered]],0)</f>
        <v>45302</v>
      </c>
      <c r="M1227" s="4">
        <f>Table1[[#This Row],[Date ]]</f>
        <v>45302</v>
      </c>
      <c r="N1227" s="5">
        <f>Table1[[#This Row],[Ordered]]-Table1[[#This Row],[Date ]]</f>
        <v>0.875</v>
      </c>
      <c r="O1227">
        <f>Table1[[#This Row],[Company]]</f>
        <v>8</v>
      </c>
      <c r="P12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8" spans="1:16" x14ac:dyDescent="0.45">
      <c r="A1228" s="3">
        <v>45302.875</v>
      </c>
      <c r="B1228" t="s">
        <v>14</v>
      </c>
      <c r="C1228">
        <v>15</v>
      </c>
      <c r="D1228">
        <v>1002</v>
      </c>
      <c r="E1228" t="s">
        <v>15</v>
      </c>
      <c r="F1228">
        <v>9</v>
      </c>
      <c r="G1228">
        <v>6000</v>
      </c>
      <c r="H1228">
        <v>54000</v>
      </c>
      <c r="I1228" s="3">
        <v>45303.083333333336</v>
      </c>
      <c r="J1228">
        <v>68</v>
      </c>
      <c r="K1228" s="3">
        <v>45305.083333333336</v>
      </c>
      <c r="L1228" s="4">
        <f>ROUNDDOWN(Table1[[#This Row],[Ordered]],0)</f>
        <v>45302</v>
      </c>
      <c r="M1228" s="4">
        <f>Table1[[#This Row],[Date ]]</f>
        <v>45302</v>
      </c>
      <c r="N1228" s="5">
        <f>Table1[[#This Row],[Ordered]]-Table1[[#This Row],[Date ]]</f>
        <v>0.875</v>
      </c>
      <c r="O1228">
        <f>Table1[[#This Row],[Company]]</f>
        <v>15</v>
      </c>
      <c r="P12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9" spans="1:16" x14ac:dyDescent="0.45">
      <c r="A1229" s="3">
        <v>45302.875</v>
      </c>
      <c r="B1229" t="s">
        <v>14</v>
      </c>
      <c r="C1229">
        <v>7</v>
      </c>
      <c r="D1229">
        <v>1002</v>
      </c>
      <c r="E1229" t="s">
        <v>15</v>
      </c>
      <c r="F1229">
        <v>4</v>
      </c>
      <c r="G1229">
        <v>6700</v>
      </c>
      <c r="H1229">
        <v>26800</v>
      </c>
      <c r="I1229" s="3">
        <v>45303.458333333336</v>
      </c>
      <c r="J1229">
        <v>96</v>
      </c>
      <c r="K1229" s="3">
        <v>45306.458333333336</v>
      </c>
      <c r="L1229" s="4">
        <f>ROUNDDOWN(Table1[[#This Row],[Ordered]],0)</f>
        <v>45302</v>
      </c>
      <c r="M1229" s="4">
        <f>Table1[[#This Row],[Date ]]</f>
        <v>45302</v>
      </c>
      <c r="N1229" s="5">
        <f>Table1[[#This Row],[Ordered]]-Table1[[#This Row],[Date ]]</f>
        <v>0.875</v>
      </c>
      <c r="O1229">
        <f>Table1[[#This Row],[Company]]</f>
        <v>7</v>
      </c>
      <c r="P12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0" spans="1:16" x14ac:dyDescent="0.45">
      <c r="A1230" s="3">
        <v>45302.875</v>
      </c>
      <c r="B1230" t="s">
        <v>14</v>
      </c>
      <c r="C1230">
        <v>10</v>
      </c>
      <c r="D1230">
        <v>1002</v>
      </c>
      <c r="E1230" t="s">
        <v>15</v>
      </c>
      <c r="F1230">
        <v>5</v>
      </c>
      <c r="G1230">
        <v>6600</v>
      </c>
      <c r="H1230">
        <v>33000</v>
      </c>
      <c r="I1230" s="3">
        <v>45302.958333333336</v>
      </c>
      <c r="J1230">
        <v>84</v>
      </c>
      <c r="K1230" s="3">
        <v>45305.958333333336</v>
      </c>
      <c r="L1230" s="4">
        <f>ROUNDDOWN(Table1[[#This Row],[Ordered]],0)</f>
        <v>45302</v>
      </c>
      <c r="M1230" s="4">
        <f>Table1[[#This Row],[Date ]]</f>
        <v>45302</v>
      </c>
      <c r="N1230" s="5">
        <f>Table1[[#This Row],[Ordered]]-Table1[[#This Row],[Date ]]</f>
        <v>0.875</v>
      </c>
      <c r="O1230">
        <f>Table1[[#This Row],[Company]]</f>
        <v>10</v>
      </c>
      <c r="P12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1" spans="1:16" x14ac:dyDescent="0.45">
      <c r="A1231" s="3">
        <v>45302.875</v>
      </c>
      <c r="B1231" t="s">
        <v>14</v>
      </c>
      <c r="C1231">
        <v>16</v>
      </c>
      <c r="D1231">
        <v>1002</v>
      </c>
      <c r="E1231" t="s">
        <v>15</v>
      </c>
      <c r="F1231">
        <v>5</v>
      </c>
      <c r="G1231">
        <v>6650</v>
      </c>
      <c r="H1231">
        <v>33250</v>
      </c>
      <c r="I1231" s="3">
        <v>45302.958333333336</v>
      </c>
      <c r="J1231">
        <v>96</v>
      </c>
      <c r="K1231" s="3">
        <v>45305.958333333336</v>
      </c>
      <c r="L1231" s="4">
        <f>ROUNDDOWN(Table1[[#This Row],[Ordered]],0)</f>
        <v>45302</v>
      </c>
      <c r="M1231" s="4">
        <f>Table1[[#This Row],[Date ]]</f>
        <v>45302</v>
      </c>
      <c r="N1231" s="5">
        <f>Table1[[#This Row],[Ordered]]-Table1[[#This Row],[Date ]]</f>
        <v>0.875</v>
      </c>
      <c r="O1231">
        <f>Table1[[#This Row],[Company]]</f>
        <v>16</v>
      </c>
      <c r="P12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2" spans="1:16" x14ac:dyDescent="0.45">
      <c r="A1232" s="3">
        <v>45302.875</v>
      </c>
      <c r="B1232" t="s">
        <v>14</v>
      </c>
      <c r="C1232">
        <v>12</v>
      </c>
      <c r="D1232">
        <v>1002</v>
      </c>
      <c r="E1232" t="s">
        <v>15</v>
      </c>
      <c r="F1232">
        <v>7</v>
      </c>
      <c r="G1232">
        <v>6900</v>
      </c>
      <c r="H1232">
        <v>48300</v>
      </c>
      <c r="I1232" s="3">
        <v>45302.958333333336</v>
      </c>
      <c r="J1232">
        <v>84</v>
      </c>
      <c r="K1232" s="3">
        <v>45305.958333333336</v>
      </c>
      <c r="L1232" s="4">
        <f>ROUNDDOWN(Table1[[#This Row],[Ordered]],0)</f>
        <v>45302</v>
      </c>
      <c r="M1232" s="4">
        <f>Table1[[#This Row],[Date ]]</f>
        <v>45302</v>
      </c>
      <c r="N1232" s="5">
        <f>Table1[[#This Row],[Ordered]]-Table1[[#This Row],[Date ]]</f>
        <v>0.875</v>
      </c>
      <c r="O1232">
        <f>Table1[[#This Row],[Company]]</f>
        <v>12</v>
      </c>
      <c r="P12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3" spans="1:16" x14ac:dyDescent="0.45">
      <c r="A1233" s="3">
        <v>45302.875</v>
      </c>
      <c r="B1233" t="s">
        <v>14</v>
      </c>
      <c r="C1233">
        <v>13</v>
      </c>
      <c r="D1233">
        <v>1002</v>
      </c>
      <c r="E1233" t="s">
        <v>15</v>
      </c>
      <c r="F1233">
        <v>3</v>
      </c>
      <c r="G1233">
        <v>6300</v>
      </c>
      <c r="H1233">
        <v>18900</v>
      </c>
      <c r="I1233" s="3">
        <v>45303.5</v>
      </c>
      <c r="J1233">
        <v>96</v>
      </c>
      <c r="K1233" s="3">
        <v>45306.5</v>
      </c>
      <c r="L1233" s="4">
        <f>ROUNDDOWN(Table1[[#This Row],[Ordered]],0)</f>
        <v>45302</v>
      </c>
      <c r="M1233" s="4">
        <f>Table1[[#This Row],[Date ]]</f>
        <v>45302</v>
      </c>
      <c r="N1233" s="5">
        <f>Table1[[#This Row],[Ordered]]-Table1[[#This Row],[Date ]]</f>
        <v>0.875</v>
      </c>
      <c r="O1233">
        <f>Table1[[#This Row],[Company]]</f>
        <v>13</v>
      </c>
      <c r="P12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4" spans="1:16" x14ac:dyDescent="0.45">
      <c r="A1234" s="3">
        <v>45302.875</v>
      </c>
      <c r="B1234" t="s">
        <v>14</v>
      </c>
      <c r="C1234">
        <v>9</v>
      </c>
      <c r="D1234">
        <v>1002</v>
      </c>
      <c r="E1234" t="s">
        <v>15</v>
      </c>
      <c r="F1234">
        <v>6</v>
      </c>
      <c r="G1234">
        <v>6700</v>
      </c>
      <c r="H1234">
        <v>40200</v>
      </c>
      <c r="I1234" s="3">
        <v>45303.708333333336</v>
      </c>
      <c r="J1234">
        <v>72</v>
      </c>
      <c r="K1234" s="3">
        <v>45305.708333333336</v>
      </c>
      <c r="L1234" s="4">
        <f>ROUNDDOWN(Table1[[#This Row],[Ordered]],0)</f>
        <v>45302</v>
      </c>
      <c r="M1234" s="4">
        <f>Table1[[#This Row],[Date ]]</f>
        <v>45302</v>
      </c>
      <c r="N1234" s="5">
        <f>Table1[[#This Row],[Ordered]]-Table1[[#This Row],[Date ]]</f>
        <v>0.875</v>
      </c>
      <c r="O1234">
        <f>Table1[[#This Row],[Company]]</f>
        <v>9</v>
      </c>
      <c r="P12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5" spans="1:16" x14ac:dyDescent="0.45">
      <c r="A1235" s="3">
        <v>45302.916666666664</v>
      </c>
      <c r="B1235" t="s">
        <v>14</v>
      </c>
      <c r="C1235">
        <v>11</v>
      </c>
      <c r="D1235">
        <v>1007</v>
      </c>
      <c r="E1235" t="s">
        <v>16</v>
      </c>
      <c r="F1235">
        <v>30</v>
      </c>
      <c r="G1235">
        <v>4150</v>
      </c>
      <c r="H1235">
        <v>124500</v>
      </c>
      <c r="I1235" s="3">
        <v>45303.125</v>
      </c>
      <c r="J1235">
        <v>96</v>
      </c>
      <c r="K1235" s="3">
        <v>45306.125</v>
      </c>
      <c r="L1235" s="4">
        <f>ROUNDDOWN(Table1[[#This Row],[Ordered]],0)</f>
        <v>45302</v>
      </c>
      <c r="M1235" s="4">
        <f>Table1[[#This Row],[Date ]]</f>
        <v>45302</v>
      </c>
      <c r="N1235" s="5">
        <f>Table1[[#This Row],[Ordered]]-Table1[[#This Row],[Date ]]</f>
        <v>0.91666666666424135</v>
      </c>
      <c r="O1235">
        <f>Table1[[#This Row],[Company]]</f>
        <v>11</v>
      </c>
      <c r="P12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6" spans="1:16" x14ac:dyDescent="0.45">
      <c r="A1236" s="3">
        <v>45302.916666666664</v>
      </c>
      <c r="B1236" t="s">
        <v>14</v>
      </c>
      <c r="C1236">
        <v>16</v>
      </c>
      <c r="D1236">
        <v>1007</v>
      </c>
      <c r="E1236" t="s">
        <v>16</v>
      </c>
      <c r="F1236">
        <v>30</v>
      </c>
      <c r="G1236">
        <v>3750</v>
      </c>
      <c r="H1236">
        <v>112500</v>
      </c>
      <c r="I1236" s="3">
        <v>45303.166666666664</v>
      </c>
      <c r="J1236">
        <v>96</v>
      </c>
      <c r="K1236" s="3">
        <v>45306.166666666664</v>
      </c>
      <c r="L1236" s="4">
        <f>ROUNDDOWN(Table1[[#This Row],[Ordered]],0)</f>
        <v>45302</v>
      </c>
      <c r="M1236" s="4">
        <f>Table1[[#This Row],[Date ]]</f>
        <v>45302</v>
      </c>
      <c r="N1236" s="5">
        <f>Table1[[#This Row],[Ordered]]-Table1[[#This Row],[Date ]]</f>
        <v>0.91666666666424135</v>
      </c>
      <c r="O1236">
        <f>Table1[[#This Row],[Company]]</f>
        <v>16</v>
      </c>
      <c r="P12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7" spans="1:16" x14ac:dyDescent="0.45">
      <c r="A1237" s="3">
        <v>45302.916666666664</v>
      </c>
      <c r="B1237" t="s">
        <v>14</v>
      </c>
      <c r="C1237">
        <v>12</v>
      </c>
      <c r="D1237">
        <v>1007</v>
      </c>
      <c r="E1237" t="s">
        <v>16</v>
      </c>
      <c r="F1237">
        <v>15</v>
      </c>
      <c r="G1237">
        <v>4000</v>
      </c>
      <c r="H1237">
        <v>60000</v>
      </c>
      <c r="I1237" s="3">
        <v>45302.916666666664</v>
      </c>
      <c r="J1237">
        <v>60</v>
      </c>
      <c r="K1237" s="3">
        <v>45304.916666666664</v>
      </c>
      <c r="L1237" s="4">
        <f>ROUNDDOWN(Table1[[#This Row],[Ordered]],0)</f>
        <v>45302</v>
      </c>
      <c r="M1237" s="4">
        <f>Table1[[#This Row],[Date ]]</f>
        <v>45302</v>
      </c>
      <c r="N1237" s="5">
        <f>Table1[[#This Row],[Ordered]]-Table1[[#This Row],[Date ]]</f>
        <v>0.91666666666424135</v>
      </c>
      <c r="O1237">
        <f>Table1[[#This Row],[Company]]</f>
        <v>12</v>
      </c>
      <c r="P12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8" spans="1:16" x14ac:dyDescent="0.45">
      <c r="A1238" s="3">
        <v>45302.916666666664</v>
      </c>
      <c r="B1238" t="s">
        <v>14</v>
      </c>
      <c r="C1238">
        <v>13</v>
      </c>
      <c r="D1238">
        <v>1007</v>
      </c>
      <c r="E1238" t="s">
        <v>16</v>
      </c>
      <c r="F1238">
        <v>30</v>
      </c>
      <c r="G1238">
        <v>3600</v>
      </c>
      <c r="H1238">
        <v>108000</v>
      </c>
      <c r="I1238" s="3">
        <v>45303.666666666664</v>
      </c>
      <c r="J1238">
        <v>96</v>
      </c>
      <c r="K1238" s="3">
        <v>45306.666666666664</v>
      </c>
      <c r="L1238" s="4">
        <f>ROUNDDOWN(Table1[[#This Row],[Ordered]],0)</f>
        <v>45302</v>
      </c>
      <c r="M1238" s="4">
        <f>Table1[[#This Row],[Date ]]</f>
        <v>45302</v>
      </c>
      <c r="N1238" s="5">
        <f>Table1[[#This Row],[Ordered]]-Table1[[#This Row],[Date ]]</f>
        <v>0.91666666666424135</v>
      </c>
      <c r="O1238">
        <f>Table1[[#This Row],[Company]]</f>
        <v>13</v>
      </c>
      <c r="P12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9" spans="1:16" x14ac:dyDescent="0.45">
      <c r="A1239" s="3">
        <v>45302.916666666664</v>
      </c>
      <c r="B1239" t="s">
        <v>14</v>
      </c>
      <c r="C1239">
        <v>14</v>
      </c>
      <c r="D1239">
        <v>1007</v>
      </c>
      <c r="E1239" t="s">
        <v>16</v>
      </c>
      <c r="F1239">
        <v>30</v>
      </c>
      <c r="G1239">
        <v>3750</v>
      </c>
      <c r="H1239">
        <v>112500</v>
      </c>
      <c r="I1239" s="3">
        <v>45303.5</v>
      </c>
      <c r="J1239">
        <v>96</v>
      </c>
      <c r="K1239" s="3">
        <v>45306.5</v>
      </c>
      <c r="L1239" s="4">
        <f>ROUNDDOWN(Table1[[#This Row],[Ordered]],0)</f>
        <v>45302</v>
      </c>
      <c r="M1239" s="4">
        <f>Table1[[#This Row],[Date ]]</f>
        <v>45302</v>
      </c>
      <c r="N1239" s="5">
        <f>Table1[[#This Row],[Ordered]]-Table1[[#This Row],[Date ]]</f>
        <v>0.91666666666424135</v>
      </c>
      <c r="O1239">
        <f>Table1[[#This Row],[Company]]</f>
        <v>14</v>
      </c>
      <c r="P12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0" spans="1:16" x14ac:dyDescent="0.45">
      <c r="A1240" s="3">
        <v>45302.916666666664</v>
      </c>
      <c r="B1240" t="s">
        <v>14</v>
      </c>
      <c r="C1240">
        <v>15</v>
      </c>
      <c r="D1240">
        <v>1007</v>
      </c>
      <c r="E1240" t="s">
        <v>16</v>
      </c>
      <c r="F1240">
        <v>30</v>
      </c>
      <c r="G1240">
        <v>3850</v>
      </c>
      <c r="H1240">
        <v>115500</v>
      </c>
      <c r="I1240" s="3">
        <v>45303.083333333336</v>
      </c>
      <c r="J1240">
        <v>92</v>
      </c>
      <c r="K1240" s="3">
        <v>45306.083333333336</v>
      </c>
      <c r="L1240" s="4">
        <f>ROUNDDOWN(Table1[[#This Row],[Ordered]],0)</f>
        <v>45302</v>
      </c>
      <c r="M1240" s="4">
        <f>Table1[[#This Row],[Date ]]</f>
        <v>45302</v>
      </c>
      <c r="N1240" s="5">
        <f>Table1[[#This Row],[Ordered]]-Table1[[#This Row],[Date ]]</f>
        <v>0.91666666666424135</v>
      </c>
      <c r="O1240">
        <f>Table1[[#This Row],[Company]]</f>
        <v>15</v>
      </c>
      <c r="P12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1" spans="1:16" x14ac:dyDescent="0.45">
      <c r="A1241" s="3">
        <v>45302.916666666664</v>
      </c>
      <c r="B1241" t="s">
        <v>14</v>
      </c>
      <c r="C1241">
        <v>9</v>
      </c>
      <c r="D1241">
        <v>1007</v>
      </c>
      <c r="E1241" t="s">
        <v>16</v>
      </c>
      <c r="F1241">
        <v>15</v>
      </c>
      <c r="G1241">
        <v>3900</v>
      </c>
      <c r="H1241">
        <v>58500</v>
      </c>
      <c r="I1241" s="3">
        <v>45303.75</v>
      </c>
      <c r="J1241">
        <v>72</v>
      </c>
      <c r="K1241" s="3">
        <v>45305.791666666664</v>
      </c>
      <c r="L1241" s="4">
        <f>ROUNDDOWN(Table1[[#This Row],[Ordered]],0)</f>
        <v>45302</v>
      </c>
      <c r="M1241" s="4">
        <f>Table1[[#This Row],[Date ]]</f>
        <v>45302</v>
      </c>
      <c r="N1241" s="5">
        <f>Table1[[#This Row],[Ordered]]-Table1[[#This Row],[Date ]]</f>
        <v>0.91666666666424135</v>
      </c>
      <c r="O1241">
        <f>Table1[[#This Row],[Company]]</f>
        <v>9</v>
      </c>
      <c r="P12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2" spans="1:16" x14ac:dyDescent="0.45">
      <c r="A1242" s="3">
        <v>45302.916666666664</v>
      </c>
      <c r="B1242" t="s">
        <v>14</v>
      </c>
      <c r="C1242">
        <v>8</v>
      </c>
      <c r="D1242">
        <v>1007</v>
      </c>
      <c r="E1242" t="s">
        <v>16</v>
      </c>
      <c r="F1242">
        <v>30</v>
      </c>
      <c r="G1242">
        <v>3800</v>
      </c>
      <c r="H1242">
        <v>114000</v>
      </c>
      <c r="I1242" s="3">
        <v>45303.666666666664</v>
      </c>
      <c r="J1242">
        <v>96</v>
      </c>
      <c r="K1242" s="3">
        <v>45306.666666666664</v>
      </c>
      <c r="L1242" s="4">
        <f>ROUNDDOWN(Table1[[#This Row],[Ordered]],0)</f>
        <v>45302</v>
      </c>
      <c r="M1242" s="4">
        <f>Table1[[#This Row],[Date ]]</f>
        <v>45302</v>
      </c>
      <c r="N1242" s="5">
        <f>Table1[[#This Row],[Ordered]]-Table1[[#This Row],[Date ]]</f>
        <v>0.91666666666424135</v>
      </c>
      <c r="O1242">
        <f>Table1[[#This Row],[Company]]</f>
        <v>8</v>
      </c>
      <c r="P12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3" spans="1:16" x14ac:dyDescent="0.45">
      <c r="A1243" s="3">
        <v>45302.916666666664</v>
      </c>
      <c r="B1243" t="s">
        <v>14</v>
      </c>
      <c r="C1243">
        <v>7</v>
      </c>
      <c r="D1243">
        <v>1007</v>
      </c>
      <c r="E1243" t="s">
        <v>16</v>
      </c>
      <c r="F1243">
        <v>30</v>
      </c>
      <c r="G1243">
        <v>3850</v>
      </c>
      <c r="H1243">
        <v>115500</v>
      </c>
      <c r="I1243" s="3">
        <v>45303.708333333336</v>
      </c>
      <c r="J1243">
        <v>96</v>
      </c>
      <c r="K1243" s="3">
        <v>45306.708333333336</v>
      </c>
      <c r="L1243" s="4">
        <f>ROUNDDOWN(Table1[[#This Row],[Ordered]],0)</f>
        <v>45302</v>
      </c>
      <c r="M1243" s="4">
        <f>Table1[[#This Row],[Date ]]</f>
        <v>45302</v>
      </c>
      <c r="N1243" s="5">
        <f>Table1[[#This Row],[Ordered]]-Table1[[#This Row],[Date ]]</f>
        <v>0.91666666666424135</v>
      </c>
      <c r="O1243">
        <f>Table1[[#This Row],[Company]]</f>
        <v>7</v>
      </c>
      <c r="P12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4" spans="1:16" hidden="1" x14ac:dyDescent="0.45">
      <c r="A1244" s="3">
        <v>45303</v>
      </c>
      <c r="B1244" t="s">
        <v>12</v>
      </c>
      <c r="C1244">
        <v>5</v>
      </c>
      <c r="D1244">
        <v>16</v>
      </c>
      <c r="E1244" t="s">
        <v>17</v>
      </c>
      <c r="F1244">
        <v>400</v>
      </c>
      <c r="G1244">
        <v>1020</v>
      </c>
      <c r="H1244">
        <v>408000</v>
      </c>
      <c r="I1244" s="3">
        <v>45303.291666666664</v>
      </c>
      <c r="J1244">
        <v>24</v>
      </c>
      <c r="K1244" s="3">
        <v>45304.291666666664</v>
      </c>
      <c r="L1244" s="4">
        <f>ROUNDDOWN(Table1[[#This Row],[Ordered]],0)</f>
        <v>45303</v>
      </c>
      <c r="M1244" s="4">
        <f>Table1[[#This Row],[Date ]]</f>
        <v>45303</v>
      </c>
      <c r="N1244" s="5">
        <f>Table1[[#This Row],[Ordered]]-Table1[[#This Row],[Date ]]</f>
        <v>0</v>
      </c>
      <c r="O1244">
        <f>Table1[[#This Row],[Company]]</f>
        <v>5</v>
      </c>
      <c r="P12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5" spans="1:16" hidden="1" x14ac:dyDescent="0.45">
      <c r="A1245" s="3">
        <v>45303.083333333336</v>
      </c>
      <c r="B1245" t="s">
        <v>12</v>
      </c>
      <c r="C1245">
        <v>5</v>
      </c>
      <c r="D1245">
        <v>16</v>
      </c>
      <c r="E1245" t="s">
        <v>13</v>
      </c>
      <c r="F1245">
        <v>4000</v>
      </c>
      <c r="G1245">
        <v>120</v>
      </c>
      <c r="H1245">
        <v>480000</v>
      </c>
      <c r="I1245" s="3">
        <v>45303.25</v>
      </c>
      <c r="J1245">
        <v>24</v>
      </c>
      <c r="K1245" s="3">
        <v>45304.25</v>
      </c>
      <c r="L1245" s="4">
        <f>ROUNDDOWN(Table1[[#This Row],[Ordered]],0)</f>
        <v>45303</v>
      </c>
      <c r="M1245" s="4">
        <f>Table1[[#This Row],[Date ]]</f>
        <v>45303</v>
      </c>
      <c r="N1245" s="5">
        <f>Table1[[#This Row],[Ordered]]-Table1[[#This Row],[Date ]]</f>
        <v>8.3333333335758653E-2</v>
      </c>
      <c r="O1245">
        <f>Table1[[#This Row],[Company]]</f>
        <v>5</v>
      </c>
      <c r="P12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6" spans="1:16" x14ac:dyDescent="0.45">
      <c r="A1246" s="3">
        <v>45303.166666666664</v>
      </c>
      <c r="B1246" t="s">
        <v>0</v>
      </c>
      <c r="C1246">
        <v>15</v>
      </c>
      <c r="D1246">
        <v>2007</v>
      </c>
      <c r="E1246" t="s">
        <v>15</v>
      </c>
      <c r="F1246">
        <v>29</v>
      </c>
      <c r="G1246">
        <v>6000</v>
      </c>
      <c r="H1246">
        <v>174000</v>
      </c>
      <c r="I1246" s="3">
        <v>45303.25</v>
      </c>
      <c r="J1246">
        <v>54</v>
      </c>
      <c r="K1246" s="3">
        <v>45304.75</v>
      </c>
      <c r="L1246" s="4">
        <f>ROUNDDOWN(Table1[[#This Row],[Ordered]],0)</f>
        <v>45303</v>
      </c>
      <c r="M1246" s="4">
        <f>Table1[[#This Row],[Date ]]</f>
        <v>45303</v>
      </c>
      <c r="N1246" s="5">
        <f>Table1[[#This Row],[Ordered]]-Table1[[#This Row],[Date ]]</f>
        <v>0.16666666666424135</v>
      </c>
      <c r="O1246">
        <f>Table1[[#This Row],[Company]]</f>
        <v>15</v>
      </c>
      <c r="P12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7" spans="1:16" x14ac:dyDescent="0.45">
      <c r="A1247" s="3">
        <v>45303.166666666664</v>
      </c>
      <c r="B1247" t="s">
        <v>0</v>
      </c>
      <c r="C1247">
        <v>15</v>
      </c>
      <c r="D1247">
        <v>2007</v>
      </c>
      <c r="E1247" t="s">
        <v>16</v>
      </c>
      <c r="F1247">
        <v>30</v>
      </c>
      <c r="G1247">
        <v>3850</v>
      </c>
      <c r="H1247">
        <v>115500</v>
      </c>
      <c r="I1247" s="3">
        <v>45303.208333333336</v>
      </c>
      <c r="J1247">
        <v>120</v>
      </c>
      <c r="K1247" s="3">
        <v>45307.708333333336</v>
      </c>
      <c r="L1247" s="4">
        <f>ROUNDDOWN(Table1[[#This Row],[Ordered]],0)</f>
        <v>45303</v>
      </c>
      <c r="M1247" s="4">
        <f>Table1[[#This Row],[Date ]]</f>
        <v>45303</v>
      </c>
      <c r="N1247" s="5">
        <f>Table1[[#This Row],[Ordered]]-Table1[[#This Row],[Date ]]</f>
        <v>0.16666666666424135</v>
      </c>
      <c r="O1247">
        <f>Table1[[#This Row],[Company]]</f>
        <v>15</v>
      </c>
      <c r="P12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8" spans="1:16" x14ac:dyDescent="0.45">
      <c r="A1248" s="3">
        <v>45303.166666666664</v>
      </c>
      <c r="B1248" t="s">
        <v>0</v>
      </c>
      <c r="C1248">
        <v>9</v>
      </c>
      <c r="D1248">
        <v>2007</v>
      </c>
      <c r="E1248" t="s">
        <v>16</v>
      </c>
      <c r="F1248">
        <v>30</v>
      </c>
      <c r="G1248">
        <v>3750</v>
      </c>
      <c r="H1248">
        <v>112500</v>
      </c>
      <c r="I1248" s="3">
        <v>45304.166666666664</v>
      </c>
      <c r="J1248">
        <v>132</v>
      </c>
      <c r="K1248" s="3">
        <v>45308.666666666664</v>
      </c>
      <c r="L1248" s="4">
        <f>ROUNDDOWN(Table1[[#This Row],[Ordered]],0)</f>
        <v>45303</v>
      </c>
      <c r="M1248" s="4">
        <f>Table1[[#This Row],[Date ]]</f>
        <v>45303</v>
      </c>
      <c r="N1248" s="5">
        <f>Table1[[#This Row],[Ordered]]-Table1[[#This Row],[Date ]]</f>
        <v>0.16666666666424135</v>
      </c>
      <c r="O1248">
        <f>Table1[[#This Row],[Company]]</f>
        <v>9</v>
      </c>
      <c r="P12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9" spans="1:16" x14ac:dyDescent="0.45">
      <c r="A1249" s="3">
        <v>45303.166666666664</v>
      </c>
      <c r="B1249" t="s">
        <v>0</v>
      </c>
      <c r="C1249">
        <v>10</v>
      </c>
      <c r="D1249">
        <v>2007</v>
      </c>
      <c r="E1249" t="s">
        <v>16</v>
      </c>
      <c r="F1249">
        <v>30</v>
      </c>
      <c r="G1249">
        <v>4200</v>
      </c>
      <c r="H1249">
        <v>126000</v>
      </c>
      <c r="I1249" s="3">
        <v>45303.458333333336</v>
      </c>
      <c r="J1249">
        <v>84</v>
      </c>
      <c r="K1249" s="3">
        <v>45306.458333333336</v>
      </c>
      <c r="L1249" s="4">
        <f>ROUNDDOWN(Table1[[#This Row],[Ordered]],0)</f>
        <v>45303</v>
      </c>
      <c r="M1249" s="4">
        <f>Table1[[#This Row],[Date ]]</f>
        <v>45303</v>
      </c>
      <c r="N1249" s="5">
        <f>Table1[[#This Row],[Ordered]]-Table1[[#This Row],[Date ]]</f>
        <v>0.16666666666424135</v>
      </c>
      <c r="O1249">
        <f>Table1[[#This Row],[Company]]</f>
        <v>10</v>
      </c>
      <c r="P12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0" spans="1:16" x14ac:dyDescent="0.45">
      <c r="A1250" s="3">
        <v>45303.166666666664</v>
      </c>
      <c r="B1250" t="s">
        <v>0</v>
      </c>
      <c r="C1250">
        <v>14</v>
      </c>
      <c r="D1250">
        <v>2007</v>
      </c>
      <c r="E1250" t="s">
        <v>15</v>
      </c>
      <c r="F1250">
        <v>8</v>
      </c>
      <c r="G1250">
        <v>6650</v>
      </c>
      <c r="H1250">
        <v>53200</v>
      </c>
      <c r="I1250" s="3">
        <v>45303.5</v>
      </c>
      <c r="J1250">
        <v>132</v>
      </c>
      <c r="K1250" s="3">
        <v>45308.125</v>
      </c>
      <c r="L1250" s="4">
        <f>ROUNDDOWN(Table1[[#This Row],[Ordered]],0)</f>
        <v>45303</v>
      </c>
      <c r="M1250" s="4">
        <f>Table1[[#This Row],[Date ]]</f>
        <v>45303</v>
      </c>
      <c r="N1250" s="5">
        <f>Table1[[#This Row],[Ordered]]-Table1[[#This Row],[Date ]]</f>
        <v>0.16666666666424135</v>
      </c>
      <c r="O1250">
        <f>Table1[[#This Row],[Company]]</f>
        <v>14</v>
      </c>
      <c r="P12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1" spans="1:16" x14ac:dyDescent="0.45">
      <c r="A1251" s="3">
        <v>45303.166666666664</v>
      </c>
      <c r="B1251" t="s">
        <v>0</v>
      </c>
      <c r="C1251">
        <v>9</v>
      </c>
      <c r="D1251">
        <v>2007</v>
      </c>
      <c r="E1251" t="s">
        <v>15</v>
      </c>
      <c r="F1251">
        <v>10</v>
      </c>
      <c r="G1251">
        <v>6650</v>
      </c>
      <c r="H1251">
        <v>66500</v>
      </c>
      <c r="I1251" s="3">
        <v>45304.166666666664</v>
      </c>
      <c r="J1251">
        <v>132</v>
      </c>
      <c r="K1251" s="3">
        <v>45308.666666666664</v>
      </c>
      <c r="L1251" s="4">
        <f>ROUNDDOWN(Table1[[#This Row],[Ordered]],0)</f>
        <v>45303</v>
      </c>
      <c r="M1251" s="4">
        <f>Table1[[#This Row],[Date ]]</f>
        <v>45303</v>
      </c>
      <c r="N1251" s="5">
        <f>Table1[[#This Row],[Ordered]]-Table1[[#This Row],[Date ]]</f>
        <v>0.16666666666424135</v>
      </c>
      <c r="O1251">
        <f>Table1[[#This Row],[Company]]</f>
        <v>9</v>
      </c>
      <c r="P12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2" spans="1:16" x14ac:dyDescent="0.45">
      <c r="A1252" s="3">
        <v>45303.166666666664</v>
      </c>
      <c r="B1252" t="s">
        <v>0</v>
      </c>
      <c r="C1252">
        <v>14</v>
      </c>
      <c r="D1252">
        <v>2007</v>
      </c>
      <c r="E1252" t="s">
        <v>16</v>
      </c>
      <c r="F1252">
        <v>30</v>
      </c>
      <c r="G1252">
        <v>3750</v>
      </c>
      <c r="H1252">
        <v>112500</v>
      </c>
      <c r="I1252" s="3">
        <v>45303.541666666664</v>
      </c>
      <c r="J1252">
        <v>132</v>
      </c>
      <c r="K1252" s="3">
        <v>45308.041666666664</v>
      </c>
      <c r="L1252" s="4">
        <f>ROUNDDOWN(Table1[[#This Row],[Ordered]],0)</f>
        <v>45303</v>
      </c>
      <c r="M1252" s="4">
        <f>Table1[[#This Row],[Date ]]</f>
        <v>45303</v>
      </c>
      <c r="N1252" s="5">
        <f>Table1[[#This Row],[Ordered]]-Table1[[#This Row],[Date ]]</f>
        <v>0.16666666666424135</v>
      </c>
      <c r="O1252">
        <f>Table1[[#This Row],[Company]]</f>
        <v>14</v>
      </c>
      <c r="P12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3" spans="1:16" x14ac:dyDescent="0.45">
      <c r="A1253" s="3">
        <v>45303.166666666664</v>
      </c>
      <c r="B1253" t="s">
        <v>0</v>
      </c>
      <c r="C1253">
        <v>12</v>
      </c>
      <c r="D1253">
        <v>2007</v>
      </c>
      <c r="E1253" t="s">
        <v>16</v>
      </c>
      <c r="F1253">
        <v>30</v>
      </c>
      <c r="G1253">
        <v>3800</v>
      </c>
      <c r="H1253">
        <v>114000</v>
      </c>
      <c r="I1253" s="3">
        <v>45303.375</v>
      </c>
      <c r="J1253">
        <v>120</v>
      </c>
      <c r="K1253" s="3">
        <v>45307.875</v>
      </c>
      <c r="L1253" s="4">
        <f>ROUNDDOWN(Table1[[#This Row],[Ordered]],0)</f>
        <v>45303</v>
      </c>
      <c r="M1253" s="4">
        <f>Table1[[#This Row],[Date ]]</f>
        <v>45303</v>
      </c>
      <c r="N1253" s="5">
        <f>Table1[[#This Row],[Ordered]]-Table1[[#This Row],[Date ]]</f>
        <v>0.16666666666424135</v>
      </c>
      <c r="O1253">
        <f>Table1[[#This Row],[Company]]</f>
        <v>12</v>
      </c>
      <c r="P12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4" spans="1:16" x14ac:dyDescent="0.45">
      <c r="A1254" s="3">
        <v>45303.166666666664</v>
      </c>
      <c r="B1254" t="s">
        <v>0</v>
      </c>
      <c r="C1254">
        <v>13</v>
      </c>
      <c r="D1254">
        <v>2007</v>
      </c>
      <c r="E1254" t="s">
        <v>15</v>
      </c>
      <c r="F1254">
        <v>17</v>
      </c>
      <c r="G1254">
        <v>6300</v>
      </c>
      <c r="H1254">
        <v>107100</v>
      </c>
      <c r="I1254" s="3">
        <v>45303.833333333336</v>
      </c>
      <c r="J1254">
        <v>132</v>
      </c>
      <c r="K1254" s="3">
        <v>45308.333333333336</v>
      </c>
      <c r="L1254" s="4">
        <f>ROUNDDOWN(Table1[[#This Row],[Ordered]],0)</f>
        <v>45303</v>
      </c>
      <c r="M1254" s="4">
        <f>Table1[[#This Row],[Date ]]</f>
        <v>45303</v>
      </c>
      <c r="N1254" s="5">
        <f>Table1[[#This Row],[Ordered]]-Table1[[#This Row],[Date ]]</f>
        <v>0.16666666666424135</v>
      </c>
      <c r="O1254">
        <f>Table1[[#This Row],[Company]]</f>
        <v>13</v>
      </c>
      <c r="P12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5" spans="1:16" x14ac:dyDescent="0.45">
      <c r="A1255" s="3">
        <v>45303.166666666664</v>
      </c>
      <c r="B1255" t="s">
        <v>0</v>
      </c>
      <c r="C1255">
        <v>8</v>
      </c>
      <c r="D1255">
        <v>2007</v>
      </c>
      <c r="E1255" t="s">
        <v>15</v>
      </c>
      <c r="F1255">
        <v>25</v>
      </c>
      <c r="G1255">
        <v>5700</v>
      </c>
      <c r="H1255">
        <v>142500</v>
      </c>
      <c r="I1255" s="3">
        <v>45303.916666666664</v>
      </c>
      <c r="J1255">
        <v>132</v>
      </c>
      <c r="K1255" s="3">
        <v>45308.416666666664</v>
      </c>
      <c r="L1255" s="4">
        <f>ROUNDDOWN(Table1[[#This Row],[Ordered]],0)</f>
        <v>45303</v>
      </c>
      <c r="M1255" s="4">
        <f>Table1[[#This Row],[Date ]]</f>
        <v>45303</v>
      </c>
      <c r="N1255" s="5">
        <f>Table1[[#This Row],[Ordered]]-Table1[[#This Row],[Date ]]</f>
        <v>0.16666666666424135</v>
      </c>
      <c r="O1255">
        <f>Table1[[#This Row],[Company]]</f>
        <v>8</v>
      </c>
      <c r="P12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6" spans="1:16" x14ac:dyDescent="0.45">
      <c r="A1256" s="3">
        <v>45303.166666666664</v>
      </c>
      <c r="B1256" t="s">
        <v>0</v>
      </c>
      <c r="C1256">
        <v>7</v>
      </c>
      <c r="D1256">
        <v>2007</v>
      </c>
      <c r="E1256" t="s">
        <v>16</v>
      </c>
      <c r="F1256">
        <v>30</v>
      </c>
      <c r="G1256">
        <v>3800</v>
      </c>
      <c r="H1256">
        <v>114000</v>
      </c>
      <c r="I1256" s="3">
        <v>45303.75</v>
      </c>
      <c r="J1256">
        <v>132</v>
      </c>
      <c r="K1256" s="3">
        <v>45308.25</v>
      </c>
      <c r="L1256" s="4">
        <f>ROUNDDOWN(Table1[[#This Row],[Ordered]],0)</f>
        <v>45303</v>
      </c>
      <c r="M1256" s="4">
        <f>Table1[[#This Row],[Date ]]</f>
        <v>45303</v>
      </c>
      <c r="N1256" s="5">
        <f>Table1[[#This Row],[Ordered]]-Table1[[#This Row],[Date ]]</f>
        <v>0.16666666666424135</v>
      </c>
      <c r="O1256">
        <f>Table1[[#This Row],[Company]]</f>
        <v>7</v>
      </c>
      <c r="P12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7" spans="1:16" x14ac:dyDescent="0.45">
      <c r="A1257" s="3">
        <v>45303.166666666664</v>
      </c>
      <c r="B1257" t="s">
        <v>0</v>
      </c>
      <c r="C1257">
        <v>12</v>
      </c>
      <c r="D1257">
        <v>2007</v>
      </c>
      <c r="E1257" t="s">
        <v>15</v>
      </c>
      <c r="F1257">
        <v>22</v>
      </c>
      <c r="G1257">
        <v>6750</v>
      </c>
      <c r="H1257">
        <v>148500</v>
      </c>
      <c r="I1257" s="3">
        <v>45303.916666666664</v>
      </c>
      <c r="J1257">
        <v>120</v>
      </c>
      <c r="K1257" s="3">
        <v>45308.416666666664</v>
      </c>
      <c r="L1257" s="4">
        <f>ROUNDDOWN(Table1[[#This Row],[Ordered]],0)</f>
        <v>45303</v>
      </c>
      <c r="M1257" s="4">
        <f>Table1[[#This Row],[Date ]]</f>
        <v>45303</v>
      </c>
      <c r="N1257" s="5">
        <f>Table1[[#This Row],[Ordered]]-Table1[[#This Row],[Date ]]</f>
        <v>0.16666666666424135</v>
      </c>
      <c r="O1257">
        <f>Table1[[#This Row],[Company]]</f>
        <v>12</v>
      </c>
      <c r="P12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8" spans="1:16" x14ac:dyDescent="0.45">
      <c r="A1258" s="3">
        <v>45303.166666666664</v>
      </c>
      <c r="B1258" t="s">
        <v>0</v>
      </c>
      <c r="C1258">
        <v>10</v>
      </c>
      <c r="D1258">
        <v>2007</v>
      </c>
      <c r="E1258" t="s">
        <v>15</v>
      </c>
      <c r="F1258">
        <v>14</v>
      </c>
      <c r="G1258">
        <v>6700</v>
      </c>
      <c r="H1258">
        <v>93800</v>
      </c>
      <c r="I1258" s="3">
        <v>45303.208333333336</v>
      </c>
      <c r="J1258">
        <v>120</v>
      </c>
      <c r="K1258" s="3">
        <v>45307.708333333336</v>
      </c>
      <c r="L1258" s="4">
        <f>ROUNDDOWN(Table1[[#This Row],[Ordered]],0)</f>
        <v>45303</v>
      </c>
      <c r="M1258" s="4">
        <f>Table1[[#This Row],[Date ]]</f>
        <v>45303</v>
      </c>
      <c r="N1258" s="5">
        <f>Table1[[#This Row],[Ordered]]-Table1[[#This Row],[Date ]]</f>
        <v>0.16666666666424135</v>
      </c>
      <c r="O1258">
        <f>Table1[[#This Row],[Company]]</f>
        <v>10</v>
      </c>
      <c r="P12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9" spans="1:16" x14ac:dyDescent="0.45">
      <c r="A1259" s="3">
        <v>45303.166666666664</v>
      </c>
      <c r="B1259" t="s">
        <v>0</v>
      </c>
      <c r="C1259">
        <v>16</v>
      </c>
      <c r="D1259">
        <v>2007</v>
      </c>
      <c r="E1259" t="s">
        <v>15</v>
      </c>
      <c r="F1259">
        <v>19</v>
      </c>
      <c r="G1259">
        <v>6650</v>
      </c>
      <c r="H1259">
        <v>126350</v>
      </c>
      <c r="I1259" s="3">
        <v>45303.541666666664</v>
      </c>
      <c r="J1259">
        <v>132</v>
      </c>
      <c r="K1259" s="3">
        <v>45308.041666666664</v>
      </c>
      <c r="L1259" s="4">
        <f>ROUNDDOWN(Table1[[#This Row],[Ordered]],0)</f>
        <v>45303</v>
      </c>
      <c r="M1259" s="4">
        <f>Table1[[#This Row],[Date ]]</f>
        <v>45303</v>
      </c>
      <c r="N1259" s="5">
        <f>Table1[[#This Row],[Ordered]]-Table1[[#This Row],[Date ]]</f>
        <v>0.16666666666424135</v>
      </c>
      <c r="O1259">
        <f>Table1[[#This Row],[Company]]</f>
        <v>16</v>
      </c>
      <c r="P12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0" spans="1:16" x14ac:dyDescent="0.45">
      <c r="A1260" s="3">
        <v>45303.166666666664</v>
      </c>
      <c r="B1260" t="s">
        <v>0</v>
      </c>
      <c r="C1260">
        <v>16</v>
      </c>
      <c r="D1260">
        <v>2007</v>
      </c>
      <c r="E1260" t="s">
        <v>16</v>
      </c>
      <c r="F1260">
        <v>30</v>
      </c>
      <c r="G1260">
        <v>3750</v>
      </c>
      <c r="H1260">
        <v>112500</v>
      </c>
      <c r="I1260" s="3">
        <v>45303.541666666664</v>
      </c>
      <c r="J1260">
        <v>132</v>
      </c>
      <c r="K1260" s="3">
        <v>45308.041666666664</v>
      </c>
      <c r="L1260" s="4">
        <f>ROUNDDOWN(Table1[[#This Row],[Ordered]],0)</f>
        <v>45303</v>
      </c>
      <c r="M1260" s="4">
        <f>Table1[[#This Row],[Date ]]</f>
        <v>45303</v>
      </c>
      <c r="N1260" s="5">
        <f>Table1[[#This Row],[Ordered]]-Table1[[#This Row],[Date ]]</f>
        <v>0.16666666666424135</v>
      </c>
      <c r="O1260">
        <f>Table1[[#This Row],[Company]]</f>
        <v>16</v>
      </c>
      <c r="P12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1" spans="1:16" x14ac:dyDescent="0.45">
      <c r="A1261" s="3">
        <v>45303.166666666664</v>
      </c>
      <c r="B1261" t="s">
        <v>0</v>
      </c>
      <c r="C1261">
        <v>13</v>
      </c>
      <c r="D1261">
        <v>2007</v>
      </c>
      <c r="E1261" t="s">
        <v>16</v>
      </c>
      <c r="F1261">
        <v>30</v>
      </c>
      <c r="G1261">
        <v>3500</v>
      </c>
      <c r="H1261">
        <v>105000</v>
      </c>
      <c r="I1261" s="3">
        <v>45303.833333333336</v>
      </c>
      <c r="J1261">
        <v>132</v>
      </c>
      <c r="K1261" s="3">
        <v>45308.333333333336</v>
      </c>
      <c r="L1261" s="4">
        <f>ROUNDDOWN(Table1[[#This Row],[Ordered]],0)</f>
        <v>45303</v>
      </c>
      <c r="M1261" s="4">
        <f>Table1[[#This Row],[Date ]]</f>
        <v>45303</v>
      </c>
      <c r="N1261" s="5">
        <f>Table1[[#This Row],[Ordered]]-Table1[[#This Row],[Date ]]</f>
        <v>0.16666666666424135</v>
      </c>
      <c r="O1261">
        <f>Table1[[#This Row],[Company]]</f>
        <v>13</v>
      </c>
      <c r="P12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2" spans="1:16" x14ac:dyDescent="0.45">
      <c r="A1262" s="3">
        <v>45303.166666666664</v>
      </c>
      <c r="B1262" t="s">
        <v>0</v>
      </c>
      <c r="C1262">
        <v>8</v>
      </c>
      <c r="D1262">
        <v>2007</v>
      </c>
      <c r="E1262" t="s">
        <v>16</v>
      </c>
      <c r="F1262">
        <v>30</v>
      </c>
      <c r="G1262">
        <v>3800</v>
      </c>
      <c r="H1262">
        <v>114000</v>
      </c>
      <c r="I1262" s="3">
        <v>45304.041666666664</v>
      </c>
      <c r="J1262">
        <v>132</v>
      </c>
      <c r="K1262" s="3">
        <v>45308.541666666664</v>
      </c>
      <c r="L1262" s="4">
        <f>ROUNDDOWN(Table1[[#This Row],[Ordered]],0)</f>
        <v>45303</v>
      </c>
      <c r="M1262" s="4">
        <f>Table1[[#This Row],[Date ]]</f>
        <v>45303</v>
      </c>
      <c r="N1262" s="5">
        <f>Table1[[#This Row],[Ordered]]-Table1[[#This Row],[Date ]]</f>
        <v>0.16666666666424135</v>
      </c>
      <c r="O1262">
        <f>Table1[[#This Row],[Company]]</f>
        <v>8</v>
      </c>
      <c r="P12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3" spans="1:16" x14ac:dyDescent="0.45">
      <c r="A1263" s="3">
        <v>45303.166666666664</v>
      </c>
      <c r="B1263" t="s">
        <v>0</v>
      </c>
      <c r="C1263">
        <v>7</v>
      </c>
      <c r="D1263">
        <v>2007</v>
      </c>
      <c r="E1263" t="s">
        <v>15</v>
      </c>
      <c r="F1263">
        <v>11</v>
      </c>
      <c r="G1263">
        <v>6700</v>
      </c>
      <c r="H1263">
        <v>73700</v>
      </c>
      <c r="I1263" s="3">
        <v>45303.75</v>
      </c>
      <c r="J1263">
        <v>132</v>
      </c>
      <c r="K1263" s="3">
        <v>45308.25</v>
      </c>
      <c r="L1263" s="4">
        <f>ROUNDDOWN(Table1[[#This Row],[Ordered]],0)</f>
        <v>45303</v>
      </c>
      <c r="M1263" s="4">
        <f>Table1[[#This Row],[Date ]]</f>
        <v>45303</v>
      </c>
      <c r="N1263" s="5">
        <f>Table1[[#This Row],[Ordered]]-Table1[[#This Row],[Date ]]</f>
        <v>0.16666666666424135</v>
      </c>
      <c r="O1263">
        <f>Table1[[#This Row],[Company]]</f>
        <v>7</v>
      </c>
      <c r="P12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4" spans="1:16" x14ac:dyDescent="0.45">
      <c r="A1264" s="3">
        <v>45303.208333333336</v>
      </c>
      <c r="B1264" t="s">
        <v>14</v>
      </c>
      <c r="C1264">
        <v>9</v>
      </c>
      <c r="D1264">
        <v>1003</v>
      </c>
      <c r="E1264" t="s">
        <v>16</v>
      </c>
      <c r="F1264">
        <v>30</v>
      </c>
      <c r="G1264">
        <v>3750</v>
      </c>
      <c r="H1264">
        <v>112500</v>
      </c>
      <c r="I1264" s="3">
        <v>45304.083333333336</v>
      </c>
      <c r="J1264">
        <v>96</v>
      </c>
      <c r="K1264" s="3">
        <v>45307.083333333336</v>
      </c>
      <c r="L1264" s="4">
        <f>ROUNDDOWN(Table1[[#This Row],[Ordered]],0)</f>
        <v>45303</v>
      </c>
      <c r="M1264" s="4">
        <f>Table1[[#This Row],[Date ]]</f>
        <v>45303</v>
      </c>
      <c r="N1264" s="5">
        <f>Table1[[#This Row],[Ordered]]-Table1[[#This Row],[Date ]]</f>
        <v>0.20833333333575865</v>
      </c>
      <c r="O1264">
        <f>Table1[[#This Row],[Company]]</f>
        <v>9</v>
      </c>
      <c r="P12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5" spans="1:16" x14ac:dyDescent="0.45">
      <c r="A1265" s="3">
        <v>45303.208333333336</v>
      </c>
      <c r="B1265" t="s">
        <v>14</v>
      </c>
      <c r="C1265">
        <v>15</v>
      </c>
      <c r="D1265">
        <v>1003</v>
      </c>
      <c r="E1265" t="s">
        <v>16</v>
      </c>
      <c r="F1265">
        <v>50</v>
      </c>
      <c r="G1265">
        <v>3550</v>
      </c>
      <c r="H1265">
        <v>177500</v>
      </c>
      <c r="I1265" s="3">
        <v>45303.5</v>
      </c>
      <c r="J1265">
        <v>96</v>
      </c>
      <c r="K1265" s="3">
        <v>45306.5</v>
      </c>
      <c r="L1265" s="4">
        <f>ROUNDDOWN(Table1[[#This Row],[Ordered]],0)</f>
        <v>45303</v>
      </c>
      <c r="M1265" s="4">
        <f>Table1[[#This Row],[Date ]]</f>
        <v>45303</v>
      </c>
      <c r="N1265" s="5">
        <f>Table1[[#This Row],[Ordered]]-Table1[[#This Row],[Date ]]</f>
        <v>0.20833333333575865</v>
      </c>
      <c r="O1265">
        <f>Table1[[#This Row],[Company]]</f>
        <v>15</v>
      </c>
      <c r="P12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6" spans="1:16" x14ac:dyDescent="0.45">
      <c r="A1266" s="3">
        <v>45303.208333333336</v>
      </c>
      <c r="B1266" t="s">
        <v>14</v>
      </c>
      <c r="C1266">
        <v>11</v>
      </c>
      <c r="D1266">
        <v>1003</v>
      </c>
      <c r="E1266" t="s">
        <v>16</v>
      </c>
      <c r="F1266">
        <v>21</v>
      </c>
      <c r="G1266">
        <v>4100</v>
      </c>
      <c r="H1266">
        <v>86100</v>
      </c>
      <c r="I1266" s="3">
        <v>45303.416666666664</v>
      </c>
      <c r="J1266">
        <v>96</v>
      </c>
      <c r="K1266" s="3">
        <v>45306.416666666664</v>
      </c>
      <c r="L1266" s="4">
        <f>ROUNDDOWN(Table1[[#This Row],[Ordered]],0)</f>
        <v>45303</v>
      </c>
      <c r="M1266" s="4">
        <f>Table1[[#This Row],[Date ]]</f>
        <v>45303</v>
      </c>
      <c r="N1266" s="5">
        <f>Table1[[#This Row],[Ordered]]-Table1[[#This Row],[Date ]]</f>
        <v>0.20833333333575865</v>
      </c>
      <c r="O1266">
        <f>Table1[[#This Row],[Company]]</f>
        <v>11</v>
      </c>
      <c r="P12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7" spans="1:16" x14ac:dyDescent="0.45">
      <c r="A1267" s="3">
        <v>45303.208333333336</v>
      </c>
      <c r="B1267" t="s">
        <v>14</v>
      </c>
      <c r="C1267">
        <v>16</v>
      </c>
      <c r="D1267">
        <v>1003</v>
      </c>
      <c r="E1267" t="s">
        <v>16</v>
      </c>
      <c r="F1267">
        <v>30</v>
      </c>
      <c r="G1267">
        <v>3750</v>
      </c>
      <c r="H1267">
        <v>112500</v>
      </c>
      <c r="I1267" s="3">
        <v>45303.583333333336</v>
      </c>
      <c r="J1267">
        <v>96</v>
      </c>
      <c r="K1267" s="3">
        <v>45306.583333333336</v>
      </c>
      <c r="L1267" s="4">
        <f>ROUNDDOWN(Table1[[#This Row],[Ordered]],0)</f>
        <v>45303</v>
      </c>
      <c r="M1267" s="4">
        <f>Table1[[#This Row],[Date ]]</f>
        <v>45303</v>
      </c>
      <c r="N1267" s="5">
        <f>Table1[[#This Row],[Ordered]]-Table1[[#This Row],[Date ]]</f>
        <v>0.20833333333575865</v>
      </c>
      <c r="O1267">
        <f>Table1[[#This Row],[Company]]</f>
        <v>16</v>
      </c>
      <c r="P12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8" spans="1:16" x14ac:dyDescent="0.45">
      <c r="A1268" s="3">
        <v>45303.208333333336</v>
      </c>
      <c r="B1268" t="s">
        <v>14</v>
      </c>
      <c r="C1268">
        <v>7</v>
      </c>
      <c r="D1268">
        <v>1003</v>
      </c>
      <c r="E1268" t="s">
        <v>16</v>
      </c>
      <c r="F1268">
        <v>24</v>
      </c>
      <c r="G1268">
        <v>3850</v>
      </c>
      <c r="H1268">
        <v>92400</v>
      </c>
      <c r="I1268" s="3">
        <v>45303.833333333336</v>
      </c>
      <c r="J1268">
        <v>96</v>
      </c>
      <c r="K1268" s="3">
        <v>45306.833333333336</v>
      </c>
      <c r="L1268" s="4">
        <f>ROUNDDOWN(Table1[[#This Row],[Ordered]],0)</f>
        <v>45303</v>
      </c>
      <c r="M1268" s="4">
        <f>Table1[[#This Row],[Date ]]</f>
        <v>45303</v>
      </c>
      <c r="N1268" s="5">
        <f>Table1[[#This Row],[Ordered]]-Table1[[#This Row],[Date ]]</f>
        <v>0.20833333333575865</v>
      </c>
      <c r="O1268">
        <f>Table1[[#This Row],[Company]]</f>
        <v>7</v>
      </c>
      <c r="P12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9" spans="1:16" x14ac:dyDescent="0.45">
      <c r="A1269" s="3">
        <v>45303.208333333336</v>
      </c>
      <c r="B1269" t="s">
        <v>14</v>
      </c>
      <c r="C1269">
        <v>8</v>
      </c>
      <c r="D1269">
        <v>1003</v>
      </c>
      <c r="E1269" t="s">
        <v>16</v>
      </c>
      <c r="F1269">
        <v>27</v>
      </c>
      <c r="G1269">
        <v>3800</v>
      </c>
      <c r="H1269">
        <v>102600</v>
      </c>
      <c r="I1269" s="3">
        <v>45303.916666666664</v>
      </c>
      <c r="J1269">
        <v>96</v>
      </c>
      <c r="K1269" s="3">
        <v>45306.916666666664</v>
      </c>
      <c r="L1269" s="4">
        <f>ROUNDDOWN(Table1[[#This Row],[Ordered]],0)</f>
        <v>45303</v>
      </c>
      <c r="M1269" s="4">
        <f>Table1[[#This Row],[Date ]]</f>
        <v>45303</v>
      </c>
      <c r="N1269" s="5">
        <f>Table1[[#This Row],[Ordered]]-Table1[[#This Row],[Date ]]</f>
        <v>0.20833333333575865</v>
      </c>
      <c r="O1269">
        <f>Table1[[#This Row],[Company]]</f>
        <v>8</v>
      </c>
      <c r="P12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0" spans="1:16" x14ac:dyDescent="0.45">
      <c r="A1270" s="3">
        <v>45303.208333333336</v>
      </c>
      <c r="B1270" t="s">
        <v>14</v>
      </c>
      <c r="C1270">
        <v>12</v>
      </c>
      <c r="D1270">
        <v>1003</v>
      </c>
      <c r="E1270" t="s">
        <v>16</v>
      </c>
      <c r="F1270">
        <v>15</v>
      </c>
      <c r="G1270">
        <v>4000</v>
      </c>
      <c r="H1270">
        <v>60000</v>
      </c>
      <c r="I1270" s="3">
        <v>45303.25</v>
      </c>
      <c r="J1270">
        <v>60</v>
      </c>
      <c r="K1270" s="3">
        <v>45305.25</v>
      </c>
      <c r="L1270" s="4">
        <f>ROUNDDOWN(Table1[[#This Row],[Ordered]],0)</f>
        <v>45303</v>
      </c>
      <c r="M1270" s="4">
        <f>Table1[[#This Row],[Date ]]</f>
        <v>45303</v>
      </c>
      <c r="N1270" s="5">
        <f>Table1[[#This Row],[Ordered]]-Table1[[#This Row],[Date ]]</f>
        <v>0.20833333333575865</v>
      </c>
      <c r="O1270">
        <f>Table1[[#This Row],[Company]]</f>
        <v>12</v>
      </c>
      <c r="P12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1" spans="1:16" x14ac:dyDescent="0.45">
      <c r="A1271" s="3">
        <v>45303.208333333336</v>
      </c>
      <c r="B1271" t="s">
        <v>14</v>
      </c>
      <c r="C1271">
        <v>13</v>
      </c>
      <c r="D1271">
        <v>1003</v>
      </c>
      <c r="E1271" t="s">
        <v>16</v>
      </c>
      <c r="F1271">
        <v>30</v>
      </c>
      <c r="G1271">
        <v>3600</v>
      </c>
      <c r="H1271">
        <v>108000</v>
      </c>
      <c r="I1271" s="3">
        <v>45303.875</v>
      </c>
      <c r="J1271">
        <v>96</v>
      </c>
      <c r="K1271" s="3">
        <v>45306.875</v>
      </c>
      <c r="L1271" s="4">
        <f>ROUNDDOWN(Table1[[#This Row],[Ordered]],0)</f>
        <v>45303</v>
      </c>
      <c r="M1271" s="4">
        <f>Table1[[#This Row],[Date ]]</f>
        <v>45303</v>
      </c>
      <c r="N1271" s="5">
        <f>Table1[[#This Row],[Ordered]]-Table1[[#This Row],[Date ]]</f>
        <v>0.20833333333575865</v>
      </c>
      <c r="O1271">
        <f>Table1[[#This Row],[Company]]</f>
        <v>13</v>
      </c>
      <c r="P12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2" spans="1:16" x14ac:dyDescent="0.45">
      <c r="A1272" s="3">
        <v>45303.208333333336</v>
      </c>
      <c r="B1272" t="s">
        <v>14</v>
      </c>
      <c r="C1272">
        <v>14</v>
      </c>
      <c r="D1272">
        <v>1003</v>
      </c>
      <c r="E1272" t="s">
        <v>16</v>
      </c>
      <c r="F1272">
        <v>30</v>
      </c>
      <c r="G1272">
        <v>3750</v>
      </c>
      <c r="H1272">
        <v>112500</v>
      </c>
      <c r="I1272" s="3">
        <v>45303.625</v>
      </c>
      <c r="J1272">
        <v>96</v>
      </c>
      <c r="K1272" s="3">
        <v>45306.625</v>
      </c>
      <c r="L1272" s="4">
        <f>ROUNDDOWN(Table1[[#This Row],[Ordered]],0)</f>
        <v>45303</v>
      </c>
      <c r="M1272" s="4">
        <f>Table1[[#This Row],[Date ]]</f>
        <v>45303</v>
      </c>
      <c r="N1272" s="5">
        <f>Table1[[#This Row],[Ordered]]-Table1[[#This Row],[Date ]]</f>
        <v>0.20833333333575865</v>
      </c>
      <c r="O1272">
        <f>Table1[[#This Row],[Company]]</f>
        <v>14</v>
      </c>
      <c r="P12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3" spans="1:16" x14ac:dyDescent="0.45">
      <c r="A1273" s="3">
        <v>45303.25</v>
      </c>
      <c r="B1273" t="s">
        <v>14</v>
      </c>
      <c r="C1273">
        <v>9</v>
      </c>
      <c r="D1273">
        <v>1007</v>
      </c>
      <c r="E1273" t="s">
        <v>15</v>
      </c>
      <c r="F1273">
        <v>11</v>
      </c>
      <c r="G1273">
        <v>6700</v>
      </c>
      <c r="H1273">
        <v>73700</v>
      </c>
      <c r="I1273" s="3">
        <v>45304.125</v>
      </c>
      <c r="J1273">
        <v>72</v>
      </c>
      <c r="K1273" s="3">
        <v>45306.125</v>
      </c>
      <c r="L1273" s="4">
        <f>ROUNDDOWN(Table1[[#This Row],[Ordered]],0)</f>
        <v>45303</v>
      </c>
      <c r="M1273" s="4">
        <f>Table1[[#This Row],[Date ]]</f>
        <v>45303</v>
      </c>
      <c r="N1273" s="5">
        <f>Table1[[#This Row],[Ordered]]-Table1[[#This Row],[Date ]]</f>
        <v>0.25</v>
      </c>
      <c r="O1273">
        <f>Table1[[#This Row],[Company]]</f>
        <v>9</v>
      </c>
      <c r="P12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4" spans="1:16" x14ac:dyDescent="0.45">
      <c r="A1274" s="3">
        <v>45303.25</v>
      </c>
      <c r="B1274" t="s">
        <v>14</v>
      </c>
      <c r="C1274">
        <v>10</v>
      </c>
      <c r="D1274">
        <v>1007</v>
      </c>
      <c r="E1274" t="s">
        <v>15</v>
      </c>
      <c r="F1274">
        <v>10</v>
      </c>
      <c r="G1274">
        <v>6600</v>
      </c>
      <c r="H1274">
        <v>66000</v>
      </c>
      <c r="I1274" s="3">
        <v>45313.583333333336</v>
      </c>
      <c r="J1274">
        <v>84</v>
      </c>
      <c r="K1274" s="3">
        <v>45316.583333333336</v>
      </c>
      <c r="L1274" s="4">
        <f>ROUNDDOWN(Table1[[#This Row],[Ordered]],0)</f>
        <v>45303</v>
      </c>
      <c r="M1274" s="4">
        <f>Table1[[#This Row],[Date ]]</f>
        <v>45303</v>
      </c>
      <c r="N1274" s="5">
        <f>Table1[[#This Row],[Ordered]]-Table1[[#This Row],[Date ]]</f>
        <v>0.25</v>
      </c>
      <c r="O1274">
        <f>Table1[[#This Row],[Company]]</f>
        <v>10</v>
      </c>
      <c r="P12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5" spans="1:16" x14ac:dyDescent="0.45">
      <c r="A1275" s="3">
        <v>45303.25</v>
      </c>
      <c r="B1275" t="s">
        <v>14</v>
      </c>
      <c r="C1275">
        <v>15</v>
      </c>
      <c r="D1275">
        <v>1007</v>
      </c>
      <c r="E1275" t="s">
        <v>15</v>
      </c>
      <c r="F1275">
        <v>17</v>
      </c>
      <c r="G1275">
        <v>6000</v>
      </c>
      <c r="H1275">
        <v>102000</v>
      </c>
      <c r="I1275" s="3">
        <v>45303.416666666664</v>
      </c>
      <c r="J1275">
        <v>68</v>
      </c>
      <c r="K1275" s="3">
        <v>45305.541666666664</v>
      </c>
      <c r="L1275" s="4">
        <f>ROUNDDOWN(Table1[[#This Row],[Ordered]],0)</f>
        <v>45303</v>
      </c>
      <c r="M1275" s="4">
        <f>Table1[[#This Row],[Date ]]</f>
        <v>45303</v>
      </c>
      <c r="N1275" s="5">
        <f>Table1[[#This Row],[Ordered]]-Table1[[#This Row],[Date ]]</f>
        <v>0.25</v>
      </c>
      <c r="O1275">
        <f>Table1[[#This Row],[Company]]</f>
        <v>15</v>
      </c>
      <c r="P12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6" spans="1:16" x14ac:dyDescent="0.45">
      <c r="A1276" s="3">
        <v>45303.25</v>
      </c>
      <c r="B1276" t="s">
        <v>14</v>
      </c>
      <c r="C1276">
        <v>12</v>
      </c>
      <c r="D1276">
        <v>1007</v>
      </c>
      <c r="E1276" t="s">
        <v>15</v>
      </c>
      <c r="F1276">
        <v>13</v>
      </c>
      <c r="G1276">
        <v>6900</v>
      </c>
      <c r="H1276">
        <v>89700</v>
      </c>
      <c r="I1276" s="3">
        <v>45304.375</v>
      </c>
      <c r="J1276">
        <v>84</v>
      </c>
      <c r="K1276" s="3">
        <v>45306.375</v>
      </c>
      <c r="L1276" s="4">
        <f>ROUNDDOWN(Table1[[#This Row],[Ordered]],0)</f>
        <v>45303</v>
      </c>
      <c r="M1276" s="4">
        <f>Table1[[#This Row],[Date ]]</f>
        <v>45303</v>
      </c>
      <c r="N1276" s="5">
        <f>Table1[[#This Row],[Ordered]]-Table1[[#This Row],[Date ]]</f>
        <v>0.25</v>
      </c>
      <c r="O1276">
        <f>Table1[[#This Row],[Company]]</f>
        <v>12</v>
      </c>
      <c r="P12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7" spans="1:16" x14ac:dyDescent="0.45">
      <c r="A1277" s="3">
        <v>45303.25</v>
      </c>
      <c r="B1277" t="s">
        <v>14</v>
      </c>
      <c r="C1277">
        <v>7</v>
      </c>
      <c r="D1277">
        <v>1007</v>
      </c>
      <c r="E1277" t="s">
        <v>15</v>
      </c>
      <c r="F1277">
        <v>7</v>
      </c>
      <c r="G1277">
        <v>6700</v>
      </c>
      <c r="H1277">
        <v>46900</v>
      </c>
      <c r="I1277" s="3">
        <v>45303.791666666664</v>
      </c>
      <c r="J1277">
        <v>96</v>
      </c>
      <c r="K1277" s="3">
        <v>45306.791666666664</v>
      </c>
      <c r="L1277" s="4">
        <f>ROUNDDOWN(Table1[[#This Row],[Ordered]],0)</f>
        <v>45303</v>
      </c>
      <c r="M1277" s="4">
        <f>Table1[[#This Row],[Date ]]</f>
        <v>45303</v>
      </c>
      <c r="N1277" s="5">
        <f>Table1[[#This Row],[Ordered]]-Table1[[#This Row],[Date ]]</f>
        <v>0.25</v>
      </c>
      <c r="O1277">
        <f>Table1[[#This Row],[Company]]</f>
        <v>7</v>
      </c>
      <c r="P12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8" spans="1:16" x14ac:dyDescent="0.45">
      <c r="A1278" s="3">
        <v>45303.25</v>
      </c>
      <c r="B1278" t="s">
        <v>14</v>
      </c>
      <c r="C1278">
        <v>8</v>
      </c>
      <c r="D1278">
        <v>1007</v>
      </c>
      <c r="E1278" t="s">
        <v>15</v>
      </c>
      <c r="F1278">
        <v>20</v>
      </c>
      <c r="G1278">
        <v>5450</v>
      </c>
      <c r="H1278">
        <v>109000</v>
      </c>
      <c r="I1278" s="3">
        <v>45303.958333333336</v>
      </c>
      <c r="J1278">
        <v>96</v>
      </c>
      <c r="K1278" s="3">
        <v>45306.958333333336</v>
      </c>
      <c r="L1278" s="4">
        <f>ROUNDDOWN(Table1[[#This Row],[Ordered]],0)</f>
        <v>45303</v>
      </c>
      <c r="M1278" s="4">
        <f>Table1[[#This Row],[Date ]]</f>
        <v>45303</v>
      </c>
      <c r="N1278" s="5">
        <f>Table1[[#This Row],[Ordered]]-Table1[[#This Row],[Date ]]</f>
        <v>0.25</v>
      </c>
      <c r="O1278">
        <f>Table1[[#This Row],[Company]]</f>
        <v>8</v>
      </c>
      <c r="P12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9" spans="1:16" x14ac:dyDescent="0.45">
      <c r="A1279" s="3">
        <v>45303.25</v>
      </c>
      <c r="B1279" t="s">
        <v>14</v>
      </c>
      <c r="C1279">
        <v>16</v>
      </c>
      <c r="D1279">
        <v>1007</v>
      </c>
      <c r="E1279" t="s">
        <v>15</v>
      </c>
      <c r="F1279">
        <v>15</v>
      </c>
      <c r="G1279">
        <v>6650</v>
      </c>
      <c r="H1279">
        <v>99750</v>
      </c>
      <c r="I1279" s="3">
        <v>45303.583333333336</v>
      </c>
      <c r="J1279">
        <v>96</v>
      </c>
      <c r="K1279" s="3">
        <v>45306.583333333336</v>
      </c>
      <c r="L1279" s="4">
        <f>ROUNDDOWN(Table1[[#This Row],[Ordered]],0)</f>
        <v>45303</v>
      </c>
      <c r="M1279" s="4">
        <f>Table1[[#This Row],[Date ]]</f>
        <v>45303</v>
      </c>
      <c r="N1279" s="5">
        <f>Table1[[#This Row],[Ordered]]-Table1[[#This Row],[Date ]]</f>
        <v>0.25</v>
      </c>
      <c r="O1279">
        <f>Table1[[#This Row],[Company]]</f>
        <v>16</v>
      </c>
      <c r="P12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0" spans="1:16" x14ac:dyDescent="0.45">
      <c r="A1280" s="3">
        <v>45303.25</v>
      </c>
      <c r="B1280" t="s">
        <v>14</v>
      </c>
      <c r="C1280">
        <v>14</v>
      </c>
      <c r="D1280">
        <v>1007</v>
      </c>
      <c r="E1280" t="s">
        <v>15</v>
      </c>
      <c r="F1280">
        <v>6</v>
      </c>
      <c r="G1280">
        <v>6650</v>
      </c>
      <c r="H1280">
        <v>39900</v>
      </c>
      <c r="I1280" s="3">
        <v>45303.583333333336</v>
      </c>
      <c r="J1280">
        <v>96</v>
      </c>
      <c r="K1280" s="3">
        <v>45306.583333333336</v>
      </c>
      <c r="L1280" s="4">
        <f>ROUNDDOWN(Table1[[#This Row],[Ordered]],0)</f>
        <v>45303</v>
      </c>
      <c r="M1280" s="4">
        <f>Table1[[#This Row],[Date ]]</f>
        <v>45303</v>
      </c>
      <c r="N1280" s="5">
        <f>Table1[[#This Row],[Ordered]]-Table1[[#This Row],[Date ]]</f>
        <v>0.25</v>
      </c>
      <c r="O1280">
        <f>Table1[[#This Row],[Company]]</f>
        <v>14</v>
      </c>
      <c r="P12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1" spans="1:16" x14ac:dyDescent="0.45">
      <c r="A1281" s="3">
        <v>45303.25</v>
      </c>
      <c r="B1281" t="s">
        <v>14</v>
      </c>
      <c r="C1281">
        <v>13</v>
      </c>
      <c r="D1281">
        <v>1007</v>
      </c>
      <c r="E1281" t="s">
        <v>15</v>
      </c>
      <c r="F1281">
        <v>6</v>
      </c>
      <c r="G1281">
        <v>6300</v>
      </c>
      <c r="H1281">
        <v>37800</v>
      </c>
      <c r="I1281" s="3">
        <v>45303.916666666664</v>
      </c>
      <c r="J1281">
        <v>96</v>
      </c>
      <c r="K1281" s="3">
        <v>45306.916666666664</v>
      </c>
      <c r="L1281" s="4">
        <f>ROUNDDOWN(Table1[[#This Row],[Ordered]],0)</f>
        <v>45303</v>
      </c>
      <c r="M1281" s="4">
        <f>Table1[[#This Row],[Date ]]</f>
        <v>45303</v>
      </c>
      <c r="N1281" s="5">
        <f>Table1[[#This Row],[Ordered]]-Table1[[#This Row],[Date ]]</f>
        <v>0.25</v>
      </c>
      <c r="O1281">
        <f>Table1[[#This Row],[Company]]</f>
        <v>13</v>
      </c>
      <c r="P12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2" spans="1:16" hidden="1" x14ac:dyDescent="0.45">
      <c r="A1282" s="3">
        <v>45303.25</v>
      </c>
      <c r="B1282" t="s">
        <v>12</v>
      </c>
      <c r="C1282">
        <v>2</v>
      </c>
      <c r="D1282">
        <v>15</v>
      </c>
      <c r="E1282" t="s">
        <v>13</v>
      </c>
      <c r="F1282">
        <v>2700</v>
      </c>
      <c r="G1282">
        <v>130</v>
      </c>
      <c r="H1282">
        <v>351000</v>
      </c>
      <c r="I1282" s="3">
        <v>45303.291666666664</v>
      </c>
      <c r="J1282">
        <v>72</v>
      </c>
      <c r="K1282" s="3">
        <v>45306.291666666664</v>
      </c>
      <c r="L1282" s="4">
        <f>ROUNDDOWN(Table1[[#This Row],[Ordered]],0)</f>
        <v>45303</v>
      </c>
      <c r="M1282" s="4">
        <f>Table1[[#This Row],[Date ]]</f>
        <v>45303</v>
      </c>
      <c r="N1282" s="5">
        <f>Table1[[#This Row],[Ordered]]-Table1[[#This Row],[Date ]]</f>
        <v>0.25</v>
      </c>
      <c r="O1282">
        <f>Table1[[#This Row],[Company]]</f>
        <v>2</v>
      </c>
      <c r="P12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3" spans="1:16" hidden="1" x14ac:dyDescent="0.45">
      <c r="A1283" s="3">
        <v>45303.291666666664</v>
      </c>
      <c r="B1283" t="s">
        <v>12</v>
      </c>
      <c r="C1283">
        <v>4</v>
      </c>
      <c r="D1283">
        <v>11</v>
      </c>
      <c r="E1283" t="s">
        <v>13</v>
      </c>
      <c r="F1283">
        <v>2500</v>
      </c>
      <c r="G1283">
        <v>110</v>
      </c>
      <c r="H1283">
        <v>275000</v>
      </c>
      <c r="I1283" s="3">
        <v>45303.458333333336</v>
      </c>
      <c r="J1283">
        <v>72</v>
      </c>
      <c r="K1283" s="3">
        <v>45306.458333333336</v>
      </c>
      <c r="L1283" s="4">
        <f>ROUNDDOWN(Table1[[#This Row],[Ordered]],0)</f>
        <v>45303</v>
      </c>
      <c r="M1283" s="4">
        <f>Table1[[#This Row],[Date ]]</f>
        <v>45303</v>
      </c>
      <c r="N1283" s="5">
        <f>Table1[[#This Row],[Ordered]]-Table1[[#This Row],[Date ]]</f>
        <v>0.29166666666424135</v>
      </c>
      <c r="O1283">
        <f>Table1[[#This Row],[Company]]</f>
        <v>4</v>
      </c>
      <c r="P12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4" spans="1:16" hidden="1" x14ac:dyDescent="0.45">
      <c r="A1284" s="3">
        <v>45303.375</v>
      </c>
      <c r="B1284" t="s">
        <v>12</v>
      </c>
      <c r="C1284">
        <v>1</v>
      </c>
      <c r="D1284">
        <v>14</v>
      </c>
      <c r="E1284" t="s">
        <v>17</v>
      </c>
      <c r="F1284">
        <v>300</v>
      </c>
      <c r="G1284">
        <v>1400</v>
      </c>
      <c r="H1284">
        <v>420000</v>
      </c>
      <c r="I1284" s="3">
        <v>45303.375</v>
      </c>
      <c r="J1284">
        <v>24</v>
      </c>
      <c r="K1284" s="3">
        <v>45304.375</v>
      </c>
      <c r="L1284" s="4">
        <f>ROUNDDOWN(Table1[[#This Row],[Ordered]],0)</f>
        <v>45303</v>
      </c>
      <c r="M1284" s="4">
        <f>Table1[[#This Row],[Date ]]</f>
        <v>45303</v>
      </c>
      <c r="N1284" s="5">
        <f>Table1[[#This Row],[Ordered]]-Table1[[#This Row],[Date ]]</f>
        <v>0.375</v>
      </c>
      <c r="O1284">
        <f>Table1[[#This Row],[Company]]</f>
        <v>1</v>
      </c>
      <c r="P12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5" spans="1:16" hidden="1" x14ac:dyDescent="0.45">
      <c r="A1285" s="3">
        <v>45303.416666666664</v>
      </c>
      <c r="B1285" t="s">
        <v>12</v>
      </c>
      <c r="C1285">
        <v>2</v>
      </c>
      <c r="D1285">
        <v>15</v>
      </c>
      <c r="E1285" t="s">
        <v>17</v>
      </c>
      <c r="F1285">
        <v>234</v>
      </c>
      <c r="G1285">
        <v>1800</v>
      </c>
      <c r="H1285">
        <v>421200</v>
      </c>
      <c r="I1285" s="3">
        <v>45303.416666666664</v>
      </c>
      <c r="J1285">
        <v>48</v>
      </c>
      <c r="K1285" s="3">
        <v>45305.416666666664</v>
      </c>
      <c r="L1285" s="4">
        <f>ROUNDDOWN(Table1[[#This Row],[Ordered]],0)</f>
        <v>45303</v>
      </c>
      <c r="M1285" s="4">
        <f>Table1[[#This Row],[Date ]]</f>
        <v>45303</v>
      </c>
      <c r="N1285" s="5">
        <f>Table1[[#This Row],[Ordered]]-Table1[[#This Row],[Date ]]</f>
        <v>0.41666666666424135</v>
      </c>
      <c r="O1285">
        <f>Table1[[#This Row],[Company]]</f>
        <v>2</v>
      </c>
      <c r="P12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6" spans="1:16" x14ac:dyDescent="0.45">
      <c r="A1286" s="3">
        <v>45303.5</v>
      </c>
      <c r="B1286" t="s">
        <v>14</v>
      </c>
      <c r="C1286">
        <v>16</v>
      </c>
      <c r="D1286">
        <v>1001</v>
      </c>
      <c r="E1286" t="s">
        <v>16</v>
      </c>
      <c r="F1286">
        <v>30</v>
      </c>
      <c r="G1286">
        <v>3750</v>
      </c>
      <c r="H1286">
        <v>112500</v>
      </c>
      <c r="I1286" s="3">
        <v>45303.583333333336</v>
      </c>
      <c r="J1286">
        <v>96</v>
      </c>
      <c r="K1286" s="3">
        <v>45306.583333333336</v>
      </c>
      <c r="L1286" s="4">
        <f>ROUNDDOWN(Table1[[#This Row],[Ordered]],0)</f>
        <v>45303</v>
      </c>
      <c r="M1286" s="4">
        <f>Table1[[#This Row],[Date ]]</f>
        <v>45303</v>
      </c>
      <c r="N1286" s="5">
        <f>Table1[[#This Row],[Ordered]]-Table1[[#This Row],[Date ]]</f>
        <v>0.5</v>
      </c>
      <c r="O1286">
        <f>Table1[[#This Row],[Company]]</f>
        <v>16</v>
      </c>
      <c r="P12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7" spans="1:16" x14ac:dyDescent="0.45">
      <c r="A1287" s="3">
        <v>45303.5</v>
      </c>
      <c r="B1287" t="s">
        <v>14</v>
      </c>
      <c r="C1287">
        <v>9</v>
      </c>
      <c r="D1287">
        <v>1001</v>
      </c>
      <c r="E1287" t="s">
        <v>16</v>
      </c>
      <c r="F1287">
        <v>30</v>
      </c>
      <c r="G1287">
        <v>3750</v>
      </c>
      <c r="H1287">
        <v>112500</v>
      </c>
      <c r="I1287" s="3">
        <v>45304.458333333336</v>
      </c>
      <c r="J1287">
        <v>96</v>
      </c>
      <c r="K1287" s="3">
        <v>45307.625</v>
      </c>
      <c r="L1287" s="4">
        <f>ROUNDDOWN(Table1[[#This Row],[Ordered]],0)</f>
        <v>45303</v>
      </c>
      <c r="M1287" s="4">
        <f>Table1[[#This Row],[Date ]]</f>
        <v>45303</v>
      </c>
      <c r="N1287" s="5">
        <f>Table1[[#This Row],[Ordered]]-Table1[[#This Row],[Date ]]</f>
        <v>0.5</v>
      </c>
      <c r="O1287">
        <f>Table1[[#This Row],[Company]]</f>
        <v>9</v>
      </c>
      <c r="P12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8" spans="1:16" x14ac:dyDescent="0.45">
      <c r="A1288" s="3">
        <v>45303.5</v>
      </c>
      <c r="B1288" t="s">
        <v>14</v>
      </c>
      <c r="C1288">
        <v>12</v>
      </c>
      <c r="D1288">
        <v>1001</v>
      </c>
      <c r="E1288" t="s">
        <v>16</v>
      </c>
      <c r="F1288">
        <v>15</v>
      </c>
      <c r="G1288">
        <v>4000</v>
      </c>
      <c r="H1288">
        <v>60000</v>
      </c>
      <c r="I1288" s="3">
        <v>45303.625</v>
      </c>
      <c r="J1288">
        <v>60</v>
      </c>
      <c r="K1288" s="3">
        <v>45305.625</v>
      </c>
      <c r="L1288" s="4">
        <f>ROUNDDOWN(Table1[[#This Row],[Ordered]],0)</f>
        <v>45303</v>
      </c>
      <c r="M1288" s="4">
        <f>Table1[[#This Row],[Date ]]</f>
        <v>45303</v>
      </c>
      <c r="N1288" s="5">
        <f>Table1[[#This Row],[Ordered]]-Table1[[#This Row],[Date ]]</f>
        <v>0.5</v>
      </c>
      <c r="O1288">
        <f>Table1[[#This Row],[Company]]</f>
        <v>12</v>
      </c>
      <c r="P12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9" spans="1:16" x14ac:dyDescent="0.45">
      <c r="A1289" s="3">
        <v>45303.5</v>
      </c>
      <c r="B1289" t="s">
        <v>14</v>
      </c>
      <c r="C1289">
        <v>15</v>
      </c>
      <c r="D1289">
        <v>1001</v>
      </c>
      <c r="E1289" t="s">
        <v>16</v>
      </c>
      <c r="F1289">
        <v>30</v>
      </c>
      <c r="G1289">
        <v>3550</v>
      </c>
      <c r="H1289">
        <v>106500</v>
      </c>
      <c r="I1289" s="3">
        <v>45303.583333333336</v>
      </c>
      <c r="J1289">
        <v>92</v>
      </c>
      <c r="K1289" s="3">
        <v>45306.583333333336</v>
      </c>
      <c r="L1289" s="4">
        <f>ROUNDDOWN(Table1[[#This Row],[Ordered]],0)</f>
        <v>45303</v>
      </c>
      <c r="M1289" s="4">
        <f>Table1[[#This Row],[Date ]]</f>
        <v>45303</v>
      </c>
      <c r="N1289" s="5">
        <f>Table1[[#This Row],[Ordered]]-Table1[[#This Row],[Date ]]</f>
        <v>0.5</v>
      </c>
      <c r="O1289">
        <f>Table1[[#This Row],[Company]]</f>
        <v>15</v>
      </c>
      <c r="P12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0" spans="1:16" x14ac:dyDescent="0.45">
      <c r="A1290" s="3">
        <v>45303.5</v>
      </c>
      <c r="B1290" t="s">
        <v>14</v>
      </c>
      <c r="C1290">
        <v>11</v>
      </c>
      <c r="D1290">
        <v>1001</v>
      </c>
      <c r="E1290" t="s">
        <v>16</v>
      </c>
      <c r="F1290">
        <v>23</v>
      </c>
      <c r="G1290">
        <v>4100</v>
      </c>
      <c r="H1290">
        <v>94300</v>
      </c>
      <c r="I1290" s="3">
        <v>45303.791666666664</v>
      </c>
      <c r="J1290">
        <v>96</v>
      </c>
      <c r="K1290" s="3">
        <v>45306.791666666664</v>
      </c>
      <c r="L1290" s="4">
        <f>ROUNDDOWN(Table1[[#This Row],[Ordered]],0)</f>
        <v>45303</v>
      </c>
      <c r="M1290" s="4">
        <f>Table1[[#This Row],[Date ]]</f>
        <v>45303</v>
      </c>
      <c r="N1290" s="5">
        <f>Table1[[#This Row],[Ordered]]-Table1[[#This Row],[Date ]]</f>
        <v>0.5</v>
      </c>
      <c r="O1290">
        <f>Table1[[#This Row],[Company]]</f>
        <v>11</v>
      </c>
      <c r="P12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1" spans="1:16" x14ac:dyDescent="0.45">
      <c r="A1291" s="3">
        <v>45303.5</v>
      </c>
      <c r="B1291" t="s">
        <v>14</v>
      </c>
      <c r="C1291">
        <v>7</v>
      </c>
      <c r="D1291">
        <v>1001</v>
      </c>
      <c r="E1291" t="s">
        <v>16</v>
      </c>
      <c r="F1291">
        <v>27</v>
      </c>
      <c r="G1291">
        <v>3850</v>
      </c>
      <c r="H1291">
        <v>103950</v>
      </c>
      <c r="I1291" s="3">
        <v>45303.958333333336</v>
      </c>
      <c r="J1291">
        <v>96</v>
      </c>
      <c r="K1291" s="3">
        <v>45306.958333333336</v>
      </c>
      <c r="L1291" s="4">
        <f>ROUNDDOWN(Table1[[#This Row],[Ordered]],0)</f>
        <v>45303</v>
      </c>
      <c r="M1291" s="4">
        <f>Table1[[#This Row],[Date ]]</f>
        <v>45303</v>
      </c>
      <c r="N1291" s="5">
        <f>Table1[[#This Row],[Ordered]]-Table1[[#This Row],[Date ]]</f>
        <v>0.5</v>
      </c>
      <c r="O1291">
        <f>Table1[[#This Row],[Company]]</f>
        <v>7</v>
      </c>
      <c r="P12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2" spans="1:16" x14ac:dyDescent="0.45">
      <c r="A1292" s="3">
        <v>45303.5</v>
      </c>
      <c r="B1292" t="s">
        <v>14</v>
      </c>
      <c r="C1292">
        <v>14</v>
      </c>
      <c r="D1292">
        <v>1001</v>
      </c>
      <c r="E1292" t="s">
        <v>16</v>
      </c>
      <c r="F1292">
        <v>30</v>
      </c>
      <c r="G1292">
        <v>3750</v>
      </c>
      <c r="H1292">
        <v>112500</v>
      </c>
      <c r="I1292" s="3">
        <v>45304</v>
      </c>
      <c r="J1292">
        <v>96</v>
      </c>
      <c r="K1292" s="3">
        <v>45307</v>
      </c>
      <c r="L1292" s="4">
        <f>ROUNDDOWN(Table1[[#This Row],[Ordered]],0)</f>
        <v>45303</v>
      </c>
      <c r="M1292" s="4">
        <f>Table1[[#This Row],[Date ]]</f>
        <v>45303</v>
      </c>
      <c r="N1292" s="5">
        <f>Table1[[#This Row],[Ordered]]-Table1[[#This Row],[Date ]]</f>
        <v>0.5</v>
      </c>
      <c r="O1292">
        <f>Table1[[#This Row],[Company]]</f>
        <v>14</v>
      </c>
      <c r="P12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3" spans="1:16" x14ac:dyDescent="0.45">
      <c r="A1293" s="3">
        <v>45303.5</v>
      </c>
      <c r="B1293" t="s">
        <v>14</v>
      </c>
      <c r="C1293">
        <v>8</v>
      </c>
      <c r="D1293">
        <v>1001</v>
      </c>
      <c r="E1293" t="s">
        <v>16</v>
      </c>
      <c r="F1293">
        <v>30</v>
      </c>
      <c r="G1293">
        <v>3800</v>
      </c>
      <c r="H1293">
        <v>114000</v>
      </c>
      <c r="I1293" s="3">
        <v>45304.291666666664</v>
      </c>
      <c r="J1293">
        <v>96</v>
      </c>
      <c r="K1293" s="3">
        <v>45307.291666666664</v>
      </c>
      <c r="L1293" s="4">
        <f>ROUNDDOWN(Table1[[#This Row],[Ordered]],0)</f>
        <v>45303</v>
      </c>
      <c r="M1293" s="4">
        <f>Table1[[#This Row],[Date ]]</f>
        <v>45303</v>
      </c>
      <c r="N1293" s="5">
        <f>Table1[[#This Row],[Ordered]]-Table1[[#This Row],[Date ]]</f>
        <v>0.5</v>
      </c>
      <c r="O1293">
        <f>Table1[[#This Row],[Company]]</f>
        <v>8</v>
      </c>
      <c r="P12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4" spans="1:16" x14ac:dyDescent="0.45">
      <c r="A1294" s="3">
        <v>45303.5</v>
      </c>
      <c r="B1294" t="s">
        <v>14</v>
      </c>
      <c r="C1294">
        <v>13</v>
      </c>
      <c r="D1294">
        <v>1001</v>
      </c>
      <c r="E1294" t="s">
        <v>16</v>
      </c>
      <c r="F1294">
        <v>30</v>
      </c>
      <c r="G1294">
        <v>3600</v>
      </c>
      <c r="H1294">
        <v>108000</v>
      </c>
      <c r="I1294" s="3">
        <v>45304.125</v>
      </c>
      <c r="J1294">
        <v>96</v>
      </c>
      <c r="K1294" s="3">
        <v>45307.125</v>
      </c>
      <c r="L1294" s="4">
        <f>ROUNDDOWN(Table1[[#This Row],[Ordered]],0)</f>
        <v>45303</v>
      </c>
      <c r="M1294" s="4">
        <f>Table1[[#This Row],[Date ]]</f>
        <v>45303</v>
      </c>
      <c r="N1294" s="5">
        <f>Table1[[#This Row],[Ordered]]-Table1[[#This Row],[Date ]]</f>
        <v>0.5</v>
      </c>
      <c r="O1294">
        <f>Table1[[#This Row],[Company]]</f>
        <v>13</v>
      </c>
      <c r="P12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5" spans="1:16" hidden="1" x14ac:dyDescent="0.45">
      <c r="A1295" s="3">
        <v>45303.541666666664</v>
      </c>
      <c r="B1295" t="s">
        <v>12</v>
      </c>
      <c r="C1295">
        <v>15</v>
      </c>
      <c r="D1295">
        <v>6</v>
      </c>
      <c r="E1295" t="s">
        <v>20</v>
      </c>
      <c r="F1295">
        <v>36</v>
      </c>
      <c r="G1295">
        <v>23</v>
      </c>
      <c r="H1295">
        <v>828</v>
      </c>
      <c r="I1295" s="3">
        <v>45303.791666666664</v>
      </c>
      <c r="J1295">
        <v>72</v>
      </c>
      <c r="K1295" s="3">
        <v>45306.791666666664</v>
      </c>
      <c r="L1295" s="4">
        <f>ROUNDDOWN(Table1[[#This Row],[Ordered]],0)</f>
        <v>45303</v>
      </c>
      <c r="M1295" s="4">
        <f>Table1[[#This Row],[Date ]]</f>
        <v>45303</v>
      </c>
      <c r="N1295" s="5">
        <f>Table1[[#This Row],[Ordered]]-Table1[[#This Row],[Date ]]</f>
        <v>0.54166666666424135</v>
      </c>
      <c r="O1295">
        <f>Table1[[#This Row],[Company]]</f>
        <v>15</v>
      </c>
      <c r="P12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6" spans="1:16" x14ac:dyDescent="0.45">
      <c r="A1296" s="3">
        <v>45303.583333333336</v>
      </c>
      <c r="B1296" t="s">
        <v>0</v>
      </c>
      <c r="C1296">
        <v>7</v>
      </c>
      <c r="D1296">
        <v>2008</v>
      </c>
      <c r="E1296" t="s">
        <v>15</v>
      </c>
      <c r="F1296">
        <v>30</v>
      </c>
      <c r="G1296">
        <v>6700</v>
      </c>
      <c r="H1296">
        <v>201000</v>
      </c>
      <c r="I1296" s="3">
        <v>45307.125</v>
      </c>
      <c r="J1296">
        <v>132</v>
      </c>
      <c r="K1296" s="3">
        <v>45308.625</v>
      </c>
      <c r="L1296" s="4">
        <f>ROUNDDOWN(Table1[[#This Row],[Ordered]],0)</f>
        <v>45303</v>
      </c>
      <c r="M1296" s="4">
        <f>Table1[[#This Row],[Date ]]</f>
        <v>45303</v>
      </c>
      <c r="N1296" s="5">
        <f>Table1[[#This Row],[Ordered]]-Table1[[#This Row],[Date ]]</f>
        <v>0.58333333333575865</v>
      </c>
      <c r="O1296">
        <f>Table1[[#This Row],[Company]]</f>
        <v>7</v>
      </c>
      <c r="P12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7" spans="1:16" x14ac:dyDescent="0.45">
      <c r="A1297" s="3">
        <v>45303.583333333336</v>
      </c>
      <c r="B1297" t="s">
        <v>0</v>
      </c>
      <c r="C1297">
        <v>9</v>
      </c>
      <c r="D1297">
        <v>2008</v>
      </c>
      <c r="E1297" t="s">
        <v>15</v>
      </c>
      <c r="F1297">
        <v>25</v>
      </c>
      <c r="G1297">
        <v>6650</v>
      </c>
      <c r="H1297">
        <v>166250</v>
      </c>
      <c r="I1297" s="3">
        <v>45304.458333333336</v>
      </c>
      <c r="J1297">
        <v>132</v>
      </c>
      <c r="K1297" s="3">
        <v>45308.958333333336</v>
      </c>
      <c r="L1297" s="4">
        <f>ROUNDDOWN(Table1[[#This Row],[Ordered]],0)</f>
        <v>45303</v>
      </c>
      <c r="M1297" s="4">
        <f>Table1[[#This Row],[Date ]]</f>
        <v>45303</v>
      </c>
      <c r="N1297" s="5">
        <f>Table1[[#This Row],[Ordered]]-Table1[[#This Row],[Date ]]</f>
        <v>0.58333333333575865</v>
      </c>
      <c r="O1297">
        <f>Table1[[#This Row],[Company]]</f>
        <v>9</v>
      </c>
      <c r="P12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8" spans="1:16" x14ac:dyDescent="0.45">
      <c r="A1298" s="3">
        <v>45303.583333333336</v>
      </c>
      <c r="B1298" t="s">
        <v>0</v>
      </c>
      <c r="C1298">
        <v>7</v>
      </c>
      <c r="D1298">
        <v>2008</v>
      </c>
      <c r="E1298" t="s">
        <v>16</v>
      </c>
      <c r="F1298">
        <v>30</v>
      </c>
      <c r="G1298">
        <v>3800</v>
      </c>
      <c r="H1298">
        <v>114000</v>
      </c>
      <c r="I1298" s="3">
        <v>45304.041666666664</v>
      </c>
      <c r="J1298">
        <v>132</v>
      </c>
      <c r="K1298" s="3">
        <v>45308.541666666664</v>
      </c>
      <c r="L1298" s="4">
        <f>ROUNDDOWN(Table1[[#This Row],[Ordered]],0)</f>
        <v>45303</v>
      </c>
      <c r="M1298" s="4">
        <f>Table1[[#This Row],[Date ]]</f>
        <v>45303</v>
      </c>
      <c r="N1298" s="5">
        <f>Table1[[#This Row],[Ordered]]-Table1[[#This Row],[Date ]]</f>
        <v>0.58333333333575865</v>
      </c>
      <c r="O1298">
        <f>Table1[[#This Row],[Company]]</f>
        <v>7</v>
      </c>
      <c r="P12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9" spans="1:16" x14ac:dyDescent="0.45">
      <c r="A1299" s="3">
        <v>45303.583333333336</v>
      </c>
      <c r="B1299" t="s">
        <v>14</v>
      </c>
      <c r="C1299">
        <v>8</v>
      </c>
      <c r="D1299">
        <v>1010</v>
      </c>
      <c r="E1299" t="s">
        <v>15</v>
      </c>
      <c r="F1299">
        <v>9</v>
      </c>
      <c r="G1299">
        <v>5450</v>
      </c>
      <c r="H1299">
        <v>49050</v>
      </c>
      <c r="I1299" s="3">
        <v>45304.333333333336</v>
      </c>
      <c r="J1299">
        <v>96</v>
      </c>
      <c r="K1299" s="3">
        <v>45307.333333333336</v>
      </c>
      <c r="L1299" s="4">
        <f>ROUNDDOWN(Table1[[#This Row],[Ordered]],0)</f>
        <v>45303</v>
      </c>
      <c r="M1299" s="4">
        <f>Table1[[#This Row],[Date ]]</f>
        <v>45303</v>
      </c>
      <c r="N1299" s="5">
        <f>Table1[[#This Row],[Ordered]]-Table1[[#This Row],[Date ]]</f>
        <v>0.58333333333575865</v>
      </c>
      <c r="O1299">
        <f>Table1[[#This Row],[Company]]</f>
        <v>8</v>
      </c>
      <c r="P12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0" spans="1:16" x14ac:dyDescent="0.45">
      <c r="A1300" s="3">
        <v>45303.583333333336</v>
      </c>
      <c r="B1300" t="s">
        <v>0</v>
      </c>
      <c r="C1300">
        <v>12</v>
      </c>
      <c r="D1300">
        <v>2008</v>
      </c>
      <c r="E1300" t="s">
        <v>15</v>
      </c>
      <c r="F1300">
        <v>30</v>
      </c>
      <c r="G1300">
        <v>6750</v>
      </c>
      <c r="H1300">
        <v>202500</v>
      </c>
      <c r="I1300" s="3">
        <v>45304</v>
      </c>
      <c r="J1300">
        <v>120</v>
      </c>
      <c r="K1300" s="3">
        <v>45308.5</v>
      </c>
      <c r="L1300" s="4">
        <f>ROUNDDOWN(Table1[[#This Row],[Ordered]],0)</f>
        <v>45303</v>
      </c>
      <c r="M1300" s="4">
        <f>Table1[[#This Row],[Date ]]</f>
        <v>45303</v>
      </c>
      <c r="N1300" s="5">
        <f>Table1[[#This Row],[Ordered]]-Table1[[#This Row],[Date ]]</f>
        <v>0.58333333333575865</v>
      </c>
      <c r="O1300">
        <f>Table1[[#This Row],[Company]]</f>
        <v>12</v>
      </c>
      <c r="P13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1" spans="1:16" x14ac:dyDescent="0.45">
      <c r="A1301" s="3">
        <v>45303.583333333336</v>
      </c>
      <c r="B1301" t="s">
        <v>0</v>
      </c>
      <c r="C1301">
        <v>11</v>
      </c>
      <c r="D1301">
        <v>2008</v>
      </c>
      <c r="E1301" t="s">
        <v>15</v>
      </c>
      <c r="F1301">
        <v>30</v>
      </c>
      <c r="G1301">
        <v>6650</v>
      </c>
      <c r="H1301">
        <v>199500</v>
      </c>
      <c r="I1301" s="3">
        <v>45303.916666666664</v>
      </c>
      <c r="J1301">
        <v>132</v>
      </c>
      <c r="K1301" s="3">
        <v>45308.416666666664</v>
      </c>
      <c r="L1301" s="4">
        <f>ROUNDDOWN(Table1[[#This Row],[Ordered]],0)</f>
        <v>45303</v>
      </c>
      <c r="M1301" s="4">
        <f>Table1[[#This Row],[Date ]]</f>
        <v>45303</v>
      </c>
      <c r="N1301" s="5">
        <f>Table1[[#This Row],[Ordered]]-Table1[[#This Row],[Date ]]</f>
        <v>0.58333333333575865</v>
      </c>
      <c r="O1301">
        <f>Table1[[#This Row],[Company]]</f>
        <v>11</v>
      </c>
      <c r="P13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2" spans="1:16" x14ac:dyDescent="0.45">
      <c r="A1302" s="3">
        <v>45303.583333333336</v>
      </c>
      <c r="B1302" t="s">
        <v>0</v>
      </c>
      <c r="C1302">
        <v>16</v>
      </c>
      <c r="D1302">
        <v>2008</v>
      </c>
      <c r="E1302" t="s">
        <v>15</v>
      </c>
      <c r="F1302">
        <v>30</v>
      </c>
      <c r="G1302">
        <v>6650</v>
      </c>
      <c r="H1302">
        <v>199500</v>
      </c>
      <c r="I1302" s="3">
        <v>45303.791666666664</v>
      </c>
      <c r="J1302">
        <v>132</v>
      </c>
      <c r="K1302" s="3">
        <v>45308.291666666664</v>
      </c>
      <c r="L1302" s="4">
        <f>ROUNDDOWN(Table1[[#This Row],[Ordered]],0)</f>
        <v>45303</v>
      </c>
      <c r="M1302" s="4">
        <f>Table1[[#This Row],[Date ]]</f>
        <v>45303</v>
      </c>
      <c r="N1302" s="5">
        <f>Table1[[#This Row],[Ordered]]-Table1[[#This Row],[Date ]]</f>
        <v>0.58333333333575865</v>
      </c>
      <c r="O1302">
        <f>Table1[[#This Row],[Company]]</f>
        <v>16</v>
      </c>
      <c r="P13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3" spans="1:16" x14ac:dyDescent="0.45">
      <c r="A1303" s="3">
        <v>45303.583333333336</v>
      </c>
      <c r="B1303" t="s">
        <v>0</v>
      </c>
      <c r="C1303">
        <v>8</v>
      </c>
      <c r="D1303">
        <v>2008</v>
      </c>
      <c r="E1303" t="s">
        <v>16</v>
      </c>
      <c r="F1303">
        <v>30</v>
      </c>
      <c r="G1303">
        <v>3800</v>
      </c>
      <c r="H1303">
        <v>114000</v>
      </c>
      <c r="I1303" s="3">
        <v>45304.458333333336</v>
      </c>
      <c r="J1303">
        <v>132</v>
      </c>
      <c r="K1303" s="3">
        <v>45308.958333333336</v>
      </c>
      <c r="L1303" s="4">
        <f>ROUNDDOWN(Table1[[#This Row],[Ordered]],0)</f>
        <v>45303</v>
      </c>
      <c r="M1303" s="4">
        <f>Table1[[#This Row],[Date ]]</f>
        <v>45303</v>
      </c>
      <c r="N1303" s="5">
        <f>Table1[[#This Row],[Ordered]]-Table1[[#This Row],[Date ]]</f>
        <v>0.58333333333575865</v>
      </c>
      <c r="O1303">
        <f>Table1[[#This Row],[Company]]</f>
        <v>8</v>
      </c>
      <c r="P13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4" spans="1:16" x14ac:dyDescent="0.45">
      <c r="A1304" s="3">
        <v>45303.583333333336</v>
      </c>
      <c r="B1304" t="s">
        <v>0</v>
      </c>
      <c r="C1304">
        <v>14</v>
      </c>
      <c r="D1304">
        <v>2008</v>
      </c>
      <c r="E1304" t="s">
        <v>16</v>
      </c>
      <c r="F1304">
        <v>30</v>
      </c>
      <c r="G1304">
        <v>3750</v>
      </c>
      <c r="H1304">
        <v>112500</v>
      </c>
      <c r="I1304" s="3">
        <v>45304.083333333336</v>
      </c>
      <c r="J1304">
        <v>132</v>
      </c>
      <c r="K1304" s="3">
        <v>45308.583333333336</v>
      </c>
      <c r="L1304" s="4">
        <f>ROUNDDOWN(Table1[[#This Row],[Ordered]],0)</f>
        <v>45303</v>
      </c>
      <c r="M1304" s="4">
        <f>Table1[[#This Row],[Date ]]</f>
        <v>45303</v>
      </c>
      <c r="N1304" s="5">
        <f>Table1[[#This Row],[Ordered]]-Table1[[#This Row],[Date ]]</f>
        <v>0.58333333333575865</v>
      </c>
      <c r="O1304">
        <f>Table1[[#This Row],[Company]]</f>
        <v>14</v>
      </c>
      <c r="P13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5" spans="1:16" x14ac:dyDescent="0.45">
      <c r="A1305" s="3">
        <v>45303.583333333336</v>
      </c>
      <c r="B1305" t="s">
        <v>0</v>
      </c>
      <c r="C1305">
        <v>15</v>
      </c>
      <c r="D1305">
        <v>2008</v>
      </c>
      <c r="E1305" t="s">
        <v>15</v>
      </c>
      <c r="F1305">
        <v>40</v>
      </c>
      <c r="G1305">
        <v>6000</v>
      </c>
      <c r="H1305">
        <v>240000</v>
      </c>
      <c r="I1305" s="3">
        <v>45303.708333333336</v>
      </c>
      <c r="J1305">
        <v>54</v>
      </c>
      <c r="K1305" s="3">
        <v>45305.208333333336</v>
      </c>
      <c r="L1305" s="4">
        <f>ROUNDDOWN(Table1[[#This Row],[Ordered]],0)</f>
        <v>45303</v>
      </c>
      <c r="M1305" s="4">
        <f>Table1[[#This Row],[Date ]]</f>
        <v>45303</v>
      </c>
      <c r="N1305" s="5">
        <f>Table1[[#This Row],[Ordered]]-Table1[[#This Row],[Date ]]</f>
        <v>0.58333333333575865</v>
      </c>
      <c r="O1305">
        <f>Table1[[#This Row],[Company]]</f>
        <v>15</v>
      </c>
      <c r="P13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6" spans="1:16" x14ac:dyDescent="0.45">
      <c r="A1306" s="3">
        <v>45303.583333333336</v>
      </c>
      <c r="B1306" t="s">
        <v>0</v>
      </c>
      <c r="C1306">
        <v>15</v>
      </c>
      <c r="D1306">
        <v>2008</v>
      </c>
      <c r="E1306" t="s">
        <v>16</v>
      </c>
      <c r="F1306">
        <v>30</v>
      </c>
      <c r="G1306">
        <v>3850</v>
      </c>
      <c r="H1306">
        <v>115500</v>
      </c>
      <c r="I1306" s="3">
        <v>45303.625</v>
      </c>
      <c r="J1306">
        <v>120</v>
      </c>
      <c r="K1306" s="3">
        <v>45308.208333333336</v>
      </c>
      <c r="L1306" s="4">
        <f>ROUNDDOWN(Table1[[#This Row],[Ordered]],0)</f>
        <v>45303</v>
      </c>
      <c r="M1306" s="4">
        <f>Table1[[#This Row],[Date ]]</f>
        <v>45303</v>
      </c>
      <c r="N1306" s="5">
        <f>Table1[[#This Row],[Ordered]]-Table1[[#This Row],[Date ]]</f>
        <v>0.58333333333575865</v>
      </c>
      <c r="O1306">
        <f>Table1[[#This Row],[Company]]</f>
        <v>15</v>
      </c>
      <c r="P13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7" spans="1:16" x14ac:dyDescent="0.45">
      <c r="A1307" s="3">
        <v>45303.583333333336</v>
      </c>
      <c r="B1307" t="s">
        <v>0</v>
      </c>
      <c r="C1307">
        <v>16</v>
      </c>
      <c r="D1307">
        <v>2008</v>
      </c>
      <c r="E1307" t="s">
        <v>16</v>
      </c>
      <c r="F1307">
        <v>30</v>
      </c>
      <c r="G1307">
        <v>3750</v>
      </c>
      <c r="H1307">
        <v>112500</v>
      </c>
      <c r="I1307" s="3">
        <v>45303.833333333336</v>
      </c>
      <c r="J1307">
        <v>132</v>
      </c>
      <c r="K1307" s="3">
        <v>45308.375</v>
      </c>
      <c r="L1307" s="4">
        <f>ROUNDDOWN(Table1[[#This Row],[Ordered]],0)</f>
        <v>45303</v>
      </c>
      <c r="M1307" s="4">
        <f>Table1[[#This Row],[Date ]]</f>
        <v>45303</v>
      </c>
      <c r="N1307" s="5">
        <f>Table1[[#This Row],[Ordered]]-Table1[[#This Row],[Date ]]</f>
        <v>0.58333333333575865</v>
      </c>
      <c r="O1307">
        <f>Table1[[#This Row],[Company]]</f>
        <v>16</v>
      </c>
      <c r="P13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8" spans="1:16" x14ac:dyDescent="0.45">
      <c r="A1308" s="3">
        <v>45303.583333333336</v>
      </c>
      <c r="B1308" t="s">
        <v>14</v>
      </c>
      <c r="C1308">
        <v>7</v>
      </c>
      <c r="D1308">
        <v>1010</v>
      </c>
      <c r="E1308" t="s">
        <v>15</v>
      </c>
      <c r="F1308">
        <v>5</v>
      </c>
      <c r="G1308">
        <v>6700</v>
      </c>
      <c r="H1308">
        <v>33500</v>
      </c>
      <c r="I1308" s="3">
        <v>45303.833333333336</v>
      </c>
      <c r="J1308">
        <v>96</v>
      </c>
      <c r="K1308" s="3">
        <v>45306.833333333336</v>
      </c>
      <c r="L1308" s="4">
        <f>ROUNDDOWN(Table1[[#This Row],[Ordered]],0)</f>
        <v>45303</v>
      </c>
      <c r="M1308" s="4">
        <f>Table1[[#This Row],[Date ]]</f>
        <v>45303</v>
      </c>
      <c r="N1308" s="5">
        <f>Table1[[#This Row],[Ordered]]-Table1[[#This Row],[Date ]]</f>
        <v>0.58333333333575865</v>
      </c>
      <c r="O1308">
        <f>Table1[[#This Row],[Company]]</f>
        <v>7</v>
      </c>
      <c r="P13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9" spans="1:16" x14ac:dyDescent="0.45">
      <c r="A1309" s="3">
        <v>45303.583333333336</v>
      </c>
      <c r="B1309" t="s">
        <v>0</v>
      </c>
      <c r="C1309">
        <v>9</v>
      </c>
      <c r="D1309">
        <v>2008</v>
      </c>
      <c r="E1309" t="s">
        <v>16</v>
      </c>
      <c r="F1309">
        <v>30</v>
      </c>
      <c r="G1309">
        <v>3750</v>
      </c>
      <c r="H1309">
        <v>112500</v>
      </c>
      <c r="I1309" s="3">
        <v>45304.458333333336</v>
      </c>
      <c r="J1309">
        <v>132</v>
      </c>
      <c r="K1309" s="3">
        <v>45308.958333333336</v>
      </c>
      <c r="L1309" s="4">
        <f>ROUNDDOWN(Table1[[#This Row],[Ordered]],0)</f>
        <v>45303</v>
      </c>
      <c r="M1309" s="4">
        <f>Table1[[#This Row],[Date ]]</f>
        <v>45303</v>
      </c>
      <c r="N1309" s="5">
        <f>Table1[[#This Row],[Ordered]]-Table1[[#This Row],[Date ]]</f>
        <v>0.58333333333575865</v>
      </c>
      <c r="O1309">
        <f>Table1[[#This Row],[Company]]</f>
        <v>9</v>
      </c>
      <c r="P13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0" spans="1:16" x14ac:dyDescent="0.45">
      <c r="A1310" s="3">
        <v>45303.583333333336</v>
      </c>
      <c r="B1310" t="s">
        <v>14</v>
      </c>
      <c r="C1310">
        <v>9</v>
      </c>
      <c r="D1310">
        <v>1010</v>
      </c>
      <c r="E1310" t="s">
        <v>15</v>
      </c>
      <c r="F1310">
        <v>8</v>
      </c>
      <c r="G1310">
        <v>6700</v>
      </c>
      <c r="H1310">
        <v>53600</v>
      </c>
      <c r="I1310" s="3">
        <v>45304.416666666664</v>
      </c>
      <c r="J1310">
        <v>72</v>
      </c>
      <c r="K1310" s="3">
        <v>45306.416666666664</v>
      </c>
      <c r="L1310" s="4">
        <f>ROUNDDOWN(Table1[[#This Row],[Ordered]],0)</f>
        <v>45303</v>
      </c>
      <c r="M1310" s="4">
        <f>Table1[[#This Row],[Date ]]</f>
        <v>45303</v>
      </c>
      <c r="N1310" s="5">
        <f>Table1[[#This Row],[Ordered]]-Table1[[#This Row],[Date ]]</f>
        <v>0.58333333333575865</v>
      </c>
      <c r="O1310">
        <f>Table1[[#This Row],[Company]]</f>
        <v>9</v>
      </c>
      <c r="P13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1" spans="1:16" x14ac:dyDescent="0.45">
      <c r="A1311" s="3">
        <v>45303.583333333336</v>
      </c>
      <c r="B1311" t="s">
        <v>0</v>
      </c>
      <c r="C1311">
        <v>8</v>
      </c>
      <c r="D1311">
        <v>2008</v>
      </c>
      <c r="E1311" t="s">
        <v>15</v>
      </c>
      <c r="F1311">
        <v>30</v>
      </c>
      <c r="G1311">
        <v>5700</v>
      </c>
      <c r="H1311">
        <v>171000</v>
      </c>
      <c r="I1311" s="3">
        <v>45305.666666666664</v>
      </c>
      <c r="J1311">
        <v>132</v>
      </c>
      <c r="K1311" s="3">
        <v>45308.666666666664</v>
      </c>
      <c r="L1311" s="4">
        <f>ROUNDDOWN(Table1[[#This Row],[Ordered]],0)</f>
        <v>45303</v>
      </c>
      <c r="M1311" s="4">
        <f>Table1[[#This Row],[Date ]]</f>
        <v>45303</v>
      </c>
      <c r="N1311" s="5">
        <f>Table1[[#This Row],[Ordered]]-Table1[[#This Row],[Date ]]</f>
        <v>0.58333333333575865</v>
      </c>
      <c r="O1311">
        <f>Table1[[#This Row],[Company]]</f>
        <v>8</v>
      </c>
      <c r="P13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2" spans="1:16" x14ac:dyDescent="0.45">
      <c r="A1312" s="3">
        <v>45303.583333333336</v>
      </c>
      <c r="B1312" t="s">
        <v>0</v>
      </c>
      <c r="C1312">
        <v>10</v>
      </c>
      <c r="D1312">
        <v>2008</v>
      </c>
      <c r="E1312" t="s">
        <v>16</v>
      </c>
      <c r="F1312">
        <v>30</v>
      </c>
      <c r="G1312">
        <v>4200</v>
      </c>
      <c r="H1312">
        <v>126000</v>
      </c>
      <c r="I1312" s="3">
        <v>45303.625</v>
      </c>
      <c r="J1312">
        <v>84</v>
      </c>
      <c r="K1312" s="3">
        <v>45306.625</v>
      </c>
      <c r="L1312" s="4">
        <f>ROUNDDOWN(Table1[[#This Row],[Ordered]],0)</f>
        <v>45303</v>
      </c>
      <c r="M1312" s="4">
        <f>Table1[[#This Row],[Date ]]</f>
        <v>45303</v>
      </c>
      <c r="N1312" s="5">
        <f>Table1[[#This Row],[Ordered]]-Table1[[#This Row],[Date ]]</f>
        <v>0.58333333333575865</v>
      </c>
      <c r="O1312">
        <f>Table1[[#This Row],[Company]]</f>
        <v>10</v>
      </c>
      <c r="P13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3" spans="1:16" x14ac:dyDescent="0.45">
      <c r="A1313" s="3">
        <v>45303.583333333336</v>
      </c>
      <c r="B1313" t="s">
        <v>14</v>
      </c>
      <c r="C1313">
        <v>14</v>
      </c>
      <c r="D1313">
        <v>1010</v>
      </c>
      <c r="E1313" t="s">
        <v>15</v>
      </c>
      <c r="F1313">
        <v>3</v>
      </c>
      <c r="G1313">
        <v>6650</v>
      </c>
      <c r="H1313">
        <v>19950</v>
      </c>
      <c r="I1313" s="3">
        <v>45303.916666666664</v>
      </c>
      <c r="J1313">
        <v>96</v>
      </c>
      <c r="K1313" s="3">
        <v>45306.958333333336</v>
      </c>
      <c r="L1313" s="4">
        <f>ROUNDDOWN(Table1[[#This Row],[Ordered]],0)</f>
        <v>45303</v>
      </c>
      <c r="M1313" s="4">
        <f>Table1[[#This Row],[Date ]]</f>
        <v>45303</v>
      </c>
      <c r="N1313" s="5">
        <f>Table1[[#This Row],[Ordered]]-Table1[[#This Row],[Date ]]</f>
        <v>0.58333333333575865</v>
      </c>
      <c r="O1313">
        <f>Table1[[#This Row],[Company]]</f>
        <v>14</v>
      </c>
      <c r="P13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4" spans="1:16" x14ac:dyDescent="0.45">
      <c r="A1314" s="3">
        <v>45303.583333333336</v>
      </c>
      <c r="B1314" t="s">
        <v>14</v>
      </c>
      <c r="C1314">
        <v>16</v>
      </c>
      <c r="D1314">
        <v>1010</v>
      </c>
      <c r="E1314" t="s">
        <v>15</v>
      </c>
      <c r="F1314">
        <v>6</v>
      </c>
      <c r="G1314">
        <v>6650</v>
      </c>
      <c r="H1314">
        <v>39900</v>
      </c>
      <c r="I1314" s="3">
        <v>45303.75</v>
      </c>
      <c r="J1314">
        <v>96</v>
      </c>
      <c r="K1314" s="3">
        <v>45306.791666666664</v>
      </c>
      <c r="L1314" s="4">
        <f>ROUNDDOWN(Table1[[#This Row],[Ordered]],0)</f>
        <v>45303</v>
      </c>
      <c r="M1314" s="4">
        <f>Table1[[#This Row],[Date ]]</f>
        <v>45303</v>
      </c>
      <c r="N1314" s="5">
        <f>Table1[[#This Row],[Ordered]]-Table1[[#This Row],[Date ]]</f>
        <v>0.58333333333575865</v>
      </c>
      <c r="O1314">
        <f>Table1[[#This Row],[Company]]</f>
        <v>16</v>
      </c>
      <c r="P13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5" spans="1:16" x14ac:dyDescent="0.45">
      <c r="A1315" s="3">
        <v>45303.583333333336</v>
      </c>
      <c r="B1315" t="s">
        <v>0</v>
      </c>
      <c r="C1315">
        <v>14</v>
      </c>
      <c r="D1315">
        <v>2008</v>
      </c>
      <c r="E1315" t="s">
        <v>15</v>
      </c>
      <c r="F1315">
        <v>22</v>
      </c>
      <c r="G1315">
        <v>6650</v>
      </c>
      <c r="H1315">
        <v>146300</v>
      </c>
      <c r="I1315" s="3">
        <v>45303.958333333336</v>
      </c>
      <c r="J1315">
        <v>132</v>
      </c>
      <c r="K1315" s="3">
        <v>45308.458333333336</v>
      </c>
      <c r="L1315" s="4">
        <f>ROUNDDOWN(Table1[[#This Row],[Ordered]],0)</f>
        <v>45303</v>
      </c>
      <c r="M1315" s="4">
        <f>Table1[[#This Row],[Date ]]</f>
        <v>45303</v>
      </c>
      <c r="N1315" s="5">
        <f>Table1[[#This Row],[Ordered]]-Table1[[#This Row],[Date ]]</f>
        <v>0.58333333333575865</v>
      </c>
      <c r="O1315">
        <f>Table1[[#This Row],[Company]]</f>
        <v>14</v>
      </c>
      <c r="P13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6" spans="1:16" x14ac:dyDescent="0.45">
      <c r="A1316" s="3">
        <v>45303.583333333336</v>
      </c>
      <c r="B1316" t="s">
        <v>0</v>
      </c>
      <c r="C1316">
        <v>13</v>
      </c>
      <c r="D1316">
        <v>2008</v>
      </c>
      <c r="E1316" t="s">
        <v>16</v>
      </c>
      <c r="F1316">
        <v>30</v>
      </c>
      <c r="G1316">
        <v>3500</v>
      </c>
      <c r="H1316">
        <v>105000</v>
      </c>
      <c r="I1316" s="3">
        <v>45304.375</v>
      </c>
      <c r="J1316">
        <v>132</v>
      </c>
      <c r="K1316" s="3">
        <v>45308.875</v>
      </c>
      <c r="L1316" s="4">
        <f>ROUNDDOWN(Table1[[#This Row],[Ordered]],0)</f>
        <v>45303</v>
      </c>
      <c r="M1316" s="4">
        <f>Table1[[#This Row],[Date ]]</f>
        <v>45303</v>
      </c>
      <c r="N1316" s="5">
        <f>Table1[[#This Row],[Ordered]]-Table1[[#This Row],[Date ]]</f>
        <v>0.58333333333575865</v>
      </c>
      <c r="O1316">
        <f>Table1[[#This Row],[Company]]</f>
        <v>13</v>
      </c>
      <c r="P13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7" spans="1:16" x14ac:dyDescent="0.45">
      <c r="A1317" s="3">
        <v>45303.583333333336</v>
      </c>
      <c r="B1317" t="s">
        <v>0</v>
      </c>
      <c r="C1317">
        <v>13</v>
      </c>
      <c r="D1317">
        <v>2008</v>
      </c>
      <c r="E1317" t="s">
        <v>15</v>
      </c>
      <c r="F1317">
        <v>29</v>
      </c>
      <c r="G1317">
        <v>6300</v>
      </c>
      <c r="H1317">
        <v>182700</v>
      </c>
      <c r="I1317" s="3">
        <v>45304.291666666664</v>
      </c>
      <c r="J1317">
        <v>132</v>
      </c>
      <c r="K1317" s="3">
        <v>45308.958333333336</v>
      </c>
      <c r="L1317" s="4">
        <f>ROUNDDOWN(Table1[[#This Row],[Ordered]],0)</f>
        <v>45303</v>
      </c>
      <c r="M1317" s="4">
        <f>Table1[[#This Row],[Date ]]</f>
        <v>45303</v>
      </c>
      <c r="N1317" s="5">
        <f>Table1[[#This Row],[Ordered]]-Table1[[#This Row],[Date ]]</f>
        <v>0.58333333333575865</v>
      </c>
      <c r="O1317">
        <f>Table1[[#This Row],[Company]]</f>
        <v>13</v>
      </c>
      <c r="P13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8" spans="1:16" x14ac:dyDescent="0.45">
      <c r="A1318" s="3">
        <v>45303.583333333336</v>
      </c>
      <c r="B1318" t="s">
        <v>14</v>
      </c>
      <c r="C1318">
        <v>15</v>
      </c>
      <c r="D1318">
        <v>1010</v>
      </c>
      <c r="E1318" t="s">
        <v>15</v>
      </c>
      <c r="F1318">
        <v>10</v>
      </c>
      <c r="G1318">
        <v>6000</v>
      </c>
      <c r="H1318">
        <v>60000</v>
      </c>
      <c r="I1318" s="3">
        <v>45303.708333333336</v>
      </c>
      <c r="J1318">
        <v>68</v>
      </c>
      <c r="K1318" s="3">
        <v>45305.708333333336</v>
      </c>
      <c r="L1318" s="4">
        <f>ROUNDDOWN(Table1[[#This Row],[Ordered]],0)</f>
        <v>45303</v>
      </c>
      <c r="M1318" s="4">
        <f>Table1[[#This Row],[Date ]]</f>
        <v>45303</v>
      </c>
      <c r="N1318" s="5">
        <f>Table1[[#This Row],[Ordered]]-Table1[[#This Row],[Date ]]</f>
        <v>0.58333333333575865</v>
      </c>
      <c r="O1318">
        <f>Table1[[#This Row],[Company]]</f>
        <v>15</v>
      </c>
      <c r="P13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9" spans="1:16" x14ac:dyDescent="0.45">
      <c r="A1319" s="3">
        <v>45303.583333333336</v>
      </c>
      <c r="B1319" t="s">
        <v>0</v>
      </c>
      <c r="C1319">
        <v>12</v>
      </c>
      <c r="D1319">
        <v>2008</v>
      </c>
      <c r="E1319" t="s">
        <v>16</v>
      </c>
      <c r="F1319">
        <v>30</v>
      </c>
      <c r="G1319">
        <v>3800</v>
      </c>
      <c r="H1319">
        <v>114000</v>
      </c>
      <c r="I1319" s="3">
        <v>45303.625</v>
      </c>
      <c r="J1319">
        <v>120</v>
      </c>
      <c r="K1319" s="3">
        <v>45308.125</v>
      </c>
      <c r="L1319" s="4">
        <f>ROUNDDOWN(Table1[[#This Row],[Ordered]],0)</f>
        <v>45303</v>
      </c>
      <c r="M1319" s="4">
        <f>Table1[[#This Row],[Date ]]</f>
        <v>45303</v>
      </c>
      <c r="N1319" s="5">
        <f>Table1[[#This Row],[Ordered]]-Table1[[#This Row],[Date ]]</f>
        <v>0.58333333333575865</v>
      </c>
      <c r="O1319">
        <f>Table1[[#This Row],[Company]]</f>
        <v>12</v>
      </c>
      <c r="P13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0" spans="1:16" x14ac:dyDescent="0.45">
      <c r="A1320" s="3">
        <v>45303.583333333336</v>
      </c>
      <c r="B1320" t="s">
        <v>14</v>
      </c>
      <c r="C1320">
        <v>12</v>
      </c>
      <c r="D1320">
        <v>1010</v>
      </c>
      <c r="E1320" t="s">
        <v>15</v>
      </c>
      <c r="F1320">
        <v>7</v>
      </c>
      <c r="G1320">
        <v>6900</v>
      </c>
      <c r="H1320">
        <v>48300</v>
      </c>
      <c r="I1320" s="3">
        <v>45303.875</v>
      </c>
      <c r="J1320">
        <v>84</v>
      </c>
      <c r="K1320" s="3">
        <v>45306.875</v>
      </c>
      <c r="L1320" s="4">
        <f>ROUNDDOWN(Table1[[#This Row],[Ordered]],0)</f>
        <v>45303</v>
      </c>
      <c r="M1320" s="4">
        <f>Table1[[#This Row],[Date ]]</f>
        <v>45303</v>
      </c>
      <c r="N1320" s="5">
        <f>Table1[[#This Row],[Ordered]]-Table1[[#This Row],[Date ]]</f>
        <v>0.58333333333575865</v>
      </c>
      <c r="O1320">
        <f>Table1[[#This Row],[Company]]</f>
        <v>12</v>
      </c>
      <c r="P13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1" spans="1:16" x14ac:dyDescent="0.45">
      <c r="A1321" s="3">
        <v>45303.583333333336</v>
      </c>
      <c r="B1321" t="s">
        <v>14</v>
      </c>
      <c r="C1321">
        <v>13</v>
      </c>
      <c r="D1321">
        <v>1010</v>
      </c>
      <c r="E1321" t="s">
        <v>15</v>
      </c>
      <c r="F1321">
        <v>4</v>
      </c>
      <c r="G1321">
        <v>6300</v>
      </c>
      <c r="H1321">
        <v>25200</v>
      </c>
      <c r="I1321" s="3">
        <v>45304.291666666664</v>
      </c>
      <c r="J1321">
        <v>96</v>
      </c>
      <c r="K1321" s="3">
        <v>45307.291666666664</v>
      </c>
      <c r="L1321" s="4">
        <f>ROUNDDOWN(Table1[[#This Row],[Ordered]],0)</f>
        <v>45303</v>
      </c>
      <c r="M1321" s="4">
        <f>Table1[[#This Row],[Date ]]</f>
        <v>45303</v>
      </c>
      <c r="N1321" s="5">
        <f>Table1[[#This Row],[Ordered]]-Table1[[#This Row],[Date ]]</f>
        <v>0.58333333333575865</v>
      </c>
      <c r="O1321">
        <f>Table1[[#This Row],[Company]]</f>
        <v>13</v>
      </c>
      <c r="P13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2" spans="1:16" x14ac:dyDescent="0.45">
      <c r="A1322" s="3">
        <v>45303.583333333336</v>
      </c>
      <c r="B1322" t="s">
        <v>0</v>
      </c>
      <c r="C1322">
        <v>11</v>
      </c>
      <c r="D1322">
        <v>2008</v>
      </c>
      <c r="E1322" t="s">
        <v>16</v>
      </c>
      <c r="F1322">
        <v>40</v>
      </c>
      <c r="G1322">
        <v>4200</v>
      </c>
      <c r="H1322">
        <v>168000</v>
      </c>
      <c r="I1322" s="3">
        <v>45303.583333333336</v>
      </c>
      <c r="J1322">
        <v>120</v>
      </c>
      <c r="K1322" s="3">
        <v>45308.083333333336</v>
      </c>
      <c r="L1322" s="4">
        <f>ROUNDDOWN(Table1[[#This Row],[Ordered]],0)</f>
        <v>45303</v>
      </c>
      <c r="M1322" s="4">
        <f>Table1[[#This Row],[Date ]]</f>
        <v>45303</v>
      </c>
      <c r="N1322" s="5">
        <f>Table1[[#This Row],[Ordered]]-Table1[[#This Row],[Date ]]</f>
        <v>0.58333333333575865</v>
      </c>
      <c r="O1322">
        <f>Table1[[#This Row],[Company]]</f>
        <v>11</v>
      </c>
      <c r="P13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3" spans="1:16" x14ac:dyDescent="0.45">
      <c r="A1323" s="3">
        <v>45303.666666666664</v>
      </c>
      <c r="B1323" t="s">
        <v>14</v>
      </c>
      <c r="C1323">
        <v>14</v>
      </c>
      <c r="D1323">
        <v>1009</v>
      </c>
      <c r="E1323" t="s">
        <v>15</v>
      </c>
      <c r="F1323">
        <v>2</v>
      </c>
      <c r="G1323">
        <v>6650</v>
      </c>
      <c r="H1323">
        <v>13300</v>
      </c>
      <c r="I1323" s="3">
        <v>45304.083333333336</v>
      </c>
      <c r="J1323">
        <v>96</v>
      </c>
      <c r="K1323" s="3">
        <v>45307.083333333336</v>
      </c>
      <c r="L1323" s="4">
        <f>ROUNDDOWN(Table1[[#This Row],[Ordered]],0)</f>
        <v>45303</v>
      </c>
      <c r="M1323" s="4">
        <f>Table1[[#This Row],[Date ]]</f>
        <v>45303</v>
      </c>
      <c r="N1323" s="5">
        <f>Table1[[#This Row],[Ordered]]-Table1[[#This Row],[Date ]]</f>
        <v>0.66666666666424135</v>
      </c>
      <c r="O1323">
        <f>Table1[[#This Row],[Company]]</f>
        <v>14</v>
      </c>
      <c r="P13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4" spans="1:16" x14ac:dyDescent="0.45">
      <c r="A1324" s="3">
        <v>45303.666666666664</v>
      </c>
      <c r="B1324" t="s">
        <v>14</v>
      </c>
      <c r="C1324">
        <v>13</v>
      </c>
      <c r="D1324">
        <v>1009</v>
      </c>
      <c r="E1324" t="s">
        <v>15</v>
      </c>
      <c r="F1324">
        <v>5</v>
      </c>
      <c r="G1324">
        <v>6300</v>
      </c>
      <c r="H1324">
        <v>31500</v>
      </c>
      <c r="I1324" s="3">
        <v>45304.333333333336</v>
      </c>
      <c r="J1324">
        <v>96</v>
      </c>
      <c r="K1324" s="3">
        <v>45307.333333333336</v>
      </c>
      <c r="L1324" s="4">
        <f>ROUNDDOWN(Table1[[#This Row],[Ordered]],0)</f>
        <v>45303</v>
      </c>
      <c r="M1324" s="4">
        <f>Table1[[#This Row],[Date ]]</f>
        <v>45303</v>
      </c>
      <c r="N1324" s="5">
        <f>Table1[[#This Row],[Ordered]]-Table1[[#This Row],[Date ]]</f>
        <v>0.66666666666424135</v>
      </c>
      <c r="O1324">
        <f>Table1[[#This Row],[Company]]</f>
        <v>13</v>
      </c>
      <c r="P13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5" spans="1:16" x14ac:dyDescent="0.45">
      <c r="A1325" s="3">
        <v>45303.666666666664</v>
      </c>
      <c r="B1325" t="s">
        <v>14</v>
      </c>
      <c r="C1325">
        <v>15</v>
      </c>
      <c r="D1325">
        <v>1011</v>
      </c>
      <c r="E1325" t="s">
        <v>15</v>
      </c>
      <c r="F1325">
        <v>8</v>
      </c>
      <c r="G1325">
        <v>6000</v>
      </c>
      <c r="H1325">
        <v>48000</v>
      </c>
      <c r="I1325" s="3">
        <v>45303.791666666664</v>
      </c>
      <c r="J1325">
        <v>68</v>
      </c>
      <c r="K1325" s="3">
        <v>45305.791666666664</v>
      </c>
      <c r="L1325" s="4">
        <f>ROUNDDOWN(Table1[[#This Row],[Ordered]],0)</f>
        <v>45303</v>
      </c>
      <c r="M1325" s="4">
        <f>Table1[[#This Row],[Date ]]</f>
        <v>45303</v>
      </c>
      <c r="N1325" s="5">
        <f>Table1[[#This Row],[Ordered]]-Table1[[#This Row],[Date ]]</f>
        <v>0.66666666666424135</v>
      </c>
      <c r="O1325">
        <f>Table1[[#This Row],[Company]]</f>
        <v>15</v>
      </c>
      <c r="P13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6" spans="1:16" x14ac:dyDescent="0.45">
      <c r="A1326" s="3">
        <v>45303.666666666664</v>
      </c>
      <c r="B1326" t="s">
        <v>14</v>
      </c>
      <c r="C1326">
        <v>7</v>
      </c>
      <c r="D1326">
        <v>1011</v>
      </c>
      <c r="E1326" t="s">
        <v>15</v>
      </c>
      <c r="F1326">
        <v>3</v>
      </c>
      <c r="G1326">
        <v>6700</v>
      </c>
      <c r="H1326">
        <v>20100</v>
      </c>
      <c r="I1326" s="3">
        <v>45307.708333333336</v>
      </c>
      <c r="J1326">
        <v>96</v>
      </c>
      <c r="K1326" s="3">
        <v>45308.708333333336</v>
      </c>
      <c r="L1326" s="4">
        <f>ROUNDDOWN(Table1[[#This Row],[Ordered]],0)</f>
        <v>45303</v>
      </c>
      <c r="M1326" s="4">
        <f>Table1[[#This Row],[Date ]]</f>
        <v>45303</v>
      </c>
      <c r="N1326" s="5">
        <f>Table1[[#This Row],[Ordered]]-Table1[[#This Row],[Date ]]</f>
        <v>0.66666666666424135</v>
      </c>
      <c r="O1326">
        <f>Table1[[#This Row],[Company]]</f>
        <v>7</v>
      </c>
      <c r="P13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7" spans="1:16" x14ac:dyDescent="0.45">
      <c r="A1327" s="3">
        <v>45303.666666666664</v>
      </c>
      <c r="B1327" t="s">
        <v>14</v>
      </c>
      <c r="C1327">
        <v>7</v>
      </c>
      <c r="D1327">
        <v>1009</v>
      </c>
      <c r="E1327" t="s">
        <v>15</v>
      </c>
      <c r="F1327">
        <v>3</v>
      </c>
      <c r="G1327">
        <v>6700</v>
      </c>
      <c r="H1327">
        <v>20100</v>
      </c>
      <c r="I1327" s="3">
        <v>45307.708333333336</v>
      </c>
      <c r="J1327">
        <v>96</v>
      </c>
      <c r="K1327" s="3">
        <v>45308.708333333336</v>
      </c>
      <c r="L1327" s="4">
        <f>ROUNDDOWN(Table1[[#This Row],[Ordered]],0)</f>
        <v>45303</v>
      </c>
      <c r="M1327" s="4">
        <f>Table1[[#This Row],[Date ]]</f>
        <v>45303</v>
      </c>
      <c r="N1327" s="5">
        <f>Table1[[#This Row],[Ordered]]-Table1[[#This Row],[Date ]]</f>
        <v>0.66666666666424135</v>
      </c>
      <c r="O1327">
        <f>Table1[[#This Row],[Company]]</f>
        <v>7</v>
      </c>
      <c r="P13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8" spans="1:16" x14ac:dyDescent="0.45">
      <c r="A1328" s="3">
        <v>45303.666666666664</v>
      </c>
      <c r="B1328" t="s">
        <v>14</v>
      </c>
      <c r="C1328">
        <v>8</v>
      </c>
      <c r="D1328">
        <v>1011</v>
      </c>
      <c r="E1328" t="s">
        <v>15</v>
      </c>
      <c r="F1328">
        <v>9</v>
      </c>
      <c r="G1328">
        <v>5450</v>
      </c>
      <c r="H1328">
        <v>49050</v>
      </c>
      <c r="I1328" s="3">
        <v>45305.416666666664</v>
      </c>
      <c r="J1328">
        <v>96</v>
      </c>
      <c r="K1328" s="3">
        <v>45307.416666666664</v>
      </c>
      <c r="L1328" s="4">
        <f>ROUNDDOWN(Table1[[#This Row],[Ordered]],0)</f>
        <v>45303</v>
      </c>
      <c r="M1328" s="4">
        <f>Table1[[#This Row],[Date ]]</f>
        <v>45303</v>
      </c>
      <c r="N1328" s="5">
        <f>Table1[[#This Row],[Ordered]]-Table1[[#This Row],[Date ]]</f>
        <v>0.66666666666424135</v>
      </c>
      <c r="O1328">
        <f>Table1[[#This Row],[Company]]</f>
        <v>8</v>
      </c>
      <c r="P13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9" spans="1:16" x14ac:dyDescent="0.45">
      <c r="A1329" s="3">
        <v>45303.666666666664</v>
      </c>
      <c r="B1329" t="s">
        <v>14</v>
      </c>
      <c r="C1329">
        <v>9</v>
      </c>
      <c r="D1329">
        <v>1011</v>
      </c>
      <c r="E1329" t="s">
        <v>15</v>
      </c>
      <c r="F1329">
        <v>5</v>
      </c>
      <c r="G1329">
        <v>6700</v>
      </c>
      <c r="H1329">
        <v>33500</v>
      </c>
      <c r="I1329" s="3">
        <v>45304.541666666664</v>
      </c>
      <c r="J1329">
        <v>72</v>
      </c>
      <c r="K1329" s="3">
        <v>45306.541666666664</v>
      </c>
      <c r="L1329" s="4">
        <f>ROUNDDOWN(Table1[[#This Row],[Ordered]],0)</f>
        <v>45303</v>
      </c>
      <c r="M1329" s="4">
        <f>Table1[[#This Row],[Date ]]</f>
        <v>45303</v>
      </c>
      <c r="N1329" s="5">
        <f>Table1[[#This Row],[Ordered]]-Table1[[#This Row],[Date ]]</f>
        <v>0.66666666666424135</v>
      </c>
      <c r="O1329">
        <f>Table1[[#This Row],[Company]]</f>
        <v>9</v>
      </c>
      <c r="P13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0" spans="1:16" x14ac:dyDescent="0.45">
      <c r="A1330" s="3">
        <v>45303.666666666664</v>
      </c>
      <c r="B1330" t="s">
        <v>14</v>
      </c>
      <c r="C1330">
        <v>14</v>
      </c>
      <c r="D1330">
        <v>1011</v>
      </c>
      <c r="E1330" t="s">
        <v>15</v>
      </c>
      <c r="F1330">
        <v>3</v>
      </c>
      <c r="G1330">
        <v>6650</v>
      </c>
      <c r="H1330">
        <v>19950</v>
      </c>
      <c r="I1330" s="3">
        <v>45304.041666666664</v>
      </c>
      <c r="J1330">
        <v>96</v>
      </c>
      <c r="K1330" s="3">
        <v>45307.208333333336</v>
      </c>
      <c r="L1330" s="4">
        <f>ROUNDDOWN(Table1[[#This Row],[Ordered]],0)</f>
        <v>45303</v>
      </c>
      <c r="M1330" s="4">
        <f>Table1[[#This Row],[Date ]]</f>
        <v>45303</v>
      </c>
      <c r="N1330" s="5">
        <f>Table1[[#This Row],[Ordered]]-Table1[[#This Row],[Date ]]</f>
        <v>0.66666666666424135</v>
      </c>
      <c r="O1330">
        <f>Table1[[#This Row],[Company]]</f>
        <v>14</v>
      </c>
      <c r="P13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1" spans="1:16" x14ac:dyDescent="0.45">
      <c r="A1331" s="3">
        <v>45303.666666666664</v>
      </c>
      <c r="B1331" t="s">
        <v>14</v>
      </c>
      <c r="C1331">
        <v>12</v>
      </c>
      <c r="D1331">
        <v>1009</v>
      </c>
      <c r="E1331" t="s">
        <v>15</v>
      </c>
      <c r="F1331">
        <v>4</v>
      </c>
      <c r="G1331">
        <v>6700</v>
      </c>
      <c r="H1331">
        <v>26800</v>
      </c>
      <c r="I1331" s="3">
        <v>45304.416666666664</v>
      </c>
      <c r="J1331">
        <v>96</v>
      </c>
      <c r="K1331" s="3">
        <v>45307.416666666664</v>
      </c>
      <c r="L1331" s="4">
        <f>ROUNDDOWN(Table1[[#This Row],[Ordered]],0)</f>
        <v>45303</v>
      </c>
      <c r="M1331" s="4">
        <f>Table1[[#This Row],[Date ]]</f>
        <v>45303</v>
      </c>
      <c r="N1331" s="5">
        <f>Table1[[#This Row],[Ordered]]-Table1[[#This Row],[Date ]]</f>
        <v>0.66666666666424135</v>
      </c>
      <c r="O1331">
        <f>Table1[[#This Row],[Company]]</f>
        <v>12</v>
      </c>
      <c r="P13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2" spans="1:16" x14ac:dyDescent="0.45">
      <c r="A1332" s="3">
        <v>45303.666666666664</v>
      </c>
      <c r="B1332" t="s">
        <v>14</v>
      </c>
      <c r="C1332">
        <v>16</v>
      </c>
      <c r="D1332">
        <v>1011</v>
      </c>
      <c r="E1332" t="s">
        <v>15</v>
      </c>
      <c r="F1332">
        <v>7</v>
      </c>
      <c r="G1332">
        <v>6650</v>
      </c>
      <c r="H1332">
        <v>46550</v>
      </c>
      <c r="I1332" s="3">
        <v>45303.916666666664</v>
      </c>
      <c r="J1332">
        <v>96</v>
      </c>
      <c r="K1332" s="3">
        <v>45306.916666666664</v>
      </c>
      <c r="L1332" s="4">
        <f>ROUNDDOWN(Table1[[#This Row],[Ordered]],0)</f>
        <v>45303</v>
      </c>
      <c r="M1332" s="4">
        <f>Table1[[#This Row],[Date ]]</f>
        <v>45303</v>
      </c>
      <c r="N1332" s="5">
        <f>Table1[[#This Row],[Ordered]]-Table1[[#This Row],[Date ]]</f>
        <v>0.66666666666424135</v>
      </c>
      <c r="O1332">
        <f>Table1[[#This Row],[Company]]</f>
        <v>16</v>
      </c>
      <c r="P13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3" spans="1:16" x14ac:dyDescent="0.45">
      <c r="A1333" s="3">
        <v>45303.666666666664</v>
      </c>
      <c r="B1333" t="s">
        <v>14</v>
      </c>
      <c r="C1333">
        <v>13</v>
      </c>
      <c r="D1333">
        <v>1011</v>
      </c>
      <c r="E1333" t="s">
        <v>15</v>
      </c>
      <c r="F1333">
        <v>6</v>
      </c>
      <c r="G1333">
        <v>6300</v>
      </c>
      <c r="H1333">
        <v>37800</v>
      </c>
      <c r="I1333" s="3">
        <v>45304.333333333336</v>
      </c>
      <c r="J1333">
        <v>96</v>
      </c>
      <c r="K1333" s="3">
        <v>45307.375</v>
      </c>
      <c r="L1333" s="4">
        <f>ROUNDDOWN(Table1[[#This Row],[Ordered]],0)</f>
        <v>45303</v>
      </c>
      <c r="M1333" s="4">
        <f>Table1[[#This Row],[Date ]]</f>
        <v>45303</v>
      </c>
      <c r="N1333" s="5">
        <f>Table1[[#This Row],[Ordered]]-Table1[[#This Row],[Date ]]</f>
        <v>0.66666666666424135</v>
      </c>
      <c r="O1333">
        <f>Table1[[#This Row],[Company]]</f>
        <v>13</v>
      </c>
      <c r="P13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4" spans="1:16" x14ac:dyDescent="0.45">
      <c r="A1334" s="3">
        <v>45303.666666666664</v>
      </c>
      <c r="B1334" t="s">
        <v>14</v>
      </c>
      <c r="C1334">
        <v>8</v>
      </c>
      <c r="D1334">
        <v>1009</v>
      </c>
      <c r="E1334" t="s">
        <v>15</v>
      </c>
      <c r="F1334">
        <v>7</v>
      </c>
      <c r="G1334">
        <v>5450</v>
      </c>
      <c r="H1334">
        <v>38150</v>
      </c>
      <c r="I1334" s="3">
        <v>45304.458333333336</v>
      </c>
      <c r="J1334">
        <v>96</v>
      </c>
      <c r="K1334" s="3">
        <v>45307.458333333336</v>
      </c>
      <c r="L1334" s="4">
        <f>ROUNDDOWN(Table1[[#This Row],[Ordered]],0)</f>
        <v>45303</v>
      </c>
      <c r="M1334" s="4">
        <f>Table1[[#This Row],[Date ]]</f>
        <v>45303</v>
      </c>
      <c r="N1334" s="5">
        <f>Table1[[#This Row],[Ordered]]-Table1[[#This Row],[Date ]]</f>
        <v>0.66666666666424135</v>
      </c>
      <c r="O1334">
        <f>Table1[[#This Row],[Company]]</f>
        <v>8</v>
      </c>
      <c r="P13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5" spans="1:16" x14ac:dyDescent="0.45">
      <c r="A1335" s="3">
        <v>45303.666666666664</v>
      </c>
      <c r="B1335" t="s">
        <v>14</v>
      </c>
      <c r="C1335">
        <v>12</v>
      </c>
      <c r="D1335">
        <v>1011</v>
      </c>
      <c r="E1335" t="s">
        <v>15</v>
      </c>
      <c r="F1335">
        <v>5</v>
      </c>
      <c r="G1335">
        <v>6700</v>
      </c>
      <c r="H1335">
        <v>33500</v>
      </c>
      <c r="I1335" s="3">
        <v>45304.416666666664</v>
      </c>
      <c r="J1335">
        <v>96</v>
      </c>
      <c r="K1335" s="3">
        <v>45307.416666666664</v>
      </c>
      <c r="L1335" s="4">
        <f>ROUNDDOWN(Table1[[#This Row],[Ordered]],0)</f>
        <v>45303</v>
      </c>
      <c r="M1335" s="4">
        <f>Table1[[#This Row],[Date ]]</f>
        <v>45303</v>
      </c>
      <c r="N1335" s="5">
        <f>Table1[[#This Row],[Ordered]]-Table1[[#This Row],[Date ]]</f>
        <v>0.66666666666424135</v>
      </c>
      <c r="O1335">
        <f>Table1[[#This Row],[Company]]</f>
        <v>12</v>
      </c>
      <c r="P13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6" spans="1:16" x14ac:dyDescent="0.45">
      <c r="A1336" s="3">
        <v>45303.666666666664</v>
      </c>
      <c r="B1336" t="s">
        <v>14</v>
      </c>
      <c r="C1336">
        <v>15</v>
      </c>
      <c r="D1336">
        <v>1009</v>
      </c>
      <c r="E1336" t="s">
        <v>15</v>
      </c>
      <c r="F1336">
        <v>6</v>
      </c>
      <c r="G1336">
        <v>6000</v>
      </c>
      <c r="H1336">
        <v>36000</v>
      </c>
      <c r="I1336" s="3">
        <v>45303.791666666664</v>
      </c>
      <c r="J1336">
        <v>68</v>
      </c>
      <c r="K1336" s="3">
        <v>45305.791666666664</v>
      </c>
      <c r="L1336" s="4">
        <f>ROUNDDOWN(Table1[[#This Row],[Ordered]],0)</f>
        <v>45303</v>
      </c>
      <c r="M1336" s="4">
        <f>Table1[[#This Row],[Date ]]</f>
        <v>45303</v>
      </c>
      <c r="N1336" s="5">
        <f>Table1[[#This Row],[Ordered]]-Table1[[#This Row],[Date ]]</f>
        <v>0.66666666666424135</v>
      </c>
      <c r="O1336">
        <f>Table1[[#This Row],[Company]]</f>
        <v>15</v>
      </c>
      <c r="P13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7" spans="1:16" x14ac:dyDescent="0.45">
      <c r="A1337" s="3">
        <v>45303.666666666664</v>
      </c>
      <c r="B1337" t="s">
        <v>14</v>
      </c>
      <c r="C1337">
        <v>16</v>
      </c>
      <c r="D1337">
        <v>1009</v>
      </c>
      <c r="E1337" t="s">
        <v>15</v>
      </c>
      <c r="F1337">
        <v>5</v>
      </c>
      <c r="G1337">
        <v>6650</v>
      </c>
      <c r="H1337">
        <v>33250</v>
      </c>
      <c r="I1337" s="3">
        <v>45303.833333333336</v>
      </c>
      <c r="J1337">
        <v>96</v>
      </c>
      <c r="K1337" s="3">
        <v>45306.833333333336</v>
      </c>
      <c r="L1337" s="4">
        <f>ROUNDDOWN(Table1[[#This Row],[Ordered]],0)</f>
        <v>45303</v>
      </c>
      <c r="M1337" s="4">
        <f>Table1[[#This Row],[Date ]]</f>
        <v>45303</v>
      </c>
      <c r="N1337" s="5">
        <f>Table1[[#This Row],[Ordered]]-Table1[[#This Row],[Date ]]</f>
        <v>0.66666666666424135</v>
      </c>
      <c r="O1337">
        <f>Table1[[#This Row],[Company]]</f>
        <v>16</v>
      </c>
      <c r="P13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8" spans="1:16" x14ac:dyDescent="0.45">
      <c r="A1338" s="3">
        <v>45303.708333333336</v>
      </c>
      <c r="B1338" t="s">
        <v>14</v>
      </c>
      <c r="C1338">
        <v>13</v>
      </c>
      <c r="D1338">
        <v>1001</v>
      </c>
      <c r="E1338" t="s">
        <v>15</v>
      </c>
      <c r="F1338">
        <v>5</v>
      </c>
      <c r="G1338">
        <v>6300</v>
      </c>
      <c r="H1338">
        <v>31500</v>
      </c>
      <c r="I1338" s="3">
        <v>45304.333333333336</v>
      </c>
      <c r="J1338">
        <v>96</v>
      </c>
      <c r="K1338" s="3">
        <v>45307.375</v>
      </c>
      <c r="L1338" s="4">
        <f>ROUNDDOWN(Table1[[#This Row],[Ordered]],0)</f>
        <v>45303</v>
      </c>
      <c r="M1338" s="4">
        <f>Table1[[#This Row],[Date ]]</f>
        <v>45303</v>
      </c>
      <c r="N1338" s="5">
        <f>Table1[[#This Row],[Ordered]]-Table1[[#This Row],[Date ]]</f>
        <v>0.70833333333575865</v>
      </c>
      <c r="O1338">
        <f>Table1[[#This Row],[Company]]</f>
        <v>13</v>
      </c>
      <c r="P13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9" spans="1:16" x14ac:dyDescent="0.45">
      <c r="A1339" s="3">
        <v>45303.708333333336</v>
      </c>
      <c r="B1339" t="s">
        <v>14</v>
      </c>
      <c r="C1339">
        <v>8</v>
      </c>
      <c r="D1339">
        <v>1001</v>
      </c>
      <c r="E1339" t="s">
        <v>15</v>
      </c>
      <c r="F1339">
        <v>7</v>
      </c>
      <c r="G1339">
        <v>5450</v>
      </c>
      <c r="H1339">
        <v>38150</v>
      </c>
      <c r="I1339" s="3">
        <v>45305.416666666664</v>
      </c>
      <c r="J1339">
        <v>96</v>
      </c>
      <c r="K1339" s="3">
        <v>45307.416666666664</v>
      </c>
      <c r="L1339" s="4">
        <f>ROUNDDOWN(Table1[[#This Row],[Ordered]],0)</f>
        <v>45303</v>
      </c>
      <c r="M1339" s="4">
        <f>Table1[[#This Row],[Date ]]</f>
        <v>45303</v>
      </c>
      <c r="N1339" s="5">
        <f>Table1[[#This Row],[Ordered]]-Table1[[#This Row],[Date ]]</f>
        <v>0.70833333333575865</v>
      </c>
      <c r="O1339">
        <f>Table1[[#This Row],[Company]]</f>
        <v>8</v>
      </c>
      <c r="P13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0" spans="1:16" x14ac:dyDescent="0.45">
      <c r="A1340" s="3">
        <v>45303.708333333336</v>
      </c>
      <c r="B1340" t="s">
        <v>14</v>
      </c>
      <c r="C1340">
        <v>7</v>
      </c>
      <c r="D1340">
        <v>1004</v>
      </c>
      <c r="E1340" t="s">
        <v>16</v>
      </c>
      <c r="F1340">
        <v>30</v>
      </c>
      <c r="G1340">
        <v>3850</v>
      </c>
      <c r="H1340">
        <v>115500</v>
      </c>
      <c r="I1340" s="3">
        <v>45304.041666666664</v>
      </c>
      <c r="J1340">
        <v>96</v>
      </c>
      <c r="K1340" s="3">
        <v>45307.041666666664</v>
      </c>
      <c r="L1340" s="4">
        <f>ROUNDDOWN(Table1[[#This Row],[Ordered]],0)</f>
        <v>45303</v>
      </c>
      <c r="M1340" s="4">
        <f>Table1[[#This Row],[Date ]]</f>
        <v>45303</v>
      </c>
      <c r="N1340" s="5">
        <f>Table1[[#This Row],[Ordered]]-Table1[[#This Row],[Date ]]</f>
        <v>0.70833333333575865</v>
      </c>
      <c r="O1340">
        <f>Table1[[#This Row],[Company]]</f>
        <v>7</v>
      </c>
      <c r="P13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1" spans="1:16" x14ac:dyDescent="0.45">
      <c r="A1341" s="3">
        <v>45303.708333333336</v>
      </c>
      <c r="B1341" t="s">
        <v>14</v>
      </c>
      <c r="C1341">
        <v>11</v>
      </c>
      <c r="D1341">
        <v>1004</v>
      </c>
      <c r="E1341" t="s">
        <v>16</v>
      </c>
      <c r="F1341">
        <v>26</v>
      </c>
      <c r="G1341">
        <v>4150</v>
      </c>
      <c r="H1341">
        <v>107900</v>
      </c>
      <c r="I1341" s="3">
        <v>45303.958333333336</v>
      </c>
      <c r="J1341">
        <v>96</v>
      </c>
      <c r="K1341" s="3">
        <v>45306.958333333336</v>
      </c>
      <c r="L1341" s="4">
        <f>ROUNDDOWN(Table1[[#This Row],[Ordered]],0)</f>
        <v>45303</v>
      </c>
      <c r="M1341" s="4">
        <f>Table1[[#This Row],[Date ]]</f>
        <v>45303</v>
      </c>
      <c r="N1341" s="5">
        <f>Table1[[#This Row],[Ordered]]-Table1[[#This Row],[Date ]]</f>
        <v>0.70833333333575865</v>
      </c>
      <c r="O1341">
        <f>Table1[[#This Row],[Company]]</f>
        <v>11</v>
      </c>
      <c r="P13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2" spans="1:16" x14ac:dyDescent="0.45">
      <c r="A1342" s="3">
        <v>45303.708333333336</v>
      </c>
      <c r="B1342" t="s">
        <v>14</v>
      </c>
      <c r="C1342">
        <v>7</v>
      </c>
      <c r="D1342">
        <v>1001</v>
      </c>
      <c r="E1342" t="s">
        <v>15</v>
      </c>
      <c r="F1342">
        <v>2</v>
      </c>
      <c r="G1342">
        <v>6700</v>
      </c>
      <c r="H1342">
        <v>13400</v>
      </c>
      <c r="I1342" s="3">
        <v>45307.75</v>
      </c>
      <c r="J1342">
        <v>96</v>
      </c>
      <c r="K1342" s="3">
        <v>45308.75</v>
      </c>
      <c r="L1342" s="4">
        <f>ROUNDDOWN(Table1[[#This Row],[Ordered]],0)</f>
        <v>45303</v>
      </c>
      <c r="M1342" s="4">
        <f>Table1[[#This Row],[Date ]]</f>
        <v>45303</v>
      </c>
      <c r="N1342" s="5">
        <f>Table1[[#This Row],[Ordered]]-Table1[[#This Row],[Date ]]</f>
        <v>0.70833333333575865</v>
      </c>
      <c r="O1342">
        <f>Table1[[#This Row],[Company]]</f>
        <v>7</v>
      </c>
      <c r="P13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3" spans="1:16" x14ac:dyDescent="0.45">
      <c r="A1343" s="3">
        <v>45303.708333333336</v>
      </c>
      <c r="B1343" t="s">
        <v>14</v>
      </c>
      <c r="C1343">
        <v>14</v>
      </c>
      <c r="D1343">
        <v>1004</v>
      </c>
      <c r="E1343" t="s">
        <v>16</v>
      </c>
      <c r="F1343">
        <v>30</v>
      </c>
      <c r="G1343">
        <v>3750</v>
      </c>
      <c r="H1343">
        <v>112500</v>
      </c>
      <c r="I1343" s="3">
        <v>45304.166666666664</v>
      </c>
      <c r="J1343">
        <v>96</v>
      </c>
      <c r="K1343" s="3">
        <v>45307.166666666664</v>
      </c>
      <c r="L1343" s="4">
        <f>ROUNDDOWN(Table1[[#This Row],[Ordered]],0)</f>
        <v>45303</v>
      </c>
      <c r="M1343" s="4">
        <f>Table1[[#This Row],[Date ]]</f>
        <v>45303</v>
      </c>
      <c r="N1343" s="5">
        <f>Table1[[#This Row],[Ordered]]-Table1[[#This Row],[Date ]]</f>
        <v>0.70833333333575865</v>
      </c>
      <c r="O1343">
        <f>Table1[[#This Row],[Company]]</f>
        <v>14</v>
      </c>
      <c r="P13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4" spans="1:16" x14ac:dyDescent="0.45">
      <c r="A1344" s="3">
        <v>45303.708333333336</v>
      </c>
      <c r="B1344" t="s">
        <v>14</v>
      </c>
      <c r="C1344">
        <v>12</v>
      </c>
      <c r="D1344">
        <v>1004</v>
      </c>
      <c r="E1344" t="s">
        <v>16</v>
      </c>
      <c r="F1344">
        <v>30</v>
      </c>
      <c r="G1344">
        <v>3700</v>
      </c>
      <c r="H1344">
        <v>111000</v>
      </c>
      <c r="I1344" s="3">
        <v>45306.375</v>
      </c>
      <c r="J1344">
        <v>120</v>
      </c>
      <c r="K1344" s="3">
        <v>45308.375</v>
      </c>
      <c r="L1344" s="4">
        <f>ROUNDDOWN(Table1[[#This Row],[Ordered]],0)</f>
        <v>45303</v>
      </c>
      <c r="M1344" s="4">
        <f>Table1[[#This Row],[Date ]]</f>
        <v>45303</v>
      </c>
      <c r="N1344" s="5">
        <f>Table1[[#This Row],[Ordered]]-Table1[[#This Row],[Date ]]</f>
        <v>0.70833333333575865</v>
      </c>
      <c r="O1344">
        <f>Table1[[#This Row],[Company]]</f>
        <v>12</v>
      </c>
      <c r="P13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5" spans="1:16" x14ac:dyDescent="0.45">
      <c r="A1345" s="3">
        <v>45303.708333333336</v>
      </c>
      <c r="B1345" t="s">
        <v>14</v>
      </c>
      <c r="C1345">
        <v>15</v>
      </c>
      <c r="D1345">
        <v>1001</v>
      </c>
      <c r="E1345" t="s">
        <v>15</v>
      </c>
      <c r="F1345">
        <v>6</v>
      </c>
      <c r="G1345">
        <v>6000</v>
      </c>
      <c r="H1345">
        <v>36000</v>
      </c>
      <c r="I1345" s="3">
        <v>45303.916666666664</v>
      </c>
      <c r="J1345">
        <v>68</v>
      </c>
      <c r="K1345" s="3">
        <v>45305.916666666664</v>
      </c>
      <c r="L1345" s="4">
        <f>ROUNDDOWN(Table1[[#This Row],[Ordered]],0)</f>
        <v>45303</v>
      </c>
      <c r="M1345" s="4">
        <f>Table1[[#This Row],[Date ]]</f>
        <v>45303</v>
      </c>
      <c r="N1345" s="5">
        <f>Table1[[#This Row],[Ordered]]-Table1[[#This Row],[Date ]]</f>
        <v>0.70833333333575865</v>
      </c>
      <c r="O1345">
        <f>Table1[[#This Row],[Company]]</f>
        <v>15</v>
      </c>
      <c r="P13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6" spans="1:16" x14ac:dyDescent="0.45">
      <c r="A1346" s="3">
        <v>45303.708333333336</v>
      </c>
      <c r="B1346" t="s">
        <v>14</v>
      </c>
      <c r="C1346">
        <v>15</v>
      </c>
      <c r="D1346">
        <v>1004</v>
      </c>
      <c r="E1346" t="s">
        <v>16</v>
      </c>
      <c r="F1346">
        <v>30</v>
      </c>
      <c r="G1346">
        <v>3550</v>
      </c>
      <c r="H1346">
        <v>106500</v>
      </c>
      <c r="I1346" s="3">
        <v>45303.875</v>
      </c>
      <c r="J1346">
        <v>92</v>
      </c>
      <c r="K1346" s="3">
        <v>45306.875</v>
      </c>
      <c r="L1346" s="4">
        <f>ROUNDDOWN(Table1[[#This Row],[Ordered]],0)</f>
        <v>45303</v>
      </c>
      <c r="M1346" s="4">
        <f>Table1[[#This Row],[Date ]]</f>
        <v>45303</v>
      </c>
      <c r="N1346" s="5">
        <f>Table1[[#This Row],[Ordered]]-Table1[[#This Row],[Date ]]</f>
        <v>0.70833333333575865</v>
      </c>
      <c r="O1346">
        <f>Table1[[#This Row],[Company]]</f>
        <v>15</v>
      </c>
      <c r="P13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7" spans="1:16" x14ac:dyDescent="0.45">
      <c r="A1347" s="3">
        <v>45303.708333333336</v>
      </c>
      <c r="B1347" t="s">
        <v>14</v>
      </c>
      <c r="C1347">
        <v>13</v>
      </c>
      <c r="D1347">
        <v>1004</v>
      </c>
      <c r="E1347" t="s">
        <v>16</v>
      </c>
      <c r="F1347">
        <v>30</v>
      </c>
      <c r="G1347">
        <v>3600</v>
      </c>
      <c r="H1347">
        <v>108000</v>
      </c>
      <c r="I1347" s="3">
        <v>45304.375</v>
      </c>
      <c r="J1347">
        <v>96</v>
      </c>
      <c r="K1347" s="3">
        <v>45307.375</v>
      </c>
      <c r="L1347" s="4">
        <f>ROUNDDOWN(Table1[[#This Row],[Ordered]],0)</f>
        <v>45303</v>
      </c>
      <c r="M1347" s="4">
        <f>Table1[[#This Row],[Date ]]</f>
        <v>45303</v>
      </c>
      <c r="N1347" s="5">
        <f>Table1[[#This Row],[Ordered]]-Table1[[#This Row],[Date ]]</f>
        <v>0.70833333333575865</v>
      </c>
      <c r="O1347">
        <f>Table1[[#This Row],[Company]]</f>
        <v>13</v>
      </c>
      <c r="P13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8" spans="1:16" x14ac:dyDescent="0.45">
      <c r="A1348" s="3">
        <v>45303.708333333336</v>
      </c>
      <c r="B1348" t="s">
        <v>14</v>
      </c>
      <c r="C1348">
        <v>8</v>
      </c>
      <c r="D1348">
        <v>1004</v>
      </c>
      <c r="E1348" t="s">
        <v>16</v>
      </c>
      <c r="F1348">
        <v>30</v>
      </c>
      <c r="G1348">
        <v>3800</v>
      </c>
      <c r="H1348">
        <v>114000</v>
      </c>
      <c r="I1348" s="3">
        <v>45304.541666666664</v>
      </c>
      <c r="J1348">
        <v>96</v>
      </c>
      <c r="K1348" s="3">
        <v>45307.541666666664</v>
      </c>
      <c r="L1348" s="4">
        <f>ROUNDDOWN(Table1[[#This Row],[Ordered]],0)</f>
        <v>45303</v>
      </c>
      <c r="M1348" s="4">
        <f>Table1[[#This Row],[Date ]]</f>
        <v>45303</v>
      </c>
      <c r="N1348" s="5">
        <f>Table1[[#This Row],[Ordered]]-Table1[[#This Row],[Date ]]</f>
        <v>0.70833333333575865</v>
      </c>
      <c r="O1348">
        <f>Table1[[#This Row],[Company]]</f>
        <v>8</v>
      </c>
      <c r="P13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9" spans="1:16" x14ac:dyDescent="0.45">
      <c r="A1349" s="3">
        <v>45303.708333333336</v>
      </c>
      <c r="B1349" t="s">
        <v>14</v>
      </c>
      <c r="C1349">
        <v>9</v>
      </c>
      <c r="D1349">
        <v>1004</v>
      </c>
      <c r="E1349" t="s">
        <v>16</v>
      </c>
      <c r="F1349">
        <v>30</v>
      </c>
      <c r="G1349">
        <v>3750</v>
      </c>
      <c r="H1349">
        <v>112500</v>
      </c>
      <c r="I1349" s="3">
        <v>45304.541666666664</v>
      </c>
      <c r="J1349">
        <v>96</v>
      </c>
      <c r="K1349" s="3">
        <v>45307.541666666664</v>
      </c>
      <c r="L1349" s="4">
        <f>ROUNDDOWN(Table1[[#This Row],[Ordered]],0)</f>
        <v>45303</v>
      </c>
      <c r="M1349" s="4">
        <f>Table1[[#This Row],[Date ]]</f>
        <v>45303</v>
      </c>
      <c r="N1349" s="5">
        <f>Table1[[#This Row],[Ordered]]-Table1[[#This Row],[Date ]]</f>
        <v>0.70833333333575865</v>
      </c>
      <c r="O1349">
        <f>Table1[[#This Row],[Company]]</f>
        <v>9</v>
      </c>
      <c r="P13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0" spans="1:16" x14ac:dyDescent="0.45">
      <c r="A1350" s="3">
        <v>45303.708333333336</v>
      </c>
      <c r="B1350" t="s">
        <v>14</v>
      </c>
      <c r="C1350">
        <v>16</v>
      </c>
      <c r="D1350">
        <v>1004</v>
      </c>
      <c r="E1350" t="s">
        <v>16</v>
      </c>
      <c r="F1350">
        <v>30</v>
      </c>
      <c r="G1350">
        <v>3750</v>
      </c>
      <c r="H1350">
        <v>112500</v>
      </c>
      <c r="I1350" s="3">
        <v>45304.083333333336</v>
      </c>
      <c r="J1350">
        <v>96</v>
      </c>
      <c r="K1350" s="3">
        <v>45307.083333333336</v>
      </c>
      <c r="L1350" s="4">
        <f>ROUNDDOWN(Table1[[#This Row],[Ordered]],0)</f>
        <v>45303</v>
      </c>
      <c r="M1350" s="4">
        <f>Table1[[#This Row],[Date ]]</f>
        <v>45303</v>
      </c>
      <c r="N1350" s="5">
        <f>Table1[[#This Row],[Ordered]]-Table1[[#This Row],[Date ]]</f>
        <v>0.70833333333575865</v>
      </c>
      <c r="O1350">
        <f>Table1[[#This Row],[Company]]</f>
        <v>16</v>
      </c>
      <c r="P13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1" spans="1:16" x14ac:dyDescent="0.45">
      <c r="A1351" s="3">
        <v>45303.708333333336</v>
      </c>
      <c r="B1351" t="s">
        <v>14</v>
      </c>
      <c r="C1351">
        <v>12</v>
      </c>
      <c r="D1351">
        <v>1001</v>
      </c>
      <c r="E1351" t="s">
        <v>15</v>
      </c>
      <c r="F1351">
        <v>4</v>
      </c>
      <c r="G1351">
        <v>6700</v>
      </c>
      <c r="H1351">
        <v>26800</v>
      </c>
      <c r="I1351" s="3">
        <v>45304.416666666664</v>
      </c>
      <c r="J1351">
        <v>96</v>
      </c>
      <c r="K1351" s="3">
        <v>45307.416666666664</v>
      </c>
      <c r="L1351" s="4">
        <f>ROUNDDOWN(Table1[[#This Row],[Ordered]],0)</f>
        <v>45303</v>
      </c>
      <c r="M1351" s="4">
        <f>Table1[[#This Row],[Date ]]</f>
        <v>45303</v>
      </c>
      <c r="N1351" s="5">
        <f>Table1[[#This Row],[Ordered]]-Table1[[#This Row],[Date ]]</f>
        <v>0.70833333333575865</v>
      </c>
      <c r="O1351">
        <f>Table1[[#This Row],[Company]]</f>
        <v>12</v>
      </c>
      <c r="P13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2" spans="1:16" x14ac:dyDescent="0.45">
      <c r="A1352" s="3">
        <v>45303.708333333336</v>
      </c>
      <c r="B1352" t="s">
        <v>14</v>
      </c>
      <c r="C1352">
        <v>14</v>
      </c>
      <c r="D1352">
        <v>1001</v>
      </c>
      <c r="E1352" t="s">
        <v>15</v>
      </c>
      <c r="F1352">
        <v>2</v>
      </c>
      <c r="G1352">
        <v>6650</v>
      </c>
      <c r="H1352">
        <v>13300</v>
      </c>
      <c r="I1352" s="3">
        <v>45304.125</v>
      </c>
      <c r="J1352">
        <v>96</v>
      </c>
      <c r="K1352" s="3">
        <v>45307.125</v>
      </c>
      <c r="L1352" s="4">
        <f>ROUNDDOWN(Table1[[#This Row],[Ordered]],0)</f>
        <v>45303</v>
      </c>
      <c r="M1352" s="4">
        <f>Table1[[#This Row],[Date ]]</f>
        <v>45303</v>
      </c>
      <c r="N1352" s="5">
        <f>Table1[[#This Row],[Ordered]]-Table1[[#This Row],[Date ]]</f>
        <v>0.70833333333575865</v>
      </c>
      <c r="O1352">
        <f>Table1[[#This Row],[Company]]</f>
        <v>14</v>
      </c>
      <c r="P13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3" spans="1:16" x14ac:dyDescent="0.45">
      <c r="A1353" s="3">
        <v>45303.708333333336</v>
      </c>
      <c r="B1353" t="s">
        <v>14</v>
      </c>
      <c r="C1353">
        <v>16</v>
      </c>
      <c r="D1353">
        <v>1001</v>
      </c>
      <c r="E1353" t="s">
        <v>15</v>
      </c>
      <c r="F1353">
        <v>5</v>
      </c>
      <c r="G1353">
        <v>6650</v>
      </c>
      <c r="H1353">
        <v>33250</v>
      </c>
      <c r="I1353" s="3">
        <v>45304.083333333336</v>
      </c>
      <c r="J1353">
        <v>96</v>
      </c>
      <c r="K1353" s="3">
        <v>45307.083333333336</v>
      </c>
      <c r="L1353" s="4">
        <f>ROUNDDOWN(Table1[[#This Row],[Ordered]],0)</f>
        <v>45303</v>
      </c>
      <c r="M1353" s="4">
        <f>Table1[[#This Row],[Date ]]</f>
        <v>45303</v>
      </c>
      <c r="N1353" s="5">
        <f>Table1[[#This Row],[Ordered]]-Table1[[#This Row],[Date ]]</f>
        <v>0.70833333333575865</v>
      </c>
      <c r="O1353">
        <f>Table1[[#This Row],[Company]]</f>
        <v>16</v>
      </c>
      <c r="P13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4" spans="1:16" x14ac:dyDescent="0.45">
      <c r="A1354" s="3">
        <v>45303.75</v>
      </c>
      <c r="B1354" t="s">
        <v>14</v>
      </c>
      <c r="C1354">
        <v>14</v>
      </c>
      <c r="D1354">
        <v>1010</v>
      </c>
      <c r="E1354" t="s">
        <v>16</v>
      </c>
      <c r="F1354">
        <v>26</v>
      </c>
      <c r="G1354">
        <v>3750</v>
      </c>
      <c r="H1354">
        <v>97500</v>
      </c>
      <c r="I1354" s="3">
        <v>45304.166666666664</v>
      </c>
      <c r="J1354">
        <v>96</v>
      </c>
      <c r="K1354" s="3">
        <v>45307.166666666664</v>
      </c>
      <c r="L1354" s="4">
        <f>ROUNDDOWN(Table1[[#This Row],[Ordered]],0)</f>
        <v>45303</v>
      </c>
      <c r="M1354" s="4">
        <f>Table1[[#This Row],[Date ]]</f>
        <v>45303</v>
      </c>
      <c r="N1354" s="5">
        <f>Table1[[#This Row],[Ordered]]-Table1[[#This Row],[Date ]]</f>
        <v>0.75</v>
      </c>
      <c r="O1354">
        <f>Table1[[#This Row],[Company]]</f>
        <v>14</v>
      </c>
      <c r="P13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5" spans="1:16" hidden="1" x14ac:dyDescent="0.45">
      <c r="A1355" s="3">
        <v>45303.75</v>
      </c>
      <c r="B1355" t="s">
        <v>12</v>
      </c>
      <c r="C1355">
        <v>6</v>
      </c>
      <c r="D1355">
        <v>15</v>
      </c>
      <c r="E1355" t="s">
        <v>17</v>
      </c>
      <c r="F1355">
        <v>93</v>
      </c>
      <c r="G1355">
        <v>1100</v>
      </c>
      <c r="H1355">
        <v>102300</v>
      </c>
      <c r="I1355" s="3">
        <v>45303.75</v>
      </c>
      <c r="J1355">
        <v>72</v>
      </c>
      <c r="K1355" s="3">
        <v>45306.75</v>
      </c>
      <c r="L1355" s="4">
        <f>ROUNDDOWN(Table1[[#This Row],[Ordered]],0)</f>
        <v>45303</v>
      </c>
      <c r="M1355" s="4">
        <f>Table1[[#This Row],[Date ]]</f>
        <v>45303</v>
      </c>
      <c r="N1355" s="5">
        <f>Table1[[#This Row],[Ordered]]-Table1[[#This Row],[Date ]]</f>
        <v>0.75</v>
      </c>
      <c r="O1355">
        <f>Table1[[#This Row],[Company]]</f>
        <v>6</v>
      </c>
      <c r="P13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6" spans="1:16" x14ac:dyDescent="0.45">
      <c r="A1356" s="3">
        <v>45303.75</v>
      </c>
      <c r="B1356" t="s">
        <v>14</v>
      </c>
      <c r="C1356">
        <v>12</v>
      </c>
      <c r="D1356">
        <v>1010</v>
      </c>
      <c r="E1356" t="s">
        <v>16</v>
      </c>
      <c r="F1356">
        <v>15</v>
      </c>
      <c r="G1356">
        <v>4000</v>
      </c>
      <c r="H1356">
        <v>60000</v>
      </c>
      <c r="I1356" s="3">
        <v>45303.75</v>
      </c>
      <c r="J1356">
        <v>60</v>
      </c>
      <c r="K1356" s="3">
        <v>45305.75</v>
      </c>
      <c r="L1356" s="4">
        <f>ROUNDDOWN(Table1[[#This Row],[Ordered]],0)</f>
        <v>45303</v>
      </c>
      <c r="M1356" s="4">
        <f>Table1[[#This Row],[Date ]]</f>
        <v>45303</v>
      </c>
      <c r="N1356" s="5">
        <f>Table1[[#This Row],[Ordered]]-Table1[[#This Row],[Date ]]</f>
        <v>0.75</v>
      </c>
      <c r="O1356">
        <f>Table1[[#This Row],[Company]]</f>
        <v>12</v>
      </c>
      <c r="P13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7" spans="1:16" x14ac:dyDescent="0.45">
      <c r="A1357" s="3">
        <v>45303.75</v>
      </c>
      <c r="B1357" t="s">
        <v>14</v>
      </c>
      <c r="C1357">
        <v>7</v>
      </c>
      <c r="D1357">
        <v>1010</v>
      </c>
      <c r="E1357" t="s">
        <v>16</v>
      </c>
      <c r="F1357">
        <v>20</v>
      </c>
      <c r="G1357">
        <v>3850</v>
      </c>
      <c r="H1357">
        <v>77000</v>
      </c>
      <c r="I1357" s="3">
        <v>45304.041666666664</v>
      </c>
      <c r="J1357">
        <v>96</v>
      </c>
      <c r="K1357" s="3">
        <v>45307.041666666664</v>
      </c>
      <c r="L1357" s="4">
        <f>ROUNDDOWN(Table1[[#This Row],[Ordered]],0)</f>
        <v>45303</v>
      </c>
      <c r="M1357" s="4">
        <f>Table1[[#This Row],[Date ]]</f>
        <v>45303</v>
      </c>
      <c r="N1357" s="5">
        <f>Table1[[#This Row],[Ordered]]-Table1[[#This Row],[Date ]]</f>
        <v>0.75</v>
      </c>
      <c r="O1357">
        <f>Table1[[#This Row],[Company]]</f>
        <v>7</v>
      </c>
      <c r="P13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8" spans="1:16" hidden="1" x14ac:dyDescent="0.45">
      <c r="A1358" s="3">
        <v>45303.75</v>
      </c>
      <c r="B1358" t="s">
        <v>12</v>
      </c>
      <c r="C1358">
        <v>6</v>
      </c>
      <c r="D1358">
        <v>15</v>
      </c>
      <c r="E1358" t="s">
        <v>17</v>
      </c>
      <c r="F1358">
        <v>93</v>
      </c>
      <c r="G1358">
        <v>1100</v>
      </c>
      <c r="H1358">
        <v>102300</v>
      </c>
      <c r="I1358" s="3">
        <v>45303.75</v>
      </c>
      <c r="J1358">
        <v>72</v>
      </c>
      <c r="K1358" s="3">
        <v>45306.75</v>
      </c>
      <c r="L1358" s="4">
        <f>ROUNDDOWN(Table1[[#This Row],[Ordered]],0)</f>
        <v>45303</v>
      </c>
      <c r="M1358" s="4">
        <f>Table1[[#This Row],[Date ]]</f>
        <v>45303</v>
      </c>
      <c r="N1358" s="5">
        <f>Table1[[#This Row],[Ordered]]-Table1[[#This Row],[Date ]]</f>
        <v>0.75</v>
      </c>
      <c r="O1358">
        <f>Table1[[#This Row],[Company]]</f>
        <v>6</v>
      </c>
      <c r="P13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9" spans="1:16" x14ac:dyDescent="0.45">
      <c r="A1359" s="3">
        <v>45303.75</v>
      </c>
      <c r="B1359" t="s">
        <v>14</v>
      </c>
      <c r="C1359">
        <v>9</v>
      </c>
      <c r="D1359">
        <v>1010</v>
      </c>
      <c r="E1359" t="s">
        <v>16</v>
      </c>
      <c r="F1359">
        <v>15</v>
      </c>
      <c r="G1359">
        <v>3900</v>
      </c>
      <c r="H1359">
        <v>58500</v>
      </c>
      <c r="I1359" s="3">
        <v>45303.75</v>
      </c>
      <c r="J1359">
        <v>72</v>
      </c>
      <c r="K1359" s="3">
        <v>45306.75</v>
      </c>
      <c r="L1359" s="4">
        <f>ROUNDDOWN(Table1[[#This Row],[Ordered]],0)</f>
        <v>45303</v>
      </c>
      <c r="M1359" s="4">
        <f>Table1[[#This Row],[Date ]]</f>
        <v>45303</v>
      </c>
      <c r="N1359" s="5">
        <f>Table1[[#This Row],[Ordered]]-Table1[[#This Row],[Date ]]</f>
        <v>0.75</v>
      </c>
      <c r="O1359">
        <f>Table1[[#This Row],[Company]]</f>
        <v>9</v>
      </c>
      <c r="P13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0" spans="1:16" x14ac:dyDescent="0.45">
      <c r="A1360" s="3">
        <v>45303.75</v>
      </c>
      <c r="B1360" t="s">
        <v>14</v>
      </c>
      <c r="C1360">
        <v>8</v>
      </c>
      <c r="D1360">
        <v>1010</v>
      </c>
      <c r="E1360" t="s">
        <v>16</v>
      </c>
      <c r="F1360">
        <v>23</v>
      </c>
      <c r="G1360">
        <v>3800</v>
      </c>
      <c r="H1360">
        <v>87400</v>
      </c>
      <c r="I1360" s="3">
        <v>45304.625</v>
      </c>
      <c r="J1360">
        <v>96</v>
      </c>
      <c r="K1360" s="3">
        <v>45307.625</v>
      </c>
      <c r="L1360" s="4">
        <f>ROUNDDOWN(Table1[[#This Row],[Ordered]],0)</f>
        <v>45303</v>
      </c>
      <c r="M1360" s="4">
        <f>Table1[[#This Row],[Date ]]</f>
        <v>45303</v>
      </c>
      <c r="N1360" s="5">
        <f>Table1[[#This Row],[Ordered]]-Table1[[#This Row],[Date ]]</f>
        <v>0.75</v>
      </c>
      <c r="O1360">
        <f>Table1[[#This Row],[Company]]</f>
        <v>8</v>
      </c>
      <c r="P13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1" spans="1:16" hidden="1" x14ac:dyDescent="0.45">
      <c r="A1361" s="3">
        <v>45303.75</v>
      </c>
      <c r="B1361" t="s">
        <v>12</v>
      </c>
      <c r="C1361">
        <v>6</v>
      </c>
      <c r="D1361">
        <v>15</v>
      </c>
      <c r="E1361" t="s">
        <v>17</v>
      </c>
      <c r="F1361">
        <v>93</v>
      </c>
      <c r="G1361">
        <v>1100</v>
      </c>
      <c r="H1361">
        <v>102300</v>
      </c>
      <c r="I1361" s="3">
        <v>45303.75</v>
      </c>
      <c r="J1361">
        <v>72</v>
      </c>
      <c r="K1361" s="3">
        <v>45306.75</v>
      </c>
      <c r="L1361" s="4">
        <f>ROUNDDOWN(Table1[[#This Row],[Ordered]],0)</f>
        <v>45303</v>
      </c>
      <c r="M1361" s="4">
        <f>Table1[[#This Row],[Date ]]</f>
        <v>45303</v>
      </c>
      <c r="N1361" s="5">
        <f>Table1[[#This Row],[Ordered]]-Table1[[#This Row],[Date ]]</f>
        <v>0.75</v>
      </c>
      <c r="O1361">
        <f>Table1[[#This Row],[Company]]</f>
        <v>6</v>
      </c>
      <c r="P13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2" spans="1:16" x14ac:dyDescent="0.45">
      <c r="A1362" s="3">
        <v>45303.75</v>
      </c>
      <c r="B1362" t="s">
        <v>14</v>
      </c>
      <c r="C1362">
        <v>15</v>
      </c>
      <c r="D1362">
        <v>1010</v>
      </c>
      <c r="E1362" t="s">
        <v>16</v>
      </c>
      <c r="F1362">
        <v>30</v>
      </c>
      <c r="G1362">
        <v>3550</v>
      </c>
      <c r="H1362">
        <v>106500</v>
      </c>
      <c r="I1362" s="3">
        <v>45303.916666666664</v>
      </c>
      <c r="J1362">
        <v>92</v>
      </c>
      <c r="K1362" s="3">
        <v>45306.916666666664</v>
      </c>
      <c r="L1362" s="4">
        <f>ROUNDDOWN(Table1[[#This Row],[Ordered]],0)</f>
        <v>45303</v>
      </c>
      <c r="M1362" s="4">
        <f>Table1[[#This Row],[Date ]]</f>
        <v>45303</v>
      </c>
      <c r="N1362" s="5">
        <f>Table1[[#This Row],[Ordered]]-Table1[[#This Row],[Date ]]</f>
        <v>0.75</v>
      </c>
      <c r="O1362">
        <f>Table1[[#This Row],[Company]]</f>
        <v>15</v>
      </c>
      <c r="P13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3" spans="1:16" hidden="1" x14ac:dyDescent="0.45">
      <c r="A1363" s="3">
        <v>45303.75</v>
      </c>
      <c r="B1363" t="s">
        <v>12</v>
      </c>
      <c r="C1363">
        <v>6</v>
      </c>
      <c r="D1363">
        <v>15</v>
      </c>
      <c r="E1363" t="s">
        <v>17</v>
      </c>
      <c r="F1363">
        <v>93</v>
      </c>
      <c r="G1363">
        <v>1100</v>
      </c>
      <c r="H1363">
        <v>102300</v>
      </c>
      <c r="I1363" s="3">
        <v>45303.75</v>
      </c>
      <c r="J1363">
        <v>72</v>
      </c>
      <c r="K1363" s="3">
        <v>45306.75</v>
      </c>
      <c r="L1363" s="4">
        <f>ROUNDDOWN(Table1[[#This Row],[Ordered]],0)</f>
        <v>45303</v>
      </c>
      <c r="M1363" s="4">
        <f>Table1[[#This Row],[Date ]]</f>
        <v>45303</v>
      </c>
      <c r="N1363" s="5">
        <f>Table1[[#This Row],[Ordered]]-Table1[[#This Row],[Date ]]</f>
        <v>0.75</v>
      </c>
      <c r="O1363">
        <f>Table1[[#This Row],[Company]]</f>
        <v>6</v>
      </c>
      <c r="P13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4" spans="1:16" x14ac:dyDescent="0.45">
      <c r="A1364" s="3">
        <v>45303.75</v>
      </c>
      <c r="B1364" t="s">
        <v>14</v>
      </c>
      <c r="C1364">
        <v>16</v>
      </c>
      <c r="D1364">
        <v>1010</v>
      </c>
      <c r="E1364" t="s">
        <v>16</v>
      </c>
      <c r="F1364">
        <v>30</v>
      </c>
      <c r="G1364">
        <v>3750</v>
      </c>
      <c r="H1364">
        <v>112500</v>
      </c>
      <c r="I1364" s="3">
        <v>45304.083333333336</v>
      </c>
      <c r="J1364">
        <v>96</v>
      </c>
      <c r="K1364" s="3">
        <v>45307.083333333336</v>
      </c>
      <c r="L1364" s="4">
        <f>ROUNDDOWN(Table1[[#This Row],[Ordered]],0)</f>
        <v>45303</v>
      </c>
      <c r="M1364" s="4">
        <f>Table1[[#This Row],[Date ]]</f>
        <v>45303</v>
      </c>
      <c r="N1364" s="5">
        <f>Table1[[#This Row],[Ordered]]-Table1[[#This Row],[Date ]]</f>
        <v>0.75</v>
      </c>
      <c r="O1364">
        <f>Table1[[#This Row],[Company]]</f>
        <v>16</v>
      </c>
      <c r="P13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5" spans="1:16" x14ac:dyDescent="0.45">
      <c r="A1365" s="3">
        <v>45303.75</v>
      </c>
      <c r="B1365" t="s">
        <v>14</v>
      </c>
      <c r="C1365">
        <v>13</v>
      </c>
      <c r="D1365">
        <v>1010</v>
      </c>
      <c r="E1365" t="s">
        <v>16</v>
      </c>
      <c r="F1365">
        <v>30</v>
      </c>
      <c r="G1365">
        <v>3600</v>
      </c>
      <c r="H1365">
        <v>108000</v>
      </c>
      <c r="I1365" s="3">
        <v>45304.5</v>
      </c>
      <c r="J1365">
        <v>96</v>
      </c>
      <c r="K1365" s="3">
        <v>45307.5</v>
      </c>
      <c r="L1365" s="4">
        <f>ROUNDDOWN(Table1[[#This Row],[Ordered]],0)</f>
        <v>45303</v>
      </c>
      <c r="M1365" s="4">
        <f>Table1[[#This Row],[Date ]]</f>
        <v>45303</v>
      </c>
      <c r="N1365" s="5">
        <f>Table1[[#This Row],[Ordered]]-Table1[[#This Row],[Date ]]</f>
        <v>0.75</v>
      </c>
      <c r="O1365">
        <f>Table1[[#This Row],[Company]]</f>
        <v>13</v>
      </c>
      <c r="P13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6" spans="1:16" hidden="1" x14ac:dyDescent="0.45">
      <c r="A1366" s="3">
        <v>45303.791666666664</v>
      </c>
      <c r="B1366" t="s">
        <v>12</v>
      </c>
      <c r="C1366">
        <v>4</v>
      </c>
      <c r="D1366">
        <v>8</v>
      </c>
      <c r="E1366" t="s">
        <v>17</v>
      </c>
      <c r="F1366">
        <v>349</v>
      </c>
      <c r="G1366">
        <v>1330</v>
      </c>
      <c r="H1366">
        <v>464170</v>
      </c>
      <c r="I1366" s="3">
        <v>45303.833333333336</v>
      </c>
      <c r="J1366">
        <v>24</v>
      </c>
      <c r="K1366" s="3">
        <v>45304.833333333336</v>
      </c>
      <c r="L1366" s="4">
        <f>ROUNDDOWN(Table1[[#This Row],[Ordered]],0)</f>
        <v>45303</v>
      </c>
      <c r="M1366" s="4">
        <f>Table1[[#This Row],[Date ]]</f>
        <v>45303</v>
      </c>
      <c r="N1366" s="5">
        <f>Table1[[#This Row],[Ordered]]-Table1[[#This Row],[Date ]]</f>
        <v>0.79166666666424135</v>
      </c>
      <c r="O1366">
        <f>Table1[[#This Row],[Company]]</f>
        <v>4</v>
      </c>
      <c r="P13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7" spans="1:16" hidden="1" x14ac:dyDescent="0.45">
      <c r="A1367" s="3">
        <v>45303.791666666664</v>
      </c>
      <c r="B1367" t="s">
        <v>12</v>
      </c>
      <c r="C1367">
        <v>2</v>
      </c>
      <c r="D1367">
        <v>7</v>
      </c>
      <c r="E1367" t="s">
        <v>13</v>
      </c>
      <c r="F1367">
        <v>1500</v>
      </c>
      <c r="G1367">
        <v>140</v>
      </c>
      <c r="H1367">
        <v>210000</v>
      </c>
      <c r="I1367" s="3">
        <v>45303.958333333336</v>
      </c>
      <c r="J1367">
        <v>24</v>
      </c>
      <c r="K1367" s="3">
        <v>45304.958333333336</v>
      </c>
      <c r="L1367" s="4">
        <f>ROUNDDOWN(Table1[[#This Row],[Ordered]],0)</f>
        <v>45303</v>
      </c>
      <c r="M1367" s="4">
        <f>Table1[[#This Row],[Date ]]</f>
        <v>45303</v>
      </c>
      <c r="N1367" s="5">
        <f>Table1[[#This Row],[Ordered]]-Table1[[#This Row],[Date ]]</f>
        <v>0.79166666666424135</v>
      </c>
      <c r="O1367">
        <f>Table1[[#This Row],[Company]]</f>
        <v>2</v>
      </c>
      <c r="P13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8" spans="1:16" hidden="1" x14ac:dyDescent="0.45">
      <c r="A1368" s="3">
        <v>45303.916666666664</v>
      </c>
      <c r="B1368" t="s">
        <v>12</v>
      </c>
      <c r="C1368">
        <v>9</v>
      </c>
      <c r="D1368">
        <v>4</v>
      </c>
      <c r="E1368" t="s">
        <v>20</v>
      </c>
      <c r="F1368">
        <v>34</v>
      </c>
      <c r="G1368">
        <v>25</v>
      </c>
      <c r="H1368">
        <v>850</v>
      </c>
      <c r="I1368" s="3">
        <v>45304</v>
      </c>
      <c r="J1368">
        <v>72</v>
      </c>
      <c r="K1368" s="3">
        <v>45307</v>
      </c>
      <c r="L1368" s="4">
        <f>ROUNDDOWN(Table1[[#This Row],[Ordered]],0)</f>
        <v>45303</v>
      </c>
      <c r="M1368" s="4">
        <f>Table1[[#This Row],[Date ]]</f>
        <v>45303</v>
      </c>
      <c r="N1368" s="5">
        <f>Table1[[#This Row],[Ordered]]-Table1[[#This Row],[Date ]]</f>
        <v>0.91666666666424135</v>
      </c>
      <c r="O1368">
        <f>Table1[[#This Row],[Company]]</f>
        <v>9</v>
      </c>
      <c r="P13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9" spans="1:16" hidden="1" x14ac:dyDescent="0.45">
      <c r="A1369" s="3">
        <v>45303.958333333336</v>
      </c>
      <c r="B1369" t="s">
        <v>12</v>
      </c>
      <c r="C1369">
        <v>4</v>
      </c>
      <c r="D1369">
        <v>8</v>
      </c>
      <c r="E1369" t="s">
        <v>17</v>
      </c>
      <c r="F1369">
        <v>50</v>
      </c>
      <c r="G1369">
        <v>1330</v>
      </c>
      <c r="H1369">
        <v>66500</v>
      </c>
      <c r="I1369" s="3">
        <v>45304.083333333336</v>
      </c>
      <c r="J1369">
        <v>24</v>
      </c>
      <c r="K1369" s="3">
        <v>45305.083333333336</v>
      </c>
      <c r="L1369" s="4">
        <f>ROUNDDOWN(Table1[[#This Row],[Ordered]],0)</f>
        <v>45303</v>
      </c>
      <c r="M1369" s="4">
        <f>Table1[[#This Row],[Date ]]</f>
        <v>45303</v>
      </c>
      <c r="N1369" s="5">
        <f>Table1[[#This Row],[Ordered]]-Table1[[#This Row],[Date ]]</f>
        <v>0.95833333333575865</v>
      </c>
      <c r="O1369">
        <f>Table1[[#This Row],[Company]]</f>
        <v>4</v>
      </c>
      <c r="P13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0" spans="1:16" hidden="1" x14ac:dyDescent="0.45">
      <c r="A1370" s="3">
        <v>45304</v>
      </c>
      <c r="B1370" t="s">
        <v>12</v>
      </c>
      <c r="C1370">
        <v>5</v>
      </c>
      <c r="D1370">
        <v>16</v>
      </c>
      <c r="E1370" t="s">
        <v>17</v>
      </c>
      <c r="F1370">
        <v>400</v>
      </c>
      <c r="G1370">
        <v>1020</v>
      </c>
      <c r="H1370">
        <v>408000</v>
      </c>
      <c r="I1370" s="3">
        <v>45304</v>
      </c>
      <c r="J1370">
        <v>24</v>
      </c>
      <c r="K1370" s="3">
        <v>45305</v>
      </c>
      <c r="L1370" s="4">
        <f>ROUNDDOWN(Table1[[#This Row],[Ordered]],0)</f>
        <v>45304</v>
      </c>
      <c r="M1370" s="4">
        <f>Table1[[#This Row],[Date ]]</f>
        <v>45304</v>
      </c>
      <c r="N1370" s="5">
        <f>Table1[[#This Row],[Ordered]]-Table1[[#This Row],[Date ]]</f>
        <v>0</v>
      </c>
      <c r="O1370">
        <f>Table1[[#This Row],[Company]]</f>
        <v>5</v>
      </c>
      <c r="P13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1" spans="1:16" x14ac:dyDescent="0.45">
      <c r="A1371" s="3">
        <v>45304.041666666664</v>
      </c>
      <c r="B1371" t="s">
        <v>19</v>
      </c>
      <c r="C1371">
        <v>7</v>
      </c>
      <c r="D1371">
        <v>3004</v>
      </c>
      <c r="E1371" t="s">
        <v>15</v>
      </c>
      <c r="F1371">
        <v>6</v>
      </c>
      <c r="G1371">
        <v>7500</v>
      </c>
      <c r="H1371">
        <v>45000</v>
      </c>
      <c r="I1371" s="3">
        <v>45310.291666666664</v>
      </c>
      <c r="J1371">
        <v>288</v>
      </c>
      <c r="K1371" s="3">
        <v>45315.291666666664</v>
      </c>
      <c r="L1371" s="4">
        <f>ROUNDDOWN(Table1[[#This Row],[Ordered]],0)</f>
        <v>45304</v>
      </c>
      <c r="M1371" s="4">
        <f>Table1[[#This Row],[Date ]]</f>
        <v>45304</v>
      </c>
      <c r="N1371" s="5">
        <f>Table1[[#This Row],[Ordered]]-Table1[[#This Row],[Date ]]</f>
        <v>4.1666666664241347E-2</v>
      </c>
      <c r="O1371">
        <f>Table1[[#This Row],[Company]]</f>
        <v>7</v>
      </c>
      <c r="P13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2" spans="1:16" hidden="1" x14ac:dyDescent="0.45">
      <c r="A1372" s="3">
        <v>45304.041666666664</v>
      </c>
      <c r="B1372" t="s">
        <v>12</v>
      </c>
      <c r="C1372">
        <v>5</v>
      </c>
      <c r="D1372">
        <v>16</v>
      </c>
      <c r="E1372" t="s">
        <v>13</v>
      </c>
      <c r="F1372">
        <v>2000</v>
      </c>
      <c r="G1372">
        <v>120</v>
      </c>
      <c r="H1372">
        <v>240000</v>
      </c>
      <c r="I1372" s="3">
        <v>45304.166666666664</v>
      </c>
      <c r="J1372">
        <v>24</v>
      </c>
      <c r="K1372" s="3">
        <v>45305.166666666664</v>
      </c>
      <c r="L1372" s="4">
        <f>ROUNDDOWN(Table1[[#This Row],[Ordered]],0)</f>
        <v>45304</v>
      </c>
      <c r="M1372" s="4">
        <f>Table1[[#This Row],[Date ]]</f>
        <v>45304</v>
      </c>
      <c r="N1372" s="5">
        <f>Table1[[#This Row],[Ordered]]-Table1[[#This Row],[Date ]]</f>
        <v>4.1666666664241347E-2</v>
      </c>
      <c r="O1372">
        <f>Table1[[#This Row],[Company]]</f>
        <v>5</v>
      </c>
      <c r="P13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3" spans="1:16" hidden="1" x14ac:dyDescent="0.45">
      <c r="A1373" s="3">
        <v>45304.041666666664</v>
      </c>
      <c r="B1373" t="s">
        <v>12</v>
      </c>
      <c r="C1373">
        <v>4</v>
      </c>
      <c r="D1373">
        <v>9</v>
      </c>
      <c r="E1373" t="s">
        <v>13</v>
      </c>
      <c r="F1373">
        <v>3000</v>
      </c>
      <c r="G1373">
        <v>110</v>
      </c>
      <c r="H1373">
        <v>330000</v>
      </c>
      <c r="I1373" s="3">
        <v>45304.583333333336</v>
      </c>
      <c r="J1373">
        <v>72</v>
      </c>
      <c r="K1373" s="3">
        <v>45307.583333333336</v>
      </c>
      <c r="L1373" s="4">
        <f>ROUNDDOWN(Table1[[#This Row],[Ordered]],0)</f>
        <v>45304</v>
      </c>
      <c r="M1373" s="4">
        <f>Table1[[#This Row],[Date ]]</f>
        <v>45304</v>
      </c>
      <c r="N1373" s="5">
        <f>Table1[[#This Row],[Ordered]]-Table1[[#This Row],[Date ]]</f>
        <v>4.1666666664241347E-2</v>
      </c>
      <c r="O1373">
        <f>Table1[[#This Row],[Company]]</f>
        <v>4</v>
      </c>
      <c r="P13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4" spans="1:16" x14ac:dyDescent="0.45">
      <c r="A1374" s="3">
        <v>45304.041666666664</v>
      </c>
      <c r="B1374" t="s">
        <v>19</v>
      </c>
      <c r="C1374">
        <v>7</v>
      </c>
      <c r="D1374">
        <v>3001</v>
      </c>
      <c r="E1374" t="s">
        <v>15</v>
      </c>
      <c r="F1374">
        <v>2</v>
      </c>
      <c r="G1374">
        <v>7500</v>
      </c>
      <c r="H1374">
        <v>15000</v>
      </c>
      <c r="I1374" s="3">
        <v>45310.25</v>
      </c>
      <c r="J1374">
        <v>288</v>
      </c>
      <c r="K1374" s="3">
        <v>45315.25</v>
      </c>
      <c r="L1374" s="4">
        <f>ROUNDDOWN(Table1[[#This Row],[Ordered]],0)</f>
        <v>45304</v>
      </c>
      <c r="M1374" s="4">
        <f>Table1[[#This Row],[Date ]]</f>
        <v>45304</v>
      </c>
      <c r="N1374" s="5">
        <f>Table1[[#This Row],[Ordered]]-Table1[[#This Row],[Date ]]</f>
        <v>4.1666666664241347E-2</v>
      </c>
      <c r="O1374">
        <f>Table1[[#This Row],[Company]]</f>
        <v>7</v>
      </c>
      <c r="P13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5" spans="1:16" x14ac:dyDescent="0.45">
      <c r="A1375" s="3">
        <v>45304.041666666664</v>
      </c>
      <c r="B1375" t="s">
        <v>19</v>
      </c>
      <c r="C1375">
        <v>7</v>
      </c>
      <c r="D1375">
        <v>3003</v>
      </c>
      <c r="E1375" t="s">
        <v>15</v>
      </c>
      <c r="F1375">
        <v>4</v>
      </c>
      <c r="G1375">
        <v>7500</v>
      </c>
      <c r="H1375">
        <v>30000</v>
      </c>
      <c r="I1375" s="3">
        <v>45310.25</v>
      </c>
      <c r="J1375">
        <v>288</v>
      </c>
      <c r="K1375" s="3">
        <v>45315.25</v>
      </c>
      <c r="L1375" s="4">
        <f>ROUNDDOWN(Table1[[#This Row],[Ordered]],0)</f>
        <v>45304</v>
      </c>
      <c r="M1375" s="4">
        <f>Table1[[#This Row],[Date ]]</f>
        <v>45304</v>
      </c>
      <c r="N1375" s="5">
        <f>Table1[[#This Row],[Ordered]]-Table1[[#This Row],[Date ]]</f>
        <v>4.1666666664241347E-2</v>
      </c>
      <c r="O1375">
        <f>Table1[[#This Row],[Company]]</f>
        <v>7</v>
      </c>
      <c r="P13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6" spans="1:16" x14ac:dyDescent="0.45">
      <c r="A1376" s="3">
        <v>45304.083333333336</v>
      </c>
      <c r="B1376" t="s">
        <v>14</v>
      </c>
      <c r="C1376">
        <v>14</v>
      </c>
      <c r="D1376">
        <v>1011</v>
      </c>
      <c r="E1376" t="s">
        <v>16</v>
      </c>
      <c r="F1376">
        <v>26</v>
      </c>
      <c r="G1376">
        <v>3750</v>
      </c>
      <c r="H1376">
        <v>97500</v>
      </c>
      <c r="I1376" s="3">
        <v>45304.416666666664</v>
      </c>
      <c r="J1376">
        <v>96</v>
      </c>
      <c r="K1376" s="3">
        <v>45307.416666666664</v>
      </c>
      <c r="L1376" s="4">
        <f>ROUNDDOWN(Table1[[#This Row],[Ordered]],0)</f>
        <v>45304</v>
      </c>
      <c r="M1376" s="4">
        <f>Table1[[#This Row],[Date ]]</f>
        <v>45304</v>
      </c>
      <c r="N1376" s="5">
        <f>Table1[[#This Row],[Ordered]]-Table1[[#This Row],[Date ]]</f>
        <v>8.3333333335758653E-2</v>
      </c>
      <c r="O1376">
        <f>Table1[[#This Row],[Company]]</f>
        <v>14</v>
      </c>
      <c r="P13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7" spans="1:16" x14ac:dyDescent="0.45">
      <c r="A1377" s="3">
        <v>45304.083333333336</v>
      </c>
      <c r="B1377" t="s">
        <v>14</v>
      </c>
      <c r="C1377">
        <v>13</v>
      </c>
      <c r="D1377">
        <v>1009</v>
      </c>
      <c r="E1377" t="s">
        <v>16</v>
      </c>
      <c r="F1377">
        <v>30</v>
      </c>
      <c r="G1377">
        <v>3600</v>
      </c>
      <c r="H1377">
        <v>108000</v>
      </c>
      <c r="I1377" s="3">
        <v>45304.75</v>
      </c>
      <c r="J1377">
        <v>96</v>
      </c>
      <c r="K1377" s="3">
        <v>45307.75</v>
      </c>
      <c r="L1377" s="4">
        <f>ROUNDDOWN(Table1[[#This Row],[Ordered]],0)</f>
        <v>45304</v>
      </c>
      <c r="M1377" s="4">
        <f>Table1[[#This Row],[Date ]]</f>
        <v>45304</v>
      </c>
      <c r="N1377" s="5">
        <f>Table1[[#This Row],[Ordered]]-Table1[[#This Row],[Date ]]</f>
        <v>8.3333333335758653E-2</v>
      </c>
      <c r="O1377">
        <f>Table1[[#This Row],[Company]]</f>
        <v>13</v>
      </c>
      <c r="P13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8" spans="1:16" x14ac:dyDescent="0.45">
      <c r="A1378" s="3">
        <v>45304.083333333336</v>
      </c>
      <c r="B1378" t="s">
        <v>14</v>
      </c>
      <c r="C1378">
        <v>8</v>
      </c>
      <c r="D1378">
        <v>1009</v>
      </c>
      <c r="E1378" t="s">
        <v>16</v>
      </c>
      <c r="F1378">
        <v>20</v>
      </c>
      <c r="G1378">
        <v>3800</v>
      </c>
      <c r="H1378">
        <v>76000</v>
      </c>
      <c r="I1378" s="3">
        <v>45304.791666666664</v>
      </c>
      <c r="J1378">
        <v>96</v>
      </c>
      <c r="K1378" s="3">
        <v>45307.791666666664</v>
      </c>
      <c r="L1378" s="4">
        <f>ROUNDDOWN(Table1[[#This Row],[Ordered]],0)</f>
        <v>45304</v>
      </c>
      <c r="M1378" s="4">
        <f>Table1[[#This Row],[Date ]]</f>
        <v>45304</v>
      </c>
      <c r="N1378" s="5">
        <f>Table1[[#This Row],[Ordered]]-Table1[[#This Row],[Date ]]</f>
        <v>8.3333333335758653E-2</v>
      </c>
      <c r="O1378">
        <f>Table1[[#This Row],[Company]]</f>
        <v>8</v>
      </c>
      <c r="P13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9" spans="1:16" x14ac:dyDescent="0.45">
      <c r="A1379" s="3">
        <v>45304.083333333336</v>
      </c>
      <c r="B1379" t="s">
        <v>14</v>
      </c>
      <c r="C1379">
        <v>9</v>
      </c>
      <c r="D1379">
        <v>1011</v>
      </c>
      <c r="E1379" t="s">
        <v>16</v>
      </c>
      <c r="F1379">
        <v>23</v>
      </c>
      <c r="G1379">
        <v>3750</v>
      </c>
      <c r="H1379">
        <v>86250</v>
      </c>
      <c r="I1379" s="3">
        <v>45304.916666666664</v>
      </c>
      <c r="J1379">
        <v>96</v>
      </c>
      <c r="K1379" s="3">
        <v>45307.916666666664</v>
      </c>
      <c r="L1379" s="4">
        <f>ROUNDDOWN(Table1[[#This Row],[Ordered]],0)</f>
        <v>45304</v>
      </c>
      <c r="M1379" s="4">
        <f>Table1[[#This Row],[Date ]]</f>
        <v>45304</v>
      </c>
      <c r="N1379" s="5">
        <f>Table1[[#This Row],[Ordered]]-Table1[[#This Row],[Date ]]</f>
        <v>8.3333333335758653E-2</v>
      </c>
      <c r="O1379">
        <f>Table1[[#This Row],[Company]]</f>
        <v>9</v>
      </c>
      <c r="P13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0" spans="1:16" x14ac:dyDescent="0.45">
      <c r="A1380" s="3">
        <v>45304.083333333336</v>
      </c>
      <c r="B1380" t="s">
        <v>14</v>
      </c>
      <c r="C1380">
        <v>15</v>
      </c>
      <c r="D1380">
        <v>1009</v>
      </c>
      <c r="E1380" t="s">
        <v>16</v>
      </c>
      <c r="F1380">
        <v>39</v>
      </c>
      <c r="G1380">
        <v>3350</v>
      </c>
      <c r="H1380">
        <v>130650</v>
      </c>
      <c r="I1380" s="3">
        <v>45304.416666666664</v>
      </c>
      <c r="J1380">
        <v>96</v>
      </c>
      <c r="K1380" s="3">
        <v>45307.583333333336</v>
      </c>
      <c r="L1380" s="4">
        <f>ROUNDDOWN(Table1[[#This Row],[Ordered]],0)</f>
        <v>45304</v>
      </c>
      <c r="M1380" s="4">
        <f>Table1[[#This Row],[Date ]]</f>
        <v>45304</v>
      </c>
      <c r="N1380" s="5">
        <f>Table1[[#This Row],[Ordered]]-Table1[[#This Row],[Date ]]</f>
        <v>8.3333333335758653E-2</v>
      </c>
      <c r="O1380">
        <f>Table1[[#This Row],[Company]]</f>
        <v>15</v>
      </c>
      <c r="P13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1" spans="1:16" x14ac:dyDescent="0.45">
      <c r="A1381" s="3">
        <v>45304.083333333336</v>
      </c>
      <c r="B1381" t="s">
        <v>14</v>
      </c>
      <c r="C1381">
        <v>14</v>
      </c>
      <c r="D1381">
        <v>1009</v>
      </c>
      <c r="E1381" t="s">
        <v>16</v>
      </c>
      <c r="F1381">
        <v>26</v>
      </c>
      <c r="G1381">
        <v>3750</v>
      </c>
      <c r="H1381">
        <v>97500</v>
      </c>
      <c r="I1381" s="3">
        <v>45304.416666666664</v>
      </c>
      <c r="J1381">
        <v>96</v>
      </c>
      <c r="K1381" s="3">
        <v>45307.416666666664</v>
      </c>
      <c r="L1381" s="4">
        <f>ROUNDDOWN(Table1[[#This Row],[Ordered]],0)</f>
        <v>45304</v>
      </c>
      <c r="M1381" s="4">
        <f>Table1[[#This Row],[Date ]]</f>
        <v>45304</v>
      </c>
      <c r="N1381" s="5">
        <f>Table1[[#This Row],[Ordered]]-Table1[[#This Row],[Date ]]</f>
        <v>8.3333333335758653E-2</v>
      </c>
      <c r="O1381">
        <f>Table1[[#This Row],[Company]]</f>
        <v>14</v>
      </c>
      <c r="P13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2" spans="1:16" x14ac:dyDescent="0.45">
      <c r="A1382" s="3">
        <v>45304.083333333336</v>
      </c>
      <c r="B1382" t="s">
        <v>14</v>
      </c>
      <c r="C1382">
        <v>7</v>
      </c>
      <c r="D1382">
        <v>1011</v>
      </c>
      <c r="E1382" t="s">
        <v>16</v>
      </c>
      <c r="F1382">
        <v>15</v>
      </c>
      <c r="G1382">
        <v>3850</v>
      </c>
      <c r="H1382">
        <v>57750</v>
      </c>
      <c r="I1382" s="3">
        <v>45306.666666666664</v>
      </c>
      <c r="J1382">
        <v>96</v>
      </c>
      <c r="K1382" s="3">
        <v>45307.666666666664</v>
      </c>
      <c r="L1382" s="4">
        <f>ROUNDDOWN(Table1[[#This Row],[Ordered]],0)</f>
        <v>45304</v>
      </c>
      <c r="M1382" s="4">
        <f>Table1[[#This Row],[Date ]]</f>
        <v>45304</v>
      </c>
      <c r="N1382" s="5">
        <f>Table1[[#This Row],[Ordered]]-Table1[[#This Row],[Date ]]</f>
        <v>8.3333333335758653E-2</v>
      </c>
      <c r="O1382">
        <f>Table1[[#This Row],[Company]]</f>
        <v>7</v>
      </c>
      <c r="P13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3" spans="1:16" x14ac:dyDescent="0.45">
      <c r="A1383" s="3">
        <v>45304.083333333336</v>
      </c>
      <c r="B1383" t="s">
        <v>14</v>
      </c>
      <c r="C1383">
        <v>13</v>
      </c>
      <c r="D1383">
        <v>1011</v>
      </c>
      <c r="E1383" t="s">
        <v>16</v>
      </c>
      <c r="F1383">
        <v>30</v>
      </c>
      <c r="G1383">
        <v>3600</v>
      </c>
      <c r="H1383">
        <v>108000</v>
      </c>
      <c r="I1383" s="3">
        <v>45304.708333333336</v>
      </c>
      <c r="J1383">
        <v>96</v>
      </c>
      <c r="K1383" s="3">
        <v>45307.708333333336</v>
      </c>
      <c r="L1383" s="4">
        <f>ROUNDDOWN(Table1[[#This Row],[Ordered]],0)</f>
        <v>45304</v>
      </c>
      <c r="M1383" s="4">
        <f>Table1[[#This Row],[Date ]]</f>
        <v>45304</v>
      </c>
      <c r="N1383" s="5">
        <f>Table1[[#This Row],[Ordered]]-Table1[[#This Row],[Date ]]</f>
        <v>8.3333333335758653E-2</v>
      </c>
      <c r="O1383">
        <f>Table1[[#This Row],[Company]]</f>
        <v>13</v>
      </c>
      <c r="P13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4" spans="1:16" x14ac:dyDescent="0.45">
      <c r="A1384" s="3">
        <v>45304.083333333336</v>
      </c>
      <c r="B1384" t="s">
        <v>14</v>
      </c>
      <c r="C1384">
        <v>12</v>
      </c>
      <c r="D1384">
        <v>1009</v>
      </c>
      <c r="E1384" t="s">
        <v>16</v>
      </c>
      <c r="F1384">
        <v>15</v>
      </c>
      <c r="G1384">
        <v>4000</v>
      </c>
      <c r="H1384">
        <v>60000</v>
      </c>
      <c r="I1384" s="3">
        <v>45304.166666666664</v>
      </c>
      <c r="J1384">
        <v>60</v>
      </c>
      <c r="K1384" s="3">
        <v>45306.166666666664</v>
      </c>
      <c r="L1384" s="4">
        <f>ROUNDDOWN(Table1[[#This Row],[Ordered]],0)</f>
        <v>45304</v>
      </c>
      <c r="M1384" s="4">
        <f>Table1[[#This Row],[Date ]]</f>
        <v>45304</v>
      </c>
      <c r="N1384" s="5">
        <f>Table1[[#This Row],[Ordered]]-Table1[[#This Row],[Date ]]</f>
        <v>8.3333333335758653E-2</v>
      </c>
      <c r="O1384">
        <f>Table1[[#This Row],[Company]]</f>
        <v>12</v>
      </c>
      <c r="P13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5" spans="1:16" x14ac:dyDescent="0.45">
      <c r="A1385" s="3">
        <v>45304.083333333336</v>
      </c>
      <c r="B1385" t="s">
        <v>14</v>
      </c>
      <c r="C1385">
        <v>16</v>
      </c>
      <c r="D1385">
        <v>1009</v>
      </c>
      <c r="E1385" t="s">
        <v>16</v>
      </c>
      <c r="F1385">
        <v>30</v>
      </c>
      <c r="G1385">
        <v>3750</v>
      </c>
      <c r="H1385">
        <v>112500</v>
      </c>
      <c r="I1385" s="3">
        <v>45304.25</v>
      </c>
      <c r="J1385">
        <v>96</v>
      </c>
      <c r="K1385" s="3">
        <v>45307.25</v>
      </c>
      <c r="L1385" s="4">
        <f>ROUNDDOWN(Table1[[#This Row],[Ordered]],0)</f>
        <v>45304</v>
      </c>
      <c r="M1385" s="4">
        <f>Table1[[#This Row],[Date ]]</f>
        <v>45304</v>
      </c>
      <c r="N1385" s="5">
        <f>Table1[[#This Row],[Ordered]]-Table1[[#This Row],[Date ]]</f>
        <v>8.3333333335758653E-2</v>
      </c>
      <c r="O1385">
        <f>Table1[[#This Row],[Company]]</f>
        <v>16</v>
      </c>
      <c r="P13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6" spans="1:16" x14ac:dyDescent="0.45">
      <c r="A1386" s="3">
        <v>45304.083333333336</v>
      </c>
      <c r="B1386" t="s">
        <v>14</v>
      </c>
      <c r="C1386">
        <v>8</v>
      </c>
      <c r="D1386">
        <v>1011</v>
      </c>
      <c r="E1386" t="s">
        <v>16</v>
      </c>
      <c r="F1386">
        <v>20</v>
      </c>
      <c r="G1386">
        <v>3800</v>
      </c>
      <c r="H1386">
        <v>76000</v>
      </c>
      <c r="I1386" s="3">
        <v>45306.833333333336</v>
      </c>
      <c r="J1386">
        <v>96</v>
      </c>
      <c r="K1386" s="3">
        <v>45307.833333333336</v>
      </c>
      <c r="L1386" s="4">
        <f>ROUNDDOWN(Table1[[#This Row],[Ordered]],0)</f>
        <v>45304</v>
      </c>
      <c r="M1386" s="4">
        <f>Table1[[#This Row],[Date ]]</f>
        <v>45304</v>
      </c>
      <c r="N1386" s="5">
        <f>Table1[[#This Row],[Ordered]]-Table1[[#This Row],[Date ]]</f>
        <v>8.3333333335758653E-2</v>
      </c>
      <c r="O1386">
        <f>Table1[[#This Row],[Company]]</f>
        <v>8</v>
      </c>
      <c r="P13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7" spans="1:16" x14ac:dyDescent="0.45">
      <c r="A1387" s="3">
        <v>45304.083333333336</v>
      </c>
      <c r="B1387" t="s">
        <v>14</v>
      </c>
      <c r="C1387">
        <v>12</v>
      </c>
      <c r="D1387">
        <v>1011</v>
      </c>
      <c r="E1387" t="s">
        <v>16</v>
      </c>
      <c r="F1387">
        <v>15</v>
      </c>
      <c r="G1387">
        <v>4000</v>
      </c>
      <c r="H1387">
        <v>60000</v>
      </c>
      <c r="I1387" s="3">
        <v>45304.125</v>
      </c>
      <c r="J1387">
        <v>60</v>
      </c>
      <c r="K1387" s="3">
        <v>45306.125</v>
      </c>
      <c r="L1387" s="4">
        <f>ROUNDDOWN(Table1[[#This Row],[Ordered]],0)</f>
        <v>45304</v>
      </c>
      <c r="M1387" s="4">
        <f>Table1[[#This Row],[Date ]]</f>
        <v>45304</v>
      </c>
      <c r="N1387" s="5">
        <f>Table1[[#This Row],[Ordered]]-Table1[[#This Row],[Date ]]</f>
        <v>8.3333333335758653E-2</v>
      </c>
      <c r="O1387">
        <f>Table1[[#This Row],[Company]]</f>
        <v>12</v>
      </c>
      <c r="P13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8" spans="1:16" x14ac:dyDescent="0.45">
      <c r="A1388" s="3">
        <v>45304.083333333336</v>
      </c>
      <c r="B1388" t="s">
        <v>14</v>
      </c>
      <c r="C1388">
        <v>9</v>
      </c>
      <c r="D1388">
        <v>1009</v>
      </c>
      <c r="E1388" t="s">
        <v>16</v>
      </c>
      <c r="F1388">
        <v>23</v>
      </c>
      <c r="G1388">
        <v>3750</v>
      </c>
      <c r="H1388">
        <v>86250</v>
      </c>
      <c r="I1388" s="3">
        <v>45304.916666666664</v>
      </c>
      <c r="J1388">
        <v>96</v>
      </c>
      <c r="K1388" s="3">
        <v>45307.916666666664</v>
      </c>
      <c r="L1388" s="4">
        <f>ROUNDDOWN(Table1[[#This Row],[Ordered]],0)</f>
        <v>45304</v>
      </c>
      <c r="M1388" s="4">
        <f>Table1[[#This Row],[Date ]]</f>
        <v>45304</v>
      </c>
      <c r="N1388" s="5">
        <f>Table1[[#This Row],[Ordered]]-Table1[[#This Row],[Date ]]</f>
        <v>8.3333333335758653E-2</v>
      </c>
      <c r="O1388">
        <f>Table1[[#This Row],[Company]]</f>
        <v>9</v>
      </c>
      <c r="P13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9" spans="1:16" x14ac:dyDescent="0.45">
      <c r="A1389" s="3">
        <v>45304.083333333336</v>
      </c>
      <c r="B1389" t="s">
        <v>14</v>
      </c>
      <c r="C1389">
        <v>15</v>
      </c>
      <c r="D1389">
        <v>1011</v>
      </c>
      <c r="E1389" t="s">
        <v>16</v>
      </c>
      <c r="F1389">
        <v>40</v>
      </c>
      <c r="G1389">
        <v>3350</v>
      </c>
      <c r="H1389">
        <v>134000</v>
      </c>
      <c r="I1389" s="3">
        <v>45304.416666666664</v>
      </c>
      <c r="J1389">
        <v>96</v>
      </c>
      <c r="K1389" s="3">
        <v>45307.416666666664</v>
      </c>
      <c r="L1389" s="4">
        <f>ROUNDDOWN(Table1[[#This Row],[Ordered]],0)</f>
        <v>45304</v>
      </c>
      <c r="M1389" s="4">
        <f>Table1[[#This Row],[Date ]]</f>
        <v>45304</v>
      </c>
      <c r="N1389" s="5">
        <f>Table1[[#This Row],[Ordered]]-Table1[[#This Row],[Date ]]</f>
        <v>8.3333333335758653E-2</v>
      </c>
      <c r="O1389">
        <f>Table1[[#This Row],[Company]]</f>
        <v>15</v>
      </c>
      <c r="P13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0" spans="1:16" x14ac:dyDescent="0.45">
      <c r="A1390" s="3">
        <v>45304.083333333336</v>
      </c>
      <c r="B1390" t="s">
        <v>14</v>
      </c>
      <c r="C1390">
        <v>7</v>
      </c>
      <c r="D1390">
        <v>1009</v>
      </c>
      <c r="E1390" t="s">
        <v>16</v>
      </c>
      <c r="F1390">
        <v>15</v>
      </c>
      <c r="G1390">
        <v>3850</v>
      </c>
      <c r="H1390">
        <v>57750</v>
      </c>
      <c r="I1390" s="3">
        <v>45306.625</v>
      </c>
      <c r="J1390">
        <v>96</v>
      </c>
      <c r="K1390" s="3">
        <v>45307.625</v>
      </c>
      <c r="L1390" s="4">
        <f>ROUNDDOWN(Table1[[#This Row],[Ordered]],0)</f>
        <v>45304</v>
      </c>
      <c r="M1390" s="4">
        <f>Table1[[#This Row],[Date ]]</f>
        <v>45304</v>
      </c>
      <c r="N1390" s="5">
        <f>Table1[[#This Row],[Ordered]]-Table1[[#This Row],[Date ]]</f>
        <v>8.3333333335758653E-2</v>
      </c>
      <c r="O1390">
        <f>Table1[[#This Row],[Company]]</f>
        <v>7</v>
      </c>
      <c r="P13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1" spans="1:16" x14ac:dyDescent="0.45">
      <c r="A1391" s="3">
        <v>45304.083333333336</v>
      </c>
      <c r="B1391" t="s">
        <v>14</v>
      </c>
      <c r="C1391">
        <v>16</v>
      </c>
      <c r="D1391">
        <v>1011</v>
      </c>
      <c r="E1391" t="s">
        <v>16</v>
      </c>
      <c r="F1391">
        <v>30</v>
      </c>
      <c r="G1391">
        <v>3750</v>
      </c>
      <c r="H1391">
        <v>112500</v>
      </c>
      <c r="I1391" s="3">
        <v>45304.25</v>
      </c>
      <c r="J1391">
        <v>96</v>
      </c>
      <c r="K1391" s="3">
        <v>45307.25</v>
      </c>
      <c r="L1391" s="4">
        <f>ROUNDDOWN(Table1[[#This Row],[Ordered]],0)</f>
        <v>45304</v>
      </c>
      <c r="M1391" s="4">
        <f>Table1[[#This Row],[Date ]]</f>
        <v>45304</v>
      </c>
      <c r="N1391" s="5">
        <f>Table1[[#This Row],[Ordered]]-Table1[[#This Row],[Date ]]</f>
        <v>8.3333333335758653E-2</v>
      </c>
      <c r="O1391">
        <f>Table1[[#This Row],[Company]]</f>
        <v>16</v>
      </c>
      <c r="P13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2" spans="1:16" x14ac:dyDescent="0.45">
      <c r="A1392" s="3">
        <v>45304.208333333336</v>
      </c>
      <c r="B1392" t="s">
        <v>14</v>
      </c>
      <c r="C1392">
        <v>16</v>
      </c>
      <c r="D1392">
        <v>1004</v>
      </c>
      <c r="E1392" t="s">
        <v>15</v>
      </c>
      <c r="F1392">
        <v>10</v>
      </c>
      <c r="G1392">
        <v>6650</v>
      </c>
      <c r="H1392">
        <v>66500</v>
      </c>
      <c r="I1392" s="3">
        <v>45304.375</v>
      </c>
      <c r="J1392">
        <v>96</v>
      </c>
      <c r="K1392" s="3">
        <v>45307.375</v>
      </c>
      <c r="L1392" s="4">
        <f>ROUNDDOWN(Table1[[#This Row],[Ordered]],0)</f>
        <v>45304</v>
      </c>
      <c r="M1392" s="4">
        <f>Table1[[#This Row],[Date ]]</f>
        <v>45304</v>
      </c>
      <c r="N1392" s="5">
        <f>Table1[[#This Row],[Ordered]]-Table1[[#This Row],[Date ]]</f>
        <v>0.20833333333575865</v>
      </c>
      <c r="O1392">
        <f>Table1[[#This Row],[Company]]</f>
        <v>16</v>
      </c>
      <c r="P13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3" spans="1:16" x14ac:dyDescent="0.45">
      <c r="A1393" s="3">
        <v>45304.208333333336</v>
      </c>
      <c r="B1393" t="s">
        <v>14</v>
      </c>
      <c r="C1393">
        <v>8</v>
      </c>
      <c r="D1393">
        <v>1004</v>
      </c>
      <c r="E1393" t="s">
        <v>15</v>
      </c>
      <c r="F1393">
        <v>11</v>
      </c>
      <c r="G1393">
        <v>5800</v>
      </c>
      <c r="H1393">
        <v>63800</v>
      </c>
      <c r="I1393" s="3">
        <v>45305.791666666664</v>
      </c>
      <c r="J1393">
        <v>96</v>
      </c>
      <c r="K1393" s="3">
        <v>45307.791666666664</v>
      </c>
      <c r="L1393" s="4">
        <f>ROUNDDOWN(Table1[[#This Row],[Ordered]],0)</f>
        <v>45304</v>
      </c>
      <c r="M1393" s="4">
        <f>Table1[[#This Row],[Date ]]</f>
        <v>45304</v>
      </c>
      <c r="N1393" s="5">
        <f>Table1[[#This Row],[Ordered]]-Table1[[#This Row],[Date ]]</f>
        <v>0.20833333333575865</v>
      </c>
      <c r="O1393">
        <f>Table1[[#This Row],[Company]]</f>
        <v>8</v>
      </c>
      <c r="P13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4" spans="1:16" x14ac:dyDescent="0.45">
      <c r="A1394" s="3">
        <v>45304.208333333336</v>
      </c>
      <c r="B1394" t="s">
        <v>14</v>
      </c>
      <c r="C1394">
        <v>15</v>
      </c>
      <c r="D1394">
        <v>1004</v>
      </c>
      <c r="E1394" t="s">
        <v>15</v>
      </c>
      <c r="F1394">
        <v>5</v>
      </c>
      <c r="G1394">
        <v>6000</v>
      </c>
      <c r="H1394">
        <v>30000</v>
      </c>
      <c r="I1394" s="3">
        <v>45304.333333333336</v>
      </c>
      <c r="J1394">
        <v>68</v>
      </c>
      <c r="K1394" s="3">
        <v>45306.333333333336</v>
      </c>
      <c r="L1394" s="4">
        <f>ROUNDDOWN(Table1[[#This Row],[Ordered]],0)</f>
        <v>45304</v>
      </c>
      <c r="M1394" s="4">
        <f>Table1[[#This Row],[Date ]]</f>
        <v>45304</v>
      </c>
      <c r="N1394" s="5">
        <f>Table1[[#This Row],[Ordered]]-Table1[[#This Row],[Date ]]</f>
        <v>0.20833333333575865</v>
      </c>
      <c r="O1394">
        <f>Table1[[#This Row],[Company]]</f>
        <v>15</v>
      </c>
      <c r="P13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5" spans="1:16" x14ac:dyDescent="0.45">
      <c r="A1395" s="3">
        <v>45304.208333333336</v>
      </c>
      <c r="B1395" t="s">
        <v>14</v>
      </c>
      <c r="C1395">
        <v>13</v>
      </c>
      <c r="D1395">
        <v>1004</v>
      </c>
      <c r="E1395" t="s">
        <v>15</v>
      </c>
      <c r="F1395">
        <v>4</v>
      </c>
      <c r="G1395">
        <v>6300</v>
      </c>
      <c r="H1395">
        <v>25200</v>
      </c>
      <c r="I1395" s="3">
        <v>45304.875</v>
      </c>
      <c r="J1395">
        <v>96</v>
      </c>
      <c r="K1395" s="3">
        <v>45307.875</v>
      </c>
      <c r="L1395" s="4">
        <f>ROUNDDOWN(Table1[[#This Row],[Ordered]],0)</f>
        <v>45304</v>
      </c>
      <c r="M1395" s="4">
        <f>Table1[[#This Row],[Date ]]</f>
        <v>45304</v>
      </c>
      <c r="N1395" s="5">
        <f>Table1[[#This Row],[Ordered]]-Table1[[#This Row],[Date ]]</f>
        <v>0.20833333333575865</v>
      </c>
      <c r="O1395">
        <f>Table1[[#This Row],[Company]]</f>
        <v>13</v>
      </c>
      <c r="P13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6" spans="1:16" x14ac:dyDescent="0.45">
      <c r="A1396" s="3">
        <v>45304.208333333336</v>
      </c>
      <c r="B1396" t="s">
        <v>14</v>
      </c>
      <c r="C1396">
        <v>7</v>
      </c>
      <c r="D1396">
        <v>1004</v>
      </c>
      <c r="E1396" t="s">
        <v>15</v>
      </c>
      <c r="F1396">
        <v>7</v>
      </c>
      <c r="G1396">
        <v>6850</v>
      </c>
      <c r="H1396">
        <v>47950</v>
      </c>
      <c r="I1396" s="3">
        <v>45307.791666666664</v>
      </c>
      <c r="J1396">
        <v>96</v>
      </c>
      <c r="K1396" s="3">
        <v>45308.833333333336</v>
      </c>
      <c r="L1396" s="4">
        <f>ROUNDDOWN(Table1[[#This Row],[Ordered]],0)</f>
        <v>45304</v>
      </c>
      <c r="M1396" s="4">
        <f>Table1[[#This Row],[Date ]]</f>
        <v>45304</v>
      </c>
      <c r="N1396" s="5">
        <f>Table1[[#This Row],[Ordered]]-Table1[[#This Row],[Date ]]</f>
        <v>0.20833333333575865</v>
      </c>
      <c r="O1396">
        <f>Table1[[#This Row],[Company]]</f>
        <v>7</v>
      </c>
      <c r="P13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7" spans="1:16" x14ac:dyDescent="0.45">
      <c r="A1397" s="3">
        <v>45304.208333333336</v>
      </c>
      <c r="B1397" t="s">
        <v>14</v>
      </c>
      <c r="C1397">
        <v>9</v>
      </c>
      <c r="D1397">
        <v>1004</v>
      </c>
      <c r="E1397" t="s">
        <v>15</v>
      </c>
      <c r="F1397">
        <v>5</v>
      </c>
      <c r="G1397">
        <v>6650</v>
      </c>
      <c r="H1397">
        <v>33250</v>
      </c>
      <c r="I1397" s="3">
        <v>45305.083333333336</v>
      </c>
      <c r="J1397">
        <v>96</v>
      </c>
      <c r="K1397" s="3">
        <v>45308.083333333336</v>
      </c>
      <c r="L1397" s="4">
        <f>ROUNDDOWN(Table1[[#This Row],[Ordered]],0)</f>
        <v>45304</v>
      </c>
      <c r="M1397" s="4">
        <f>Table1[[#This Row],[Date ]]</f>
        <v>45304</v>
      </c>
      <c r="N1397" s="5">
        <f>Table1[[#This Row],[Ordered]]-Table1[[#This Row],[Date ]]</f>
        <v>0.20833333333575865</v>
      </c>
      <c r="O1397">
        <f>Table1[[#This Row],[Company]]</f>
        <v>9</v>
      </c>
      <c r="P13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8" spans="1:16" x14ac:dyDescent="0.45">
      <c r="A1398" s="3">
        <v>45304.208333333336</v>
      </c>
      <c r="B1398" t="s">
        <v>14</v>
      </c>
      <c r="C1398">
        <v>14</v>
      </c>
      <c r="D1398">
        <v>1004</v>
      </c>
      <c r="E1398" t="s">
        <v>15</v>
      </c>
      <c r="F1398">
        <v>3</v>
      </c>
      <c r="G1398">
        <v>6650</v>
      </c>
      <c r="H1398">
        <v>19950</v>
      </c>
      <c r="I1398" s="3">
        <v>45304.541666666664</v>
      </c>
      <c r="J1398">
        <v>96</v>
      </c>
      <c r="K1398" s="3">
        <v>45307.541666666664</v>
      </c>
      <c r="L1398" s="4">
        <f>ROUNDDOWN(Table1[[#This Row],[Ordered]],0)</f>
        <v>45304</v>
      </c>
      <c r="M1398" s="4">
        <f>Table1[[#This Row],[Date ]]</f>
        <v>45304</v>
      </c>
      <c r="N1398" s="5">
        <f>Table1[[#This Row],[Ordered]]-Table1[[#This Row],[Date ]]</f>
        <v>0.20833333333575865</v>
      </c>
      <c r="O1398">
        <f>Table1[[#This Row],[Company]]</f>
        <v>14</v>
      </c>
      <c r="P13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9" spans="1:16" hidden="1" x14ac:dyDescent="0.45">
      <c r="A1399" s="3">
        <v>45304.291666666664</v>
      </c>
      <c r="B1399" t="s">
        <v>12</v>
      </c>
      <c r="C1399">
        <v>1</v>
      </c>
      <c r="D1399">
        <v>14</v>
      </c>
      <c r="E1399" t="s">
        <v>17</v>
      </c>
      <c r="F1399">
        <v>300</v>
      </c>
      <c r="G1399">
        <v>1400</v>
      </c>
      <c r="H1399">
        <v>420000</v>
      </c>
      <c r="I1399" s="3">
        <v>45304.291666666664</v>
      </c>
      <c r="J1399">
        <v>24</v>
      </c>
      <c r="K1399" s="3">
        <v>45305.291666666664</v>
      </c>
      <c r="L1399" s="4">
        <f>ROUNDDOWN(Table1[[#This Row],[Ordered]],0)</f>
        <v>45304</v>
      </c>
      <c r="M1399" s="4">
        <f>Table1[[#This Row],[Date ]]</f>
        <v>45304</v>
      </c>
      <c r="N1399" s="5">
        <f>Table1[[#This Row],[Ordered]]-Table1[[#This Row],[Date ]]</f>
        <v>0.29166666666424135</v>
      </c>
      <c r="O1399">
        <f>Table1[[#This Row],[Company]]</f>
        <v>1</v>
      </c>
      <c r="P13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0" spans="1:16" hidden="1" x14ac:dyDescent="0.45">
      <c r="A1400" s="3">
        <v>45304.333333333336</v>
      </c>
      <c r="B1400" t="s">
        <v>12</v>
      </c>
      <c r="C1400">
        <v>12</v>
      </c>
      <c r="D1400">
        <v>3</v>
      </c>
      <c r="E1400" t="s">
        <v>20</v>
      </c>
      <c r="F1400">
        <v>116</v>
      </c>
      <c r="G1400">
        <v>7</v>
      </c>
      <c r="H1400">
        <v>812</v>
      </c>
      <c r="I1400" s="3">
        <v>45304.375</v>
      </c>
      <c r="J1400">
        <v>72</v>
      </c>
      <c r="K1400" s="3">
        <v>45307.375</v>
      </c>
      <c r="L1400" s="4">
        <f>ROUNDDOWN(Table1[[#This Row],[Ordered]],0)</f>
        <v>45304</v>
      </c>
      <c r="M1400" s="4">
        <f>Table1[[#This Row],[Date ]]</f>
        <v>45304</v>
      </c>
      <c r="N1400" s="5">
        <f>Table1[[#This Row],[Ordered]]-Table1[[#This Row],[Date ]]</f>
        <v>0.33333333333575865</v>
      </c>
      <c r="O1400">
        <f>Table1[[#This Row],[Company]]</f>
        <v>12</v>
      </c>
      <c r="P14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1" spans="1:16" hidden="1" x14ac:dyDescent="0.45">
      <c r="A1401" s="3">
        <v>45304.333333333336</v>
      </c>
      <c r="B1401" t="s">
        <v>12</v>
      </c>
      <c r="C1401">
        <v>2</v>
      </c>
      <c r="D1401">
        <v>15</v>
      </c>
      <c r="E1401" t="s">
        <v>13</v>
      </c>
      <c r="F1401">
        <v>1970</v>
      </c>
      <c r="G1401">
        <v>130</v>
      </c>
      <c r="H1401">
        <v>256100</v>
      </c>
      <c r="I1401" s="3">
        <v>45304.708333333336</v>
      </c>
      <c r="J1401">
        <v>72</v>
      </c>
      <c r="K1401" s="3">
        <v>45307.708333333336</v>
      </c>
      <c r="L1401" s="4">
        <f>ROUNDDOWN(Table1[[#This Row],[Ordered]],0)</f>
        <v>45304</v>
      </c>
      <c r="M1401" s="4">
        <f>Table1[[#This Row],[Date ]]</f>
        <v>45304</v>
      </c>
      <c r="N1401" s="5">
        <f>Table1[[#This Row],[Ordered]]-Table1[[#This Row],[Date ]]</f>
        <v>0.33333333333575865</v>
      </c>
      <c r="O1401">
        <f>Table1[[#This Row],[Company]]</f>
        <v>2</v>
      </c>
      <c r="P14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2" spans="1:16" hidden="1" x14ac:dyDescent="0.45">
      <c r="A1402" s="3">
        <v>45304.333333333336</v>
      </c>
      <c r="B1402" t="s">
        <v>12</v>
      </c>
      <c r="C1402">
        <v>11</v>
      </c>
      <c r="D1402">
        <v>4</v>
      </c>
      <c r="E1402" t="s">
        <v>20</v>
      </c>
      <c r="F1402">
        <v>128</v>
      </c>
      <c r="G1402">
        <v>20</v>
      </c>
      <c r="H1402">
        <v>2560</v>
      </c>
      <c r="I1402" s="3">
        <v>45304.416666666664</v>
      </c>
      <c r="J1402">
        <v>72</v>
      </c>
      <c r="K1402" s="3">
        <v>45307.416666666664</v>
      </c>
      <c r="L1402" s="4">
        <f>ROUNDDOWN(Table1[[#This Row],[Ordered]],0)</f>
        <v>45304</v>
      </c>
      <c r="M1402" s="4">
        <f>Table1[[#This Row],[Date ]]</f>
        <v>45304</v>
      </c>
      <c r="N1402" s="5">
        <f>Table1[[#This Row],[Ordered]]-Table1[[#This Row],[Date ]]</f>
        <v>0.33333333333575865</v>
      </c>
      <c r="O1402">
        <f>Table1[[#This Row],[Company]]</f>
        <v>11</v>
      </c>
      <c r="P14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3" spans="1:16" hidden="1" x14ac:dyDescent="0.45">
      <c r="A1403" s="3">
        <v>45304.375</v>
      </c>
      <c r="B1403" t="s">
        <v>12</v>
      </c>
      <c r="C1403">
        <v>1</v>
      </c>
      <c r="D1403">
        <v>13</v>
      </c>
      <c r="E1403" t="s">
        <v>13</v>
      </c>
      <c r="F1403">
        <v>1000</v>
      </c>
      <c r="G1403">
        <v>130</v>
      </c>
      <c r="H1403">
        <v>130000</v>
      </c>
      <c r="I1403" s="3">
        <v>45304.458333333336</v>
      </c>
      <c r="J1403">
        <v>72</v>
      </c>
      <c r="K1403" s="3">
        <v>45307.458333333336</v>
      </c>
      <c r="L1403" s="4">
        <f>ROUNDDOWN(Table1[[#This Row],[Ordered]],0)</f>
        <v>45304</v>
      </c>
      <c r="M1403" s="4">
        <f>Table1[[#This Row],[Date ]]</f>
        <v>45304</v>
      </c>
      <c r="N1403" s="5">
        <f>Table1[[#This Row],[Ordered]]-Table1[[#This Row],[Date ]]</f>
        <v>0.375</v>
      </c>
      <c r="O1403">
        <f>Table1[[#This Row],[Company]]</f>
        <v>1</v>
      </c>
      <c r="P14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4" spans="1:16" x14ac:dyDescent="0.45">
      <c r="A1404" s="3">
        <v>45304.416666666664</v>
      </c>
      <c r="B1404" t="s">
        <v>0</v>
      </c>
      <c r="C1404">
        <v>14</v>
      </c>
      <c r="D1404">
        <v>2009</v>
      </c>
      <c r="E1404" t="s">
        <v>15</v>
      </c>
      <c r="F1404">
        <v>30</v>
      </c>
      <c r="G1404">
        <v>6650</v>
      </c>
      <c r="H1404">
        <v>199500</v>
      </c>
      <c r="I1404" s="3">
        <v>45304.791666666664</v>
      </c>
      <c r="J1404">
        <v>132</v>
      </c>
      <c r="K1404" s="3">
        <v>45309.291666666664</v>
      </c>
      <c r="L1404" s="4">
        <f>ROUNDDOWN(Table1[[#This Row],[Ordered]],0)</f>
        <v>45304</v>
      </c>
      <c r="M1404" s="4">
        <f>Table1[[#This Row],[Date ]]</f>
        <v>45304</v>
      </c>
      <c r="N1404" s="5">
        <f>Table1[[#This Row],[Ordered]]-Table1[[#This Row],[Date ]]</f>
        <v>0.41666666666424135</v>
      </c>
      <c r="O1404">
        <f>Table1[[#This Row],[Company]]</f>
        <v>14</v>
      </c>
      <c r="P14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5" spans="1:16" x14ac:dyDescent="0.45">
      <c r="A1405" s="3">
        <v>45304.416666666664</v>
      </c>
      <c r="B1405" t="s">
        <v>0</v>
      </c>
      <c r="C1405">
        <v>7</v>
      </c>
      <c r="D1405">
        <v>2009</v>
      </c>
      <c r="E1405" t="s">
        <v>15</v>
      </c>
      <c r="F1405">
        <v>30</v>
      </c>
      <c r="G1405">
        <v>6850</v>
      </c>
      <c r="H1405">
        <v>205500</v>
      </c>
      <c r="I1405" s="3">
        <v>45307.833333333336</v>
      </c>
      <c r="J1405">
        <v>132</v>
      </c>
      <c r="K1405" s="3">
        <v>45309.333333333336</v>
      </c>
      <c r="L1405" s="4">
        <f>ROUNDDOWN(Table1[[#This Row],[Ordered]],0)</f>
        <v>45304</v>
      </c>
      <c r="M1405" s="4">
        <f>Table1[[#This Row],[Date ]]</f>
        <v>45304</v>
      </c>
      <c r="N1405" s="5">
        <f>Table1[[#This Row],[Ordered]]-Table1[[#This Row],[Date ]]</f>
        <v>0.41666666666424135</v>
      </c>
      <c r="O1405">
        <f>Table1[[#This Row],[Company]]</f>
        <v>7</v>
      </c>
      <c r="P14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6" spans="1:16" x14ac:dyDescent="0.45">
      <c r="A1406" s="3">
        <v>45304.416666666664</v>
      </c>
      <c r="B1406" t="s">
        <v>0</v>
      </c>
      <c r="C1406">
        <v>7</v>
      </c>
      <c r="D1406">
        <v>2009</v>
      </c>
      <c r="E1406" t="s">
        <v>16</v>
      </c>
      <c r="F1406">
        <v>30</v>
      </c>
      <c r="G1406">
        <v>3800</v>
      </c>
      <c r="H1406">
        <v>114000</v>
      </c>
      <c r="I1406" s="3">
        <v>45306.708333333336</v>
      </c>
      <c r="J1406">
        <v>132</v>
      </c>
      <c r="K1406" s="3">
        <v>45309.708333333336</v>
      </c>
      <c r="L1406" s="4">
        <f>ROUNDDOWN(Table1[[#This Row],[Ordered]],0)</f>
        <v>45304</v>
      </c>
      <c r="M1406" s="4">
        <f>Table1[[#This Row],[Date ]]</f>
        <v>45304</v>
      </c>
      <c r="N1406" s="5">
        <f>Table1[[#This Row],[Ordered]]-Table1[[#This Row],[Date ]]</f>
        <v>0.41666666666424135</v>
      </c>
      <c r="O1406">
        <f>Table1[[#This Row],[Company]]</f>
        <v>7</v>
      </c>
      <c r="P14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7" spans="1:16" x14ac:dyDescent="0.45">
      <c r="A1407" s="3">
        <v>45304.416666666664</v>
      </c>
      <c r="B1407" t="s">
        <v>0</v>
      </c>
      <c r="C1407">
        <v>15</v>
      </c>
      <c r="D1407">
        <v>2009</v>
      </c>
      <c r="E1407" t="s">
        <v>16</v>
      </c>
      <c r="F1407">
        <v>30</v>
      </c>
      <c r="G1407">
        <v>4150</v>
      </c>
      <c r="H1407">
        <v>124500</v>
      </c>
      <c r="I1407" s="3">
        <v>45304.541666666664</v>
      </c>
      <c r="J1407">
        <v>53</v>
      </c>
      <c r="K1407" s="3">
        <v>45306.041666666664</v>
      </c>
      <c r="L1407" s="4">
        <f>ROUNDDOWN(Table1[[#This Row],[Ordered]],0)</f>
        <v>45304</v>
      </c>
      <c r="M1407" s="4">
        <f>Table1[[#This Row],[Date ]]</f>
        <v>45304</v>
      </c>
      <c r="N1407" s="5">
        <f>Table1[[#This Row],[Ordered]]-Table1[[#This Row],[Date ]]</f>
        <v>0.41666666666424135</v>
      </c>
      <c r="O1407">
        <f>Table1[[#This Row],[Company]]</f>
        <v>15</v>
      </c>
      <c r="P14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8" spans="1:16" x14ac:dyDescent="0.45">
      <c r="A1408" s="3">
        <v>45304.416666666664</v>
      </c>
      <c r="B1408" t="s">
        <v>0</v>
      </c>
      <c r="C1408">
        <v>16</v>
      </c>
      <c r="D1408">
        <v>2009</v>
      </c>
      <c r="E1408" t="s">
        <v>16</v>
      </c>
      <c r="F1408">
        <v>30</v>
      </c>
      <c r="G1408">
        <v>3750</v>
      </c>
      <c r="H1408">
        <v>112500</v>
      </c>
      <c r="I1408" s="3">
        <v>45304.791666666664</v>
      </c>
      <c r="J1408">
        <v>132</v>
      </c>
      <c r="K1408" s="3">
        <v>45309.291666666664</v>
      </c>
      <c r="L1408" s="4">
        <f>ROUNDDOWN(Table1[[#This Row],[Ordered]],0)</f>
        <v>45304</v>
      </c>
      <c r="M1408" s="4">
        <f>Table1[[#This Row],[Date ]]</f>
        <v>45304</v>
      </c>
      <c r="N1408" s="5">
        <f>Table1[[#This Row],[Ordered]]-Table1[[#This Row],[Date ]]</f>
        <v>0.41666666666424135</v>
      </c>
      <c r="O1408">
        <f>Table1[[#This Row],[Company]]</f>
        <v>16</v>
      </c>
      <c r="P14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9" spans="1:16" x14ac:dyDescent="0.45">
      <c r="A1409" s="3">
        <v>45304.416666666664</v>
      </c>
      <c r="B1409" t="s">
        <v>0</v>
      </c>
      <c r="C1409">
        <v>11</v>
      </c>
      <c r="D1409">
        <v>2009</v>
      </c>
      <c r="E1409" t="s">
        <v>16</v>
      </c>
      <c r="F1409">
        <v>40</v>
      </c>
      <c r="G1409">
        <v>4200</v>
      </c>
      <c r="H1409">
        <v>168000</v>
      </c>
      <c r="I1409" s="3">
        <v>45304.458333333336</v>
      </c>
      <c r="J1409">
        <v>120</v>
      </c>
      <c r="K1409" s="3">
        <v>45308.958333333336</v>
      </c>
      <c r="L1409" s="4">
        <f>ROUNDDOWN(Table1[[#This Row],[Ordered]],0)</f>
        <v>45304</v>
      </c>
      <c r="M1409" s="4">
        <f>Table1[[#This Row],[Date ]]</f>
        <v>45304</v>
      </c>
      <c r="N1409" s="5">
        <f>Table1[[#This Row],[Ordered]]-Table1[[#This Row],[Date ]]</f>
        <v>0.41666666666424135</v>
      </c>
      <c r="O1409">
        <f>Table1[[#This Row],[Company]]</f>
        <v>11</v>
      </c>
      <c r="P14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0" spans="1:16" x14ac:dyDescent="0.45">
      <c r="A1410" s="3">
        <v>45304.416666666664</v>
      </c>
      <c r="B1410" t="s">
        <v>0</v>
      </c>
      <c r="C1410">
        <v>12</v>
      </c>
      <c r="D1410">
        <v>2009</v>
      </c>
      <c r="E1410" t="s">
        <v>16</v>
      </c>
      <c r="F1410">
        <v>30</v>
      </c>
      <c r="G1410">
        <v>3800</v>
      </c>
      <c r="H1410">
        <v>114000</v>
      </c>
      <c r="I1410" s="3">
        <v>45304.458333333336</v>
      </c>
      <c r="J1410">
        <v>120</v>
      </c>
      <c r="K1410" s="3">
        <v>45308.958333333336</v>
      </c>
      <c r="L1410" s="4">
        <f>ROUNDDOWN(Table1[[#This Row],[Ordered]],0)</f>
        <v>45304</v>
      </c>
      <c r="M1410" s="4">
        <f>Table1[[#This Row],[Date ]]</f>
        <v>45304</v>
      </c>
      <c r="N1410" s="5">
        <f>Table1[[#This Row],[Ordered]]-Table1[[#This Row],[Date ]]</f>
        <v>0.41666666666424135</v>
      </c>
      <c r="O1410">
        <f>Table1[[#This Row],[Company]]</f>
        <v>12</v>
      </c>
      <c r="P14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1" spans="1:16" hidden="1" x14ac:dyDescent="0.45">
      <c r="A1411" s="3">
        <v>45304.416666666664</v>
      </c>
      <c r="B1411" t="s">
        <v>12</v>
      </c>
      <c r="C1411">
        <v>4</v>
      </c>
      <c r="D1411">
        <v>8</v>
      </c>
      <c r="E1411" t="s">
        <v>13</v>
      </c>
      <c r="F1411">
        <v>3000</v>
      </c>
      <c r="G1411">
        <v>105</v>
      </c>
      <c r="H1411">
        <v>315000</v>
      </c>
      <c r="I1411" s="3">
        <v>45304.5</v>
      </c>
      <c r="J1411">
        <v>72</v>
      </c>
      <c r="K1411" s="3">
        <v>45307.5</v>
      </c>
      <c r="L1411" s="4">
        <f>ROUNDDOWN(Table1[[#This Row],[Ordered]],0)</f>
        <v>45304</v>
      </c>
      <c r="M1411" s="4">
        <f>Table1[[#This Row],[Date ]]</f>
        <v>45304</v>
      </c>
      <c r="N1411" s="5">
        <f>Table1[[#This Row],[Ordered]]-Table1[[#This Row],[Date ]]</f>
        <v>0.41666666666424135</v>
      </c>
      <c r="O1411">
        <f>Table1[[#This Row],[Company]]</f>
        <v>4</v>
      </c>
      <c r="P14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2" spans="1:16" x14ac:dyDescent="0.45">
      <c r="A1412" s="3">
        <v>45304.416666666664</v>
      </c>
      <c r="B1412" t="s">
        <v>0</v>
      </c>
      <c r="C1412">
        <v>16</v>
      </c>
      <c r="D1412">
        <v>2009</v>
      </c>
      <c r="E1412" t="s">
        <v>15</v>
      </c>
      <c r="F1412">
        <v>30</v>
      </c>
      <c r="G1412">
        <v>6650</v>
      </c>
      <c r="H1412">
        <v>199500</v>
      </c>
      <c r="I1412" s="3">
        <v>45304.666666666664</v>
      </c>
      <c r="J1412">
        <v>132</v>
      </c>
      <c r="K1412" s="3">
        <v>45309.166666666664</v>
      </c>
      <c r="L1412" s="4">
        <f>ROUNDDOWN(Table1[[#This Row],[Ordered]],0)</f>
        <v>45304</v>
      </c>
      <c r="M1412" s="4">
        <f>Table1[[#This Row],[Date ]]</f>
        <v>45304</v>
      </c>
      <c r="N1412" s="5">
        <f>Table1[[#This Row],[Ordered]]-Table1[[#This Row],[Date ]]</f>
        <v>0.41666666666424135</v>
      </c>
      <c r="O1412">
        <f>Table1[[#This Row],[Company]]</f>
        <v>16</v>
      </c>
      <c r="P14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3" spans="1:16" x14ac:dyDescent="0.45">
      <c r="A1413" s="3">
        <v>45304.416666666664</v>
      </c>
      <c r="B1413" t="s">
        <v>0</v>
      </c>
      <c r="C1413">
        <v>15</v>
      </c>
      <c r="D1413">
        <v>2009</v>
      </c>
      <c r="E1413" t="s">
        <v>15</v>
      </c>
      <c r="F1413">
        <v>40</v>
      </c>
      <c r="G1413">
        <v>6000</v>
      </c>
      <c r="H1413">
        <v>240000</v>
      </c>
      <c r="I1413" s="3">
        <v>45304.541666666664</v>
      </c>
      <c r="J1413">
        <v>54</v>
      </c>
      <c r="K1413" s="3">
        <v>45306.041666666664</v>
      </c>
      <c r="L1413" s="4">
        <f>ROUNDDOWN(Table1[[#This Row],[Ordered]],0)</f>
        <v>45304</v>
      </c>
      <c r="M1413" s="4">
        <f>Table1[[#This Row],[Date ]]</f>
        <v>45304</v>
      </c>
      <c r="N1413" s="5">
        <f>Table1[[#This Row],[Ordered]]-Table1[[#This Row],[Date ]]</f>
        <v>0.41666666666424135</v>
      </c>
      <c r="O1413">
        <f>Table1[[#This Row],[Company]]</f>
        <v>15</v>
      </c>
      <c r="P14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4" spans="1:16" x14ac:dyDescent="0.45">
      <c r="A1414" s="3">
        <v>45304.416666666664</v>
      </c>
      <c r="B1414" t="s">
        <v>0</v>
      </c>
      <c r="C1414">
        <v>10</v>
      </c>
      <c r="D1414">
        <v>2009</v>
      </c>
      <c r="E1414" t="s">
        <v>16</v>
      </c>
      <c r="F1414">
        <v>50</v>
      </c>
      <c r="G1414">
        <v>4100</v>
      </c>
      <c r="H1414">
        <v>205000</v>
      </c>
      <c r="I1414" s="3">
        <v>45304.416666666664</v>
      </c>
      <c r="J1414">
        <v>78</v>
      </c>
      <c r="K1414" s="3">
        <v>45307.416666666664</v>
      </c>
      <c r="L1414" s="4">
        <f>ROUNDDOWN(Table1[[#This Row],[Ordered]],0)</f>
        <v>45304</v>
      </c>
      <c r="M1414" s="4">
        <f>Table1[[#This Row],[Date ]]</f>
        <v>45304</v>
      </c>
      <c r="N1414" s="5">
        <f>Table1[[#This Row],[Ordered]]-Table1[[#This Row],[Date ]]</f>
        <v>0.41666666666424135</v>
      </c>
      <c r="O1414">
        <f>Table1[[#This Row],[Company]]</f>
        <v>10</v>
      </c>
      <c r="P14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5" spans="1:16" x14ac:dyDescent="0.45">
      <c r="A1415" s="3">
        <v>45304.416666666664</v>
      </c>
      <c r="B1415" t="s">
        <v>0</v>
      </c>
      <c r="C1415">
        <v>11</v>
      </c>
      <c r="D1415">
        <v>2009</v>
      </c>
      <c r="E1415" t="s">
        <v>15</v>
      </c>
      <c r="F1415">
        <v>30</v>
      </c>
      <c r="G1415">
        <v>6550</v>
      </c>
      <c r="H1415">
        <v>196500</v>
      </c>
      <c r="I1415" s="3">
        <v>45304.791666666664</v>
      </c>
      <c r="J1415">
        <v>132</v>
      </c>
      <c r="K1415" s="3">
        <v>45309.291666666664</v>
      </c>
      <c r="L1415" s="4">
        <f>ROUNDDOWN(Table1[[#This Row],[Ordered]],0)</f>
        <v>45304</v>
      </c>
      <c r="M1415" s="4">
        <f>Table1[[#This Row],[Date ]]</f>
        <v>45304</v>
      </c>
      <c r="N1415" s="5">
        <f>Table1[[#This Row],[Ordered]]-Table1[[#This Row],[Date ]]</f>
        <v>0.41666666666424135</v>
      </c>
      <c r="O1415">
        <f>Table1[[#This Row],[Company]]</f>
        <v>11</v>
      </c>
      <c r="P14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6" spans="1:16" x14ac:dyDescent="0.45">
      <c r="A1416" s="3">
        <v>45304.416666666664</v>
      </c>
      <c r="B1416" t="s">
        <v>0</v>
      </c>
      <c r="C1416">
        <v>12</v>
      </c>
      <c r="D1416">
        <v>2009</v>
      </c>
      <c r="E1416" t="s">
        <v>15</v>
      </c>
      <c r="F1416">
        <v>30</v>
      </c>
      <c r="G1416">
        <v>6750</v>
      </c>
      <c r="H1416">
        <v>202500</v>
      </c>
      <c r="I1416" s="3">
        <v>45304.416666666664</v>
      </c>
      <c r="J1416">
        <v>120</v>
      </c>
      <c r="K1416" s="3">
        <v>45308.916666666664</v>
      </c>
      <c r="L1416" s="4">
        <f>ROUNDDOWN(Table1[[#This Row],[Ordered]],0)</f>
        <v>45304</v>
      </c>
      <c r="M1416" s="4">
        <f>Table1[[#This Row],[Date ]]</f>
        <v>45304</v>
      </c>
      <c r="N1416" s="5">
        <f>Table1[[#This Row],[Ordered]]-Table1[[#This Row],[Date ]]</f>
        <v>0.41666666666424135</v>
      </c>
      <c r="O1416">
        <f>Table1[[#This Row],[Company]]</f>
        <v>12</v>
      </c>
      <c r="P14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7" spans="1:16" hidden="1" x14ac:dyDescent="0.45">
      <c r="A1417" s="3">
        <v>45304.416666666664</v>
      </c>
      <c r="B1417" t="s">
        <v>12</v>
      </c>
      <c r="C1417">
        <v>2</v>
      </c>
      <c r="D1417">
        <v>15</v>
      </c>
      <c r="E1417" t="s">
        <v>17</v>
      </c>
      <c r="F1417">
        <v>234</v>
      </c>
      <c r="G1417">
        <v>1800</v>
      </c>
      <c r="H1417">
        <v>421200</v>
      </c>
      <c r="I1417" s="3">
        <v>45304.583333333336</v>
      </c>
      <c r="J1417">
        <v>48</v>
      </c>
      <c r="K1417" s="3">
        <v>45306.583333333336</v>
      </c>
      <c r="L1417" s="4">
        <f>ROUNDDOWN(Table1[[#This Row],[Ordered]],0)</f>
        <v>45304</v>
      </c>
      <c r="M1417" s="4">
        <f>Table1[[#This Row],[Date ]]</f>
        <v>45304</v>
      </c>
      <c r="N1417" s="5">
        <f>Table1[[#This Row],[Ordered]]-Table1[[#This Row],[Date ]]</f>
        <v>0.41666666666424135</v>
      </c>
      <c r="O1417">
        <f>Table1[[#This Row],[Company]]</f>
        <v>2</v>
      </c>
      <c r="P14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8" spans="1:16" x14ac:dyDescent="0.45">
      <c r="A1418" s="3">
        <v>45304.416666666664</v>
      </c>
      <c r="B1418" t="s">
        <v>0</v>
      </c>
      <c r="C1418">
        <v>14</v>
      </c>
      <c r="D1418">
        <v>2009</v>
      </c>
      <c r="E1418" t="s">
        <v>16</v>
      </c>
      <c r="F1418">
        <v>30</v>
      </c>
      <c r="G1418">
        <v>3750</v>
      </c>
      <c r="H1418">
        <v>112500</v>
      </c>
      <c r="I1418" s="3">
        <v>45304.833333333336</v>
      </c>
      <c r="J1418">
        <v>132</v>
      </c>
      <c r="K1418" s="3">
        <v>45309.333333333336</v>
      </c>
      <c r="L1418" s="4">
        <f>ROUNDDOWN(Table1[[#This Row],[Ordered]],0)</f>
        <v>45304</v>
      </c>
      <c r="M1418" s="4">
        <f>Table1[[#This Row],[Date ]]</f>
        <v>45304</v>
      </c>
      <c r="N1418" s="5">
        <f>Table1[[#This Row],[Ordered]]-Table1[[#This Row],[Date ]]</f>
        <v>0.41666666666424135</v>
      </c>
      <c r="O1418">
        <f>Table1[[#This Row],[Company]]</f>
        <v>14</v>
      </c>
      <c r="P14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9" spans="1:16" x14ac:dyDescent="0.45">
      <c r="A1419" s="3">
        <v>45304.416666666664</v>
      </c>
      <c r="B1419" t="s">
        <v>0</v>
      </c>
      <c r="C1419">
        <v>13</v>
      </c>
      <c r="D1419">
        <v>2009</v>
      </c>
      <c r="E1419" t="s">
        <v>15</v>
      </c>
      <c r="F1419">
        <v>30</v>
      </c>
      <c r="G1419">
        <v>6300</v>
      </c>
      <c r="H1419">
        <v>189000</v>
      </c>
      <c r="I1419" s="3">
        <v>45305.083333333336</v>
      </c>
      <c r="J1419">
        <v>132</v>
      </c>
      <c r="K1419" s="3">
        <v>45309.583333333336</v>
      </c>
      <c r="L1419" s="4">
        <f>ROUNDDOWN(Table1[[#This Row],[Ordered]],0)</f>
        <v>45304</v>
      </c>
      <c r="M1419" s="4">
        <f>Table1[[#This Row],[Date ]]</f>
        <v>45304</v>
      </c>
      <c r="N1419" s="5">
        <f>Table1[[#This Row],[Ordered]]-Table1[[#This Row],[Date ]]</f>
        <v>0.41666666666424135</v>
      </c>
      <c r="O1419">
        <f>Table1[[#This Row],[Company]]</f>
        <v>13</v>
      </c>
      <c r="P14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0" spans="1:16" x14ac:dyDescent="0.45">
      <c r="A1420" s="3">
        <v>45304.416666666664</v>
      </c>
      <c r="B1420" t="s">
        <v>0</v>
      </c>
      <c r="C1420">
        <v>13</v>
      </c>
      <c r="D1420">
        <v>2009</v>
      </c>
      <c r="E1420" t="s">
        <v>16</v>
      </c>
      <c r="F1420">
        <v>30</v>
      </c>
      <c r="G1420">
        <v>3500</v>
      </c>
      <c r="H1420">
        <v>105000</v>
      </c>
      <c r="I1420" s="3">
        <v>45305.083333333336</v>
      </c>
      <c r="J1420">
        <v>132</v>
      </c>
      <c r="K1420" s="3">
        <v>45309.583333333336</v>
      </c>
      <c r="L1420" s="4">
        <f>ROUNDDOWN(Table1[[#This Row],[Ordered]],0)</f>
        <v>45304</v>
      </c>
      <c r="M1420" s="4">
        <f>Table1[[#This Row],[Date ]]</f>
        <v>45304</v>
      </c>
      <c r="N1420" s="5">
        <f>Table1[[#This Row],[Ordered]]-Table1[[#This Row],[Date ]]</f>
        <v>0.41666666666424135</v>
      </c>
      <c r="O1420">
        <f>Table1[[#This Row],[Company]]</f>
        <v>13</v>
      </c>
      <c r="P14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1" spans="1:16" x14ac:dyDescent="0.45">
      <c r="A1421" s="3">
        <v>45304.416666666664</v>
      </c>
      <c r="B1421" t="s">
        <v>0</v>
      </c>
      <c r="C1421">
        <v>9</v>
      </c>
      <c r="D1421">
        <v>2009</v>
      </c>
      <c r="E1421" t="s">
        <v>16</v>
      </c>
      <c r="F1421">
        <v>30</v>
      </c>
      <c r="G1421">
        <v>3750</v>
      </c>
      <c r="H1421">
        <v>112500</v>
      </c>
      <c r="I1421" s="3">
        <v>45305.25</v>
      </c>
      <c r="J1421">
        <v>132</v>
      </c>
      <c r="K1421" s="3">
        <v>45309.791666666664</v>
      </c>
      <c r="L1421" s="4">
        <f>ROUNDDOWN(Table1[[#This Row],[Ordered]],0)</f>
        <v>45304</v>
      </c>
      <c r="M1421" s="4">
        <f>Table1[[#This Row],[Date ]]</f>
        <v>45304</v>
      </c>
      <c r="N1421" s="5">
        <f>Table1[[#This Row],[Ordered]]-Table1[[#This Row],[Date ]]</f>
        <v>0.41666666666424135</v>
      </c>
      <c r="O1421">
        <f>Table1[[#This Row],[Company]]</f>
        <v>9</v>
      </c>
      <c r="P14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2" spans="1:16" x14ac:dyDescent="0.45">
      <c r="A1422" s="3">
        <v>45304.416666666664</v>
      </c>
      <c r="B1422" t="s">
        <v>0</v>
      </c>
      <c r="C1422">
        <v>8</v>
      </c>
      <c r="D1422">
        <v>2009</v>
      </c>
      <c r="E1422" t="s">
        <v>15</v>
      </c>
      <c r="F1422">
        <v>30</v>
      </c>
      <c r="G1422">
        <v>6200</v>
      </c>
      <c r="H1422">
        <v>186000</v>
      </c>
      <c r="I1422" s="3">
        <v>45305.5</v>
      </c>
      <c r="J1422">
        <v>132</v>
      </c>
      <c r="K1422" s="3">
        <v>45310</v>
      </c>
      <c r="L1422" s="4">
        <f>ROUNDDOWN(Table1[[#This Row],[Ordered]],0)</f>
        <v>45304</v>
      </c>
      <c r="M1422" s="4">
        <f>Table1[[#This Row],[Date ]]</f>
        <v>45304</v>
      </c>
      <c r="N1422" s="5">
        <f>Table1[[#This Row],[Ordered]]-Table1[[#This Row],[Date ]]</f>
        <v>0.41666666666424135</v>
      </c>
      <c r="O1422">
        <f>Table1[[#This Row],[Company]]</f>
        <v>8</v>
      </c>
      <c r="P14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3" spans="1:16" x14ac:dyDescent="0.45">
      <c r="A1423" s="3">
        <v>45304.416666666664</v>
      </c>
      <c r="B1423" t="s">
        <v>0</v>
      </c>
      <c r="C1423">
        <v>8</v>
      </c>
      <c r="D1423">
        <v>2009</v>
      </c>
      <c r="E1423" t="s">
        <v>16</v>
      </c>
      <c r="F1423">
        <v>30</v>
      </c>
      <c r="G1423">
        <v>3800</v>
      </c>
      <c r="H1423">
        <v>114000</v>
      </c>
      <c r="I1423" s="3">
        <v>45308.375</v>
      </c>
      <c r="J1423">
        <v>132</v>
      </c>
      <c r="K1423" s="3">
        <v>45309.875</v>
      </c>
      <c r="L1423" s="4">
        <f>ROUNDDOWN(Table1[[#This Row],[Ordered]],0)</f>
        <v>45304</v>
      </c>
      <c r="M1423" s="4">
        <f>Table1[[#This Row],[Date ]]</f>
        <v>45304</v>
      </c>
      <c r="N1423" s="5">
        <f>Table1[[#This Row],[Ordered]]-Table1[[#This Row],[Date ]]</f>
        <v>0.41666666666424135</v>
      </c>
      <c r="O1423">
        <f>Table1[[#This Row],[Company]]</f>
        <v>8</v>
      </c>
      <c r="P14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4" spans="1:16" x14ac:dyDescent="0.45">
      <c r="A1424" s="3">
        <v>45304.416666666664</v>
      </c>
      <c r="B1424" t="s">
        <v>0</v>
      </c>
      <c r="C1424">
        <v>9</v>
      </c>
      <c r="D1424">
        <v>2009</v>
      </c>
      <c r="E1424" t="s">
        <v>15</v>
      </c>
      <c r="F1424">
        <v>30</v>
      </c>
      <c r="G1424">
        <v>6650</v>
      </c>
      <c r="H1424">
        <v>199500</v>
      </c>
      <c r="I1424" s="3">
        <v>45305.25</v>
      </c>
      <c r="J1424">
        <v>132</v>
      </c>
      <c r="K1424" s="3">
        <v>45309.75</v>
      </c>
      <c r="L1424" s="4">
        <f>ROUNDDOWN(Table1[[#This Row],[Ordered]],0)</f>
        <v>45304</v>
      </c>
      <c r="M1424" s="4">
        <f>Table1[[#This Row],[Date ]]</f>
        <v>45304</v>
      </c>
      <c r="N1424" s="5">
        <f>Table1[[#This Row],[Ordered]]-Table1[[#This Row],[Date ]]</f>
        <v>0.41666666666424135</v>
      </c>
      <c r="O1424">
        <f>Table1[[#This Row],[Company]]</f>
        <v>9</v>
      </c>
      <c r="P14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5" spans="1:16" x14ac:dyDescent="0.45">
      <c r="A1425" s="3">
        <v>45304.458333333336</v>
      </c>
      <c r="B1425" t="s">
        <v>19</v>
      </c>
      <c r="C1425">
        <v>7</v>
      </c>
      <c r="D1425">
        <v>3006</v>
      </c>
      <c r="E1425" t="s">
        <v>16</v>
      </c>
      <c r="F1425">
        <v>5</v>
      </c>
      <c r="G1425">
        <v>4500</v>
      </c>
      <c r="H1425">
        <v>22500</v>
      </c>
      <c r="I1425" s="3">
        <v>45312.333333333336</v>
      </c>
      <c r="J1425">
        <v>288</v>
      </c>
      <c r="K1425" s="3">
        <v>45314.333333333336</v>
      </c>
      <c r="L1425" s="4">
        <f>ROUNDDOWN(Table1[[#This Row],[Ordered]],0)</f>
        <v>45304</v>
      </c>
      <c r="M1425" s="4">
        <f>Table1[[#This Row],[Date ]]</f>
        <v>45304</v>
      </c>
      <c r="N1425" s="5">
        <f>Table1[[#This Row],[Ordered]]-Table1[[#This Row],[Date ]]</f>
        <v>0.45833333333575865</v>
      </c>
      <c r="O1425">
        <f>Table1[[#This Row],[Company]]</f>
        <v>7</v>
      </c>
      <c r="P14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6" spans="1:16" hidden="1" x14ac:dyDescent="0.45">
      <c r="A1426" s="3">
        <v>45304.458333333336</v>
      </c>
      <c r="B1426" t="s">
        <v>12</v>
      </c>
      <c r="C1426">
        <v>2</v>
      </c>
      <c r="D1426">
        <v>15</v>
      </c>
      <c r="E1426" t="s">
        <v>13</v>
      </c>
      <c r="F1426">
        <v>700</v>
      </c>
      <c r="G1426">
        <v>130</v>
      </c>
      <c r="H1426">
        <v>91000</v>
      </c>
      <c r="I1426" s="3">
        <v>45304.583333333336</v>
      </c>
      <c r="J1426">
        <v>72</v>
      </c>
      <c r="K1426" s="3">
        <v>45307.583333333336</v>
      </c>
      <c r="L1426" s="4">
        <f>ROUNDDOWN(Table1[[#This Row],[Ordered]],0)</f>
        <v>45304</v>
      </c>
      <c r="M1426" s="4">
        <f>Table1[[#This Row],[Date ]]</f>
        <v>45304</v>
      </c>
      <c r="N1426" s="5">
        <f>Table1[[#This Row],[Ordered]]-Table1[[#This Row],[Date ]]</f>
        <v>0.45833333333575865</v>
      </c>
      <c r="O1426">
        <f>Table1[[#This Row],[Company]]</f>
        <v>2</v>
      </c>
      <c r="P14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7" spans="1:16" x14ac:dyDescent="0.45">
      <c r="A1427" s="3">
        <v>45304.458333333336</v>
      </c>
      <c r="B1427" t="s">
        <v>19</v>
      </c>
      <c r="C1427">
        <v>7</v>
      </c>
      <c r="D1427">
        <v>3002</v>
      </c>
      <c r="E1427" t="s">
        <v>16</v>
      </c>
      <c r="F1427">
        <v>4</v>
      </c>
      <c r="G1427">
        <v>4500</v>
      </c>
      <c r="H1427">
        <v>18000</v>
      </c>
      <c r="I1427" s="3">
        <v>45313.5</v>
      </c>
      <c r="J1427">
        <v>288</v>
      </c>
      <c r="K1427" s="3">
        <v>45315.5</v>
      </c>
      <c r="L1427" s="4">
        <f>ROUNDDOWN(Table1[[#This Row],[Ordered]],0)</f>
        <v>45304</v>
      </c>
      <c r="M1427" s="4">
        <f>Table1[[#This Row],[Date ]]</f>
        <v>45304</v>
      </c>
      <c r="N1427" s="5">
        <f>Table1[[#This Row],[Ordered]]-Table1[[#This Row],[Date ]]</f>
        <v>0.45833333333575865</v>
      </c>
      <c r="O1427">
        <f>Table1[[#This Row],[Company]]</f>
        <v>7</v>
      </c>
      <c r="P14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8" spans="1:16" x14ac:dyDescent="0.45">
      <c r="A1428" s="3">
        <v>45304.5</v>
      </c>
      <c r="B1428" t="s">
        <v>14</v>
      </c>
      <c r="C1428">
        <v>10</v>
      </c>
      <c r="D1428">
        <v>1008</v>
      </c>
      <c r="E1428" t="s">
        <v>16</v>
      </c>
      <c r="F1428">
        <v>24</v>
      </c>
      <c r="G1428">
        <v>4000</v>
      </c>
      <c r="H1428">
        <v>96000</v>
      </c>
      <c r="I1428" s="3">
        <v>45305.75</v>
      </c>
      <c r="J1428">
        <v>120</v>
      </c>
      <c r="K1428" s="3">
        <v>45308.75</v>
      </c>
      <c r="L1428" s="4">
        <f>ROUNDDOWN(Table1[[#This Row],[Ordered]],0)</f>
        <v>45304</v>
      </c>
      <c r="M1428" s="4">
        <f>Table1[[#This Row],[Date ]]</f>
        <v>45304</v>
      </c>
      <c r="N1428" s="5">
        <f>Table1[[#This Row],[Ordered]]-Table1[[#This Row],[Date ]]</f>
        <v>0.5</v>
      </c>
      <c r="O1428">
        <f>Table1[[#This Row],[Company]]</f>
        <v>10</v>
      </c>
      <c r="P14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9" spans="1:16" x14ac:dyDescent="0.45">
      <c r="A1429" s="3">
        <v>45304.5</v>
      </c>
      <c r="B1429" t="s">
        <v>14</v>
      </c>
      <c r="C1429">
        <v>7</v>
      </c>
      <c r="D1429">
        <v>1008</v>
      </c>
      <c r="E1429" t="s">
        <v>16</v>
      </c>
      <c r="F1429">
        <v>28</v>
      </c>
      <c r="G1429">
        <v>3800</v>
      </c>
      <c r="H1429">
        <v>106400</v>
      </c>
      <c r="I1429" s="3">
        <v>45307</v>
      </c>
      <c r="J1429">
        <v>120</v>
      </c>
      <c r="K1429" s="3">
        <v>45309</v>
      </c>
      <c r="L1429" s="4">
        <f>ROUNDDOWN(Table1[[#This Row],[Ordered]],0)</f>
        <v>45304</v>
      </c>
      <c r="M1429" s="4">
        <f>Table1[[#This Row],[Date ]]</f>
        <v>45304</v>
      </c>
      <c r="N1429" s="5">
        <f>Table1[[#This Row],[Ordered]]-Table1[[#This Row],[Date ]]</f>
        <v>0.5</v>
      </c>
      <c r="O1429">
        <f>Table1[[#This Row],[Company]]</f>
        <v>7</v>
      </c>
      <c r="P14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0" spans="1:16" x14ac:dyDescent="0.45">
      <c r="A1430" s="3">
        <v>45304.5</v>
      </c>
      <c r="B1430" t="s">
        <v>14</v>
      </c>
      <c r="C1430">
        <v>15</v>
      </c>
      <c r="D1430">
        <v>1008</v>
      </c>
      <c r="E1430" t="s">
        <v>16</v>
      </c>
      <c r="F1430">
        <v>50</v>
      </c>
      <c r="G1430">
        <v>3350</v>
      </c>
      <c r="H1430">
        <v>167500</v>
      </c>
      <c r="I1430" s="3">
        <v>45304.666666666664</v>
      </c>
      <c r="J1430">
        <v>92</v>
      </c>
      <c r="K1430" s="3">
        <v>45307.666666666664</v>
      </c>
      <c r="L1430" s="4">
        <f>ROUNDDOWN(Table1[[#This Row],[Ordered]],0)</f>
        <v>45304</v>
      </c>
      <c r="M1430" s="4">
        <f>Table1[[#This Row],[Date ]]</f>
        <v>45304</v>
      </c>
      <c r="N1430" s="5">
        <f>Table1[[#This Row],[Ordered]]-Table1[[#This Row],[Date ]]</f>
        <v>0.5</v>
      </c>
      <c r="O1430">
        <f>Table1[[#This Row],[Company]]</f>
        <v>15</v>
      </c>
      <c r="P14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1" spans="1:16" x14ac:dyDescent="0.45">
      <c r="A1431" s="3">
        <v>45304.5</v>
      </c>
      <c r="B1431" t="s">
        <v>14</v>
      </c>
      <c r="C1431">
        <v>8</v>
      </c>
      <c r="D1431">
        <v>1008</v>
      </c>
      <c r="E1431" t="s">
        <v>16</v>
      </c>
      <c r="F1431">
        <v>37</v>
      </c>
      <c r="G1431">
        <v>3700</v>
      </c>
      <c r="H1431">
        <v>136900</v>
      </c>
      <c r="I1431" s="3">
        <v>45307</v>
      </c>
      <c r="J1431">
        <v>120</v>
      </c>
      <c r="K1431" s="3">
        <v>45309</v>
      </c>
      <c r="L1431" s="4">
        <f>ROUNDDOWN(Table1[[#This Row],[Ordered]],0)</f>
        <v>45304</v>
      </c>
      <c r="M1431" s="4">
        <f>Table1[[#This Row],[Date ]]</f>
        <v>45304</v>
      </c>
      <c r="N1431" s="5">
        <f>Table1[[#This Row],[Ordered]]-Table1[[#This Row],[Date ]]</f>
        <v>0.5</v>
      </c>
      <c r="O1431">
        <f>Table1[[#This Row],[Company]]</f>
        <v>8</v>
      </c>
      <c r="P14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2" spans="1:16" x14ac:dyDescent="0.45">
      <c r="A1432" s="3">
        <v>45304.5</v>
      </c>
      <c r="B1432" t="s">
        <v>14</v>
      </c>
      <c r="C1432">
        <v>11</v>
      </c>
      <c r="D1432">
        <v>1008</v>
      </c>
      <c r="E1432" t="s">
        <v>16</v>
      </c>
      <c r="F1432">
        <v>21</v>
      </c>
      <c r="G1432">
        <v>4100</v>
      </c>
      <c r="H1432">
        <v>86100</v>
      </c>
      <c r="I1432" s="3">
        <v>45304.75</v>
      </c>
      <c r="J1432">
        <v>96</v>
      </c>
      <c r="K1432" s="3">
        <v>45307.75</v>
      </c>
      <c r="L1432" s="4">
        <f>ROUNDDOWN(Table1[[#This Row],[Ordered]],0)</f>
        <v>45304</v>
      </c>
      <c r="M1432" s="4">
        <f>Table1[[#This Row],[Date ]]</f>
        <v>45304</v>
      </c>
      <c r="N1432" s="5">
        <f>Table1[[#This Row],[Ordered]]-Table1[[#This Row],[Date ]]</f>
        <v>0.5</v>
      </c>
      <c r="O1432">
        <f>Table1[[#This Row],[Company]]</f>
        <v>11</v>
      </c>
      <c r="P14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3" spans="1:16" x14ac:dyDescent="0.45">
      <c r="A1433" s="3">
        <v>45304.5</v>
      </c>
      <c r="B1433" t="s">
        <v>14</v>
      </c>
      <c r="C1433">
        <v>13</v>
      </c>
      <c r="D1433">
        <v>1008</v>
      </c>
      <c r="E1433" t="s">
        <v>16</v>
      </c>
      <c r="F1433">
        <v>50</v>
      </c>
      <c r="G1433">
        <v>3500</v>
      </c>
      <c r="H1433">
        <v>175000</v>
      </c>
      <c r="I1433" s="3">
        <v>45306.333333333336</v>
      </c>
      <c r="J1433">
        <v>120</v>
      </c>
      <c r="K1433" s="3">
        <v>45309.333333333336</v>
      </c>
      <c r="L1433" s="4">
        <f>ROUNDDOWN(Table1[[#This Row],[Ordered]],0)</f>
        <v>45304</v>
      </c>
      <c r="M1433" s="4">
        <f>Table1[[#This Row],[Date ]]</f>
        <v>45304</v>
      </c>
      <c r="N1433" s="5">
        <f>Table1[[#This Row],[Ordered]]-Table1[[#This Row],[Date ]]</f>
        <v>0.5</v>
      </c>
      <c r="O1433">
        <f>Table1[[#This Row],[Company]]</f>
        <v>13</v>
      </c>
      <c r="P14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4" spans="1:16" x14ac:dyDescent="0.45">
      <c r="A1434" s="3">
        <v>45304.5</v>
      </c>
      <c r="B1434" t="s">
        <v>14</v>
      </c>
      <c r="C1434">
        <v>16</v>
      </c>
      <c r="D1434">
        <v>1008</v>
      </c>
      <c r="E1434" t="s">
        <v>16</v>
      </c>
      <c r="F1434">
        <v>50</v>
      </c>
      <c r="G1434">
        <v>3650</v>
      </c>
      <c r="H1434">
        <v>182500</v>
      </c>
      <c r="I1434" s="3">
        <v>45305.791666666664</v>
      </c>
      <c r="J1434">
        <v>120</v>
      </c>
      <c r="K1434" s="3">
        <v>45308.791666666664</v>
      </c>
      <c r="L1434" s="4">
        <f>ROUNDDOWN(Table1[[#This Row],[Ordered]],0)</f>
        <v>45304</v>
      </c>
      <c r="M1434" s="4">
        <f>Table1[[#This Row],[Date ]]</f>
        <v>45304</v>
      </c>
      <c r="N1434" s="5">
        <f>Table1[[#This Row],[Ordered]]-Table1[[#This Row],[Date ]]</f>
        <v>0.5</v>
      </c>
      <c r="O1434">
        <f>Table1[[#This Row],[Company]]</f>
        <v>16</v>
      </c>
      <c r="P14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5" spans="1:16" x14ac:dyDescent="0.45">
      <c r="A1435" s="3">
        <v>45304.5</v>
      </c>
      <c r="B1435" t="s">
        <v>14</v>
      </c>
      <c r="C1435">
        <v>14</v>
      </c>
      <c r="D1435">
        <v>1008</v>
      </c>
      <c r="E1435" t="s">
        <v>16</v>
      </c>
      <c r="F1435">
        <v>48</v>
      </c>
      <c r="G1435">
        <v>3650</v>
      </c>
      <c r="H1435">
        <v>175200</v>
      </c>
      <c r="I1435" s="3">
        <v>45305.833333333336</v>
      </c>
      <c r="J1435">
        <v>120</v>
      </c>
      <c r="K1435" s="3">
        <v>45308.833333333336</v>
      </c>
      <c r="L1435" s="4">
        <f>ROUNDDOWN(Table1[[#This Row],[Ordered]],0)</f>
        <v>45304</v>
      </c>
      <c r="M1435" s="4">
        <f>Table1[[#This Row],[Date ]]</f>
        <v>45304</v>
      </c>
      <c r="N1435" s="5">
        <f>Table1[[#This Row],[Ordered]]-Table1[[#This Row],[Date ]]</f>
        <v>0.5</v>
      </c>
      <c r="O1435">
        <f>Table1[[#This Row],[Company]]</f>
        <v>14</v>
      </c>
      <c r="P14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6" spans="1:16" x14ac:dyDescent="0.45">
      <c r="A1436" s="3">
        <v>45304.5</v>
      </c>
      <c r="B1436" t="s">
        <v>14</v>
      </c>
      <c r="C1436">
        <v>12</v>
      </c>
      <c r="D1436">
        <v>1008</v>
      </c>
      <c r="E1436" t="s">
        <v>16</v>
      </c>
      <c r="F1436">
        <v>32</v>
      </c>
      <c r="G1436">
        <v>3700</v>
      </c>
      <c r="H1436">
        <v>118400</v>
      </c>
      <c r="I1436" s="3">
        <v>45305.583333333336</v>
      </c>
      <c r="J1436">
        <v>120</v>
      </c>
      <c r="K1436" s="3">
        <v>45308.583333333336</v>
      </c>
      <c r="L1436" s="4">
        <f>ROUNDDOWN(Table1[[#This Row],[Ordered]],0)</f>
        <v>45304</v>
      </c>
      <c r="M1436" s="4">
        <f>Table1[[#This Row],[Date ]]</f>
        <v>45304</v>
      </c>
      <c r="N1436" s="5">
        <f>Table1[[#This Row],[Ordered]]-Table1[[#This Row],[Date ]]</f>
        <v>0.5</v>
      </c>
      <c r="O1436">
        <f>Table1[[#This Row],[Company]]</f>
        <v>12</v>
      </c>
      <c r="P14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7" spans="1:16" x14ac:dyDescent="0.45">
      <c r="A1437" s="3">
        <v>45304.5</v>
      </c>
      <c r="B1437" t="s">
        <v>14</v>
      </c>
      <c r="C1437">
        <v>9</v>
      </c>
      <c r="D1437">
        <v>1008</v>
      </c>
      <c r="E1437" t="s">
        <v>16</v>
      </c>
      <c r="F1437">
        <v>42</v>
      </c>
      <c r="G1437">
        <v>3650</v>
      </c>
      <c r="H1437">
        <v>153300</v>
      </c>
      <c r="I1437" s="3">
        <v>45306</v>
      </c>
      <c r="J1437">
        <v>120</v>
      </c>
      <c r="K1437" s="3">
        <v>45309</v>
      </c>
      <c r="L1437" s="4">
        <f>ROUNDDOWN(Table1[[#This Row],[Ordered]],0)</f>
        <v>45304</v>
      </c>
      <c r="M1437" s="4">
        <f>Table1[[#This Row],[Date ]]</f>
        <v>45304</v>
      </c>
      <c r="N1437" s="5">
        <f>Table1[[#This Row],[Ordered]]-Table1[[#This Row],[Date ]]</f>
        <v>0.5</v>
      </c>
      <c r="O1437">
        <f>Table1[[#This Row],[Company]]</f>
        <v>9</v>
      </c>
      <c r="P14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8" spans="1:16" x14ac:dyDescent="0.45">
      <c r="A1438" s="3">
        <v>45304.541666666664</v>
      </c>
      <c r="B1438" t="s">
        <v>14</v>
      </c>
      <c r="C1438">
        <v>16</v>
      </c>
      <c r="D1438">
        <v>1005</v>
      </c>
      <c r="E1438" t="s">
        <v>16</v>
      </c>
      <c r="F1438">
        <v>30</v>
      </c>
      <c r="G1438">
        <v>3750</v>
      </c>
      <c r="H1438">
        <v>112500</v>
      </c>
      <c r="I1438" s="3">
        <v>45304.833333333336</v>
      </c>
      <c r="J1438">
        <v>96</v>
      </c>
      <c r="K1438" s="3">
        <v>45307.833333333336</v>
      </c>
      <c r="L1438" s="4">
        <f>ROUNDDOWN(Table1[[#This Row],[Ordered]],0)</f>
        <v>45304</v>
      </c>
      <c r="M1438" s="4">
        <f>Table1[[#This Row],[Date ]]</f>
        <v>45304</v>
      </c>
      <c r="N1438" s="5">
        <f>Table1[[#This Row],[Ordered]]-Table1[[#This Row],[Date ]]</f>
        <v>0.54166666666424135</v>
      </c>
      <c r="O1438">
        <f>Table1[[#This Row],[Company]]</f>
        <v>16</v>
      </c>
      <c r="P14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9" spans="1:16" x14ac:dyDescent="0.45">
      <c r="A1439" s="3">
        <v>45304.541666666664</v>
      </c>
      <c r="B1439" t="s">
        <v>14</v>
      </c>
      <c r="C1439">
        <v>9</v>
      </c>
      <c r="D1439">
        <v>1005</v>
      </c>
      <c r="E1439" t="s">
        <v>16</v>
      </c>
      <c r="F1439">
        <v>15</v>
      </c>
      <c r="G1439">
        <v>3900</v>
      </c>
      <c r="H1439">
        <v>58500</v>
      </c>
      <c r="I1439" s="3">
        <v>45304.541666666664</v>
      </c>
      <c r="J1439">
        <v>72</v>
      </c>
      <c r="K1439" s="3">
        <v>45307.541666666664</v>
      </c>
      <c r="L1439" s="4">
        <f>ROUNDDOWN(Table1[[#This Row],[Ordered]],0)</f>
        <v>45304</v>
      </c>
      <c r="M1439" s="4">
        <f>Table1[[#This Row],[Date ]]</f>
        <v>45304</v>
      </c>
      <c r="N1439" s="5">
        <f>Table1[[#This Row],[Ordered]]-Table1[[#This Row],[Date ]]</f>
        <v>0.54166666666424135</v>
      </c>
      <c r="O1439">
        <f>Table1[[#This Row],[Company]]</f>
        <v>9</v>
      </c>
      <c r="P14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0" spans="1:16" x14ac:dyDescent="0.45">
      <c r="A1440" s="3">
        <v>45304.541666666664</v>
      </c>
      <c r="B1440" t="s">
        <v>14</v>
      </c>
      <c r="C1440">
        <v>14</v>
      </c>
      <c r="D1440">
        <v>1005</v>
      </c>
      <c r="E1440" t="s">
        <v>16</v>
      </c>
      <c r="F1440">
        <v>30</v>
      </c>
      <c r="G1440">
        <v>3750</v>
      </c>
      <c r="H1440">
        <v>112500</v>
      </c>
      <c r="I1440" s="3">
        <v>45305.291666666664</v>
      </c>
      <c r="J1440">
        <v>96</v>
      </c>
      <c r="K1440" s="3">
        <v>45308.291666666664</v>
      </c>
      <c r="L1440" s="4">
        <f>ROUNDDOWN(Table1[[#This Row],[Ordered]],0)</f>
        <v>45304</v>
      </c>
      <c r="M1440" s="4">
        <f>Table1[[#This Row],[Date ]]</f>
        <v>45304</v>
      </c>
      <c r="N1440" s="5">
        <f>Table1[[#This Row],[Ordered]]-Table1[[#This Row],[Date ]]</f>
        <v>0.54166666666424135</v>
      </c>
      <c r="O1440">
        <f>Table1[[#This Row],[Company]]</f>
        <v>14</v>
      </c>
      <c r="P14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1" spans="1:16" x14ac:dyDescent="0.45">
      <c r="A1441" s="3">
        <v>45304.541666666664</v>
      </c>
      <c r="B1441" t="s">
        <v>14</v>
      </c>
      <c r="C1441">
        <v>10</v>
      </c>
      <c r="D1441">
        <v>1005</v>
      </c>
      <c r="E1441" t="s">
        <v>16</v>
      </c>
      <c r="F1441">
        <v>30</v>
      </c>
      <c r="G1441">
        <v>4100</v>
      </c>
      <c r="H1441">
        <v>123000</v>
      </c>
      <c r="I1441" s="3">
        <v>45305.333333333336</v>
      </c>
      <c r="J1441">
        <v>96</v>
      </c>
      <c r="K1441" s="3">
        <v>45308.333333333336</v>
      </c>
      <c r="L1441" s="4">
        <f>ROUNDDOWN(Table1[[#This Row],[Ordered]],0)</f>
        <v>45304</v>
      </c>
      <c r="M1441" s="4">
        <f>Table1[[#This Row],[Date ]]</f>
        <v>45304</v>
      </c>
      <c r="N1441" s="5">
        <f>Table1[[#This Row],[Ordered]]-Table1[[#This Row],[Date ]]</f>
        <v>0.54166666666424135</v>
      </c>
      <c r="O1441">
        <f>Table1[[#This Row],[Company]]</f>
        <v>10</v>
      </c>
      <c r="P14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2" spans="1:16" x14ac:dyDescent="0.45">
      <c r="A1442" s="3">
        <v>45304.541666666664</v>
      </c>
      <c r="B1442" t="s">
        <v>14</v>
      </c>
      <c r="C1442">
        <v>13</v>
      </c>
      <c r="D1442">
        <v>1005</v>
      </c>
      <c r="E1442" t="s">
        <v>16</v>
      </c>
      <c r="F1442">
        <v>30</v>
      </c>
      <c r="G1442">
        <v>3600</v>
      </c>
      <c r="H1442">
        <v>108000</v>
      </c>
      <c r="I1442" s="3">
        <v>45305.208333333336</v>
      </c>
      <c r="J1442">
        <v>96</v>
      </c>
      <c r="K1442" s="3">
        <v>45308.208333333336</v>
      </c>
      <c r="L1442" s="4">
        <f>ROUNDDOWN(Table1[[#This Row],[Ordered]],0)</f>
        <v>45304</v>
      </c>
      <c r="M1442" s="4">
        <f>Table1[[#This Row],[Date ]]</f>
        <v>45304</v>
      </c>
      <c r="N1442" s="5">
        <f>Table1[[#This Row],[Ordered]]-Table1[[#This Row],[Date ]]</f>
        <v>0.54166666666424135</v>
      </c>
      <c r="O1442">
        <f>Table1[[#This Row],[Company]]</f>
        <v>13</v>
      </c>
      <c r="P14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3" spans="1:16" x14ac:dyDescent="0.45">
      <c r="A1443" s="3">
        <v>45304.541666666664</v>
      </c>
      <c r="B1443" t="s">
        <v>14</v>
      </c>
      <c r="C1443">
        <v>12</v>
      </c>
      <c r="D1443">
        <v>1005</v>
      </c>
      <c r="E1443" t="s">
        <v>16</v>
      </c>
      <c r="F1443">
        <v>15</v>
      </c>
      <c r="G1443">
        <v>4000</v>
      </c>
      <c r="H1443">
        <v>60000</v>
      </c>
      <c r="I1443" s="3">
        <v>45305.583333333336</v>
      </c>
      <c r="J1443">
        <v>60</v>
      </c>
      <c r="K1443" s="3">
        <v>45306.583333333336</v>
      </c>
      <c r="L1443" s="4">
        <f>ROUNDDOWN(Table1[[#This Row],[Ordered]],0)</f>
        <v>45304</v>
      </c>
      <c r="M1443" s="4">
        <f>Table1[[#This Row],[Date ]]</f>
        <v>45304</v>
      </c>
      <c r="N1443" s="5">
        <f>Table1[[#This Row],[Ordered]]-Table1[[#This Row],[Date ]]</f>
        <v>0.54166666666424135</v>
      </c>
      <c r="O1443">
        <f>Table1[[#This Row],[Company]]</f>
        <v>12</v>
      </c>
      <c r="P14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4" spans="1:16" x14ac:dyDescent="0.45">
      <c r="A1444" s="3">
        <v>45304.541666666664</v>
      </c>
      <c r="B1444" t="s">
        <v>14</v>
      </c>
      <c r="C1444">
        <v>7</v>
      </c>
      <c r="D1444">
        <v>1005</v>
      </c>
      <c r="E1444" t="s">
        <v>16</v>
      </c>
      <c r="F1444">
        <v>30</v>
      </c>
      <c r="G1444">
        <v>3850</v>
      </c>
      <c r="H1444">
        <v>115500</v>
      </c>
      <c r="I1444" s="3">
        <v>45306.791666666664</v>
      </c>
      <c r="J1444">
        <v>96</v>
      </c>
      <c r="K1444" s="3">
        <v>45307.791666666664</v>
      </c>
      <c r="L1444" s="4">
        <f>ROUNDDOWN(Table1[[#This Row],[Ordered]],0)</f>
        <v>45304</v>
      </c>
      <c r="M1444" s="4">
        <f>Table1[[#This Row],[Date ]]</f>
        <v>45304</v>
      </c>
      <c r="N1444" s="5">
        <f>Table1[[#This Row],[Ordered]]-Table1[[#This Row],[Date ]]</f>
        <v>0.54166666666424135</v>
      </c>
      <c r="O1444">
        <f>Table1[[#This Row],[Company]]</f>
        <v>7</v>
      </c>
      <c r="P14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5" spans="1:16" x14ac:dyDescent="0.45">
      <c r="A1445" s="3">
        <v>45304.541666666664</v>
      </c>
      <c r="B1445" t="s">
        <v>14</v>
      </c>
      <c r="C1445">
        <v>8</v>
      </c>
      <c r="D1445">
        <v>1005</v>
      </c>
      <c r="E1445" t="s">
        <v>16</v>
      </c>
      <c r="F1445">
        <v>30</v>
      </c>
      <c r="G1445">
        <v>3800</v>
      </c>
      <c r="H1445">
        <v>114000</v>
      </c>
      <c r="I1445" s="3">
        <v>45307</v>
      </c>
      <c r="J1445">
        <v>96</v>
      </c>
      <c r="K1445" s="3">
        <v>45308</v>
      </c>
      <c r="L1445" s="4">
        <f>ROUNDDOWN(Table1[[#This Row],[Ordered]],0)</f>
        <v>45304</v>
      </c>
      <c r="M1445" s="4">
        <f>Table1[[#This Row],[Date ]]</f>
        <v>45304</v>
      </c>
      <c r="N1445" s="5">
        <f>Table1[[#This Row],[Ordered]]-Table1[[#This Row],[Date ]]</f>
        <v>0.54166666666424135</v>
      </c>
      <c r="O1445">
        <f>Table1[[#This Row],[Company]]</f>
        <v>8</v>
      </c>
      <c r="P14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6" spans="1:16" x14ac:dyDescent="0.45">
      <c r="A1446" s="3">
        <v>45304.541666666664</v>
      </c>
      <c r="B1446" t="s">
        <v>14</v>
      </c>
      <c r="C1446">
        <v>11</v>
      </c>
      <c r="D1446">
        <v>1005</v>
      </c>
      <c r="E1446" t="s">
        <v>16</v>
      </c>
      <c r="F1446">
        <v>33</v>
      </c>
      <c r="G1446">
        <v>4100</v>
      </c>
      <c r="H1446">
        <v>135300</v>
      </c>
      <c r="I1446" s="3">
        <v>45304.791666666664</v>
      </c>
      <c r="J1446">
        <v>96</v>
      </c>
      <c r="K1446" s="3">
        <v>45307.791666666664</v>
      </c>
      <c r="L1446" s="4">
        <f>ROUNDDOWN(Table1[[#This Row],[Ordered]],0)</f>
        <v>45304</v>
      </c>
      <c r="M1446" s="4">
        <f>Table1[[#This Row],[Date ]]</f>
        <v>45304</v>
      </c>
      <c r="N1446" s="5">
        <f>Table1[[#This Row],[Ordered]]-Table1[[#This Row],[Date ]]</f>
        <v>0.54166666666424135</v>
      </c>
      <c r="O1446">
        <f>Table1[[#This Row],[Company]]</f>
        <v>11</v>
      </c>
      <c r="P14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7" spans="1:16" x14ac:dyDescent="0.45">
      <c r="A1447" s="3">
        <v>45304.541666666664</v>
      </c>
      <c r="B1447" t="s">
        <v>14</v>
      </c>
      <c r="C1447">
        <v>15</v>
      </c>
      <c r="D1447">
        <v>1005</v>
      </c>
      <c r="E1447" t="s">
        <v>16</v>
      </c>
      <c r="F1447">
        <v>50</v>
      </c>
      <c r="G1447">
        <v>3350</v>
      </c>
      <c r="H1447">
        <v>167500</v>
      </c>
      <c r="I1447" s="3">
        <v>45304.666666666664</v>
      </c>
      <c r="J1447">
        <v>92</v>
      </c>
      <c r="K1447" s="3">
        <v>45307.666666666664</v>
      </c>
      <c r="L1447" s="4">
        <f>ROUNDDOWN(Table1[[#This Row],[Ordered]],0)</f>
        <v>45304</v>
      </c>
      <c r="M1447" s="4">
        <f>Table1[[#This Row],[Date ]]</f>
        <v>45304</v>
      </c>
      <c r="N1447" s="5">
        <f>Table1[[#This Row],[Ordered]]-Table1[[#This Row],[Date ]]</f>
        <v>0.54166666666424135</v>
      </c>
      <c r="O1447">
        <f>Table1[[#This Row],[Company]]</f>
        <v>15</v>
      </c>
      <c r="P14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8" spans="1:16" hidden="1" x14ac:dyDescent="0.45">
      <c r="A1448" s="3">
        <v>45304.708333333336</v>
      </c>
      <c r="B1448" t="s">
        <v>12</v>
      </c>
      <c r="C1448">
        <v>6</v>
      </c>
      <c r="D1448">
        <v>15</v>
      </c>
      <c r="E1448" t="s">
        <v>17</v>
      </c>
      <c r="F1448">
        <v>317</v>
      </c>
      <c r="G1448">
        <v>1200</v>
      </c>
      <c r="H1448">
        <v>380400</v>
      </c>
      <c r="I1448" s="3">
        <v>45304.833333333336</v>
      </c>
      <c r="J1448">
        <v>72</v>
      </c>
      <c r="K1448" s="3">
        <v>45307.833333333336</v>
      </c>
      <c r="L1448" s="4">
        <f>ROUNDDOWN(Table1[[#This Row],[Ordered]],0)</f>
        <v>45304</v>
      </c>
      <c r="M1448" s="4">
        <f>Table1[[#This Row],[Date ]]</f>
        <v>45304</v>
      </c>
      <c r="N1448" s="5">
        <f>Table1[[#This Row],[Ordered]]-Table1[[#This Row],[Date ]]</f>
        <v>0.70833333333575865</v>
      </c>
      <c r="O1448">
        <f>Table1[[#This Row],[Company]]</f>
        <v>6</v>
      </c>
      <c r="P14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9" spans="1:16" hidden="1" x14ac:dyDescent="0.45">
      <c r="A1449" s="3">
        <v>45304.708333333336</v>
      </c>
      <c r="B1449" t="s">
        <v>12</v>
      </c>
      <c r="C1449">
        <v>6</v>
      </c>
      <c r="D1449">
        <v>15</v>
      </c>
      <c r="E1449" t="s">
        <v>17</v>
      </c>
      <c r="F1449">
        <v>317</v>
      </c>
      <c r="G1449">
        <v>1200</v>
      </c>
      <c r="H1449">
        <v>380400</v>
      </c>
      <c r="I1449" s="3">
        <v>45304.833333333336</v>
      </c>
      <c r="J1449">
        <v>72</v>
      </c>
      <c r="K1449" s="3">
        <v>45307.833333333336</v>
      </c>
      <c r="L1449" s="4">
        <f>ROUNDDOWN(Table1[[#This Row],[Ordered]],0)</f>
        <v>45304</v>
      </c>
      <c r="M1449" s="4">
        <f>Table1[[#This Row],[Date ]]</f>
        <v>45304</v>
      </c>
      <c r="N1449" s="5">
        <f>Table1[[#This Row],[Ordered]]-Table1[[#This Row],[Date ]]</f>
        <v>0.70833333333575865</v>
      </c>
      <c r="O1449">
        <f>Table1[[#This Row],[Company]]</f>
        <v>6</v>
      </c>
      <c r="P14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0" spans="1:16" hidden="1" x14ac:dyDescent="0.45">
      <c r="A1450" s="3">
        <v>45304.708333333336</v>
      </c>
      <c r="B1450" t="s">
        <v>12</v>
      </c>
      <c r="C1450">
        <v>6</v>
      </c>
      <c r="D1450">
        <v>15</v>
      </c>
      <c r="E1450" t="s">
        <v>17</v>
      </c>
      <c r="F1450">
        <v>317</v>
      </c>
      <c r="G1450">
        <v>1200</v>
      </c>
      <c r="H1450">
        <v>380400</v>
      </c>
      <c r="I1450" s="3">
        <v>45304.833333333336</v>
      </c>
      <c r="J1450">
        <v>72</v>
      </c>
      <c r="K1450" s="3">
        <v>45307.833333333336</v>
      </c>
      <c r="L1450" s="4">
        <f>ROUNDDOWN(Table1[[#This Row],[Ordered]],0)</f>
        <v>45304</v>
      </c>
      <c r="M1450" s="4">
        <f>Table1[[#This Row],[Date ]]</f>
        <v>45304</v>
      </c>
      <c r="N1450" s="5">
        <f>Table1[[#This Row],[Ordered]]-Table1[[#This Row],[Date ]]</f>
        <v>0.70833333333575865</v>
      </c>
      <c r="O1450">
        <f>Table1[[#This Row],[Company]]</f>
        <v>6</v>
      </c>
      <c r="P14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1" spans="1:16" hidden="1" x14ac:dyDescent="0.45">
      <c r="A1451" s="3">
        <v>45304.75</v>
      </c>
      <c r="B1451" t="s">
        <v>12</v>
      </c>
      <c r="C1451">
        <v>4</v>
      </c>
      <c r="D1451">
        <v>11</v>
      </c>
      <c r="E1451" t="s">
        <v>17</v>
      </c>
      <c r="F1451">
        <v>200</v>
      </c>
      <c r="G1451">
        <v>1330</v>
      </c>
      <c r="H1451">
        <v>266000</v>
      </c>
      <c r="I1451" s="3">
        <v>45304.791666666664</v>
      </c>
      <c r="J1451">
        <v>24</v>
      </c>
      <c r="K1451" s="3">
        <v>45305.791666666664</v>
      </c>
      <c r="L1451" s="4">
        <f>ROUNDDOWN(Table1[[#This Row],[Ordered]],0)</f>
        <v>45304</v>
      </c>
      <c r="M1451" s="4">
        <f>Table1[[#This Row],[Date ]]</f>
        <v>45304</v>
      </c>
      <c r="N1451" s="5">
        <f>Table1[[#This Row],[Ordered]]-Table1[[#This Row],[Date ]]</f>
        <v>0.75</v>
      </c>
      <c r="O1451">
        <f>Table1[[#This Row],[Company]]</f>
        <v>4</v>
      </c>
      <c r="P14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2" spans="1:16" hidden="1" x14ac:dyDescent="0.45">
      <c r="A1452" s="3">
        <v>45304.791666666664</v>
      </c>
      <c r="B1452" t="s">
        <v>12</v>
      </c>
      <c r="C1452">
        <v>6</v>
      </c>
      <c r="D1452">
        <v>14</v>
      </c>
      <c r="E1452" t="s">
        <v>13</v>
      </c>
      <c r="F1452">
        <v>4500</v>
      </c>
      <c r="G1452">
        <v>100</v>
      </c>
      <c r="H1452">
        <v>450000</v>
      </c>
      <c r="I1452" s="3">
        <v>45304.791666666664</v>
      </c>
      <c r="J1452">
        <v>72</v>
      </c>
      <c r="K1452" s="3">
        <v>45307.791666666664</v>
      </c>
      <c r="L1452" s="4">
        <f>ROUNDDOWN(Table1[[#This Row],[Ordered]],0)</f>
        <v>45304</v>
      </c>
      <c r="M1452" s="4">
        <f>Table1[[#This Row],[Date ]]</f>
        <v>45304</v>
      </c>
      <c r="N1452" s="5">
        <f>Table1[[#This Row],[Ordered]]-Table1[[#This Row],[Date ]]</f>
        <v>0.79166666666424135</v>
      </c>
      <c r="O1452">
        <f>Table1[[#This Row],[Company]]</f>
        <v>6</v>
      </c>
      <c r="P14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3" spans="1:16" x14ac:dyDescent="0.45">
      <c r="A1453" s="3">
        <v>45304.875</v>
      </c>
      <c r="B1453" t="s">
        <v>14</v>
      </c>
      <c r="C1453">
        <v>8</v>
      </c>
      <c r="D1453">
        <v>1005</v>
      </c>
      <c r="E1453" t="s">
        <v>15</v>
      </c>
      <c r="F1453">
        <v>14</v>
      </c>
      <c r="G1453">
        <v>5800</v>
      </c>
      <c r="H1453">
        <v>81200</v>
      </c>
      <c r="I1453" s="3">
        <v>45305.708333333336</v>
      </c>
      <c r="J1453">
        <v>96</v>
      </c>
      <c r="K1453" s="3">
        <v>45308.708333333336</v>
      </c>
      <c r="L1453" s="4">
        <f>ROUNDDOWN(Table1[[#This Row],[Ordered]],0)</f>
        <v>45304</v>
      </c>
      <c r="M1453" s="4">
        <f>Table1[[#This Row],[Date ]]</f>
        <v>45304</v>
      </c>
      <c r="N1453" s="5">
        <f>Table1[[#This Row],[Ordered]]-Table1[[#This Row],[Date ]]</f>
        <v>0.875</v>
      </c>
      <c r="O1453">
        <f>Table1[[#This Row],[Company]]</f>
        <v>8</v>
      </c>
      <c r="P14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4" spans="1:16" x14ac:dyDescent="0.45">
      <c r="A1454" s="3">
        <v>45304.875</v>
      </c>
      <c r="B1454" t="s">
        <v>14</v>
      </c>
      <c r="C1454">
        <v>13</v>
      </c>
      <c r="D1454">
        <v>1005</v>
      </c>
      <c r="E1454" t="s">
        <v>15</v>
      </c>
      <c r="F1454">
        <v>8</v>
      </c>
      <c r="G1454">
        <v>6300</v>
      </c>
      <c r="H1454">
        <v>50400</v>
      </c>
      <c r="I1454" s="3">
        <v>45305.583333333336</v>
      </c>
      <c r="J1454">
        <v>96</v>
      </c>
      <c r="K1454" s="3">
        <v>45308.583333333336</v>
      </c>
      <c r="L1454" s="4">
        <f>ROUNDDOWN(Table1[[#This Row],[Ordered]],0)</f>
        <v>45304</v>
      </c>
      <c r="M1454" s="4">
        <f>Table1[[#This Row],[Date ]]</f>
        <v>45304</v>
      </c>
      <c r="N1454" s="5">
        <f>Table1[[#This Row],[Ordered]]-Table1[[#This Row],[Date ]]</f>
        <v>0.875</v>
      </c>
      <c r="O1454">
        <f>Table1[[#This Row],[Company]]</f>
        <v>13</v>
      </c>
      <c r="P14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5" spans="1:16" x14ac:dyDescent="0.45">
      <c r="A1455" s="3">
        <v>45304.875</v>
      </c>
      <c r="B1455" t="s">
        <v>14</v>
      </c>
      <c r="C1455">
        <v>16</v>
      </c>
      <c r="D1455">
        <v>1005</v>
      </c>
      <c r="E1455" t="s">
        <v>15</v>
      </c>
      <c r="F1455">
        <v>9</v>
      </c>
      <c r="G1455">
        <v>6650</v>
      </c>
      <c r="H1455">
        <v>59850</v>
      </c>
      <c r="I1455" s="3">
        <v>45305.208333333336</v>
      </c>
      <c r="J1455">
        <v>96</v>
      </c>
      <c r="K1455" s="3">
        <v>45308.208333333336</v>
      </c>
      <c r="L1455" s="4">
        <f>ROUNDDOWN(Table1[[#This Row],[Ordered]],0)</f>
        <v>45304</v>
      </c>
      <c r="M1455" s="4">
        <f>Table1[[#This Row],[Date ]]</f>
        <v>45304</v>
      </c>
      <c r="N1455" s="5">
        <f>Table1[[#This Row],[Ordered]]-Table1[[#This Row],[Date ]]</f>
        <v>0.875</v>
      </c>
      <c r="O1455">
        <f>Table1[[#This Row],[Company]]</f>
        <v>16</v>
      </c>
      <c r="P14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6" spans="1:16" x14ac:dyDescent="0.45">
      <c r="A1456" s="3">
        <v>45304.875</v>
      </c>
      <c r="B1456" t="s">
        <v>14</v>
      </c>
      <c r="C1456">
        <v>7</v>
      </c>
      <c r="D1456">
        <v>1005</v>
      </c>
      <c r="E1456" t="s">
        <v>15</v>
      </c>
      <c r="F1456">
        <v>6</v>
      </c>
      <c r="G1456">
        <v>6850</v>
      </c>
      <c r="H1456">
        <v>41100</v>
      </c>
      <c r="I1456" s="3">
        <v>45307.541666666664</v>
      </c>
      <c r="J1456">
        <v>96</v>
      </c>
      <c r="K1456" s="3">
        <v>45308.541666666664</v>
      </c>
      <c r="L1456" s="4">
        <f>ROUNDDOWN(Table1[[#This Row],[Ordered]],0)</f>
        <v>45304</v>
      </c>
      <c r="M1456" s="4">
        <f>Table1[[#This Row],[Date ]]</f>
        <v>45304</v>
      </c>
      <c r="N1456" s="5">
        <f>Table1[[#This Row],[Ordered]]-Table1[[#This Row],[Date ]]</f>
        <v>0.875</v>
      </c>
      <c r="O1456">
        <f>Table1[[#This Row],[Company]]</f>
        <v>7</v>
      </c>
      <c r="P14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7" spans="1:16" x14ac:dyDescent="0.45">
      <c r="A1457" s="3">
        <v>45304.875</v>
      </c>
      <c r="B1457" t="s">
        <v>14</v>
      </c>
      <c r="C1457">
        <v>12</v>
      </c>
      <c r="D1457">
        <v>1005</v>
      </c>
      <c r="E1457" t="s">
        <v>15</v>
      </c>
      <c r="F1457">
        <v>11</v>
      </c>
      <c r="G1457">
        <v>6900</v>
      </c>
      <c r="H1457">
        <v>75900</v>
      </c>
      <c r="I1457" s="3">
        <v>45304.875</v>
      </c>
      <c r="J1457">
        <v>84</v>
      </c>
      <c r="K1457" s="3">
        <v>45307.875</v>
      </c>
      <c r="L1457" s="4">
        <f>ROUNDDOWN(Table1[[#This Row],[Ordered]],0)</f>
        <v>45304</v>
      </c>
      <c r="M1457" s="4">
        <f>Table1[[#This Row],[Date ]]</f>
        <v>45304</v>
      </c>
      <c r="N1457" s="5">
        <f>Table1[[#This Row],[Ordered]]-Table1[[#This Row],[Date ]]</f>
        <v>0.875</v>
      </c>
      <c r="O1457">
        <f>Table1[[#This Row],[Company]]</f>
        <v>12</v>
      </c>
      <c r="P14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8" spans="1:16" x14ac:dyDescent="0.45">
      <c r="A1458" s="3">
        <v>45304.875</v>
      </c>
      <c r="B1458" t="s">
        <v>14</v>
      </c>
      <c r="C1458">
        <v>15</v>
      </c>
      <c r="D1458">
        <v>1005</v>
      </c>
      <c r="E1458" t="s">
        <v>15</v>
      </c>
      <c r="F1458">
        <v>17</v>
      </c>
      <c r="G1458">
        <v>6000</v>
      </c>
      <c r="H1458">
        <v>102000</v>
      </c>
      <c r="I1458" s="3">
        <v>45305.083333333336</v>
      </c>
      <c r="J1458">
        <v>68</v>
      </c>
      <c r="K1458" s="3">
        <v>45307.125</v>
      </c>
      <c r="L1458" s="4">
        <f>ROUNDDOWN(Table1[[#This Row],[Ordered]],0)</f>
        <v>45304</v>
      </c>
      <c r="M1458" s="4">
        <f>Table1[[#This Row],[Date ]]</f>
        <v>45304</v>
      </c>
      <c r="N1458" s="5">
        <f>Table1[[#This Row],[Ordered]]-Table1[[#This Row],[Date ]]</f>
        <v>0.875</v>
      </c>
      <c r="O1458">
        <f>Table1[[#This Row],[Company]]</f>
        <v>15</v>
      </c>
      <c r="P14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9" spans="1:16" x14ac:dyDescent="0.45">
      <c r="A1459" s="3">
        <v>45304.875</v>
      </c>
      <c r="B1459" t="s">
        <v>14</v>
      </c>
      <c r="C1459">
        <v>14</v>
      </c>
      <c r="D1459">
        <v>1005</v>
      </c>
      <c r="E1459" t="s">
        <v>15</v>
      </c>
      <c r="F1459">
        <v>5</v>
      </c>
      <c r="G1459">
        <v>6650</v>
      </c>
      <c r="H1459">
        <v>33250</v>
      </c>
      <c r="I1459" s="3">
        <v>45305.25</v>
      </c>
      <c r="J1459">
        <v>96</v>
      </c>
      <c r="K1459" s="3">
        <v>45308.25</v>
      </c>
      <c r="L1459" s="4">
        <f>ROUNDDOWN(Table1[[#This Row],[Ordered]],0)</f>
        <v>45304</v>
      </c>
      <c r="M1459" s="4">
        <f>Table1[[#This Row],[Date ]]</f>
        <v>45304</v>
      </c>
      <c r="N1459" s="5">
        <f>Table1[[#This Row],[Ordered]]-Table1[[#This Row],[Date ]]</f>
        <v>0.875</v>
      </c>
      <c r="O1459">
        <f>Table1[[#This Row],[Company]]</f>
        <v>14</v>
      </c>
      <c r="P14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0" spans="1:16" hidden="1" x14ac:dyDescent="0.45">
      <c r="A1460" s="3">
        <v>45305.041666666664</v>
      </c>
      <c r="B1460" t="s">
        <v>12</v>
      </c>
      <c r="C1460">
        <v>1</v>
      </c>
      <c r="D1460">
        <v>10</v>
      </c>
      <c r="E1460" t="s">
        <v>17</v>
      </c>
      <c r="F1460">
        <v>300</v>
      </c>
      <c r="G1460">
        <v>1500</v>
      </c>
      <c r="H1460">
        <v>450000</v>
      </c>
      <c r="I1460" s="3">
        <v>45305.083333333336</v>
      </c>
      <c r="J1460">
        <v>24</v>
      </c>
      <c r="K1460" s="3">
        <v>45306.083333333336</v>
      </c>
      <c r="L1460" s="4">
        <f>ROUNDDOWN(Table1[[#This Row],[Ordered]],0)</f>
        <v>45305</v>
      </c>
      <c r="M1460" s="4">
        <f>Table1[[#This Row],[Date ]]</f>
        <v>45305</v>
      </c>
      <c r="N1460" s="5">
        <f>Table1[[#This Row],[Ordered]]-Table1[[#This Row],[Date ]]</f>
        <v>4.1666666664241347E-2</v>
      </c>
      <c r="O1460">
        <f>Table1[[#This Row],[Company]]</f>
        <v>1</v>
      </c>
      <c r="P14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1" spans="1:16" hidden="1" x14ac:dyDescent="0.45">
      <c r="A1461" s="3">
        <v>45305.125</v>
      </c>
      <c r="B1461" t="s">
        <v>12</v>
      </c>
      <c r="C1461">
        <v>4</v>
      </c>
      <c r="D1461">
        <v>9</v>
      </c>
      <c r="E1461" t="s">
        <v>13</v>
      </c>
      <c r="F1461">
        <v>1000</v>
      </c>
      <c r="G1461">
        <v>110</v>
      </c>
      <c r="H1461">
        <v>110000</v>
      </c>
      <c r="I1461" s="3">
        <v>45305.333333333336</v>
      </c>
      <c r="J1461">
        <v>48</v>
      </c>
      <c r="K1461" s="3">
        <v>45307.333333333336</v>
      </c>
      <c r="L1461" s="4">
        <f>ROUNDDOWN(Table1[[#This Row],[Ordered]],0)</f>
        <v>45305</v>
      </c>
      <c r="M1461" s="4">
        <f>Table1[[#This Row],[Date ]]</f>
        <v>45305</v>
      </c>
      <c r="N1461" s="5">
        <f>Table1[[#This Row],[Ordered]]-Table1[[#This Row],[Date ]]</f>
        <v>0.125</v>
      </c>
      <c r="O1461">
        <f>Table1[[#This Row],[Company]]</f>
        <v>4</v>
      </c>
      <c r="P14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2" spans="1:16" x14ac:dyDescent="0.45">
      <c r="A1462" s="3">
        <v>45305.125</v>
      </c>
      <c r="B1462" t="s">
        <v>14</v>
      </c>
      <c r="C1462">
        <v>15</v>
      </c>
      <c r="D1462">
        <v>1008</v>
      </c>
      <c r="E1462" t="s">
        <v>15</v>
      </c>
      <c r="F1462">
        <v>20</v>
      </c>
      <c r="G1462">
        <v>6000</v>
      </c>
      <c r="H1462">
        <v>120000</v>
      </c>
      <c r="I1462" s="3">
        <v>45305.291666666664</v>
      </c>
      <c r="J1462">
        <v>68</v>
      </c>
      <c r="K1462" s="3">
        <v>45307.291666666664</v>
      </c>
      <c r="L1462" s="4">
        <f>ROUNDDOWN(Table1[[#This Row],[Ordered]],0)</f>
        <v>45305</v>
      </c>
      <c r="M1462" s="4">
        <f>Table1[[#This Row],[Date ]]</f>
        <v>45305</v>
      </c>
      <c r="N1462" s="5">
        <f>Table1[[#This Row],[Ordered]]-Table1[[#This Row],[Date ]]</f>
        <v>0.125</v>
      </c>
      <c r="O1462">
        <f>Table1[[#This Row],[Company]]</f>
        <v>15</v>
      </c>
      <c r="P14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3" spans="1:16" hidden="1" x14ac:dyDescent="0.45">
      <c r="A1463" s="3">
        <v>45305.125</v>
      </c>
      <c r="B1463" t="s">
        <v>12</v>
      </c>
      <c r="C1463">
        <v>3</v>
      </c>
      <c r="D1463">
        <v>12</v>
      </c>
      <c r="E1463" t="s">
        <v>17</v>
      </c>
      <c r="F1463">
        <v>500</v>
      </c>
      <c r="G1463">
        <v>1200</v>
      </c>
      <c r="H1463">
        <v>600000</v>
      </c>
      <c r="I1463" s="3">
        <v>45305.125</v>
      </c>
      <c r="J1463">
        <v>72</v>
      </c>
      <c r="K1463" s="3">
        <v>45308.125</v>
      </c>
      <c r="L1463" s="4">
        <f>ROUNDDOWN(Table1[[#This Row],[Ordered]],0)</f>
        <v>45305</v>
      </c>
      <c r="M1463" s="4">
        <f>Table1[[#This Row],[Date ]]</f>
        <v>45305</v>
      </c>
      <c r="N1463" s="5">
        <f>Table1[[#This Row],[Ordered]]-Table1[[#This Row],[Date ]]</f>
        <v>0.125</v>
      </c>
      <c r="O1463">
        <f>Table1[[#This Row],[Company]]</f>
        <v>3</v>
      </c>
      <c r="P14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4" spans="1:16" x14ac:dyDescent="0.45">
      <c r="A1464" s="3">
        <v>45305.166666666664</v>
      </c>
      <c r="B1464" t="s">
        <v>14</v>
      </c>
      <c r="C1464">
        <v>8</v>
      </c>
      <c r="D1464">
        <v>1002</v>
      </c>
      <c r="E1464" t="s">
        <v>16</v>
      </c>
      <c r="F1464">
        <v>19</v>
      </c>
      <c r="G1464">
        <v>3800</v>
      </c>
      <c r="H1464">
        <v>72200</v>
      </c>
      <c r="I1464" s="3">
        <v>45307.375</v>
      </c>
      <c r="J1464">
        <v>96</v>
      </c>
      <c r="K1464" s="3">
        <v>45308.375</v>
      </c>
      <c r="L1464" s="4">
        <f>ROUNDDOWN(Table1[[#This Row],[Ordered]],0)</f>
        <v>45305</v>
      </c>
      <c r="M1464" s="4">
        <f>Table1[[#This Row],[Date ]]</f>
        <v>45305</v>
      </c>
      <c r="N1464" s="5">
        <f>Table1[[#This Row],[Ordered]]-Table1[[#This Row],[Date ]]</f>
        <v>0.16666666666424135</v>
      </c>
      <c r="O1464">
        <f>Table1[[#This Row],[Company]]</f>
        <v>8</v>
      </c>
      <c r="P14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5" spans="1:16" x14ac:dyDescent="0.45">
      <c r="A1465" s="3">
        <v>45305.166666666664</v>
      </c>
      <c r="B1465" t="s">
        <v>14</v>
      </c>
      <c r="C1465">
        <v>7</v>
      </c>
      <c r="D1465">
        <v>1002</v>
      </c>
      <c r="E1465" t="s">
        <v>16</v>
      </c>
      <c r="F1465">
        <v>22</v>
      </c>
      <c r="G1465">
        <v>3850</v>
      </c>
      <c r="H1465">
        <v>84700</v>
      </c>
      <c r="I1465" s="3">
        <v>45307.833333333336</v>
      </c>
      <c r="J1465">
        <v>96</v>
      </c>
      <c r="K1465" s="3">
        <v>45308.833333333336</v>
      </c>
      <c r="L1465" s="4">
        <f>ROUNDDOWN(Table1[[#This Row],[Ordered]],0)</f>
        <v>45305</v>
      </c>
      <c r="M1465" s="4">
        <f>Table1[[#This Row],[Date ]]</f>
        <v>45305</v>
      </c>
      <c r="N1465" s="5">
        <f>Table1[[#This Row],[Ordered]]-Table1[[#This Row],[Date ]]</f>
        <v>0.16666666666424135</v>
      </c>
      <c r="O1465">
        <f>Table1[[#This Row],[Company]]</f>
        <v>7</v>
      </c>
      <c r="P14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6" spans="1:16" x14ac:dyDescent="0.45">
      <c r="A1466" s="3">
        <v>45305.166666666664</v>
      </c>
      <c r="B1466" t="s">
        <v>14</v>
      </c>
      <c r="C1466">
        <v>9</v>
      </c>
      <c r="D1466">
        <v>1002</v>
      </c>
      <c r="E1466" t="s">
        <v>16</v>
      </c>
      <c r="F1466">
        <v>15</v>
      </c>
      <c r="G1466">
        <v>3900</v>
      </c>
      <c r="H1466">
        <v>58500</v>
      </c>
      <c r="I1466" s="3">
        <v>45305.25</v>
      </c>
      <c r="J1466">
        <v>74</v>
      </c>
      <c r="K1466" s="3">
        <v>45308.25</v>
      </c>
      <c r="L1466" s="4">
        <f>ROUNDDOWN(Table1[[#This Row],[Ordered]],0)</f>
        <v>45305</v>
      </c>
      <c r="M1466" s="4">
        <f>Table1[[#This Row],[Date ]]</f>
        <v>45305</v>
      </c>
      <c r="N1466" s="5">
        <f>Table1[[#This Row],[Ordered]]-Table1[[#This Row],[Date ]]</f>
        <v>0.16666666666424135</v>
      </c>
      <c r="O1466">
        <f>Table1[[#This Row],[Company]]</f>
        <v>9</v>
      </c>
      <c r="P14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7" spans="1:16" x14ac:dyDescent="0.45">
      <c r="A1467" s="3">
        <v>45305.166666666664</v>
      </c>
      <c r="B1467" t="s">
        <v>14</v>
      </c>
      <c r="C1467">
        <v>16</v>
      </c>
      <c r="D1467">
        <v>1002</v>
      </c>
      <c r="E1467" t="s">
        <v>16</v>
      </c>
      <c r="F1467">
        <v>28</v>
      </c>
      <c r="G1467">
        <v>3750</v>
      </c>
      <c r="H1467">
        <v>105000</v>
      </c>
      <c r="I1467" s="3">
        <v>45305.583333333336</v>
      </c>
      <c r="J1467">
        <v>96</v>
      </c>
      <c r="K1467" s="3">
        <v>45308.583333333336</v>
      </c>
      <c r="L1467" s="4">
        <f>ROUNDDOWN(Table1[[#This Row],[Ordered]],0)</f>
        <v>45305</v>
      </c>
      <c r="M1467" s="4">
        <f>Table1[[#This Row],[Date ]]</f>
        <v>45305</v>
      </c>
      <c r="N1467" s="5">
        <f>Table1[[#This Row],[Ordered]]-Table1[[#This Row],[Date ]]</f>
        <v>0.16666666666424135</v>
      </c>
      <c r="O1467">
        <f>Table1[[#This Row],[Company]]</f>
        <v>16</v>
      </c>
      <c r="P14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8" spans="1:16" x14ac:dyDescent="0.45">
      <c r="A1468" s="3">
        <v>45305.166666666664</v>
      </c>
      <c r="B1468" t="s">
        <v>14</v>
      </c>
      <c r="C1468">
        <v>15</v>
      </c>
      <c r="D1468">
        <v>1002</v>
      </c>
      <c r="E1468" t="s">
        <v>16</v>
      </c>
      <c r="F1468">
        <v>30</v>
      </c>
      <c r="G1468">
        <v>3450</v>
      </c>
      <c r="H1468">
        <v>103500</v>
      </c>
      <c r="I1468" s="3">
        <v>45305.291666666664</v>
      </c>
      <c r="J1468">
        <v>92</v>
      </c>
      <c r="K1468" s="3">
        <v>45308.291666666664</v>
      </c>
      <c r="L1468" s="4">
        <f>ROUNDDOWN(Table1[[#This Row],[Ordered]],0)</f>
        <v>45305</v>
      </c>
      <c r="M1468" s="4">
        <f>Table1[[#This Row],[Date ]]</f>
        <v>45305</v>
      </c>
      <c r="N1468" s="5">
        <f>Table1[[#This Row],[Ordered]]-Table1[[#This Row],[Date ]]</f>
        <v>0.16666666666424135</v>
      </c>
      <c r="O1468">
        <f>Table1[[#This Row],[Company]]</f>
        <v>15</v>
      </c>
      <c r="P14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9" spans="1:16" x14ac:dyDescent="0.45">
      <c r="A1469" s="3">
        <v>45305.166666666664</v>
      </c>
      <c r="B1469" t="s">
        <v>14</v>
      </c>
      <c r="C1469">
        <v>10</v>
      </c>
      <c r="D1469">
        <v>1002</v>
      </c>
      <c r="E1469" t="s">
        <v>16</v>
      </c>
      <c r="F1469">
        <v>30</v>
      </c>
      <c r="G1469">
        <v>4100</v>
      </c>
      <c r="H1469">
        <v>123000</v>
      </c>
      <c r="I1469" s="3">
        <v>45305.375</v>
      </c>
      <c r="J1469">
        <v>84</v>
      </c>
      <c r="K1469" s="3">
        <v>45308.375</v>
      </c>
      <c r="L1469" s="4">
        <f>ROUNDDOWN(Table1[[#This Row],[Ordered]],0)</f>
        <v>45305</v>
      </c>
      <c r="M1469" s="4">
        <f>Table1[[#This Row],[Date ]]</f>
        <v>45305</v>
      </c>
      <c r="N1469" s="5">
        <f>Table1[[#This Row],[Ordered]]-Table1[[#This Row],[Date ]]</f>
        <v>0.16666666666424135</v>
      </c>
      <c r="O1469">
        <f>Table1[[#This Row],[Company]]</f>
        <v>10</v>
      </c>
      <c r="P14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0" spans="1:16" x14ac:dyDescent="0.45">
      <c r="A1470" s="3">
        <v>45305.166666666664</v>
      </c>
      <c r="B1470" t="s">
        <v>14</v>
      </c>
      <c r="C1470">
        <v>11</v>
      </c>
      <c r="D1470">
        <v>1002</v>
      </c>
      <c r="E1470" t="s">
        <v>16</v>
      </c>
      <c r="F1470">
        <v>16</v>
      </c>
      <c r="G1470">
        <v>4150</v>
      </c>
      <c r="H1470">
        <v>66400</v>
      </c>
      <c r="I1470" s="3">
        <v>45305.666666666664</v>
      </c>
      <c r="J1470">
        <v>96</v>
      </c>
      <c r="K1470" s="3">
        <v>45308.791666666664</v>
      </c>
      <c r="L1470" s="4">
        <f>ROUNDDOWN(Table1[[#This Row],[Ordered]],0)</f>
        <v>45305</v>
      </c>
      <c r="M1470" s="4">
        <f>Table1[[#This Row],[Date ]]</f>
        <v>45305</v>
      </c>
      <c r="N1470" s="5">
        <f>Table1[[#This Row],[Ordered]]-Table1[[#This Row],[Date ]]</f>
        <v>0.16666666666424135</v>
      </c>
      <c r="O1470">
        <f>Table1[[#This Row],[Company]]</f>
        <v>11</v>
      </c>
      <c r="P14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1" spans="1:16" x14ac:dyDescent="0.45">
      <c r="A1471" s="3">
        <v>45305.166666666664</v>
      </c>
      <c r="B1471" t="s">
        <v>14</v>
      </c>
      <c r="C1471">
        <v>12</v>
      </c>
      <c r="D1471">
        <v>1002</v>
      </c>
      <c r="E1471" t="s">
        <v>16</v>
      </c>
      <c r="F1471">
        <v>15</v>
      </c>
      <c r="G1471">
        <v>4000</v>
      </c>
      <c r="H1471">
        <v>60000</v>
      </c>
      <c r="I1471" s="3">
        <v>45305.625</v>
      </c>
      <c r="J1471">
        <v>60</v>
      </c>
      <c r="K1471" s="3">
        <v>45307.625</v>
      </c>
      <c r="L1471" s="4">
        <f>ROUNDDOWN(Table1[[#This Row],[Ordered]],0)</f>
        <v>45305</v>
      </c>
      <c r="M1471" s="4">
        <f>Table1[[#This Row],[Date ]]</f>
        <v>45305</v>
      </c>
      <c r="N1471" s="5">
        <f>Table1[[#This Row],[Ordered]]-Table1[[#This Row],[Date ]]</f>
        <v>0.16666666666424135</v>
      </c>
      <c r="O1471">
        <f>Table1[[#This Row],[Company]]</f>
        <v>12</v>
      </c>
      <c r="P14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2" spans="1:16" x14ac:dyDescent="0.45">
      <c r="A1472" s="3">
        <v>45305.166666666664</v>
      </c>
      <c r="B1472" t="s">
        <v>14</v>
      </c>
      <c r="C1472">
        <v>14</v>
      </c>
      <c r="D1472">
        <v>1002</v>
      </c>
      <c r="E1472" t="s">
        <v>16</v>
      </c>
      <c r="F1472">
        <v>25</v>
      </c>
      <c r="G1472">
        <v>3750</v>
      </c>
      <c r="H1472">
        <v>93750</v>
      </c>
      <c r="I1472" s="3">
        <v>45305.625</v>
      </c>
      <c r="J1472">
        <v>96</v>
      </c>
      <c r="K1472" s="3">
        <v>45308.625</v>
      </c>
      <c r="L1472" s="4">
        <f>ROUNDDOWN(Table1[[#This Row],[Ordered]],0)</f>
        <v>45305</v>
      </c>
      <c r="M1472" s="4">
        <f>Table1[[#This Row],[Date ]]</f>
        <v>45305</v>
      </c>
      <c r="N1472" s="5">
        <f>Table1[[#This Row],[Ordered]]-Table1[[#This Row],[Date ]]</f>
        <v>0.16666666666424135</v>
      </c>
      <c r="O1472">
        <f>Table1[[#This Row],[Company]]</f>
        <v>14</v>
      </c>
      <c r="P14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3" spans="1:16" x14ac:dyDescent="0.45">
      <c r="A1473" s="3">
        <v>45305.166666666664</v>
      </c>
      <c r="B1473" t="s">
        <v>14</v>
      </c>
      <c r="C1473">
        <v>13</v>
      </c>
      <c r="D1473">
        <v>1002</v>
      </c>
      <c r="E1473" t="s">
        <v>16</v>
      </c>
      <c r="F1473">
        <v>30</v>
      </c>
      <c r="G1473">
        <v>3400</v>
      </c>
      <c r="H1473">
        <v>102000</v>
      </c>
      <c r="I1473" s="3">
        <v>45305.791666666664</v>
      </c>
      <c r="J1473">
        <v>96</v>
      </c>
      <c r="K1473" s="3">
        <v>45308.791666666664</v>
      </c>
      <c r="L1473" s="4">
        <f>ROUNDDOWN(Table1[[#This Row],[Ordered]],0)</f>
        <v>45305</v>
      </c>
      <c r="M1473" s="4">
        <f>Table1[[#This Row],[Date ]]</f>
        <v>45305</v>
      </c>
      <c r="N1473" s="5">
        <f>Table1[[#This Row],[Ordered]]-Table1[[#This Row],[Date ]]</f>
        <v>0.16666666666424135</v>
      </c>
      <c r="O1473">
        <f>Table1[[#This Row],[Company]]</f>
        <v>13</v>
      </c>
      <c r="P14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4" spans="1:16" x14ac:dyDescent="0.45">
      <c r="A1474" s="3">
        <v>45305.208333333336</v>
      </c>
      <c r="B1474" t="s">
        <v>14</v>
      </c>
      <c r="C1474">
        <v>11</v>
      </c>
      <c r="D1474">
        <v>1006</v>
      </c>
      <c r="E1474" t="s">
        <v>16</v>
      </c>
      <c r="F1474">
        <v>29</v>
      </c>
      <c r="G1474">
        <v>4100</v>
      </c>
      <c r="H1474">
        <v>118900</v>
      </c>
      <c r="I1474" s="3">
        <v>45305.833333333336</v>
      </c>
      <c r="J1474">
        <v>96</v>
      </c>
      <c r="K1474" s="3">
        <v>45308.958333333336</v>
      </c>
      <c r="L1474" s="4">
        <f>ROUNDDOWN(Table1[[#This Row],[Ordered]],0)</f>
        <v>45305</v>
      </c>
      <c r="M1474" s="4">
        <f>Table1[[#This Row],[Date ]]</f>
        <v>45305</v>
      </c>
      <c r="N1474" s="5">
        <f>Table1[[#This Row],[Ordered]]-Table1[[#This Row],[Date ]]</f>
        <v>0.20833333333575865</v>
      </c>
      <c r="O1474">
        <f>Table1[[#This Row],[Company]]</f>
        <v>11</v>
      </c>
      <c r="P14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5" spans="1:16" x14ac:dyDescent="0.45">
      <c r="A1475" s="3">
        <v>45305.208333333336</v>
      </c>
      <c r="B1475" t="s">
        <v>14</v>
      </c>
      <c r="C1475">
        <v>15</v>
      </c>
      <c r="D1475">
        <v>1006</v>
      </c>
      <c r="E1475" t="s">
        <v>16</v>
      </c>
      <c r="F1475">
        <v>50</v>
      </c>
      <c r="G1475">
        <v>3350</v>
      </c>
      <c r="H1475">
        <v>167500</v>
      </c>
      <c r="I1475" s="3">
        <v>45305.333333333336</v>
      </c>
      <c r="J1475">
        <v>92</v>
      </c>
      <c r="K1475" s="3">
        <v>45308.333333333336</v>
      </c>
      <c r="L1475" s="4">
        <f>ROUNDDOWN(Table1[[#This Row],[Ordered]],0)</f>
        <v>45305</v>
      </c>
      <c r="M1475" s="4">
        <f>Table1[[#This Row],[Date ]]</f>
        <v>45305</v>
      </c>
      <c r="N1475" s="5">
        <f>Table1[[#This Row],[Ordered]]-Table1[[#This Row],[Date ]]</f>
        <v>0.20833333333575865</v>
      </c>
      <c r="O1475">
        <f>Table1[[#This Row],[Company]]</f>
        <v>15</v>
      </c>
      <c r="P14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6" spans="1:16" x14ac:dyDescent="0.45">
      <c r="A1476" s="3">
        <v>45305.208333333336</v>
      </c>
      <c r="B1476" t="s">
        <v>14</v>
      </c>
      <c r="C1476">
        <v>9</v>
      </c>
      <c r="D1476">
        <v>1006</v>
      </c>
      <c r="E1476" t="s">
        <v>16</v>
      </c>
      <c r="F1476">
        <v>15</v>
      </c>
      <c r="G1476">
        <v>3850</v>
      </c>
      <c r="H1476">
        <v>57750</v>
      </c>
      <c r="I1476" s="3">
        <v>45305.25</v>
      </c>
      <c r="J1476">
        <v>74</v>
      </c>
      <c r="K1476" s="3">
        <v>45308.25</v>
      </c>
      <c r="L1476" s="4">
        <f>ROUNDDOWN(Table1[[#This Row],[Ordered]],0)</f>
        <v>45305</v>
      </c>
      <c r="M1476" s="4">
        <f>Table1[[#This Row],[Date ]]</f>
        <v>45305</v>
      </c>
      <c r="N1476" s="5">
        <f>Table1[[#This Row],[Ordered]]-Table1[[#This Row],[Date ]]</f>
        <v>0.20833333333575865</v>
      </c>
      <c r="O1476">
        <f>Table1[[#This Row],[Company]]</f>
        <v>9</v>
      </c>
      <c r="P14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7" spans="1:16" x14ac:dyDescent="0.45">
      <c r="A1477" s="3">
        <v>45305.208333333336</v>
      </c>
      <c r="B1477" t="s">
        <v>14</v>
      </c>
      <c r="C1477">
        <v>13</v>
      </c>
      <c r="D1477">
        <v>1006</v>
      </c>
      <c r="E1477" t="s">
        <v>16</v>
      </c>
      <c r="F1477">
        <v>30</v>
      </c>
      <c r="G1477">
        <v>3400</v>
      </c>
      <c r="H1477">
        <v>102000</v>
      </c>
      <c r="I1477" s="3">
        <v>45305.833333333336</v>
      </c>
      <c r="J1477">
        <v>96</v>
      </c>
      <c r="K1477" s="3">
        <v>45308.833333333336</v>
      </c>
      <c r="L1477" s="4">
        <f>ROUNDDOWN(Table1[[#This Row],[Ordered]],0)</f>
        <v>45305</v>
      </c>
      <c r="M1477" s="4">
        <f>Table1[[#This Row],[Date ]]</f>
        <v>45305</v>
      </c>
      <c r="N1477" s="5">
        <f>Table1[[#This Row],[Ordered]]-Table1[[#This Row],[Date ]]</f>
        <v>0.20833333333575865</v>
      </c>
      <c r="O1477">
        <f>Table1[[#This Row],[Company]]</f>
        <v>13</v>
      </c>
      <c r="P14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8" spans="1:16" x14ac:dyDescent="0.45">
      <c r="A1478" s="3">
        <v>45305.208333333336</v>
      </c>
      <c r="B1478" t="s">
        <v>14</v>
      </c>
      <c r="C1478">
        <v>7</v>
      </c>
      <c r="D1478">
        <v>1006</v>
      </c>
      <c r="E1478" t="s">
        <v>16</v>
      </c>
      <c r="F1478">
        <v>30</v>
      </c>
      <c r="G1478">
        <v>3850</v>
      </c>
      <c r="H1478">
        <v>115500</v>
      </c>
      <c r="I1478" s="3">
        <v>45307.875</v>
      </c>
      <c r="J1478">
        <v>96</v>
      </c>
      <c r="K1478" s="3">
        <v>45308.875</v>
      </c>
      <c r="L1478" s="4">
        <f>ROUNDDOWN(Table1[[#This Row],[Ordered]],0)</f>
        <v>45305</v>
      </c>
      <c r="M1478" s="4">
        <f>Table1[[#This Row],[Date ]]</f>
        <v>45305</v>
      </c>
      <c r="N1478" s="5">
        <f>Table1[[#This Row],[Ordered]]-Table1[[#This Row],[Date ]]</f>
        <v>0.20833333333575865</v>
      </c>
      <c r="O1478">
        <f>Table1[[#This Row],[Company]]</f>
        <v>7</v>
      </c>
      <c r="P14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9" spans="1:16" x14ac:dyDescent="0.45">
      <c r="A1479" s="3">
        <v>45305.208333333336</v>
      </c>
      <c r="B1479" t="s">
        <v>14</v>
      </c>
      <c r="C1479">
        <v>14</v>
      </c>
      <c r="D1479">
        <v>1006</v>
      </c>
      <c r="E1479" t="s">
        <v>16</v>
      </c>
      <c r="F1479">
        <v>30</v>
      </c>
      <c r="G1479">
        <v>3750</v>
      </c>
      <c r="H1479">
        <v>112500</v>
      </c>
      <c r="I1479" s="3">
        <v>45305.708333333336</v>
      </c>
      <c r="J1479">
        <v>96</v>
      </c>
      <c r="K1479" s="3">
        <v>45308.708333333336</v>
      </c>
      <c r="L1479" s="4">
        <f>ROUNDDOWN(Table1[[#This Row],[Ordered]],0)</f>
        <v>45305</v>
      </c>
      <c r="M1479" s="4">
        <f>Table1[[#This Row],[Date ]]</f>
        <v>45305</v>
      </c>
      <c r="N1479" s="5">
        <f>Table1[[#This Row],[Ordered]]-Table1[[#This Row],[Date ]]</f>
        <v>0.20833333333575865</v>
      </c>
      <c r="O1479">
        <f>Table1[[#This Row],[Company]]</f>
        <v>14</v>
      </c>
      <c r="P14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0" spans="1:16" x14ac:dyDescent="0.45">
      <c r="A1480" s="3">
        <v>45305.208333333336</v>
      </c>
      <c r="B1480" t="s">
        <v>14</v>
      </c>
      <c r="C1480">
        <v>12</v>
      </c>
      <c r="D1480">
        <v>1006</v>
      </c>
      <c r="E1480" t="s">
        <v>16</v>
      </c>
      <c r="F1480">
        <v>15</v>
      </c>
      <c r="G1480">
        <v>4000</v>
      </c>
      <c r="H1480">
        <v>60000</v>
      </c>
      <c r="I1480" s="3">
        <v>45305.625</v>
      </c>
      <c r="J1480">
        <v>60</v>
      </c>
      <c r="K1480" s="3">
        <v>45307.625</v>
      </c>
      <c r="L1480" s="4">
        <f>ROUNDDOWN(Table1[[#This Row],[Ordered]],0)</f>
        <v>45305</v>
      </c>
      <c r="M1480" s="4">
        <f>Table1[[#This Row],[Date ]]</f>
        <v>45305</v>
      </c>
      <c r="N1480" s="5">
        <f>Table1[[#This Row],[Ordered]]-Table1[[#This Row],[Date ]]</f>
        <v>0.20833333333575865</v>
      </c>
      <c r="O1480">
        <f>Table1[[#This Row],[Company]]</f>
        <v>12</v>
      </c>
      <c r="P14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1" spans="1:16" hidden="1" x14ac:dyDescent="0.45">
      <c r="A1481" s="3">
        <v>45305.208333333336</v>
      </c>
      <c r="B1481" t="s">
        <v>12</v>
      </c>
      <c r="C1481">
        <v>6</v>
      </c>
      <c r="D1481">
        <v>9</v>
      </c>
      <c r="E1481" t="s">
        <v>13</v>
      </c>
      <c r="F1481">
        <v>232</v>
      </c>
      <c r="G1481">
        <v>100</v>
      </c>
      <c r="H1481">
        <v>23200</v>
      </c>
      <c r="I1481" s="3">
        <v>45305.333333333336</v>
      </c>
      <c r="J1481">
        <v>72</v>
      </c>
      <c r="K1481" s="3">
        <v>45308.333333333336</v>
      </c>
      <c r="L1481" s="4">
        <f>ROUNDDOWN(Table1[[#This Row],[Ordered]],0)</f>
        <v>45305</v>
      </c>
      <c r="M1481" s="4">
        <f>Table1[[#This Row],[Date ]]</f>
        <v>45305</v>
      </c>
      <c r="N1481" s="5">
        <f>Table1[[#This Row],[Ordered]]-Table1[[#This Row],[Date ]]</f>
        <v>0.20833333333575865</v>
      </c>
      <c r="O1481">
        <f>Table1[[#This Row],[Company]]</f>
        <v>6</v>
      </c>
      <c r="P14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2" spans="1:16" hidden="1" x14ac:dyDescent="0.45">
      <c r="A1482" s="3">
        <v>45305.208333333336</v>
      </c>
      <c r="B1482" t="s">
        <v>12</v>
      </c>
      <c r="C1482">
        <v>1</v>
      </c>
      <c r="D1482">
        <v>13</v>
      </c>
      <c r="E1482" t="s">
        <v>13</v>
      </c>
      <c r="F1482">
        <v>3000</v>
      </c>
      <c r="G1482">
        <v>130</v>
      </c>
      <c r="H1482">
        <v>390000</v>
      </c>
      <c r="I1482" s="3">
        <v>45305.208333333336</v>
      </c>
      <c r="J1482">
        <v>72</v>
      </c>
      <c r="K1482" s="3">
        <v>45308.208333333336</v>
      </c>
      <c r="L1482" s="4">
        <f>ROUNDDOWN(Table1[[#This Row],[Ordered]],0)</f>
        <v>45305</v>
      </c>
      <c r="M1482" s="4">
        <f>Table1[[#This Row],[Date ]]</f>
        <v>45305</v>
      </c>
      <c r="N1482" s="5">
        <f>Table1[[#This Row],[Ordered]]-Table1[[#This Row],[Date ]]</f>
        <v>0.20833333333575865</v>
      </c>
      <c r="O1482">
        <f>Table1[[#This Row],[Company]]</f>
        <v>1</v>
      </c>
      <c r="P14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3" spans="1:16" x14ac:dyDescent="0.45">
      <c r="A1483" s="3">
        <v>45305.208333333336</v>
      </c>
      <c r="B1483" t="s">
        <v>14</v>
      </c>
      <c r="C1483">
        <v>10</v>
      </c>
      <c r="D1483">
        <v>1006</v>
      </c>
      <c r="E1483" t="s">
        <v>16</v>
      </c>
      <c r="F1483">
        <v>38</v>
      </c>
      <c r="G1483">
        <v>4000</v>
      </c>
      <c r="H1483">
        <v>152000</v>
      </c>
      <c r="I1483" s="3">
        <v>45305.458333333336</v>
      </c>
      <c r="J1483">
        <v>84</v>
      </c>
      <c r="K1483" s="3">
        <v>45308.458333333336</v>
      </c>
      <c r="L1483" s="4">
        <f>ROUNDDOWN(Table1[[#This Row],[Ordered]],0)</f>
        <v>45305</v>
      </c>
      <c r="M1483" s="4">
        <f>Table1[[#This Row],[Date ]]</f>
        <v>45305</v>
      </c>
      <c r="N1483" s="5">
        <f>Table1[[#This Row],[Ordered]]-Table1[[#This Row],[Date ]]</f>
        <v>0.20833333333575865</v>
      </c>
      <c r="O1483">
        <f>Table1[[#This Row],[Company]]</f>
        <v>10</v>
      </c>
      <c r="P14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4" spans="1:16" x14ac:dyDescent="0.45">
      <c r="A1484" s="3">
        <v>45305.208333333336</v>
      </c>
      <c r="B1484" t="s">
        <v>14</v>
      </c>
      <c r="C1484">
        <v>16</v>
      </c>
      <c r="D1484">
        <v>1006</v>
      </c>
      <c r="E1484" t="s">
        <v>16</v>
      </c>
      <c r="F1484">
        <v>30</v>
      </c>
      <c r="G1484">
        <v>3750</v>
      </c>
      <c r="H1484">
        <v>112500</v>
      </c>
      <c r="I1484" s="3">
        <v>45305.583333333336</v>
      </c>
      <c r="J1484">
        <v>96</v>
      </c>
      <c r="K1484" s="3">
        <v>45308.583333333336</v>
      </c>
      <c r="L1484" s="4">
        <f>ROUNDDOWN(Table1[[#This Row],[Ordered]],0)</f>
        <v>45305</v>
      </c>
      <c r="M1484" s="4">
        <f>Table1[[#This Row],[Date ]]</f>
        <v>45305</v>
      </c>
      <c r="N1484" s="5">
        <f>Table1[[#This Row],[Ordered]]-Table1[[#This Row],[Date ]]</f>
        <v>0.20833333333575865</v>
      </c>
      <c r="O1484">
        <f>Table1[[#This Row],[Company]]</f>
        <v>16</v>
      </c>
      <c r="P14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5" spans="1:16" x14ac:dyDescent="0.45">
      <c r="A1485" s="3">
        <v>45305.208333333336</v>
      </c>
      <c r="B1485" t="s">
        <v>14</v>
      </c>
      <c r="C1485">
        <v>8</v>
      </c>
      <c r="D1485">
        <v>1006</v>
      </c>
      <c r="E1485" t="s">
        <v>16</v>
      </c>
      <c r="F1485">
        <v>30</v>
      </c>
      <c r="G1485">
        <v>3800</v>
      </c>
      <c r="H1485">
        <v>114000</v>
      </c>
      <c r="I1485" s="3">
        <v>45307.5</v>
      </c>
      <c r="J1485">
        <v>96</v>
      </c>
      <c r="K1485" s="3">
        <v>45308.5</v>
      </c>
      <c r="L1485" s="4">
        <f>ROUNDDOWN(Table1[[#This Row],[Ordered]],0)</f>
        <v>45305</v>
      </c>
      <c r="M1485" s="4">
        <f>Table1[[#This Row],[Date ]]</f>
        <v>45305</v>
      </c>
      <c r="N1485" s="5">
        <f>Table1[[#This Row],[Ordered]]-Table1[[#This Row],[Date ]]</f>
        <v>0.20833333333575865</v>
      </c>
      <c r="O1485">
        <f>Table1[[#This Row],[Company]]</f>
        <v>8</v>
      </c>
      <c r="P14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6" spans="1:16" hidden="1" x14ac:dyDescent="0.45">
      <c r="A1486" s="3">
        <v>45305.208333333336</v>
      </c>
      <c r="B1486" t="s">
        <v>12</v>
      </c>
      <c r="C1486">
        <v>15</v>
      </c>
      <c r="D1486">
        <v>6</v>
      </c>
      <c r="E1486" t="s">
        <v>20</v>
      </c>
      <c r="F1486">
        <v>60</v>
      </c>
      <c r="G1486">
        <v>23</v>
      </c>
      <c r="H1486">
        <v>1380</v>
      </c>
      <c r="I1486" s="3">
        <v>45305.208333333336</v>
      </c>
      <c r="J1486">
        <v>72</v>
      </c>
      <c r="K1486" s="3">
        <v>45308.208333333336</v>
      </c>
      <c r="L1486" s="4">
        <f>ROUNDDOWN(Table1[[#This Row],[Ordered]],0)</f>
        <v>45305</v>
      </c>
      <c r="M1486" s="4">
        <f>Table1[[#This Row],[Date ]]</f>
        <v>45305</v>
      </c>
      <c r="N1486" s="5">
        <f>Table1[[#This Row],[Ordered]]-Table1[[#This Row],[Date ]]</f>
        <v>0.20833333333575865</v>
      </c>
      <c r="O1486">
        <f>Table1[[#This Row],[Company]]</f>
        <v>15</v>
      </c>
      <c r="P14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7" spans="1:16" x14ac:dyDescent="0.45">
      <c r="A1487" s="3">
        <v>45305.25</v>
      </c>
      <c r="B1487" t="s">
        <v>0</v>
      </c>
      <c r="C1487">
        <v>14</v>
      </c>
      <c r="D1487">
        <v>2010</v>
      </c>
      <c r="E1487" t="s">
        <v>16</v>
      </c>
      <c r="F1487">
        <v>40</v>
      </c>
      <c r="G1487">
        <v>3750</v>
      </c>
      <c r="H1487">
        <v>150000</v>
      </c>
      <c r="I1487" s="3">
        <v>45305.708333333336</v>
      </c>
      <c r="J1487">
        <v>132</v>
      </c>
      <c r="K1487" s="3">
        <v>45310.375</v>
      </c>
      <c r="L1487" s="4">
        <f>ROUNDDOWN(Table1[[#This Row],[Ordered]],0)</f>
        <v>45305</v>
      </c>
      <c r="M1487" s="4">
        <f>Table1[[#This Row],[Date ]]</f>
        <v>45305</v>
      </c>
      <c r="N1487" s="5">
        <f>Table1[[#This Row],[Ordered]]-Table1[[#This Row],[Date ]]</f>
        <v>0.25</v>
      </c>
      <c r="O1487">
        <f>Table1[[#This Row],[Company]]</f>
        <v>14</v>
      </c>
      <c r="P14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8" spans="1:16" x14ac:dyDescent="0.45">
      <c r="A1488" s="3">
        <v>45305.25</v>
      </c>
      <c r="B1488" t="s">
        <v>0</v>
      </c>
      <c r="C1488">
        <v>13</v>
      </c>
      <c r="D1488">
        <v>2010</v>
      </c>
      <c r="E1488" t="s">
        <v>15</v>
      </c>
      <c r="F1488">
        <v>30</v>
      </c>
      <c r="G1488">
        <v>6300</v>
      </c>
      <c r="H1488">
        <v>189000</v>
      </c>
      <c r="I1488" s="3">
        <v>45305.916666666664</v>
      </c>
      <c r="J1488">
        <v>132</v>
      </c>
      <c r="K1488" s="3">
        <v>45310.416666666664</v>
      </c>
      <c r="L1488" s="4">
        <f>ROUNDDOWN(Table1[[#This Row],[Ordered]],0)</f>
        <v>45305</v>
      </c>
      <c r="M1488" s="4">
        <f>Table1[[#This Row],[Date ]]</f>
        <v>45305</v>
      </c>
      <c r="N1488" s="5">
        <f>Table1[[#This Row],[Ordered]]-Table1[[#This Row],[Date ]]</f>
        <v>0.25</v>
      </c>
      <c r="O1488">
        <f>Table1[[#This Row],[Company]]</f>
        <v>13</v>
      </c>
      <c r="P14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9" spans="1:16" x14ac:dyDescent="0.45">
      <c r="A1489" s="3">
        <v>45305.25</v>
      </c>
      <c r="B1489" t="s">
        <v>0</v>
      </c>
      <c r="C1489">
        <v>14</v>
      </c>
      <c r="D1489">
        <v>2010</v>
      </c>
      <c r="E1489" t="s">
        <v>15</v>
      </c>
      <c r="F1489">
        <v>30</v>
      </c>
      <c r="G1489">
        <v>6650</v>
      </c>
      <c r="H1489">
        <v>199500</v>
      </c>
      <c r="I1489" s="3">
        <v>45305.583333333336</v>
      </c>
      <c r="J1489">
        <v>132</v>
      </c>
      <c r="K1489" s="3">
        <v>45310.083333333336</v>
      </c>
      <c r="L1489" s="4">
        <f>ROUNDDOWN(Table1[[#This Row],[Ordered]],0)</f>
        <v>45305</v>
      </c>
      <c r="M1489" s="4">
        <f>Table1[[#This Row],[Date ]]</f>
        <v>45305</v>
      </c>
      <c r="N1489" s="5">
        <f>Table1[[#This Row],[Ordered]]-Table1[[#This Row],[Date ]]</f>
        <v>0.25</v>
      </c>
      <c r="O1489">
        <f>Table1[[#This Row],[Company]]</f>
        <v>14</v>
      </c>
      <c r="P14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0" spans="1:16" x14ac:dyDescent="0.45">
      <c r="A1490" s="3">
        <v>45305.25</v>
      </c>
      <c r="B1490" t="s">
        <v>0</v>
      </c>
      <c r="C1490">
        <v>8</v>
      </c>
      <c r="D1490">
        <v>2010</v>
      </c>
      <c r="E1490" t="s">
        <v>15</v>
      </c>
      <c r="F1490">
        <v>30</v>
      </c>
      <c r="G1490">
        <v>6200</v>
      </c>
      <c r="H1490">
        <v>186000</v>
      </c>
      <c r="I1490" s="3">
        <v>45305.958333333336</v>
      </c>
      <c r="J1490">
        <v>132</v>
      </c>
      <c r="K1490" s="3">
        <v>45310.458333333336</v>
      </c>
      <c r="L1490" s="4">
        <f>ROUNDDOWN(Table1[[#This Row],[Ordered]],0)</f>
        <v>45305</v>
      </c>
      <c r="M1490" s="4">
        <f>Table1[[#This Row],[Date ]]</f>
        <v>45305</v>
      </c>
      <c r="N1490" s="5">
        <f>Table1[[#This Row],[Ordered]]-Table1[[#This Row],[Date ]]</f>
        <v>0.25</v>
      </c>
      <c r="O1490">
        <f>Table1[[#This Row],[Company]]</f>
        <v>8</v>
      </c>
      <c r="P14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1" spans="1:16" x14ac:dyDescent="0.45">
      <c r="A1491" s="3">
        <v>45305.25</v>
      </c>
      <c r="B1491" t="s">
        <v>0</v>
      </c>
      <c r="C1491">
        <v>9</v>
      </c>
      <c r="D1491">
        <v>2010</v>
      </c>
      <c r="E1491" t="s">
        <v>16</v>
      </c>
      <c r="F1491">
        <v>30</v>
      </c>
      <c r="G1491">
        <v>3730</v>
      </c>
      <c r="H1491">
        <v>111900</v>
      </c>
      <c r="I1491" s="3">
        <v>45305.833333333336</v>
      </c>
      <c r="J1491">
        <v>126</v>
      </c>
      <c r="K1491" s="3">
        <v>45310.333333333336</v>
      </c>
      <c r="L1491" s="4">
        <f>ROUNDDOWN(Table1[[#This Row],[Ordered]],0)</f>
        <v>45305</v>
      </c>
      <c r="M1491" s="4">
        <f>Table1[[#This Row],[Date ]]</f>
        <v>45305</v>
      </c>
      <c r="N1491" s="5">
        <f>Table1[[#This Row],[Ordered]]-Table1[[#This Row],[Date ]]</f>
        <v>0.25</v>
      </c>
      <c r="O1491">
        <f>Table1[[#This Row],[Company]]</f>
        <v>9</v>
      </c>
      <c r="P14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2" spans="1:16" x14ac:dyDescent="0.45">
      <c r="A1492" s="3">
        <v>45305.25</v>
      </c>
      <c r="B1492" t="s">
        <v>0</v>
      </c>
      <c r="C1492">
        <v>15</v>
      </c>
      <c r="D1492">
        <v>2010</v>
      </c>
      <c r="E1492" t="s">
        <v>16</v>
      </c>
      <c r="F1492">
        <v>30</v>
      </c>
      <c r="G1492">
        <v>4150</v>
      </c>
      <c r="H1492">
        <v>124500</v>
      </c>
      <c r="I1492" s="3">
        <v>45305.375</v>
      </c>
      <c r="J1492">
        <v>53</v>
      </c>
      <c r="K1492" s="3">
        <v>45306.875</v>
      </c>
      <c r="L1492" s="4">
        <f>ROUNDDOWN(Table1[[#This Row],[Ordered]],0)</f>
        <v>45305</v>
      </c>
      <c r="M1492" s="4">
        <f>Table1[[#This Row],[Date ]]</f>
        <v>45305</v>
      </c>
      <c r="N1492" s="5">
        <f>Table1[[#This Row],[Ordered]]-Table1[[#This Row],[Date ]]</f>
        <v>0.25</v>
      </c>
      <c r="O1492">
        <f>Table1[[#This Row],[Company]]</f>
        <v>15</v>
      </c>
      <c r="P14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3" spans="1:16" x14ac:dyDescent="0.45">
      <c r="A1493" s="3">
        <v>45305.25</v>
      </c>
      <c r="B1493" t="s">
        <v>0</v>
      </c>
      <c r="C1493">
        <v>11</v>
      </c>
      <c r="D1493">
        <v>2010</v>
      </c>
      <c r="E1493" t="s">
        <v>15</v>
      </c>
      <c r="F1493">
        <v>30</v>
      </c>
      <c r="G1493">
        <v>6550</v>
      </c>
      <c r="H1493">
        <v>196500</v>
      </c>
      <c r="I1493" s="3">
        <v>45305.5</v>
      </c>
      <c r="J1493">
        <v>132</v>
      </c>
      <c r="K1493" s="3">
        <v>45310</v>
      </c>
      <c r="L1493" s="4">
        <f>ROUNDDOWN(Table1[[#This Row],[Ordered]],0)</f>
        <v>45305</v>
      </c>
      <c r="M1493" s="4">
        <f>Table1[[#This Row],[Date ]]</f>
        <v>45305</v>
      </c>
      <c r="N1493" s="5">
        <f>Table1[[#This Row],[Ordered]]-Table1[[#This Row],[Date ]]</f>
        <v>0.25</v>
      </c>
      <c r="O1493">
        <f>Table1[[#This Row],[Company]]</f>
        <v>11</v>
      </c>
      <c r="P14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4" spans="1:16" x14ac:dyDescent="0.45">
      <c r="A1494" s="3">
        <v>45305.25</v>
      </c>
      <c r="B1494" t="s">
        <v>0</v>
      </c>
      <c r="C1494">
        <v>15</v>
      </c>
      <c r="D1494">
        <v>2010</v>
      </c>
      <c r="E1494" t="s">
        <v>15</v>
      </c>
      <c r="F1494">
        <v>40</v>
      </c>
      <c r="G1494">
        <v>6000</v>
      </c>
      <c r="H1494">
        <v>240000</v>
      </c>
      <c r="I1494" s="3">
        <v>45305.333333333336</v>
      </c>
      <c r="J1494">
        <v>52</v>
      </c>
      <c r="K1494" s="3">
        <v>45306.833333333336</v>
      </c>
      <c r="L1494" s="4">
        <f>ROUNDDOWN(Table1[[#This Row],[Ordered]],0)</f>
        <v>45305</v>
      </c>
      <c r="M1494" s="4">
        <f>Table1[[#This Row],[Date ]]</f>
        <v>45305</v>
      </c>
      <c r="N1494" s="5">
        <f>Table1[[#This Row],[Ordered]]-Table1[[#This Row],[Date ]]</f>
        <v>0.25</v>
      </c>
      <c r="O1494">
        <f>Table1[[#This Row],[Company]]</f>
        <v>15</v>
      </c>
      <c r="P14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5" spans="1:16" x14ac:dyDescent="0.45">
      <c r="A1495" s="3">
        <v>45305.25</v>
      </c>
      <c r="B1495" t="s">
        <v>0</v>
      </c>
      <c r="C1495">
        <v>12</v>
      </c>
      <c r="D1495">
        <v>2010</v>
      </c>
      <c r="E1495" t="s">
        <v>15</v>
      </c>
      <c r="F1495">
        <v>30</v>
      </c>
      <c r="G1495">
        <v>6750</v>
      </c>
      <c r="H1495">
        <v>202500</v>
      </c>
      <c r="I1495" s="3">
        <v>45305.25</v>
      </c>
      <c r="J1495">
        <v>120</v>
      </c>
      <c r="K1495" s="3">
        <v>45309.75</v>
      </c>
      <c r="L1495" s="4">
        <f>ROUNDDOWN(Table1[[#This Row],[Ordered]],0)</f>
        <v>45305</v>
      </c>
      <c r="M1495" s="4">
        <f>Table1[[#This Row],[Date ]]</f>
        <v>45305</v>
      </c>
      <c r="N1495" s="5">
        <f>Table1[[#This Row],[Ordered]]-Table1[[#This Row],[Date ]]</f>
        <v>0.25</v>
      </c>
      <c r="O1495">
        <f>Table1[[#This Row],[Company]]</f>
        <v>12</v>
      </c>
      <c r="P14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6" spans="1:16" x14ac:dyDescent="0.45">
      <c r="A1496" s="3">
        <v>45305.25</v>
      </c>
      <c r="B1496" t="s">
        <v>0</v>
      </c>
      <c r="C1496">
        <v>7</v>
      </c>
      <c r="D1496">
        <v>2010</v>
      </c>
      <c r="E1496" t="s">
        <v>16</v>
      </c>
      <c r="F1496">
        <v>30</v>
      </c>
      <c r="G1496">
        <v>3800</v>
      </c>
      <c r="H1496">
        <v>114000</v>
      </c>
      <c r="I1496" s="3">
        <v>45308.291666666664</v>
      </c>
      <c r="J1496">
        <v>132</v>
      </c>
      <c r="K1496" s="3">
        <v>45309.791666666664</v>
      </c>
      <c r="L1496" s="4">
        <f>ROUNDDOWN(Table1[[#This Row],[Ordered]],0)</f>
        <v>45305</v>
      </c>
      <c r="M1496" s="4">
        <f>Table1[[#This Row],[Date ]]</f>
        <v>45305</v>
      </c>
      <c r="N1496" s="5">
        <f>Table1[[#This Row],[Ordered]]-Table1[[#This Row],[Date ]]</f>
        <v>0.25</v>
      </c>
      <c r="O1496">
        <f>Table1[[#This Row],[Company]]</f>
        <v>7</v>
      </c>
      <c r="P14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7" spans="1:16" x14ac:dyDescent="0.45">
      <c r="A1497" s="3">
        <v>45305.25</v>
      </c>
      <c r="B1497" t="s">
        <v>0</v>
      </c>
      <c r="C1497">
        <v>16</v>
      </c>
      <c r="D1497">
        <v>2010</v>
      </c>
      <c r="E1497" t="s">
        <v>15</v>
      </c>
      <c r="F1497">
        <v>30</v>
      </c>
      <c r="G1497">
        <v>6650</v>
      </c>
      <c r="H1497">
        <v>199500</v>
      </c>
      <c r="I1497" s="3">
        <v>45305.625</v>
      </c>
      <c r="J1497">
        <v>132</v>
      </c>
      <c r="K1497" s="3">
        <v>45310.125</v>
      </c>
      <c r="L1497" s="4">
        <f>ROUNDDOWN(Table1[[#This Row],[Ordered]],0)</f>
        <v>45305</v>
      </c>
      <c r="M1497" s="4">
        <f>Table1[[#This Row],[Date ]]</f>
        <v>45305</v>
      </c>
      <c r="N1497" s="5">
        <f>Table1[[#This Row],[Ordered]]-Table1[[#This Row],[Date ]]</f>
        <v>0.25</v>
      </c>
      <c r="O1497">
        <f>Table1[[#This Row],[Company]]</f>
        <v>16</v>
      </c>
      <c r="P14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8" spans="1:16" x14ac:dyDescent="0.45">
      <c r="A1498" s="3">
        <v>45305.25</v>
      </c>
      <c r="B1498" t="s">
        <v>0</v>
      </c>
      <c r="C1498">
        <v>16</v>
      </c>
      <c r="D1498">
        <v>2010</v>
      </c>
      <c r="E1498" t="s">
        <v>16</v>
      </c>
      <c r="F1498">
        <v>30</v>
      </c>
      <c r="G1498">
        <v>3750</v>
      </c>
      <c r="H1498">
        <v>112500</v>
      </c>
      <c r="I1498" s="3">
        <v>45305.625</v>
      </c>
      <c r="J1498">
        <v>132</v>
      </c>
      <c r="K1498" s="3">
        <v>45310.125</v>
      </c>
      <c r="L1498" s="4">
        <f>ROUNDDOWN(Table1[[#This Row],[Ordered]],0)</f>
        <v>45305</v>
      </c>
      <c r="M1498" s="4">
        <f>Table1[[#This Row],[Date ]]</f>
        <v>45305</v>
      </c>
      <c r="N1498" s="5">
        <f>Table1[[#This Row],[Ordered]]-Table1[[#This Row],[Date ]]</f>
        <v>0.25</v>
      </c>
      <c r="O1498">
        <f>Table1[[#This Row],[Company]]</f>
        <v>16</v>
      </c>
      <c r="P14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9" spans="1:16" x14ac:dyDescent="0.45">
      <c r="A1499" s="3">
        <v>45305.25</v>
      </c>
      <c r="B1499" t="s">
        <v>0</v>
      </c>
      <c r="C1499">
        <v>12</v>
      </c>
      <c r="D1499">
        <v>2010</v>
      </c>
      <c r="E1499" t="s">
        <v>16</v>
      </c>
      <c r="F1499">
        <v>30</v>
      </c>
      <c r="G1499">
        <v>3800</v>
      </c>
      <c r="H1499">
        <v>114000</v>
      </c>
      <c r="I1499" s="3">
        <v>45306.5</v>
      </c>
      <c r="J1499">
        <v>120</v>
      </c>
      <c r="K1499" s="3">
        <v>45309.5</v>
      </c>
      <c r="L1499" s="4">
        <f>ROUNDDOWN(Table1[[#This Row],[Ordered]],0)</f>
        <v>45305</v>
      </c>
      <c r="M1499" s="4">
        <f>Table1[[#This Row],[Date ]]</f>
        <v>45305</v>
      </c>
      <c r="N1499" s="5">
        <f>Table1[[#This Row],[Ordered]]-Table1[[#This Row],[Date ]]</f>
        <v>0.25</v>
      </c>
      <c r="O1499">
        <f>Table1[[#This Row],[Company]]</f>
        <v>12</v>
      </c>
      <c r="P14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0" spans="1:16" x14ac:dyDescent="0.45">
      <c r="A1500" s="3">
        <v>45305.25</v>
      </c>
      <c r="B1500" t="s">
        <v>0</v>
      </c>
      <c r="C1500">
        <v>7</v>
      </c>
      <c r="D1500">
        <v>2010</v>
      </c>
      <c r="E1500" t="s">
        <v>15</v>
      </c>
      <c r="F1500">
        <v>30</v>
      </c>
      <c r="G1500">
        <v>6850</v>
      </c>
      <c r="H1500">
        <v>205500</v>
      </c>
      <c r="I1500" s="3">
        <v>45308.458333333336</v>
      </c>
      <c r="J1500">
        <v>132</v>
      </c>
      <c r="K1500" s="3">
        <v>45309.958333333336</v>
      </c>
      <c r="L1500" s="4">
        <f>ROUNDDOWN(Table1[[#This Row],[Ordered]],0)</f>
        <v>45305</v>
      </c>
      <c r="M1500" s="4">
        <f>Table1[[#This Row],[Date ]]</f>
        <v>45305</v>
      </c>
      <c r="N1500" s="5">
        <f>Table1[[#This Row],[Ordered]]-Table1[[#This Row],[Date ]]</f>
        <v>0.25</v>
      </c>
      <c r="O1500">
        <f>Table1[[#This Row],[Company]]</f>
        <v>7</v>
      </c>
      <c r="P15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1" spans="1:16" x14ac:dyDescent="0.45">
      <c r="A1501" s="3">
        <v>45305.25</v>
      </c>
      <c r="B1501" t="s">
        <v>0</v>
      </c>
      <c r="C1501">
        <v>9</v>
      </c>
      <c r="D1501">
        <v>2010</v>
      </c>
      <c r="E1501" t="s">
        <v>15</v>
      </c>
      <c r="F1501">
        <v>30</v>
      </c>
      <c r="G1501">
        <v>6650</v>
      </c>
      <c r="H1501">
        <v>199500</v>
      </c>
      <c r="I1501" s="3">
        <v>45306.083333333336</v>
      </c>
      <c r="J1501">
        <v>132</v>
      </c>
      <c r="K1501" s="3">
        <v>45310.583333333336</v>
      </c>
      <c r="L1501" s="4">
        <f>ROUNDDOWN(Table1[[#This Row],[Ordered]],0)</f>
        <v>45305</v>
      </c>
      <c r="M1501" s="4">
        <f>Table1[[#This Row],[Date ]]</f>
        <v>45305</v>
      </c>
      <c r="N1501" s="5">
        <f>Table1[[#This Row],[Ordered]]-Table1[[#This Row],[Date ]]</f>
        <v>0.25</v>
      </c>
      <c r="O1501">
        <f>Table1[[#This Row],[Company]]</f>
        <v>9</v>
      </c>
      <c r="P15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2" spans="1:16" x14ac:dyDescent="0.45">
      <c r="A1502" s="3">
        <v>45305.25</v>
      </c>
      <c r="B1502" t="s">
        <v>0</v>
      </c>
      <c r="C1502">
        <v>8</v>
      </c>
      <c r="D1502">
        <v>2010</v>
      </c>
      <c r="E1502" t="s">
        <v>16</v>
      </c>
      <c r="F1502">
        <v>30</v>
      </c>
      <c r="G1502">
        <v>3800</v>
      </c>
      <c r="H1502">
        <v>114000</v>
      </c>
      <c r="I1502" s="3">
        <v>45307.666666666664</v>
      </c>
      <c r="J1502">
        <v>132</v>
      </c>
      <c r="K1502" s="3">
        <v>45310.708333333336</v>
      </c>
      <c r="L1502" s="4">
        <f>ROUNDDOWN(Table1[[#This Row],[Ordered]],0)</f>
        <v>45305</v>
      </c>
      <c r="M1502" s="4">
        <f>Table1[[#This Row],[Date ]]</f>
        <v>45305</v>
      </c>
      <c r="N1502" s="5">
        <f>Table1[[#This Row],[Ordered]]-Table1[[#This Row],[Date ]]</f>
        <v>0.25</v>
      </c>
      <c r="O1502">
        <f>Table1[[#This Row],[Company]]</f>
        <v>8</v>
      </c>
      <c r="P15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3" spans="1:16" x14ac:dyDescent="0.45">
      <c r="A1503" s="3">
        <v>45305.25</v>
      </c>
      <c r="B1503" t="s">
        <v>0</v>
      </c>
      <c r="C1503">
        <v>13</v>
      </c>
      <c r="D1503">
        <v>2010</v>
      </c>
      <c r="E1503" t="s">
        <v>16</v>
      </c>
      <c r="F1503">
        <v>30</v>
      </c>
      <c r="G1503">
        <v>3300</v>
      </c>
      <c r="H1503">
        <v>99000</v>
      </c>
      <c r="I1503" s="3">
        <v>45305.916666666664</v>
      </c>
      <c r="J1503">
        <v>132</v>
      </c>
      <c r="K1503" s="3">
        <v>45310.416666666664</v>
      </c>
      <c r="L1503" s="4">
        <f>ROUNDDOWN(Table1[[#This Row],[Ordered]],0)</f>
        <v>45305</v>
      </c>
      <c r="M1503" s="4">
        <f>Table1[[#This Row],[Date ]]</f>
        <v>45305</v>
      </c>
      <c r="N1503" s="5">
        <f>Table1[[#This Row],[Ordered]]-Table1[[#This Row],[Date ]]</f>
        <v>0.25</v>
      </c>
      <c r="O1503">
        <f>Table1[[#This Row],[Company]]</f>
        <v>13</v>
      </c>
      <c r="P15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4" spans="1:16" x14ac:dyDescent="0.45">
      <c r="A1504" s="3">
        <v>45305.25</v>
      </c>
      <c r="B1504" t="s">
        <v>0</v>
      </c>
      <c r="C1504">
        <v>10</v>
      </c>
      <c r="D1504">
        <v>2010</v>
      </c>
      <c r="E1504" t="s">
        <v>16</v>
      </c>
      <c r="F1504">
        <v>50</v>
      </c>
      <c r="G1504">
        <v>4100</v>
      </c>
      <c r="H1504">
        <v>205000</v>
      </c>
      <c r="I1504" s="3">
        <v>45306.5</v>
      </c>
      <c r="J1504">
        <v>78</v>
      </c>
      <c r="K1504" s="3">
        <v>45308</v>
      </c>
      <c r="L1504" s="4">
        <f>ROUNDDOWN(Table1[[#This Row],[Ordered]],0)</f>
        <v>45305</v>
      </c>
      <c r="M1504" s="4">
        <f>Table1[[#This Row],[Date ]]</f>
        <v>45305</v>
      </c>
      <c r="N1504" s="5">
        <f>Table1[[#This Row],[Ordered]]-Table1[[#This Row],[Date ]]</f>
        <v>0.25</v>
      </c>
      <c r="O1504">
        <f>Table1[[#This Row],[Company]]</f>
        <v>10</v>
      </c>
      <c r="P15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5" spans="1:16" x14ac:dyDescent="0.45">
      <c r="A1505" s="3">
        <v>45305.25</v>
      </c>
      <c r="B1505" t="s">
        <v>0</v>
      </c>
      <c r="C1505">
        <v>11</v>
      </c>
      <c r="D1505">
        <v>2010</v>
      </c>
      <c r="E1505" t="s">
        <v>16</v>
      </c>
      <c r="F1505">
        <v>40</v>
      </c>
      <c r="G1505">
        <v>4200</v>
      </c>
      <c r="H1505">
        <v>168000</v>
      </c>
      <c r="I1505" s="3">
        <v>45305.25</v>
      </c>
      <c r="J1505">
        <v>120</v>
      </c>
      <c r="K1505" s="3">
        <v>45309.75</v>
      </c>
      <c r="L1505" s="4">
        <f>ROUNDDOWN(Table1[[#This Row],[Ordered]],0)</f>
        <v>45305</v>
      </c>
      <c r="M1505" s="4">
        <f>Table1[[#This Row],[Date ]]</f>
        <v>45305</v>
      </c>
      <c r="N1505" s="5">
        <f>Table1[[#This Row],[Ordered]]-Table1[[#This Row],[Date ]]</f>
        <v>0.25</v>
      </c>
      <c r="O1505">
        <f>Table1[[#This Row],[Company]]</f>
        <v>11</v>
      </c>
      <c r="P15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6" spans="1:16" hidden="1" x14ac:dyDescent="0.45">
      <c r="A1506" s="3">
        <v>45305.291666666664</v>
      </c>
      <c r="B1506" t="s">
        <v>12</v>
      </c>
      <c r="C1506">
        <v>5</v>
      </c>
      <c r="D1506">
        <v>16</v>
      </c>
      <c r="E1506" t="s">
        <v>13</v>
      </c>
      <c r="F1506">
        <v>2000</v>
      </c>
      <c r="G1506">
        <v>120</v>
      </c>
      <c r="H1506">
        <v>240000</v>
      </c>
      <c r="I1506" s="3">
        <v>45305.5</v>
      </c>
      <c r="J1506">
        <v>24</v>
      </c>
      <c r="K1506" s="3">
        <v>45306.5</v>
      </c>
      <c r="L1506" s="4">
        <f>ROUNDDOWN(Table1[[#This Row],[Ordered]],0)</f>
        <v>45305</v>
      </c>
      <c r="M1506" s="4">
        <f>Table1[[#This Row],[Date ]]</f>
        <v>45305</v>
      </c>
      <c r="N1506" s="5">
        <f>Table1[[#This Row],[Ordered]]-Table1[[#This Row],[Date ]]</f>
        <v>0.29166666666424135</v>
      </c>
      <c r="O1506">
        <f>Table1[[#This Row],[Company]]</f>
        <v>5</v>
      </c>
      <c r="P15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7" spans="1:16" hidden="1" x14ac:dyDescent="0.45">
      <c r="A1507" s="3">
        <v>45305.291666666664</v>
      </c>
      <c r="B1507" t="s">
        <v>12</v>
      </c>
      <c r="C1507">
        <v>13</v>
      </c>
      <c r="D1507">
        <v>4</v>
      </c>
      <c r="E1507" t="s">
        <v>20</v>
      </c>
      <c r="F1507">
        <v>204</v>
      </c>
      <c r="G1507">
        <v>5</v>
      </c>
      <c r="H1507">
        <v>1020</v>
      </c>
      <c r="I1507" s="3">
        <v>45305.333333333336</v>
      </c>
      <c r="J1507">
        <v>72</v>
      </c>
      <c r="K1507" s="3">
        <v>45308.333333333336</v>
      </c>
      <c r="L1507" s="4">
        <f>ROUNDDOWN(Table1[[#This Row],[Ordered]],0)</f>
        <v>45305</v>
      </c>
      <c r="M1507" s="4">
        <f>Table1[[#This Row],[Date ]]</f>
        <v>45305</v>
      </c>
      <c r="N1507" s="5">
        <f>Table1[[#This Row],[Ordered]]-Table1[[#This Row],[Date ]]</f>
        <v>0.29166666666424135</v>
      </c>
      <c r="O1507">
        <f>Table1[[#This Row],[Company]]</f>
        <v>13</v>
      </c>
      <c r="P15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8" spans="1:16" hidden="1" x14ac:dyDescent="0.45">
      <c r="A1508" s="3">
        <v>45305.291666666664</v>
      </c>
      <c r="B1508" t="s">
        <v>12</v>
      </c>
      <c r="C1508">
        <v>8</v>
      </c>
      <c r="D1508">
        <v>4</v>
      </c>
      <c r="E1508" t="s">
        <v>20</v>
      </c>
      <c r="F1508">
        <v>700</v>
      </c>
      <c r="G1508">
        <v>25</v>
      </c>
      <c r="H1508">
        <v>17500</v>
      </c>
      <c r="I1508" s="3">
        <v>45305.291666666664</v>
      </c>
      <c r="J1508">
        <v>72</v>
      </c>
      <c r="K1508" s="3">
        <v>45308.291666666664</v>
      </c>
      <c r="L1508" s="4">
        <f>ROUNDDOWN(Table1[[#This Row],[Ordered]],0)</f>
        <v>45305</v>
      </c>
      <c r="M1508" s="4">
        <f>Table1[[#This Row],[Date ]]</f>
        <v>45305</v>
      </c>
      <c r="N1508" s="5">
        <f>Table1[[#This Row],[Ordered]]-Table1[[#This Row],[Date ]]</f>
        <v>0.29166666666424135</v>
      </c>
      <c r="O1508">
        <f>Table1[[#This Row],[Company]]</f>
        <v>8</v>
      </c>
      <c r="P15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9" spans="1:16" hidden="1" x14ac:dyDescent="0.45">
      <c r="A1509" s="3">
        <v>45305.333333333336</v>
      </c>
      <c r="B1509" t="s">
        <v>12</v>
      </c>
      <c r="C1509">
        <v>3</v>
      </c>
      <c r="D1509">
        <v>12</v>
      </c>
      <c r="E1509" t="s">
        <v>13</v>
      </c>
      <c r="F1509">
        <v>2700</v>
      </c>
      <c r="G1509">
        <v>120</v>
      </c>
      <c r="H1509">
        <v>324000</v>
      </c>
      <c r="I1509" s="3">
        <v>45305.375</v>
      </c>
      <c r="J1509">
        <v>72</v>
      </c>
      <c r="K1509" s="3">
        <v>45308.375</v>
      </c>
      <c r="L1509" s="4">
        <f>ROUNDDOWN(Table1[[#This Row],[Ordered]],0)</f>
        <v>45305</v>
      </c>
      <c r="M1509" s="4">
        <f>Table1[[#This Row],[Date ]]</f>
        <v>45305</v>
      </c>
      <c r="N1509" s="5">
        <f>Table1[[#This Row],[Ordered]]-Table1[[#This Row],[Date ]]</f>
        <v>0.33333333333575865</v>
      </c>
      <c r="O1509">
        <f>Table1[[#This Row],[Company]]</f>
        <v>3</v>
      </c>
      <c r="P15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0" spans="1:16" hidden="1" x14ac:dyDescent="0.45">
      <c r="A1510" s="3">
        <v>45305.375</v>
      </c>
      <c r="B1510" t="s">
        <v>12</v>
      </c>
      <c r="C1510">
        <v>5</v>
      </c>
      <c r="D1510">
        <v>16</v>
      </c>
      <c r="E1510" t="s">
        <v>17</v>
      </c>
      <c r="F1510">
        <v>400</v>
      </c>
      <c r="G1510">
        <v>1120</v>
      </c>
      <c r="H1510">
        <v>448000</v>
      </c>
      <c r="I1510" s="3">
        <v>45305.5</v>
      </c>
      <c r="J1510">
        <v>24</v>
      </c>
      <c r="K1510" s="3">
        <v>45306.5</v>
      </c>
      <c r="L1510" s="4">
        <f>ROUNDDOWN(Table1[[#This Row],[Ordered]],0)</f>
        <v>45305</v>
      </c>
      <c r="M1510" s="4">
        <f>Table1[[#This Row],[Date ]]</f>
        <v>45305</v>
      </c>
      <c r="N1510" s="5">
        <f>Table1[[#This Row],[Ordered]]-Table1[[#This Row],[Date ]]</f>
        <v>0.375</v>
      </c>
      <c r="O1510">
        <f>Table1[[#This Row],[Company]]</f>
        <v>5</v>
      </c>
      <c r="P15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1" spans="1:16" hidden="1" x14ac:dyDescent="0.45">
      <c r="A1511" s="3">
        <v>45305.416666666664</v>
      </c>
      <c r="B1511" t="s">
        <v>12</v>
      </c>
      <c r="C1511">
        <v>2</v>
      </c>
      <c r="D1511">
        <v>15</v>
      </c>
      <c r="E1511" t="s">
        <v>13</v>
      </c>
      <c r="F1511">
        <v>2700</v>
      </c>
      <c r="G1511">
        <v>130</v>
      </c>
      <c r="H1511">
        <v>351000</v>
      </c>
      <c r="I1511" s="3">
        <v>45305.5</v>
      </c>
      <c r="J1511">
        <v>72</v>
      </c>
      <c r="K1511" s="3">
        <v>45308.5</v>
      </c>
      <c r="L1511" s="4">
        <f>ROUNDDOWN(Table1[[#This Row],[Ordered]],0)</f>
        <v>45305</v>
      </c>
      <c r="M1511" s="4">
        <f>Table1[[#This Row],[Date ]]</f>
        <v>45305</v>
      </c>
      <c r="N1511" s="5">
        <f>Table1[[#This Row],[Ordered]]-Table1[[#This Row],[Date ]]</f>
        <v>0.41666666666424135</v>
      </c>
      <c r="O1511">
        <f>Table1[[#This Row],[Company]]</f>
        <v>2</v>
      </c>
      <c r="P15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2" spans="1:16" hidden="1" x14ac:dyDescent="0.45">
      <c r="A1512" s="3">
        <v>45305.416666666664</v>
      </c>
      <c r="B1512" t="s">
        <v>12</v>
      </c>
      <c r="C1512">
        <v>2</v>
      </c>
      <c r="D1512">
        <v>15</v>
      </c>
      <c r="E1512" t="s">
        <v>17</v>
      </c>
      <c r="F1512">
        <v>233</v>
      </c>
      <c r="G1512">
        <v>1800</v>
      </c>
      <c r="H1512">
        <v>419400</v>
      </c>
      <c r="I1512" s="3">
        <v>45305.458333333336</v>
      </c>
      <c r="J1512">
        <v>48</v>
      </c>
      <c r="K1512" s="3">
        <v>45307.458333333336</v>
      </c>
      <c r="L1512" s="4">
        <f>ROUNDDOWN(Table1[[#This Row],[Ordered]],0)</f>
        <v>45305</v>
      </c>
      <c r="M1512" s="4">
        <f>Table1[[#This Row],[Date ]]</f>
        <v>45305</v>
      </c>
      <c r="N1512" s="5">
        <f>Table1[[#This Row],[Ordered]]-Table1[[#This Row],[Date ]]</f>
        <v>0.41666666666424135</v>
      </c>
      <c r="O1512">
        <f>Table1[[#This Row],[Company]]</f>
        <v>2</v>
      </c>
      <c r="P15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3" spans="1:16" hidden="1" x14ac:dyDescent="0.45">
      <c r="A1513" s="3">
        <v>45305.416666666664</v>
      </c>
      <c r="B1513" t="s">
        <v>12</v>
      </c>
      <c r="C1513">
        <v>4</v>
      </c>
      <c r="D1513">
        <v>11</v>
      </c>
      <c r="E1513" t="s">
        <v>13</v>
      </c>
      <c r="F1513">
        <v>3000</v>
      </c>
      <c r="G1513">
        <v>105</v>
      </c>
      <c r="H1513">
        <v>315000</v>
      </c>
      <c r="I1513" s="3">
        <v>45305.5</v>
      </c>
      <c r="J1513">
        <v>72</v>
      </c>
      <c r="K1513" s="3">
        <v>45308.5</v>
      </c>
      <c r="L1513" s="4">
        <f>ROUNDDOWN(Table1[[#This Row],[Ordered]],0)</f>
        <v>45305</v>
      </c>
      <c r="M1513" s="4">
        <f>Table1[[#This Row],[Date ]]</f>
        <v>45305</v>
      </c>
      <c r="N1513" s="5">
        <f>Table1[[#This Row],[Ordered]]-Table1[[#This Row],[Date ]]</f>
        <v>0.41666666666424135</v>
      </c>
      <c r="O1513">
        <f>Table1[[#This Row],[Company]]</f>
        <v>4</v>
      </c>
      <c r="P15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4" spans="1:16" hidden="1" x14ac:dyDescent="0.45">
      <c r="A1514" s="3">
        <v>45305.5</v>
      </c>
      <c r="B1514" t="s">
        <v>12</v>
      </c>
      <c r="C1514">
        <v>9</v>
      </c>
      <c r="D1514">
        <v>4</v>
      </c>
      <c r="E1514" t="s">
        <v>20</v>
      </c>
      <c r="F1514">
        <v>75</v>
      </c>
      <c r="G1514">
        <v>25</v>
      </c>
      <c r="H1514">
        <v>1875</v>
      </c>
      <c r="I1514" s="3">
        <v>45305.75</v>
      </c>
      <c r="J1514">
        <v>72</v>
      </c>
      <c r="K1514" s="3">
        <v>45308.75</v>
      </c>
      <c r="L1514" s="4">
        <f>ROUNDDOWN(Table1[[#This Row],[Ordered]],0)</f>
        <v>45305</v>
      </c>
      <c r="M1514" s="4">
        <f>Table1[[#This Row],[Date ]]</f>
        <v>45305</v>
      </c>
      <c r="N1514" s="5">
        <f>Table1[[#This Row],[Ordered]]-Table1[[#This Row],[Date ]]</f>
        <v>0.5</v>
      </c>
      <c r="O1514">
        <f>Table1[[#This Row],[Company]]</f>
        <v>9</v>
      </c>
      <c r="P15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5" spans="1:16" x14ac:dyDescent="0.45">
      <c r="A1515" s="3">
        <v>45305.541666666664</v>
      </c>
      <c r="B1515" t="s">
        <v>14</v>
      </c>
      <c r="C1515">
        <v>7</v>
      </c>
      <c r="D1515">
        <v>1006</v>
      </c>
      <c r="E1515" t="s">
        <v>15</v>
      </c>
      <c r="F1515">
        <v>7</v>
      </c>
      <c r="G1515">
        <v>6850</v>
      </c>
      <c r="H1515">
        <v>47950</v>
      </c>
      <c r="I1515" s="3">
        <v>45307.916666666664</v>
      </c>
      <c r="J1515">
        <v>96</v>
      </c>
      <c r="K1515" s="3">
        <v>45308.916666666664</v>
      </c>
      <c r="L1515" s="4">
        <f>ROUNDDOWN(Table1[[#This Row],[Ordered]],0)</f>
        <v>45305</v>
      </c>
      <c r="M1515" s="4">
        <f>Table1[[#This Row],[Date ]]</f>
        <v>45305</v>
      </c>
      <c r="N1515" s="5">
        <f>Table1[[#This Row],[Ordered]]-Table1[[#This Row],[Date ]]</f>
        <v>0.54166666666424135</v>
      </c>
      <c r="O1515">
        <f>Table1[[#This Row],[Company]]</f>
        <v>7</v>
      </c>
      <c r="P15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6" spans="1:16" x14ac:dyDescent="0.45">
      <c r="A1516" s="3">
        <v>45305.541666666664</v>
      </c>
      <c r="B1516" t="s">
        <v>14</v>
      </c>
      <c r="C1516">
        <v>14</v>
      </c>
      <c r="D1516">
        <v>1006</v>
      </c>
      <c r="E1516" t="s">
        <v>15</v>
      </c>
      <c r="F1516">
        <v>6</v>
      </c>
      <c r="G1516">
        <v>6650</v>
      </c>
      <c r="H1516">
        <v>39900</v>
      </c>
      <c r="I1516" s="3">
        <v>45305.958333333336</v>
      </c>
      <c r="J1516">
        <v>96</v>
      </c>
      <c r="K1516" s="3">
        <v>45308.958333333336</v>
      </c>
      <c r="L1516" s="4">
        <f>ROUNDDOWN(Table1[[#This Row],[Ordered]],0)</f>
        <v>45305</v>
      </c>
      <c r="M1516" s="4">
        <f>Table1[[#This Row],[Date ]]</f>
        <v>45305</v>
      </c>
      <c r="N1516" s="5">
        <f>Table1[[#This Row],[Ordered]]-Table1[[#This Row],[Date ]]</f>
        <v>0.54166666666424135</v>
      </c>
      <c r="O1516">
        <f>Table1[[#This Row],[Company]]</f>
        <v>14</v>
      </c>
      <c r="P15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7" spans="1:16" x14ac:dyDescent="0.45">
      <c r="A1517" s="3">
        <v>45305.541666666664</v>
      </c>
      <c r="B1517" t="s">
        <v>14</v>
      </c>
      <c r="C1517">
        <v>16</v>
      </c>
      <c r="D1517">
        <v>1006</v>
      </c>
      <c r="E1517" t="s">
        <v>15</v>
      </c>
      <c r="F1517">
        <v>12</v>
      </c>
      <c r="G1517">
        <v>6650</v>
      </c>
      <c r="H1517">
        <v>79800</v>
      </c>
      <c r="I1517" s="3">
        <v>45305.791666666664</v>
      </c>
      <c r="J1517">
        <v>96</v>
      </c>
      <c r="K1517" s="3">
        <v>45308.875</v>
      </c>
      <c r="L1517" s="4">
        <f>ROUNDDOWN(Table1[[#This Row],[Ordered]],0)</f>
        <v>45305</v>
      </c>
      <c r="M1517" s="4">
        <f>Table1[[#This Row],[Date ]]</f>
        <v>45305</v>
      </c>
      <c r="N1517" s="5">
        <f>Table1[[#This Row],[Ordered]]-Table1[[#This Row],[Date ]]</f>
        <v>0.54166666666424135</v>
      </c>
      <c r="O1517">
        <f>Table1[[#This Row],[Company]]</f>
        <v>16</v>
      </c>
      <c r="P15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8" spans="1:16" x14ac:dyDescent="0.45">
      <c r="A1518" s="3">
        <v>45305.541666666664</v>
      </c>
      <c r="B1518" t="s">
        <v>14</v>
      </c>
      <c r="C1518">
        <v>13</v>
      </c>
      <c r="D1518">
        <v>1006</v>
      </c>
      <c r="E1518" t="s">
        <v>15</v>
      </c>
      <c r="F1518">
        <v>9</v>
      </c>
      <c r="G1518">
        <v>6300</v>
      </c>
      <c r="H1518">
        <v>56700</v>
      </c>
      <c r="I1518" s="3">
        <v>45306.416666666664</v>
      </c>
      <c r="J1518">
        <v>96</v>
      </c>
      <c r="K1518" s="3">
        <v>45309.416666666664</v>
      </c>
      <c r="L1518" s="4">
        <f>ROUNDDOWN(Table1[[#This Row],[Ordered]],0)</f>
        <v>45305</v>
      </c>
      <c r="M1518" s="4">
        <f>Table1[[#This Row],[Date ]]</f>
        <v>45305</v>
      </c>
      <c r="N1518" s="5">
        <f>Table1[[#This Row],[Ordered]]-Table1[[#This Row],[Date ]]</f>
        <v>0.54166666666424135</v>
      </c>
      <c r="O1518">
        <f>Table1[[#This Row],[Company]]</f>
        <v>13</v>
      </c>
      <c r="P15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9" spans="1:16" x14ac:dyDescent="0.45">
      <c r="A1519" s="3">
        <v>45305.541666666664</v>
      </c>
      <c r="B1519" t="s">
        <v>14</v>
      </c>
      <c r="C1519">
        <v>8</v>
      </c>
      <c r="D1519">
        <v>1006</v>
      </c>
      <c r="E1519" t="s">
        <v>15</v>
      </c>
      <c r="F1519">
        <v>16</v>
      </c>
      <c r="G1519">
        <v>5800</v>
      </c>
      <c r="H1519">
        <v>92800</v>
      </c>
      <c r="I1519" s="3">
        <v>45306.458333333336</v>
      </c>
      <c r="J1519">
        <v>96</v>
      </c>
      <c r="K1519" s="3">
        <v>45309.458333333336</v>
      </c>
      <c r="L1519" s="4">
        <f>ROUNDDOWN(Table1[[#This Row],[Ordered]],0)</f>
        <v>45305</v>
      </c>
      <c r="M1519" s="4">
        <f>Table1[[#This Row],[Date ]]</f>
        <v>45305</v>
      </c>
      <c r="N1519" s="5">
        <f>Table1[[#This Row],[Ordered]]-Table1[[#This Row],[Date ]]</f>
        <v>0.54166666666424135</v>
      </c>
      <c r="O1519">
        <f>Table1[[#This Row],[Company]]</f>
        <v>8</v>
      </c>
      <c r="P15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0" spans="1:16" x14ac:dyDescent="0.45">
      <c r="A1520" s="3">
        <v>45305.541666666664</v>
      </c>
      <c r="B1520" t="s">
        <v>14</v>
      </c>
      <c r="C1520">
        <v>12</v>
      </c>
      <c r="D1520">
        <v>1006</v>
      </c>
      <c r="E1520" t="s">
        <v>15</v>
      </c>
      <c r="F1520">
        <v>11</v>
      </c>
      <c r="G1520">
        <v>6900</v>
      </c>
      <c r="H1520">
        <v>75900</v>
      </c>
      <c r="I1520" s="3">
        <v>45305.666666666664</v>
      </c>
      <c r="J1520">
        <v>84</v>
      </c>
      <c r="K1520" s="3">
        <v>45308.708333333336</v>
      </c>
      <c r="L1520" s="4">
        <f>ROUNDDOWN(Table1[[#This Row],[Ordered]],0)</f>
        <v>45305</v>
      </c>
      <c r="M1520" s="4">
        <f>Table1[[#This Row],[Date ]]</f>
        <v>45305</v>
      </c>
      <c r="N1520" s="5">
        <f>Table1[[#This Row],[Ordered]]-Table1[[#This Row],[Date ]]</f>
        <v>0.54166666666424135</v>
      </c>
      <c r="O1520">
        <f>Table1[[#This Row],[Company]]</f>
        <v>12</v>
      </c>
      <c r="P15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1" spans="1:16" x14ac:dyDescent="0.45">
      <c r="A1521" s="3">
        <v>45305.541666666664</v>
      </c>
      <c r="B1521" t="s">
        <v>14</v>
      </c>
      <c r="C1521">
        <v>15</v>
      </c>
      <c r="D1521">
        <v>1006</v>
      </c>
      <c r="E1521" t="s">
        <v>15</v>
      </c>
      <c r="F1521">
        <v>19</v>
      </c>
      <c r="G1521">
        <v>6000</v>
      </c>
      <c r="H1521">
        <v>114000</v>
      </c>
      <c r="I1521" s="3">
        <v>45305.541666666664</v>
      </c>
      <c r="J1521">
        <v>66</v>
      </c>
      <c r="K1521" s="3">
        <v>45307.541666666664</v>
      </c>
      <c r="L1521" s="4">
        <f>ROUNDDOWN(Table1[[#This Row],[Ordered]],0)</f>
        <v>45305</v>
      </c>
      <c r="M1521" s="4">
        <f>Table1[[#This Row],[Date ]]</f>
        <v>45305</v>
      </c>
      <c r="N1521" s="5">
        <f>Table1[[#This Row],[Ordered]]-Table1[[#This Row],[Date ]]</f>
        <v>0.54166666666424135</v>
      </c>
      <c r="O1521">
        <f>Table1[[#This Row],[Company]]</f>
        <v>15</v>
      </c>
      <c r="P15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2" spans="1:16" hidden="1" x14ac:dyDescent="0.45">
      <c r="A1522" s="3">
        <v>45305.583333333336</v>
      </c>
      <c r="B1522" t="s">
        <v>12</v>
      </c>
      <c r="C1522">
        <v>3</v>
      </c>
      <c r="D1522">
        <v>13</v>
      </c>
      <c r="E1522" t="s">
        <v>17</v>
      </c>
      <c r="F1522">
        <v>200</v>
      </c>
      <c r="G1522">
        <v>1240</v>
      </c>
      <c r="H1522">
        <v>248000</v>
      </c>
      <c r="I1522" s="3">
        <v>45305.625</v>
      </c>
      <c r="J1522">
        <v>72</v>
      </c>
      <c r="K1522" s="3">
        <v>45308.625</v>
      </c>
      <c r="L1522" s="4">
        <f>ROUNDDOWN(Table1[[#This Row],[Ordered]],0)</f>
        <v>45305</v>
      </c>
      <c r="M1522" s="4">
        <f>Table1[[#This Row],[Date ]]</f>
        <v>45305</v>
      </c>
      <c r="N1522" s="5">
        <f>Table1[[#This Row],[Ordered]]-Table1[[#This Row],[Date ]]</f>
        <v>0.58333333333575865</v>
      </c>
      <c r="O1522">
        <f>Table1[[#This Row],[Company]]</f>
        <v>3</v>
      </c>
      <c r="P15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3" spans="1:16" x14ac:dyDescent="0.45">
      <c r="A1523" s="3">
        <v>45305.583333333336</v>
      </c>
      <c r="B1523" t="s">
        <v>14</v>
      </c>
      <c r="C1523">
        <v>13</v>
      </c>
      <c r="D1523">
        <v>1002</v>
      </c>
      <c r="E1523" t="s">
        <v>15</v>
      </c>
      <c r="F1523">
        <v>3</v>
      </c>
      <c r="G1523">
        <v>6300</v>
      </c>
      <c r="H1523">
        <v>18900</v>
      </c>
      <c r="I1523" s="3">
        <v>45306.416666666664</v>
      </c>
      <c r="J1523">
        <v>96</v>
      </c>
      <c r="K1523" s="3">
        <v>45309.416666666664</v>
      </c>
      <c r="L1523" s="4">
        <f>ROUNDDOWN(Table1[[#This Row],[Ordered]],0)</f>
        <v>45305</v>
      </c>
      <c r="M1523" s="4">
        <f>Table1[[#This Row],[Date ]]</f>
        <v>45305</v>
      </c>
      <c r="N1523" s="5">
        <f>Table1[[#This Row],[Ordered]]-Table1[[#This Row],[Date ]]</f>
        <v>0.58333333333575865</v>
      </c>
      <c r="O1523">
        <f>Table1[[#This Row],[Company]]</f>
        <v>13</v>
      </c>
      <c r="P15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4" spans="1:16" x14ac:dyDescent="0.45">
      <c r="A1524" s="3">
        <v>45305.583333333336</v>
      </c>
      <c r="B1524" t="s">
        <v>14</v>
      </c>
      <c r="C1524">
        <v>7</v>
      </c>
      <c r="D1524">
        <v>1002</v>
      </c>
      <c r="E1524" t="s">
        <v>15</v>
      </c>
      <c r="F1524">
        <v>5</v>
      </c>
      <c r="G1524">
        <v>6850</v>
      </c>
      <c r="H1524">
        <v>34250</v>
      </c>
      <c r="I1524" s="3">
        <v>45307.916666666664</v>
      </c>
      <c r="J1524">
        <v>96</v>
      </c>
      <c r="K1524" s="3">
        <v>45308.916666666664</v>
      </c>
      <c r="L1524" s="4">
        <f>ROUNDDOWN(Table1[[#This Row],[Ordered]],0)</f>
        <v>45305</v>
      </c>
      <c r="M1524" s="4">
        <f>Table1[[#This Row],[Date ]]</f>
        <v>45305</v>
      </c>
      <c r="N1524" s="5">
        <f>Table1[[#This Row],[Ordered]]-Table1[[#This Row],[Date ]]</f>
        <v>0.58333333333575865</v>
      </c>
      <c r="O1524">
        <f>Table1[[#This Row],[Company]]</f>
        <v>7</v>
      </c>
      <c r="P15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5" spans="1:16" x14ac:dyDescent="0.45">
      <c r="A1525" s="3">
        <v>45305.583333333336</v>
      </c>
      <c r="B1525" t="s">
        <v>14</v>
      </c>
      <c r="C1525">
        <v>8</v>
      </c>
      <c r="D1525">
        <v>1002</v>
      </c>
      <c r="E1525" t="s">
        <v>15</v>
      </c>
      <c r="F1525">
        <v>7</v>
      </c>
      <c r="G1525">
        <v>5800</v>
      </c>
      <c r="H1525">
        <v>40600</v>
      </c>
      <c r="I1525" s="3">
        <v>45306.5</v>
      </c>
      <c r="J1525">
        <v>96</v>
      </c>
      <c r="K1525" s="3">
        <v>45309.5</v>
      </c>
      <c r="L1525" s="4">
        <f>ROUNDDOWN(Table1[[#This Row],[Ordered]],0)</f>
        <v>45305</v>
      </c>
      <c r="M1525" s="4">
        <f>Table1[[#This Row],[Date ]]</f>
        <v>45305</v>
      </c>
      <c r="N1525" s="5">
        <f>Table1[[#This Row],[Ordered]]-Table1[[#This Row],[Date ]]</f>
        <v>0.58333333333575865</v>
      </c>
      <c r="O1525">
        <f>Table1[[#This Row],[Company]]</f>
        <v>8</v>
      </c>
      <c r="P15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6" spans="1:16" x14ac:dyDescent="0.45">
      <c r="A1526" s="3">
        <v>45305.583333333336</v>
      </c>
      <c r="B1526" t="s">
        <v>14</v>
      </c>
      <c r="C1526">
        <v>9</v>
      </c>
      <c r="D1526">
        <v>1002</v>
      </c>
      <c r="E1526" t="s">
        <v>15</v>
      </c>
      <c r="F1526">
        <v>6</v>
      </c>
      <c r="G1526">
        <v>6700</v>
      </c>
      <c r="H1526">
        <v>40200</v>
      </c>
      <c r="I1526" s="3">
        <v>45305.666666666664</v>
      </c>
      <c r="J1526">
        <v>74</v>
      </c>
      <c r="K1526" s="3">
        <v>45308.666666666664</v>
      </c>
      <c r="L1526" s="4">
        <f>ROUNDDOWN(Table1[[#This Row],[Ordered]],0)</f>
        <v>45305</v>
      </c>
      <c r="M1526" s="4">
        <f>Table1[[#This Row],[Date ]]</f>
        <v>45305</v>
      </c>
      <c r="N1526" s="5">
        <f>Table1[[#This Row],[Ordered]]-Table1[[#This Row],[Date ]]</f>
        <v>0.58333333333575865</v>
      </c>
      <c r="O1526">
        <f>Table1[[#This Row],[Company]]</f>
        <v>9</v>
      </c>
      <c r="P15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7" spans="1:16" x14ac:dyDescent="0.45">
      <c r="A1527" s="3">
        <v>45305.583333333336</v>
      </c>
      <c r="B1527" t="s">
        <v>14</v>
      </c>
      <c r="C1527">
        <v>12</v>
      </c>
      <c r="D1527">
        <v>1002</v>
      </c>
      <c r="E1527" t="s">
        <v>15</v>
      </c>
      <c r="F1527">
        <v>8</v>
      </c>
      <c r="G1527">
        <v>6900</v>
      </c>
      <c r="H1527">
        <v>55200</v>
      </c>
      <c r="I1527" s="3">
        <v>45305.708333333336</v>
      </c>
      <c r="J1527">
        <v>84</v>
      </c>
      <c r="K1527" s="3">
        <v>45308.708333333336</v>
      </c>
      <c r="L1527" s="4">
        <f>ROUNDDOWN(Table1[[#This Row],[Ordered]],0)</f>
        <v>45305</v>
      </c>
      <c r="M1527" s="4">
        <f>Table1[[#This Row],[Date ]]</f>
        <v>45305</v>
      </c>
      <c r="N1527" s="5">
        <f>Table1[[#This Row],[Ordered]]-Table1[[#This Row],[Date ]]</f>
        <v>0.58333333333575865</v>
      </c>
      <c r="O1527">
        <f>Table1[[#This Row],[Company]]</f>
        <v>12</v>
      </c>
      <c r="P15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8" spans="1:16" hidden="1" x14ac:dyDescent="0.45">
      <c r="A1528" s="3">
        <v>45305.583333333336</v>
      </c>
      <c r="B1528" t="s">
        <v>12</v>
      </c>
      <c r="C1528">
        <v>4</v>
      </c>
      <c r="D1528">
        <v>11</v>
      </c>
      <c r="E1528" t="s">
        <v>17</v>
      </c>
      <c r="F1528">
        <v>100</v>
      </c>
      <c r="G1528">
        <v>1250</v>
      </c>
      <c r="H1528">
        <v>125000</v>
      </c>
      <c r="I1528" s="3">
        <v>45306</v>
      </c>
      <c r="J1528">
        <v>24</v>
      </c>
      <c r="K1528" s="3">
        <v>45307</v>
      </c>
      <c r="L1528" s="4">
        <f>ROUNDDOWN(Table1[[#This Row],[Ordered]],0)</f>
        <v>45305</v>
      </c>
      <c r="M1528" s="4">
        <f>Table1[[#This Row],[Date ]]</f>
        <v>45305</v>
      </c>
      <c r="N1528" s="5">
        <f>Table1[[#This Row],[Ordered]]-Table1[[#This Row],[Date ]]</f>
        <v>0.58333333333575865</v>
      </c>
      <c r="O1528">
        <f>Table1[[#This Row],[Company]]</f>
        <v>4</v>
      </c>
      <c r="P15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9" spans="1:16" x14ac:dyDescent="0.45">
      <c r="A1529" s="3">
        <v>45305.583333333336</v>
      </c>
      <c r="B1529" t="s">
        <v>14</v>
      </c>
      <c r="C1529">
        <v>16</v>
      </c>
      <c r="D1529">
        <v>1002</v>
      </c>
      <c r="E1529" t="s">
        <v>15</v>
      </c>
      <c r="F1529">
        <v>5</v>
      </c>
      <c r="G1529">
        <v>6650</v>
      </c>
      <c r="H1529">
        <v>33250</v>
      </c>
      <c r="I1529" s="3">
        <v>45305.791666666664</v>
      </c>
      <c r="J1529">
        <v>96</v>
      </c>
      <c r="K1529" s="3">
        <v>45308.791666666664</v>
      </c>
      <c r="L1529" s="4">
        <f>ROUNDDOWN(Table1[[#This Row],[Ordered]],0)</f>
        <v>45305</v>
      </c>
      <c r="M1529" s="4">
        <f>Table1[[#This Row],[Date ]]</f>
        <v>45305</v>
      </c>
      <c r="N1529" s="5">
        <f>Table1[[#This Row],[Ordered]]-Table1[[#This Row],[Date ]]</f>
        <v>0.58333333333575865</v>
      </c>
      <c r="O1529">
        <f>Table1[[#This Row],[Company]]</f>
        <v>16</v>
      </c>
      <c r="P15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0" spans="1:16" x14ac:dyDescent="0.45">
      <c r="A1530" s="3">
        <v>45305.583333333336</v>
      </c>
      <c r="B1530" t="s">
        <v>14</v>
      </c>
      <c r="C1530">
        <v>14</v>
      </c>
      <c r="D1530">
        <v>1002</v>
      </c>
      <c r="E1530" t="s">
        <v>15</v>
      </c>
      <c r="F1530">
        <v>3</v>
      </c>
      <c r="G1530">
        <v>6650</v>
      </c>
      <c r="H1530">
        <v>19950</v>
      </c>
      <c r="I1530" s="3">
        <v>45306</v>
      </c>
      <c r="J1530">
        <v>96</v>
      </c>
      <c r="K1530" s="3">
        <v>45309</v>
      </c>
      <c r="L1530" s="4">
        <f>ROUNDDOWN(Table1[[#This Row],[Ordered]],0)</f>
        <v>45305</v>
      </c>
      <c r="M1530" s="4">
        <f>Table1[[#This Row],[Date ]]</f>
        <v>45305</v>
      </c>
      <c r="N1530" s="5">
        <f>Table1[[#This Row],[Ordered]]-Table1[[#This Row],[Date ]]</f>
        <v>0.58333333333575865</v>
      </c>
      <c r="O1530">
        <f>Table1[[#This Row],[Company]]</f>
        <v>14</v>
      </c>
      <c r="P15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1" spans="1:16" x14ac:dyDescent="0.45">
      <c r="A1531" s="3">
        <v>45305.583333333336</v>
      </c>
      <c r="B1531" t="s">
        <v>14</v>
      </c>
      <c r="C1531">
        <v>15</v>
      </c>
      <c r="D1531">
        <v>1002</v>
      </c>
      <c r="E1531" t="s">
        <v>15</v>
      </c>
      <c r="F1531">
        <v>9</v>
      </c>
      <c r="G1531">
        <v>6000</v>
      </c>
      <c r="H1531">
        <v>54000</v>
      </c>
      <c r="I1531" s="3">
        <v>45305.625</v>
      </c>
      <c r="J1531">
        <v>66</v>
      </c>
      <c r="K1531" s="3">
        <v>45307.625</v>
      </c>
      <c r="L1531" s="4">
        <f>ROUNDDOWN(Table1[[#This Row],[Ordered]],0)</f>
        <v>45305</v>
      </c>
      <c r="M1531" s="4">
        <f>Table1[[#This Row],[Date ]]</f>
        <v>45305</v>
      </c>
      <c r="N1531" s="5">
        <f>Table1[[#This Row],[Ordered]]-Table1[[#This Row],[Date ]]</f>
        <v>0.58333333333575865</v>
      </c>
      <c r="O1531">
        <f>Table1[[#This Row],[Company]]</f>
        <v>15</v>
      </c>
      <c r="P15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2" spans="1:16" hidden="1" x14ac:dyDescent="0.45">
      <c r="A1532" s="3">
        <v>45305.625</v>
      </c>
      <c r="B1532" t="s">
        <v>12</v>
      </c>
      <c r="C1532">
        <v>4</v>
      </c>
      <c r="D1532">
        <v>9</v>
      </c>
      <c r="E1532" t="s">
        <v>17</v>
      </c>
      <c r="F1532">
        <v>129</v>
      </c>
      <c r="G1532">
        <v>1350</v>
      </c>
      <c r="H1532">
        <v>174150</v>
      </c>
      <c r="I1532" s="3">
        <v>45305.666666666664</v>
      </c>
      <c r="J1532">
        <v>24</v>
      </c>
      <c r="K1532" s="3">
        <v>45306.666666666664</v>
      </c>
      <c r="L1532" s="4">
        <f>ROUNDDOWN(Table1[[#This Row],[Ordered]],0)</f>
        <v>45305</v>
      </c>
      <c r="M1532" s="4">
        <f>Table1[[#This Row],[Date ]]</f>
        <v>45305</v>
      </c>
      <c r="N1532" s="5">
        <f>Table1[[#This Row],[Ordered]]-Table1[[#This Row],[Date ]]</f>
        <v>0.625</v>
      </c>
      <c r="O1532">
        <f>Table1[[#This Row],[Company]]</f>
        <v>4</v>
      </c>
      <c r="P15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3" spans="1:16" x14ac:dyDescent="0.45">
      <c r="A1533" s="3">
        <v>45305.666666666664</v>
      </c>
      <c r="B1533" t="s">
        <v>0</v>
      </c>
      <c r="C1533">
        <v>12</v>
      </c>
      <c r="D1533">
        <v>2011</v>
      </c>
      <c r="E1533" t="s">
        <v>16</v>
      </c>
      <c r="F1533">
        <v>15</v>
      </c>
      <c r="G1533">
        <v>4100</v>
      </c>
      <c r="H1533">
        <v>61500</v>
      </c>
      <c r="I1533" s="3">
        <v>45306.5</v>
      </c>
      <c r="J1533">
        <v>60</v>
      </c>
      <c r="K1533" s="3">
        <v>45308</v>
      </c>
      <c r="L1533" s="4">
        <f>ROUNDDOWN(Table1[[#This Row],[Ordered]],0)</f>
        <v>45305</v>
      </c>
      <c r="M1533" s="4">
        <f>Table1[[#This Row],[Date ]]</f>
        <v>45305</v>
      </c>
      <c r="N1533" s="5">
        <f>Table1[[#This Row],[Ordered]]-Table1[[#This Row],[Date ]]</f>
        <v>0.66666666666424135</v>
      </c>
      <c r="O1533">
        <f>Table1[[#This Row],[Company]]</f>
        <v>12</v>
      </c>
      <c r="P15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4" spans="1:16" x14ac:dyDescent="0.45">
      <c r="A1534" s="3">
        <v>45305.666666666664</v>
      </c>
      <c r="B1534" t="s">
        <v>0</v>
      </c>
      <c r="C1534">
        <v>12</v>
      </c>
      <c r="D1534">
        <v>2011</v>
      </c>
      <c r="E1534" t="s">
        <v>15</v>
      </c>
      <c r="F1534">
        <v>30</v>
      </c>
      <c r="G1534">
        <v>6750</v>
      </c>
      <c r="H1534">
        <v>202500</v>
      </c>
      <c r="I1534" s="3">
        <v>45306.541666666664</v>
      </c>
      <c r="J1534">
        <v>120</v>
      </c>
      <c r="K1534" s="3">
        <v>45309.541666666664</v>
      </c>
      <c r="L1534" s="4">
        <f>ROUNDDOWN(Table1[[#This Row],[Ordered]],0)</f>
        <v>45305</v>
      </c>
      <c r="M1534" s="4">
        <f>Table1[[#This Row],[Date ]]</f>
        <v>45305</v>
      </c>
      <c r="N1534" s="5">
        <f>Table1[[#This Row],[Ordered]]-Table1[[#This Row],[Date ]]</f>
        <v>0.66666666666424135</v>
      </c>
      <c r="O1534">
        <f>Table1[[#This Row],[Company]]</f>
        <v>12</v>
      </c>
      <c r="P15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5" spans="1:16" x14ac:dyDescent="0.45">
      <c r="A1535" s="3">
        <v>45305.666666666664</v>
      </c>
      <c r="B1535" t="s">
        <v>0</v>
      </c>
      <c r="C1535">
        <v>13</v>
      </c>
      <c r="D1535">
        <v>2011</v>
      </c>
      <c r="E1535" t="s">
        <v>15</v>
      </c>
      <c r="F1535">
        <v>30</v>
      </c>
      <c r="G1535">
        <v>6300</v>
      </c>
      <c r="H1535">
        <v>189000</v>
      </c>
      <c r="I1535" s="3">
        <v>45306.541666666664</v>
      </c>
      <c r="J1535">
        <v>132</v>
      </c>
      <c r="K1535" s="3">
        <v>45311.041666666664</v>
      </c>
      <c r="L1535" s="4">
        <f>ROUNDDOWN(Table1[[#This Row],[Ordered]],0)</f>
        <v>45305</v>
      </c>
      <c r="M1535" s="4">
        <f>Table1[[#This Row],[Date ]]</f>
        <v>45305</v>
      </c>
      <c r="N1535" s="5">
        <f>Table1[[#This Row],[Ordered]]-Table1[[#This Row],[Date ]]</f>
        <v>0.66666666666424135</v>
      </c>
      <c r="O1535">
        <f>Table1[[#This Row],[Company]]</f>
        <v>13</v>
      </c>
      <c r="P15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6" spans="1:16" x14ac:dyDescent="0.45">
      <c r="A1536" s="3">
        <v>45305.666666666664</v>
      </c>
      <c r="B1536" t="s">
        <v>0</v>
      </c>
      <c r="C1536">
        <v>16</v>
      </c>
      <c r="D1536">
        <v>2011</v>
      </c>
      <c r="E1536" t="s">
        <v>15</v>
      </c>
      <c r="F1536">
        <v>30</v>
      </c>
      <c r="G1536">
        <v>6650</v>
      </c>
      <c r="H1536">
        <v>199500</v>
      </c>
      <c r="I1536" s="3">
        <v>45306</v>
      </c>
      <c r="J1536">
        <v>132</v>
      </c>
      <c r="K1536" s="3">
        <v>45310.5</v>
      </c>
      <c r="L1536" s="4">
        <f>ROUNDDOWN(Table1[[#This Row],[Ordered]],0)</f>
        <v>45305</v>
      </c>
      <c r="M1536" s="4">
        <f>Table1[[#This Row],[Date ]]</f>
        <v>45305</v>
      </c>
      <c r="N1536" s="5">
        <f>Table1[[#This Row],[Ordered]]-Table1[[#This Row],[Date ]]</f>
        <v>0.66666666666424135</v>
      </c>
      <c r="O1536">
        <f>Table1[[#This Row],[Company]]</f>
        <v>16</v>
      </c>
      <c r="P15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7" spans="1:16" x14ac:dyDescent="0.45">
      <c r="A1537" s="3">
        <v>45305.666666666664</v>
      </c>
      <c r="B1537" t="s">
        <v>0</v>
      </c>
      <c r="C1537">
        <v>11</v>
      </c>
      <c r="D1537">
        <v>2011</v>
      </c>
      <c r="E1537" t="s">
        <v>16</v>
      </c>
      <c r="F1537">
        <v>40</v>
      </c>
      <c r="G1537">
        <v>4200</v>
      </c>
      <c r="H1537">
        <v>168000</v>
      </c>
      <c r="I1537" s="3">
        <v>45305.75</v>
      </c>
      <c r="J1537">
        <v>120</v>
      </c>
      <c r="K1537" s="3">
        <v>45310.25</v>
      </c>
      <c r="L1537" s="4">
        <f>ROUNDDOWN(Table1[[#This Row],[Ordered]],0)</f>
        <v>45305</v>
      </c>
      <c r="M1537" s="4">
        <f>Table1[[#This Row],[Date ]]</f>
        <v>45305</v>
      </c>
      <c r="N1537" s="5">
        <f>Table1[[#This Row],[Ordered]]-Table1[[#This Row],[Date ]]</f>
        <v>0.66666666666424135</v>
      </c>
      <c r="O1537">
        <f>Table1[[#This Row],[Company]]</f>
        <v>11</v>
      </c>
      <c r="P15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8" spans="1:16" x14ac:dyDescent="0.45">
      <c r="A1538" s="3">
        <v>45305.666666666664</v>
      </c>
      <c r="B1538" t="s">
        <v>0</v>
      </c>
      <c r="C1538">
        <v>9</v>
      </c>
      <c r="D1538">
        <v>2011</v>
      </c>
      <c r="E1538" t="s">
        <v>16</v>
      </c>
      <c r="F1538">
        <v>30</v>
      </c>
      <c r="G1538">
        <v>3730</v>
      </c>
      <c r="H1538">
        <v>111900</v>
      </c>
      <c r="I1538" s="3">
        <v>45306.291666666664</v>
      </c>
      <c r="J1538">
        <v>126</v>
      </c>
      <c r="K1538" s="3">
        <v>45310.791666666664</v>
      </c>
      <c r="L1538" s="4">
        <f>ROUNDDOWN(Table1[[#This Row],[Ordered]],0)</f>
        <v>45305</v>
      </c>
      <c r="M1538" s="4">
        <f>Table1[[#This Row],[Date ]]</f>
        <v>45305</v>
      </c>
      <c r="N1538" s="5">
        <f>Table1[[#This Row],[Ordered]]-Table1[[#This Row],[Date ]]</f>
        <v>0.66666666666424135</v>
      </c>
      <c r="O1538">
        <f>Table1[[#This Row],[Company]]</f>
        <v>9</v>
      </c>
      <c r="P15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9" spans="1:16" x14ac:dyDescent="0.45">
      <c r="A1539" s="3">
        <v>45305.666666666664</v>
      </c>
      <c r="B1539" t="s">
        <v>0</v>
      </c>
      <c r="C1539">
        <v>10</v>
      </c>
      <c r="D1539">
        <v>2011</v>
      </c>
      <c r="E1539" t="s">
        <v>16</v>
      </c>
      <c r="F1539">
        <v>50</v>
      </c>
      <c r="G1539">
        <v>4100</v>
      </c>
      <c r="H1539">
        <v>205000</v>
      </c>
      <c r="I1539" s="3">
        <v>45305.708333333336</v>
      </c>
      <c r="J1539">
        <v>78</v>
      </c>
      <c r="K1539" s="3">
        <v>45308.708333333336</v>
      </c>
      <c r="L1539" s="4">
        <f>ROUNDDOWN(Table1[[#This Row],[Ordered]],0)</f>
        <v>45305</v>
      </c>
      <c r="M1539" s="4">
        <f>Table1[[#This Row],[Date ]]</f>
        <v>45305</v>
      </c>
      <c r="N1539" s="5">
        <f>Table1[[#This Row],[Ordered]]-Table1[[#This Row],[Date ]]</f>
        <v>0.66666666666424135</v>
      </c>
      <c r="O1539">
        <f>Table1[[#This Row],[Company]]</f>
        <v>10</v>
      </c>
      <c r="P15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0" spans="1:16" x14ac:dyDescent="0.45">
      <c r="A1540" s="3">
        <v>45305.666666666664</v>
      </c>
      <c r="B1540" t="s">
        <v>0</v>
      </c>
      <c r="C1540">
        <v>8</v>
      </c>
      <c r="D1540">
        <v>2011</v>
      </c>
      <c r="E1540" t="s">
        <v>16</v>
      </c>
      <c r="F1540">
        <v>30</v>
      </c>
      <c r="G1540">
        <v>3800</v>
      </c>
      <c r="H1540">
        <v>114000</v>
      </c>
      <c r="I1540" s="3">
        <v>45307.541666666664</v>
      </c>
      <c r="J1540">
        <v>132</v>
      </c>
      <c r="K1540" s="3">
        <v>45310.541666666664</v>
      </c>
      <c r="L1540" s="4">
        <f>ROUNDDOWN(Table1[[#This Row],[Ordered]],0)</f>
        <v>45305</v>
      </c>
      <c r="M1540" s="4">
        <f>Table1[[#This Row],[Date ]]</f>
        <v>45305</v>
      </c>
      <c r="N1540" s="5">
        <f>Table1[[#This Row],[Ordered]]-Table1[[#This Row],[Date ]]</f>
        <v>0.66666666666424135</v>
      </c>
      <c r="O1540">
        <f>Table1[[#This Row],[Company]]</f>
        <v>8</v>
      </c>
      <c r="P15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1" spans="1:16" x14ac:dyDescent="0.45">
      <c r="A1541" s="3">
        <v>45305.666666666664</v>
      </c>
      <c r="B1541" t="s">
        <v>0</v>
      </c>
      <c r="C1541">
        <v>7</v>
      </c>
      <c r="D1541">
        <v>2011</v>
      </c>
      <c r="E1541" t="s">
        <v>15</v>
      </c>
      <c r="F1541">
        <v>28</v>
      </c>
      <c r="G1541">
        <v>6850</v>
      </c>
      <c r="H1541">
        <v>191800</v>
      </c>
      <c r="I1541" s="3">
        <v>45308</v>
      </c>
      <c r="J1541">
        <v>132</v>
      </c>
      <c r="K1541" s="3">
        <v>45311</v>
      </c>
      <c r="L1541" s="4">
        <f>ROUNDDOWN(Table1[[#This Row],[Ordered]],0)</f>
        <v>45305</v>
      </c>
      <c r="M1541" s="4">
        <f>Table1[[#This Row],[Date ]]</f>
        <v>45305</v>
      </c>
      <c r="N1541" s="5">
        <f>Table1[[#This Row],[Ordered]]-Table1[[#This Row],[Date ]]</f>
        <v>0.66666666666424135</v>
      </c>
      <c r="O1541">
        <f>Table1[[#This Row],[Company]]</f>
        <v>7</v>
      </c>
      <c r="P15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2" spans="1:16" x14ac:dyDescent="0.45">
      <c r="A1542" s="3">
        <v>45305.666666666664</v>
      </c>
      <c r="B1542" t="s">
        <v>0</v>
      </c>
      <c r="C1542">
        <v>15</v>
      </c>
      <c r="D1542">
        <v>2011</v>
      </c>
      <c r="E1542" t="s">
        <v>15</v>
      </c>
      <c r="F1542">
        <v>40</v>
      </c>
      <c r="G1542">
        <v>6000</v>
      </c>
      <c r="H1542">
        <v>240000</v>
      </c>
      <c r="I1542" s="3">
        <v>45305.666666666664</v>
      </c>
      <c r="J1542">
        <v>48</v>
      </c>
      <c r="K1542" s="3">
        <v>45307.166666666664</v>
      </c>
      <c r="L1542" s="4">
        <f>ROUNDDOWN(Table1[[#This Row],[Ordered]],0)</f>
        <v>45305</v>
      </c>
      <c r="M1542" s="4">
        <f>Table1[[#This Row],[Date ]]</f>
        <v>45305</v>
      </c>
      <c r="N1542" s="5">
        <f>Table1[[#This Row],[Ordered]]-Table1[[#This Row],[Date ]]</f>
        <v>0.66666666666424135</v>
      </c>
      <c r="O1542">
        <f>Table1[[#This Row],[Company]]</f>
        <v>15</v>
      </c>
      <c r="P15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3" spans="1:16" x14ac:dyDescent="0.45">
      <c r="A1543" s="3">
        <v>45305.666666666664</v>
      </c>
      <c r="B1543" t="s">
        <v>14</v>
      </c>
      <c r="C1543">
        <v>16</v>
      </c>
      <c r="D1543">
        <v>1003</v>
      </c>
      <c r="E1543" t="s">
        <v>15</v>
      </c>
      <c r="F1543">
        <v>3</v>
      </c>
      <c r="G1543">
        <v>6650</v>
      </c>
      <c r="H1543">
        <v>19950</v>
      </c>
      <c r="I1543" s="3">
        <v>45305.958333333336</v>
      </c>
      <c r="J1543">
        <v>96</v>
      </c>
      <c r="K1543" s="3">
        <v>45308.958333333336</v>
      </c>
      <c r="L1543" s="4">
        <f>ROUNDDOWN(Table1[[#This Row],[Ordered]],0)</f>
        <v>45305</v>
      </c>
      <c r="M1543" s="4">
        <f>Table1[[#This Row],[Date ]]</f>
        <v>45305</v>
      </c>
      <c r="N1543" s="5">
        <f>Table1[[#This Row],[Ordered]]-Table1[[#This Row],[Date ]]</f>
        <v>0.66666666666424135</v>
      </c>
      <c r="O1543">
        <f>Table1[[#This Row],[Company]]</f>
        <v>16</v>
      </c>
      <c r="P15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4" spans="1:16" x14ac:dyDescent="0.45">
      <c r="A1544" s="3">
        <v>45305.666666666664</v>
      </c>
      <c r="B1544" t="s">
        <v>0</v>
      </c>
      <c r="C1544">
        <v>16</v>
      </c>
      <c r="D1544">
        <v>2011</v>
      </c>
      <c r="E1544" t="s">
        <v>16</v>
      </c>
      <c r="F1544">
        <v>30</v>
      </c>
      <c r="G1544">
        <v>3750</v>
      </c>
      <c r="H1544">
        <v>112500</v>
      </c>
      <c r="I1544" s="3">
        <v>45306</v>
      </c>
      <c r="J1544">
        <v>132</v>
      </c>
      <c r="K1544" s="3">
        <v>45310.5</v>
      </c>
      <c r="L1544" s="4">
        <f>ROUNDDOWN(Table1[[#This Row],[Ordered]],0)</f>
        <v>45305</v>
      </c>
      <c r="M1544" s="4">
        <f>Table1[[#This Row],[Date ]]</f>
        <v>45305</v>
      </c>
      <c r="N1544" s="5">
        <f>Table1[[#This Row],[Ordered]]-Table1[[#This Row],[Date ]]</f>
        <v>0.66666666666424135</v>
      </c>
      <c r="O1544">
        <f>Table1[[#This Row],[Company]]</f>
        <v>16</v>
      </c>
      <c r="P15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5" spans="1:16" x14ac:dyDescent="0.45">
      <c r="A1545" s="3">
        <v>45305.666666666664</v>
      </c>
      <c r="B1545" t="s">
        <v>14</v>
      </c>
      <c r="C1545">
        <v>9</v>
      </c>
      <c r="D1545">
        <v>1003</v>
      </c>
      <c r="E1545" t="s">
        <v>15</v>
      </c>
      <c r="F1545">
        <v>30</v>
      </c>
      <c r="G1545">
        <v>6450</v>
      </c>
      <c r="H1545">
        <v>193500</v>
      </c>
      <c r="I1545" s="3">
        <v>45306</v>
      </c>
      <c r="J1545">
        <v>84</v>
      </c>
      <c r="K1545" s="3">
        <v>45309</v>
      </c>
      <c r="L1545" s="4">
        <f>ROUNDDOWN(Table1[[#This Row],[Ordered]],0)</f>
        <v>45305</v>
      </c>
      <c r="M1545" s="4">
        <f>Table1[[#This Row],[Date ]]</f>
        <v>45305</v>
      </c>
      <c r="N1545" s="5">
        <f>Table1[[#This Row],[Ordered]]-Table1[[#This Row],[Date ]]</f>
        <v>0.66666666666424135</v>
      </c>
      <c r="O1545">
        <f>Table1[[#This Row],[Company]]</f>
        <v>9</v>
      </c>
      <c r="P15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6" spans="1:16" x14ac:dyDescent="0.45">
      <c r="A1546" s="3">
        <v>45305.666666666664</v>
      </c>
      <c r="B1546" t="s">
        <v>0</v>
      </c>
      <c r="C1546">
        <v>14</v>
      </c>
      <c r="D1546">
        <v>2011</v>
      </c>
      <c r="E1546" t="s">
        <v>15</v>
      </c>
      <c r="F1546">
        <v>24</v>
      </c>
      <c r="G1546">
        <v>6650</v>
      </c>
      <c r="H1546">
        <v>159600</v>
      </c>
      <c r="I1546" s="3">
        <v>45306</v>
      </c>
      <c r="J1546">
        <v>132</v>
      </c>
      <c r="K1546" s="3">
        <v>45310.5</v>
      </c>
      <c r="L1546" s="4">
        <f>ROUNDDOWN(Table1[[#This Row],[Ordered]],0)</f>
        <v>45305</v>
      </c>
      <c r="M1546" s="4">
        <f>Table1[[#This Row],[Date ]]</f>
        <v>45305</v>
      </c>
      <c r="N1546" s="5">
        <f>Table1[[#This Row],[Ordered]]-Table1[[#This Row],[Date ]]</f>
        <v>0.66666666666424135</v>
      </c>
      <c r="O1546">
        <f>Table1[[#This Row],[Company]]</f>
        <v>14</v>
      </c>
      <c r="P15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7" spans="1:16" x14ac:dyDescent="0.45">
      <c r="A1547" s="3">
        <v>45305.666666666664</v>
      </c>
      <c r="B1547" t="s">
        <v>0</v>
      </c>
      <c r="C1547">
        <v>15</v>
      </c>
      <c r="D1547">
        <v>2011</v>
      </c>
      <c r="E1547" t="s">
        <v>16</v>
      </c>
      <c r="F1547">
        <v>30</v>
      </c>
      <c r="G1547">
        <v>4150</v>
      </c>
      <c r="H1547">
        <v>124500</v>
      </c>
      <c r="I1547" s="3">
        <v>45305.791666666664</v>
      </c>
      <c r="J1547">
        <v>53</v>
      </c>
      <c r="K1547" s="3">
        <v>45307.291666666664</v>
      </c>
      <c r="L1547" s="4">
        <f>ROUNDDOWN(Table1[[#This Row],[Ordered]],0)</f>
        <v>45305</v>
      </c>
      <c r="M1547" s="4">
        <f>Table1[[#This Row],[Date ]]</f>
        <v>45305</v>
      </c>
      <c r="N1547" s="5">
        <f>Table1[[#This Row],[Ordered]]-Table1[[#This Row],[Date ]]</f>
        <v>0.66666666666424135</v>
      </c>
      <c r="O1547">
        <f>Table1[[#This Row],[Company]]</f>
        <v>15</v>
      </c>
      <c r="P15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8" spans="1:16" x14ac:dyDescent="0.45">
      <c r="A1548" s="3">
        <v>45305.666666666664</v>
      </c>
      <c r="B1548" t="s">
        <v>0</v>
      </c>
      <c r="C1548">
        <v>9</v>
      </c>
      <c r="D1548">
        <v>2011</v>
      </c>
      <c r="E1548" t="s">
        <v>15</v>
      </c>
      <c r="F1548">
        <v>30</v>
      </c>
      <c r="G1548">
        <v>6650</v>
      </c>
      <c r="H1548">
        <v>199500</v>
      </c>
      <c r="I1548" s="3">
        <v>45306.416666666664</v>
      </c>
      <c r="J1548">
        <v>132</v>
      </c>
      <c r="K1548" s="3">
        <v>45310.916666666664</v>
      </c>
      <c r="L1548" s="4">
        <f>ROUNDDOWN(Table1[[#This Row],[Ordered]],0)</f>
        <v>45305</v>
      </c>
      <c r="M1548" s="4">
        <f>Table1[[#This Row],[Date ]]</f>
        <v>45305</v>
      </c>
      <c r="N1548" s="5">
        <f>Table1[[#This Row],[Ordered]]-Table1[[#This Row],[Date ]]</f>
        <v>0.66666666666424135</v>
      </c>
      <c r="O1548">
        <f>Table1[[#This Row],[Company]]</f>
        <v>9</v>
      </c>
      <c r="P15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9" spans="1:16" x14ac:dyDescent="0.45">
      <c r="A1549" s="3">
        <v>45305.666666666664</v>
      </c>
      <c r="B1549" t="s">
        <v>0</v>
      </c>
      <c r="C1549">
        <v>14</v>
      </c>
      <c r="D1549">
        <v>2011</v>
      </c>
      <c r="E1549" t="s">
        <v>16</v>
      </c>
      <c r="F1549">
        <v>40</v>
      </c>
      <c r="G1549">
        <v>3750</v>
      </c>
      <c r="H1549">
        <v>150000</v>
      </c>
      <c r="I1549" s="3">
        <v>45306.166666666664</v>
      </c>
      <c r="J1549">
        <v>132</v>
      </c>
      <c r="K1549" s="3">
        <v>45310.833333333336</v>
      </c>
      <c r="L1549" s="4">
        <f>ROUNDDOWN(Table1[[#This Row],[Ordered]],0)</f>
        <v>45305</v>
      </c>
      <c r="M1549" s="4">
        <f>Table1[[#This Row],[Date ]]</f>
        <v>45305</v>
      </c>
      <c r="N1549" s="5">
        <f>Table1[[#This Row],[Ordered]]-Table1[[#This Row],[Date ]]</f>
        <v>0.66666666666424135</v>
      </c>
      <c r="O1549">
        <f>Table1[[#This Row],[Company]]</f>
        <v>14</v>
      </c>
      <c r="P15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0" spans="1:16" x14ac:dyDescent="0.45">
      <c r="A1550" s="3">
        <v>45305.666666666664</v>
      </c>
      <c r="B1550" t="s">
        <v>0</v>
      </c>
      <c r="C1550">
        <v>7</v>
      </c>
      <c r="D1550">
        <v>2011</v>
      </c>
      <c r="E1550" t="s">
        <v>16</v>
      </c>
      <c r="F1550">
        <v>30</v>
      </c>
      <c r="G1550">
        <v>3800</v>
      </c>
      <c r="H1550">
        <v>114000</v>
      </c>
      <c r="I1550" s="3">
        <v>45307.958333333336</v>
      </c>
      <c r="J1550">
        <v>132</v>
      </c>
      <c r="K1550" s="3">
        <v>45310.958333333336</v>
      </c>
      <c r="L1550" s="4">
        <f>ROUNDDOWN(Table1[[#This Row],[Ordered]],0)</f>
        <v>45305</v>
      </c>
      <c r="M1550" s="4">
        <f>Table1[[#This Row],[Date ]]</f>
        <v>45305</v>
      </c>
      <c r="N1550" s="5">
        <f>Table1[[#This Row],[Ordered]]-Table1[[#This Row],[Date ]]</f>
        <v>0.66666666666424135</v>
      </c>
      <c r="O1550">
        <f>Table1[[#This Row],[Company]]</f>
        <v>7</v>
      </c>
      <c r="P15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1" spans="1:16" x14ac:dyDescent="0.45">
      <c r="A1551" s="3">
        <v>45305.666666666664</v>
      </c>
      <c r="B1551" t="s">
        <v>0</v>
      </c>
      <c r="C1551">
        <v>8</v>
      </c>
      <c r="D1551">
        <v>2011</v>
      </c>
      <c r="E1551" t="s">
        <v>15</v>
      </c>
      <c r="F1551">
        <v>30</v>
      </c>
      <c r="G1551">
        <v>6200</v>
      </c>
      <c r="H1551">
        <v>186000</v>
      </c>
      <c r="I1551" s="3">
        <v>45309.5</v>
      </c>
      <c r="J1551">
        <v>132</v>
      </c>
      <c r="K1551" s="3">
        <v>45311</v>
      </c>
      <c r="L1551" s="4">
        <f>ROUNDDOWN(Table1[[#This Row],[Ordered]],0)</f>
        <v>45305</v>
      </c>
      <c r="M1551" s="4">
        <f>Table1[[#This Row],[Date ]]</f>
        <v>45305</v>
      </c>
      <c r="N1551" s="5">
        <f>Table1[[#This Row],[Ordered]]-Table1[[#This Row],[Date ]]</f>
        <v>0.66666666666424135</v>
      </c>
      <c r="O1551">
        <f>Table1[[#This Row],[Company]]</f>
        <v>8</v>
      </c>
      <c r="P15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2" spans="1:16" x14ac:dyDescent="0.45">
      <c r="A1552" s="3">
        <v>45305.666666666664</v>
      </c>
      <c r="B1552" t="s">
        <v>14</v>
      </c>
      <c r="C1552">
        <v>8</v>
      </c>
      <c r="D1552">
        <v>1003</v>
      </c>
      <c r="E1552" t="s">
        <v>15</v>
      </c>
      <c r="F1552">
        <v>4</v>
      </c>
      <c r="G1552">
        <v>5800</v>
      </c>
      <c r="H1552">
        <v>23200</v>
      </c>
      <c r="I1552" s="3">
        <v>45306.5</v>
      </c>
      <c r="J1552">
        <v>96</v>
      </c>
      <c r="K1552" s="3">
        <v>45309.5</v>
      </c>
      <c r="L1552" s="4">
        <f>ROUNDDOWN(Table1[[#This Row],[Ordered]],0)</f>
        <v>45305</v>
      </c>
      <c r="M1552" s="4">
        <f>Table1[[#This Row],[Date ]]</f>
        <v>45305</v>
      </c>
      <c r="N1552" s="5">
        <f>Table1[[#This Row],[Ordered]]-Table1[[#This Row],[Date ]]</f>
        <v>0.66666666666424135</v>
      </c>
      <c r="O1552">
        <f>Table1[[#This Row],[Company]]</f>
        <v>8</v>
      </c>
      <c r="P15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3" spans="1:16" x14ac:dyDescent="0.45">
      <c r="A1553" s="3">
        <v>45305.666666666664</v>
      </c>
      <c r="B1553" t="s">
        <v>14</v>
      </c>
      <c r="C1553">
        <v>15</v>
      </c>
      <c r="D1553">
        <v>1003</v>
      </c>
      <c r="E1553" t="s">
        <v>15</v>
      </c>
      <c r="F1553">
        <v>4</v>
      </c>
      <c r="G1553">
        <v>6000</v>
      </c>
      <c r="H1553">
        <v>24000</v>
      </c>
      <c r="I1553" s="3">
        <v>45305.708333333336</v>
      </c>
      <c r="J1553">
        <v>66</v>
      </c>
      <c r="K1553" s="3">
        <v>45307.708333333336</v>
      </c>
      <c r="L1553" s="4">
        <f>ROUNDDOWN(Table1[[#This Row],[Ordered]],0)</f>
        <v>45305</v>
      </c>
      <c r="M1553" s="4">
        <f>Table1[[#This Row],[Date ]]</f>
        <v>45305</v>
      </c>
      <c r="N1553" s="5">
        <f>Table1[[#This Row],[Ordered]]-Table1[[#This Row],[Date ]]</f>
        <v>0.66666666666424135</v>
      </c>
      <c r="O1553">
        <f>Table1[[#This Row],[Company]]</f>
        <v>15</v>
      </c>
      <c r="P15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4" spans="1:16" x14ac:dyDescent="0.45">
      <c r="A1554" s="3">
        <v>45305.666666666664</v>
      </c>
      <c r="B1554" t="s">
        <v>0</v>
      </c>
      <c r="C1554">
        <v>11</v>
      </c>
      <c r="D1554">
        <v>2011</v>
      </c>
      <c r="E1554" t="s">
        <v>15</v>
      </c>
      <c r="F1554">
        <v>30</v>
      </c>
      <c r="G1554">
        <v>6550</v>
      </c>
      <c r="H1554">
        <v>196500</v>
      </c>
      <c r="I1554" s="3">
        <v>45309.625</v>
      </c>
      <c r="J1554">
        <v>132</v>
      </c>
      <c r="K1554" s="3">
        <v>45311.125</v>
      </c>
      <c r="L1554" s="4">
        <f>ROUNDDOWN(Table1[[#This Row],[Ordered]],0)</f>
        <v>45305</v>
      </c>
      <c r="M1554" s="4">
        <f>Table1[[#This Row],[Date ]]</f>
        <v>45305</v>
      </c>
      <c r="N1554" s="5">
        <f>Table1[[#This Row],[Ordered]]-Table1[[#This Row],[Date ]]</f>
        <v>0.66666666666424135</v>
      </c>
      <c r="O1554">
        <f>Table1[[#This Row],[Company]]</f>
        <v>11</v>
      </c>
      <c r="P15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5" spans="1:16" x14ac:dyDescent="0.45">
      <c r="A1555" s="3">
        <v>45305.666666666664</v>
      </c>
      <c r="B1555" t="s">
        <v>0</v>
      </c>
      <c r="C1555">
        <v>13</v>
      </c>
      <c r="D1555">
        <v>2011</v>
      </c>
      <c r="E1555" t="s">
        <v>16</v>
      </c>
      <c r="F1555">
        <v>30</v>
      </c>
      <c r="G1555">
        <v>3300</v>
      </c>
      <c r="H1555">
        <v>99000</v>
      </c>
      <c r="I1555" s="3">
        <v>45306.541666666664</v>
      </c>
      <c r="J1555">
        <v>132</v>
      </c>
      <c r="K1555" s="3">
        <v>45311.041666666664</v>
      </c>
      <c r="L1555" s="4">
        <f>ROUNDDOWN(Table1[[#This Row],[Ordered]],0)</f>
        <v>45305</v>
      </c>
      <c r="M1555" s="4">
        <f>Table1[[#This Row],[Date ]]</f>
        <v>45305</v>
      </c>
      <c r="N1555" s="5">
        <f>Table1[[#This Row],[Ordered]]-Table1[[#This Row],[Date ]]</f>
        <v>0.66666666666424135</v>
      </c>
      <c r="O1555">
        <f>Table1[[#This Row],[Company]]</f>
        <v>13</v>
      </c>
      <c r="P15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6" spans="1:16" hidden="1" x14ac:dyDescent="0.45">
      <c r="A1556" s="3">
        <v>45305.75</v>
      </c>
      <c r="B1556" t="s">
        <v>12</v>
      </c>
      <c r="C1556">
        <v>6</v>
      </c>
      <c r="D1556">
        <v>15</v>
      </c>
      <c r="E1556" t="s">
        <v>17</v>
      </c>
      <c r="F1556">
        <v>315</v>
      </c>
      <c r="G1556">
        <v>1350</v>
      </c>
      <c r="H1556">
        <v>425250</v>
      </c>
      <c r="I1556" s="3">
        <v>45305.875</v>
      </c>
      <c r="J1556">
        <v>72</v>
      </c>
      <c r="K1556" s="3">
        <v>45308.875</v>
      </c>
      <c r="L1556" s="4">
        <f>ROUNDDOWN(Table1[[#This Row],[Ordered]],0)</f>
        <v>45305</v>
      </c>
      <c r="M1556" s="4">
        <f>Table1[[#This Row],[Date ]]</f>
        <v>45305</v>
      </c>
      <c r="N1556" s="5">
        <f>Table1[[#This Row],[Ordered]]-Table1[[#This Row],[Date ]]</f>
        <v>0.75</v>
      </c>
      <c r="O1556">
        <f>Table1[[#This Row],[Company]]</f>
        <v>6</v>
      </c>
      <c r="P15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7" spans="1:16" hidden="1" x14ac:dyDescent="0.45">
      <c r="A1557" s="3">
        <v>45305.75</v>
      </c>
      <c r="B1557" t="s">
        <v>12</v>
      </c>
      <c r="C1557">
        <v>16</v>
      </c>
      <c r="D1557">
        <v>5</v>
      </c>
      <c r="E1557" t="s">
        <v>20</v>
      </c>
      <c r="F1557">
        <v>289</v>
      </c>
      <c r="G1557">
        <v>11</v>
      </c>
      <c r="H1557">
        <v>3179</v>
      </c>
      <c r="I1557" s="3">
        <v>45305.75</v>
      </c>
      <c r="J1557">
        <v>72</v>
      </c>
      <c r="K1557" s="3">
        <v>45308.75</v>
      </c>
      <c r="L1557" s="4">
        <f>ROUNDDOWN(Table1[[#This Row],[Ordered]],0)</f>
        <v>45305</v>
      </c>
      <c r="M1557" s="4">
        <f>Table1[[#This Row],[Date ]]</f>
        <v>45305</v>
      </c>
      <c r="N1557" s="5">
        <f>Table1[[#This Row],[Ordered]]-Table1[[#This Row],[Date ]]</f>
        <v>0.75</v>
      </c>
      <c r="O1557">
        <f>Table1[[#This Row],[Company]]</f>
        <v>16</v>
      </c>
      <c r="P15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8" spans="1:16" hidden="1" x14ac:dyDescent="0.45">
      <c r="A1558" s="3">
        <v>45305.75</v>
      </c>
      <c r="B1558" t="s">
        <v>12</v>
      </c>
      <c r="C1558">
        <v>6</v>
      </c>
      <c r="D1558">
        <v>15</v>
      </c>
      <c r="E1558" t="s">
        <v>17</v>
      </c>
      <c r="F1558">
        <v>315</v>
      </c>
      <c r="G1558">
        <v>1350</v>
      </c>
      <c r="H1558">
        <v>425250</v>
      </c>
      <c r="I1558" s="3">
        <v>45305.875</v>
      </c>
      <c r="J1558">
        <v>72</v>
      </c>
      <c r="K1558" s="3">
        <v>45308.875</v>
      </c>
      <c r="L1558" s="4">
        <f>ROUNDDOWN(Table1[[#This Row],[Ordered]],0)</f>
        <v>45305</v>
      </c>
      <c r="M1558" s="4">
        <f>Table1[[#This Row],[Date ]]</f>
        <v>45305</v>
      </c>
      <c r="N1558" s="5">
        <f>Table1[[#This Row],[Ordered]]-Table1[[#This Row],[Date ]]</f>
        <v>0.75</v>
      </c>
      <c r="O1558">
        <f>Table1[[#This Row],[Company]]</f>
        <v>6</v>
      </c>
      <c r="P15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9" spans="1:16" x14ac:dyDescent="0.45">
      <c r="A1559" s="3">
        <v>45305.791666666664</v>
      </c>
      <c r="B1559" t="s">
        <v>14</v>
      </c>
      <c r="C1559">
        <v>14</v>
      </c>
      <c r="D1559">
        <v>1001</v>
      </c>
      <c r="E1559" t="s">
        <v>16</v>
      </c>
      <c r="F1559">
        <v>45</v>
      </c>
      <c r="G1559">
        <v>3750</v>
      </c>
      <c r="H1559">
        <v>168750</v>
      </c>
      <c r="I1559" s="3">
        <v>45306.583333333336</v>
      </c>
      <c r="J1559">
        <v>96</v>
      </c>
      <c r="K1559" s="3">
        <v>45309.583333333336</v>
      </c>
      <c r="L1559" s="4">
        <f>ROUNDDOWN(Table1[[#This Row],[Ordered]],0)</f>
        <v>45305</v>
      </c>
      <c r="M1559" s="4">
        <f>Table1[[#This Row],[Date ]]</f>
        <v>45305</v>
      </c>
      <c r="N1559" s="5">
        <f>Table1[[#This Row],[Ordered]]-Table1[[#This Row],[Date ]]</f>
        <v>0.79166666666424135</v>
      </c>
      <c r="O1559">
        <f>Table1[[#This Row],[Company]]</f>
        <v>14</v>
      </c>
      <c r="P15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0" spans="1:16" x14ac:dyDescent="0.45">
      <c r="A1560" s="3">
        <v>45305.791666666664</v>
      </c>
      <c r="B1560" t="s">
        <v>14</v>
      </c>
      <c r="C1560">
        <v>9</v>
      </c>
      <c r="D1560">
        <v>1001</v>
      </c>
      <c r="E1560" t="s">
        <v>16</v>
      </c>
      <c r="F1560">
        <v>30</v>
      </c>
      <c r="G1560">
        <v>3750</v>
      </c>
      <c r="H1560">
        <v>112500</v>
      </c>
      <c r="I1560" s="3">
        <v>45306.5</v>
      </c>
      <c r="J1560">
        <v>96</v>
      </c>
      <c r="K1560" s="3">
        <v>45309.5</v>
      </c>
      <c r="L1560" s="4">
        <f>ROUNDDOWN(Table1[[#This Row],[Ordered]],0)</f>
        <v>45305</v>
      </c>
      <c r="M1560" s="4">
        <f>Table1[[#This Row],[Date ]]</f>
        <v>45305</v>
      </c>
      <c r="N1560" s="5">
        <f>Table1[[#This Row],[Ordered]]-Table1[[#This Row],[Date ]]</f>
        <v>0.79166666666424135</v>
      </c>
      <c r="O1560">
        <f>Table1[[#This Row],[Company]]</f>
        <v>9</v>
      </c>
      <c r="P15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1" spans="1:16" hidden="1" x14ac:dyDescent="0.45">
      <c r="A1561" s="3">
        <v>45305.791666666664</v>
      </c>
      <c r="B1561" t="s">
        <v>12</v>
      </c>
      <c r="C1561">
        <v>1</v>
      </c>
      <c r="D1561">
        <v>14</v>
      </c>
      <c r="E1561" t="s">
        <v>17</v>
      </c>
      <c r="F1561">
        <v>200</v>
      </c>
      <c r="G1561">
        <v>1400</v>
      </c>
      <c r="H1561">
        <v>280000</v>
      </c>
      <c r="I1561" s="3">
        <v>45305.791666666664</v>
      </c>
      <c r="J1561">
        <v>24</v>
      </c>
      <c r="K1561" s="3">
        <v>45306.791666666664</v>
      </c>
      <c r="L1561" s="4">
        <f>ROUNDDOWN(Table1[[#This Row],[Ordered]],0)</f>
        <v>45305</v>
      </c>
      <c r="M1561" s="4">
        <f>Table1[[#This Row],[Date ]]</f>
        <v>45305</v>
      </c>
      <c r="N1561" s="5">
        <f>Table1[[#This Row],[Ordered]]-Table1[[#This Row],[Date ]]</f>
        <v>0.79166666666424135</v>
      </c>
      <c r="O1561">
        <f>Table1[[#This Row],[Company]]</f>
        <v>1</v>
      </c>
      <c r="P15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2" spans="1:16" x14ac:dyDescent="0.45">
      <c r="A1562" s="3">
        <v>45305.791666666664</v>
      </c>
      <c r="B1562" t="s">
        <v>14</v>
      </c>
      <c r="C1562">
        <v>15</v>
      </c>
      <c r="D1562">
        <v>1001</v>
      </c>
      <c r="E1562" t="s">
        <v>16</v>
      </c>
      <c r="F1562">
        <v>50</v>
      </c>
      <c r="G1562">
        <v>3350</v>
      </c>
      <c r="H1562">
        <v>167500</v>
      </c>
      <c r="I1562" s="3">
        <v>45305.875</v>
      </c>
      <c r="J1562">
        <v>90</v>
      </c>
      <c r="K1562" s="3">
        <v>45308.875</v>
      </c>
      <c r="L1562" s="4">
        <f>ROUNDDOWN(Table1[[#This Row],[Ordered]],0)</f>
        <v>45305</v>
      </c>
      <c r="M1562" s="4">
        <f>Table1[[#This Row],[Date ]]</f>
        <v>45305</v>
      </c>
      <c r="N1562" s="5">
        <f>Table1[[#This Row],[Ordered]]-Table1[[#This Row],[Date ]]</f>
        <v>0.79166666666424135</v>
      </c>
      <c r="O1562">
        <f>Table1[[#This Row],[Company]]</f>
        <v>15</v>
      </c>
      <c r="P15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3" spans="1:16" x14ac:dyDescent="0.45">
      <c r="A1563" s="3">
        <v>45305.791666666664</v>
      </c>
      <c r="B1563" t="s">
        <v>14</v>
      </c>
      <c r="C1563">
        <v>10</v>
      </c>
      <c r="D1563">
        <v>1001</v>
      </c>
      <c r="E1563" t="s">
        <v>16</v>
      </c>
      <c r="F1563">
        <v>12</v>
      </c>
      <c r="G1563">
        <v>4000</v>
      </c>
      <c r="H1563">
        <v>108000</v>
      </c>
      <c r="I1563" s="3">
        <v>45305.916666666664</v>
      </c>
      <c r="J1563">
        <v>84</v>
      </c>
      <c r="K1563" s="3">
        <v>45308.916666666664</v>
      </c>
      <c r="L1563" s="4">
        <f>ROUNDDOWN(Table1[[#This Row],[Ordered]],0)</f>
        <v>45305</v>
      </c>
      <c r="M1563" s="4">
        <f>Table1[[#This Row],[Date ]]</f>
        <v>45305</v>
      </c>
      <c r="N1563" s="5">
        <f>Table1[[#This Row],[Ordered]]-Table1[[#This Row],[Date ]]</f>
        <v>0.79166666666424135</v>
      </c>
      <c r="O1563">
        <f>Table1[[#This Row],[Company]]</f>
        <v>10</v>
      </c>
      <c r="P15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4" spans="1:16" x14ac:dyDescent="0.45">
      <c r="A1564" s="3">
        <v>45305.791666666664</v>
      </c>
      <c r="B1564" t="s">
        <v>14</v>
      </c>
      <c r="C1564">
        <v>7</v>
      </c>
      <c r="D1564">
        <v>1001</v>
      </c>
      <c r="E1564" t="s">
        <v>16</v>
      </c>
      <c r="F1564">
        <v>23</v>
      </c>
      <c r="G1564">
        <v>3950</v>
      </c>
      <c r="H1564">
        <v>90850</v>
      </c>
      <c r="I1564" s="3">
        <v>45308.041666666664</v>
      </c>
      <c r="J1564">
        <v>96</v>
      </c>
      <c r="K1564" s="3">
        <v>45309.041666666664</v>
      </c>
      <c r="L1564" s="4">
        <f>ROUNDDOWN(Table1[[#This Row],[Ordered]],0)</f>
        <v>45305</v>
      </c>
      <c r="M1564" s="4">
        <f>Table1[[#This Row],[Date ]]</f>
        <v>45305</v>
      </c>
      <c r="N1564" s="5">
        <f>Table1[[#This Row],[Ordered]]-Table1[[#This Row],[Date ]]</f>
        <v>0.79166666666424135</v>
      </c>
      <c r="O1564">
        <f>Table1[[#This Row],[Company]]</f>
        <v>7</v>
      </c>
      <c r="P15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5" spans="1:16" x14ac:dyDescent="0.45">
      <c r="A1565" s="3">
        <v>45305.791666666664</v>
      </c>
      <c r="B1565" t="s">
        <v>14</v>
      </c>
      <c r="C1565">
        <v>16</v>
      </c>
      <c r="D1565">
        <v>1001</v>
      </c>
      <c r="E1565" t="s">
        <v>16</v>
      </c>
      <c r="F1565">
        <v>30</v>
      </c>
      <c r="G1565">
        <v>3750</v>
      </c>
      <c r="H1565">
        <v>112500</v>
      </c>
      <c r="I1565" s="3">
        <v>45306</v>
      </c>
      <c r="J1565">
        <v>96</v>
      </c>
      <c r="K1565" s="3">
        <v>45309</v>
      </c>
      <c r="L1565" s="4">
        <f>ROUNDDOWN(Table1[[#This Row],[Ordered]],0)</f>
        <v>45305</v>
      </c>
      <c r="M1565" s="4">
        <f>Table1[[#This Row],[Date ]]</f>
        <v>45305</v>
      </c>
      <c r="N1565" s="5">
        <f>Table1[[#This Row],[Ordered]]-Table1[[#This Row],[Date ]]</f>
        <v>0.79166666666424135</v>
      </c>
      <c r="O1565">
        <f>Table1[[#This Row],[Company]]</f>
        <v>16</v>
      </c>
      <c r="P15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6" spans="1:16" x14ac:dyDescent="0.45">
      <c r="A1566" s="3">
        <v>45305.791666666664</v>
      </c>
      <c r="B1566" t="s">
        <v>14</v>
      </c>
      <c r="C1566">
        <v>8</v>
      </c>
      <c r="D1566">
        <v>1001</v>
      </c>
      <c r="E1566" t="s">
        <v>16</v>
      </c>
      <c r="F1566">
        <v>30</v>
      </c>
      <c r="G1566">
        <v>3800</v>
      </c>
      <c r="H1566">
        <v>114000</v>
      </c>
      <c r="I1566" s="3">
        <v>45307.541666666664</v>
      </c>
      <c r="J1566">
        <v>96</v>
      </c>
      <c r="K1566" s="3">
        <v>45309.541666666664</v>
      </c>
      <c r="L1566" s="4">
        <f>ROUNDDOWN(Table1[[#This Row],[Ordered]],0)</f>
        <v>45305</v>
      </c>
      <c r="M1566" s="4">
        <f>Table1[[#This Row],[Date ]]</f>
        <v>45305</v>
      </c>
      <c r="N1566" s="5">
        <f>Table1[[#This Row],[Ordered]]-Table1[[#This Row],[Date ]]</f>
        <v>0.79166666666424135</v>
      </c>
      <c r="O1566">
        <f>Table1[[#This Row],[Company]]</f>
        <v>8</v>
      </c>
      <c r="P15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7" spans="1:16" x14ac:dyDescent="0.45">
      <c r="A1567" s="3">
        <v>45305.791666666664</v>
      </c>
      <c r="B1567" t="s">
        <v>14</v>
      </c>
      <c r="C1567">
        <v>10</v>
      </c>
      <c r="D1567">
        <v>1001</v>
      </c>
      <c r="E1567" t="s">
        <v>16</v>
      </c>
      <c r="F1567">
        <v>15</v>
      </c>
      <c r="G1567">
        <v>4000</v>
      </c>
      <c r="H1567">
        <v>60000</v>
      </c>
      <c r="I1567" s="3">
        <v>45306.916666666664</v>
      </c>
      <c r="J1567">
        <v>84</v>
      </c>
      <c r="K1567" s="3">
        <v>45308.916666666664</v>
      </c>
      <c r="L1567" s="4">
        <f>ROUNDDOWN(Table1[[#This Row],[Ordered]],0)</f>
        <v>45305</v>
      </c>
      <c r="M1567" s="4">
        <f>Table1[[#This Row],[Date ]]</f>
        <v>45305</v>
      </c>
      <c r="N1567" s="5">
        <f>Table1[[#This Row],[Ordered]]-Table1[[#This Row],[Date ]]</f>
        <v>0.79166666666424135</v>
      </c>
      <c r="O1567">
        <f>Table1[[#This Row],[Company]]</f>
        <v>10</v>
      </c>
      <c r="P15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8" spans="1:16" x14ac:dyDescent="0.45">
      <c r="A1568" s="3">
        <v>45305.791666666664</v>
      </c>
      <c r="B1568" t="s">
        <v>14</v>
      </c>
      <c r="C1568">
        <v>12</v>
      </c>
      <c r="D1568">
        <v>1001</v>
      </c>
      <c r="E1568" t="s">
        <v>16</v>
      </c>
      <c r="F1568">
        <v>30</v>
      </c>
      <c r="G1568">
        <v>3800</v>
      </c>
      <c r="H1568">
        <v>114000</v>
      </c>
      <c r="I1568" s="3">
        <v>45306.541666666664</v>
      </c>
      <c r="J1568">
        <v>96</v>
      </c>
      <c r="K1568" s="3">
        <v>45309.541666666664</v>
      </c>
      <c r="L1568" s="4">
        <f>ROUNDDOWN(Table1[[#This Row],[Ordered]],0)</f>
        <v>45305</v>
      </c>
      <c r="M1568" s="4">
        <f>Table1[[#This Row],[Date ]]</f>
        <v>45305</v>
      </c>
      <c r="N1568" s="5">
        <f>Table1[[#This Row],[Ordered]]-Table1[[#This Row],[Date ]]</f>
        <v>0.79166666666424135</v>
      </c>
      <c r="O1568">
        <f>Table1[[#This Row],[Company]]</f>
        <v>12</v>
      </c>
      <c r="P15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9" spans="1:16" x14ac:dyDescent="0.45">
      <c r="A1569" s="3">
        <v>45305.791666666664</v>
      </c>
      <c r="B1569" t="s">
        <v>14</v>
      </c>
      <c r="C1569">
        <v>13</v>
      </c>
      <c r="D1569">
        <v>1001</v>
      </c>
      <c r="E1569" t="s">
        <v>16</v>
      </c>
      <c r="F1569">
        <v>30</v>
      </c>
      <c r="G1569">
        <v>3400</v>
      </c>
      <c r="H1569">
        <v>102000</v>
      </c>
      <c r="I1569" s="3">
        <v>45306.625</v>
      </c>
      <c r="J1569">
        <v>96</v>
      </c>
      <c r="K1569" s="3">
        <v>45309.625</v>
      </c>
      <c r="L1569" s="4">
        <f>ROUNDDOWN(Table1[[#This Row],[Ordered]],0)</f>
        <v>45305</v>
      </c>
      <c r="M1569" s="4">
        <f>Table1[[#This Row],[Date ]]</f>
        <v>45305</v>
      </c>
      <c r="N1569" s="5">
        <f>Table1[[#This Row],[Ordered]]-Table1[[#This Row],[Date ]]</f>
        <v>0.79166666666424135</v>
      </c>
      <c r="O1569">
        <f>Table1[[#This Row],[Company]]</f>
        <v>13</v>
      </c>
      <c r="P15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0" spans="1:16" hidden="1" x14ac:dyDescent="0.45">
      <c r="A1570" s="3">
        <v>45305.875</v>
      </c>
      <c r="B1570" t="s">
        <v>12</v>
      </c>
      <c r="C1570">
        <v>4</v>
      </c>
      <c r="D1570">
        <v>8</v>
      </c>
      <c r="E1570" t="s">
        <v>17</v>
      </c>
      <c r="F1570">
        <v>193</v>
      </c>
      <c r="G1570">
        <v>1250</v>
      </c>
      <c r="H1570">
        <v>241250</v>
      </c>
      <c r="I1570" s="3">
        <v>45305.958333333336</v>
      </c>
      <c r="J1570">
        <v>24</v>
      </c>
      <c r="K1570" s="3">
        <v>45306.958333333336</v>
      </c>
      <c r="L1570" s="4">
        <f>ROUNDDOWN(Table1[[#This Row],[Ordered]],0)</f>
        <v>45305</v>
      </c>
      <c r="M1570" s="4">
        <f>Table1[[#This Row],[Date ]]</f>
        <v>45305</v>
      </c>
      <c r="N1570" s="5">
        <f>Table1[[#This Row],[Ordered]]-Table1[[#This Row],[Date ]]</f>
        <v>0.875</v>
      </c>
      <c r="O1570">
        <f>Table1[[#This Row],[Company]]</f>
        <v>4</v>
      </c>
      <c r="P15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1" spans="1:16" x14ac:dyDescent="0.45">
      <c r="A1571" s="3">
        <v>45305.916666666664</v>
      </c>
      <c r="B1571" t="s">
        <v>19</v>
      </c>
      <c r="C1571">
        <v>7</v>
      </c>
      <c r="D1571">
        <v>3009</v>
      </c>
      <c r="E1571" t="s">
        <v>16</v>
      </c>
      <c r="F1571">
        <v>4</v>
      </c>
      <c r="G1571">
        <v>4650</v>
      </c>
      <c r="H1571">
        <v>18600</v>
      </c>
      <c r="I1571" s="3">
        <v>45315.291666666664</v>
      </c>
      <c r="J1571">
        <v>288</v>
      </c>
      <c r="K1571" s="3">
        <v>45317.291666666664</v>
      </c>
      <c r="L1571" s="4">
        <f>ROUNDDOWN(Table1[[#This Row],[Ordered]],0)</f>
        <v>45305</v>
      </c>
      <c r="M1571" s="4">
        <f>Table1[[#This Row],[Date ]]</f>
        <v>45305</v>
      </c>
      <c r="N1571" s="5">
        <f>Table1[[#This Row],[Ordered]]-Table1[[#This Row],[Date ]]</f>
        <v>0.91666666666424135</v>
      </c>
      <c r="O1571">
        <f>Table1[[#This Row],[Company]]</f>
        <v>7</v>
      </c>
      <c r="P15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2" spans="1:16" x14ac:dyDescent="0.45">
      <c r="A1572" s="3">
        <v>45305.916666666664</v>
      </c>
      <c r="B1572" t="s">
        <v>19</v>
      </c>
      <c r="C1572">
        <v>7</v>
      </c>
      <c r="D1572">
        <v>3005</v>
      </c>
      <c r="E1572" t="s">
        <v>16</v>
      </c>
      <c r="F1572">
        <v>6</v>
      </c>
      <c r="G1572">
        <v>4650</v>
      </c>
      <c r="H1572">
        <v>27900</v>
      </c>
      <c r="I1572" s="3">
        <v>45312.833333333336</v>
      </c>
      <c r="J1572">
        <v>288</v>
      </c>
      <c r="K1572" s="3">
        <v>45318.041666666664</v>
      </c>
      <c r="L1572" s="4">
        <f>ROUNDDOWN(Table1[[#This Row],[Ordered]],0)</f>
        <v>45305</v>
      </c>
      <c r="M1572" s="4">
        <f>Table1[[#This Row],[Date ]]</f>
        <v>45305</v>
      </c>
      <c r="N1572" s="5">
        <f>Table1[[#This Row],[Ordered]]-Table1[[#This Row],[Date ]]</f>
        <v>0.91666666666424135</v>
      </c>
      <c r="O1572">
        <f>Table1[[#This Row],[Company]]</f>
        <v>7</v>
      </c>
      <c r="P15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3" spans="1:16" x14ac:dyDescent="0.45">
      <c r="A1573" s="3">
        <v>45305.916666666664</v>
      </c>
      <c r="B1573" t="s">
        <v>19</v>
      </c>
      <c r="C1573">
        <v>7</v>
      </c>
      <c r="D1573">
        <v>3010</v>
      </c>
      <c r="E1573" t="s">
        <v>16</v>
      </c>
      <c r="F1573">
        <v>4</v>
      </c>
      <c r="G1573">
        <v>4650</v>
      </c>
      <c r="H1573">
        <v>18600</v>
      </c>
      <c r="I1573" s="3">
        <v>45315</v>
      </c>
      <c r="J1573">
        <v>288</v>
      </c>
      <c r="K1573" s="3">
        <v>45317</v>
      </c>
      <c r="L1573" s="4">
        <f>ROUNDDOWN(Table1[[#This Row],[Ordered]],0)</f>
        <v>45305</v>
      </c>
      <c r="M1573" s="4">
        <f>Table1[[#This Row],[Date ]]</f>
        <v>45305</v>
      </c>
      <c r="N1573" s="5">
        <f>Table1[[#This Row],[Ordered]]-Table1[[#This Row],[Date ]]</f>
        <v>0.91666666666424135</v>
      </c>
      <c r="O1573">
        <f>Table1[[#This Row],[Company]]</f>
        <v>7</v>
      </c>
      <c r="P15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4" spans="1:16" x14ac:dyDescent="0.45">
      <c r="A1574" s="3">
        <v>45305.916666666664</v>
      </c>
      <c r="B1574" t="s">
        <v>19</v>
      </c>
      <c r="C1574">
        <v>7</v>
      </c>
      <c r="D1574">
        <v>3004</v>
      </c>
      <c r="E1574" t="s">
        <v>16</v>
      </c>
      <c r="F1574">
        <v>4</v>
      </c>
      <c r="G1574">
        <v>4650</v>
      </c>
      <c r="H1574">
        <v>18600</v>
      </c>
      <c r="I1574" s="3">
        <v>45312.916666666664</v>
      </c>
      <c r="J1574">
        <v>288</v>
      </c>
      <c r="K1574" s="3">
        <v>45317.916666666664</v>
      </c>
      <c r="L1574" s="4">
        <f>ROUNDDOWN(Table1[[#This Row],[Ordered]],0)</f>
        <v>45305</v>
      </c>
      <c r="M1574" s="4">
        <f>Table1[[#This Row],[Date ]]</f>
        <v>45305</v>
      </c>
      <c r="N1574" s="5">
        <f>Table1[[#This Row],[Ordered]]-Table1[[#This Row],[Date ]]</f>
        <v>0.91666666666424135</v>
      </c>
      <c r="O1574">
        <f>Table1[[#This Row],[Company]]</f>
        <v>7</v>
      </c>
      <c r="P15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5" spans="1:16" x14ac:dyDescent="0.45">
      <c r="A1575" s="3">
        <v>45305.916666666664</v>
      </c>
      <c r="B1575" t="s">
        <v>19</v>
      </c>
      <c r="C1575">
        <v>7</v>
      </c>
      <c r="D1575">
        <v>3007</v>
      </c>
      <c r="E1575" t="s">
        <v>16</v>
      </c>
      <c r="F1575">
        <v>4</v>
      </c>
      <c r="G1575">
        <v>4650</v>
      </c>
      <c r="H1575">
        <v>18600</v>
      </c>
      <c r="I1575" s="3">
        <v>45312.791666666664</v>
      </c>
      <c r="J1575">
        <v>288</v>
      </c>
      <c r="K1575" s="3">
        <v>45317.791666666664</v>
      </c>
      <c r="L1575" s="4">
        <f>ROUNDDOWN(Table1[[#This Row],[Ordered]],0)</f>
        <v>45305</v>
      </c>
      <c r="M1575" s="4">
        <f>Table1[[#This Row],[Date ]]</f>
        <v>45305</v>
      </c>
      <c r="N1575" s="5">
        <f>Table1[[#This Row],[Ordered]]-Table1[[#This Row],[Date ]]</f>
        <v>0.91666666666424135</v>
      </c>
      <c r="O1575">
        <f>Table1[[#This Row],[Company]]</f>
        <v>7</v>
      </c>
      <c r="P15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6" spans="1:16" x14ac:dyDescent="0.45">
      <c r="A1576" s="3">
        <v>45305.916666666664</v>
      </c>
      <c r="B1576" t="s">
        <v>19</v>
      </c>
      <c r="C1576">
        <v>7</v>
      </c>
      <c r="D1576">
        <v>3008</v>
      </c>
      <c r="E1576" t="s">
        <v>16</v>
      </c>
      <c r="F1576">
        <v>5</v>
      </c>
      <c r="G1576">
        <v>4650</v>
      </c>
      <c r="H1576">
        <v>23250</v>
      </c>
      <c r="I1576" s="3">
        <v>45312.625</v>
      </c>
      <c r="J1576">
        <v>288</v>
      </c>
      <c r="K1576" s="3">
        <v>45317.625</v>
      </c>
      <c r="L1576" s="4">
        <f>ROUNDDOWN(Table1[[#This Row],[Ordered]],0)</f>
        <v>45305</v>
      </c>
      <c r="M1576" s="4">
        <f>Table1[[#This Row],[Date ]]</f>
        <v>45305</v>
      </c>
      <c r="N1576" s="5">
        <f>Table1[[#This Row],[Ordered]]-Table1[[#This Row],[Date ]]</f>
        <v>0.91666666666424135</v>
      </c>
      <c r="O1576">
        <f>Table1[[#This Row],[Company]]</f>
        <v>7</v>
      </c>
      <c r="P15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7" spans="1:16" x14ac:dyDescent="0.45">
      <c r="A1577" s="3">
        <v>45305.916666666664</v>
      </c>
      <c r="B1577" t="s">
        <v>19</v>
      </c>
      <c r="C1577">
        <v>7</v>
      </c>
      <c r="D1577">
        <v>3003</v>
      </c>
      <c r="E1577" t="s">
        <v>16</v>
      </c>
      <c r="F1577">
        <v>6</v>
      </c>
      <c r="G1577">
        <v>4650</v>
      </c>
      <c r="H1577">
        <v>27900</v>
      </c>
      <c r="I1577" s="3">
        <v>45314.916666666664</v>
      </c>
      <c r="J1577">
        <v>288</v>
      </c>
      <c r="K1577" s="3">
        <v>45316.916666666664</v>
      </c>
      <c r="L1577" s="4">
        <f>ROUNDDOWN(Table1[[#This Row],[Ordered]],0)</f>
        <v>45305</v>
      </c>
      <c r="M1577" s="4">
        <f>Table1[[#This Row],[Date ]]</f>
        <v>45305</v>
      </c>
      <c r="N1577" s="5">
        <f>Table1[[#This Row],[Ordered]]-Table1[[#This Row],[Date ]]</f>
        <v>0.91666666666424135</v>
      </c>
      <c r="O1577">
        <f>Table1[[#This Row],[Company]]</f>
        <v>7</v>
      </c>
      <c r="P15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8" spans="1:16" x14ac:dyDescent="0.45">
      <c r="A1578" s="3">
        <v>45305.916666666664</v>
      </c>
      <c r="B1578" t="s">
        <v>19</v>
      </c>
      <c r="C1578">
        <v>7</v>
      </c>
      <c r="D1578">
        <v>3001</v>
      </c>
      <c r="E1578" t="s">
        <v>16</v>
      </c>
      <c r="F1578">
        <v>2</v>
      </c>
      <c r="G1578">
        <v>4650</v>
      </c>
      <c r="H1578">
        <v>9300</v>
      </c>
      <c r="I1578" s="3">
        <v>45314.958333333336</v>
      </c>
      <c r="J1578">
        <v>288</v>
      </c>
      <c r="K1578" s="3">
        <v>45316.958333333336</v>
      </c>
      <c r="L1578" s="4">
        <f>ROUNDDOWN(Table1[[#This Row],[Ordered]],0)</f>
        <v>45305</v>
      </c>
      <c r="M1578" s="4">
        <f>Table1[[#This Row],[Date ]]</f>
        <v>45305</v>
      </c>
      <c r="N1578" s="5">
        <f>Table1[[#This Row],[Ordered]]-Table1[[#This Row],[Date ]]</f>
        <v>0.91666666666424135</v>
      </c>
      <c r="O1578">
        <f>Table1[[#This Row],[Company]]</f>
        <v>7</v>
      </c>
      <c r="P15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9" spans="1:16" hidden="1" x14ac:dyDescent="0.45">
      <c r="A1579" s="3">
        <v>45305.958333333336</v>
      </c>
      <c r="B1579" t="s">
        <v>12</v>
      </c>
      <c r="C1579">
        <v>5</v>
      </c>
      <c r="D1579">
        <v>16</v>
      </c>
      <c r="E1579" t="s">
        <v>17</v>
      </c>
      <c r="F1579">
        <v>400</v>
      </c>
      <c r="G1579">
        <v>1120</v>
      </c>
      <c r="H1579">
        <v>448000</v>
      </c>
      <c r="I1579" s="3">
        <v>45306</v>
      </c>
      <c r="J1579">
        <v>24</v>
      </c>
      <c r="K1579" s="3">
        <v>45307</v>
      </c>
      <c r="L1579" s="4">
        <f>ROUNDDOWN(Table1[[#This Row],[Ordered]],0)</f>
        <v>45305</v>
      </c>
      <c r="M1579" s="4">
        <f>Table1[[#This Row],[Date ]]</f>
        <v>45305</v>
      </c>
      <c r="N1579" s="5">
        <f>Table1[[#This Row],[Ordered]]-Table1[[#This Row],[Date ]]</f>
        <v>0.95833333333575865</v>
      </c>
      <c r="O1579">
        <f>Table1[[#This Row],[Company]]</f>
        <v>5</v>
      </c>
      <c r="P15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0" spans="1:16" x14ac:dyDescent="0.45">
      <c r="A1580" s="3">
        <v>45306</v>
      </c>
      <c r="B1580" t="s">
        <v>14</v>
      </c>
      <c r="C1580">
        <v>10</v>
      </c>
      <c r="D1580">
        <v>1003</v>
      </c>
      <c r="E1580" t="s">
        <v>16</v>
      </c>
      <c r="F1580">
        <v>25</v>
      </c>
      <c r="G1580">
        <v>4000</v>
      </c>
      <c r="H1580">
        <v>100000</v>
      </c>
      <c r="I1580" s="3">
        <v>45306.375</v>
      </c>
      <c r="J1580">
        <v>84</v>
      </c>
      <c r="K1580" s="3">
        <v>45309.375</v>
      </c>
      <c r="L1580" s="4">
        <f>ROUNDDOWN(Table1[[#This Row],[Ordered]],0)</f>
        <v>45306</v>
      </c>
      <c r="M1580" s="4">
        <f>Table1[[#This Row],[Date ]]</f>
        <v>45306</v>
      </c>
      <c r="N1580" s="5">
        <f>Table1[[#This Row],[Ordered]]-Table1[[#This Row],[Date ]]</f>
        <v>0</v>
      </c>
      <c r="O1580">
        <f>Table1[[#This Row],[Company]]</f>
        <v>10</v>
      </c>
      <c r="P15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1" spans="1:16" x14ac:dyDescent="0.45">
      <c r="A1581" s="3">
        <v>45306</v>
      </c>
      <c r="B1581" t="s">
        <v>14</v>
      </c>
      <c r="C1581">
        <v>7</v>
      </c>
      <c r="D1581">
        <v>1003</v>
      </c>
      <c r="E1581" t="s">
        <v>16</v>
      </c>
      <c r="F1581">
        <v>22</v>
      </c>
      <c r="G1581">
        <v>3950</v>
      </c>
      <c r="H1581">
        <v>86900</v>
      </c>
      <c r="I1581" s="3">
        <v>45308.541666666664</v>
      </c>
      <c r="J1581">
        <v>96</v>
      </c>
      <c r="K1581" s="3">
        <v>45309.541666666664</v>
      </c>
      <c r="L1581" s="4">
        <f>ROUNDDOWN(Table1[[#This Row],[Ordered]],0)</f>
        <v>45306</v>
      </c>
      <c r="M1581" s="4">
        <f>Table1[[#This Row],[Date ]]</f>
        <v>45306</v>
      </c>
      <c r="N1581" s="5">
        <f>Table1[[#This Row],[Ordered]]-Table1[[#This Row],[Date ]]</f>
        <v>0</v>
      </c>
      <c r="O1581">
        <f>Table1[[#This Row],[Company]]</f>
        <v>7</v>
      </c>
      <c r="P15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2" spans="1:16" hidden="1" x14ac:dyDescent="0.45">
      <c r="A1582" s="3">
        <v>45306</v>
      </c>
      <c r="B1582" t="s">
        <v>12</v>
      </c>
      <c r="C1582">
        <v>5</v>
      </c>
      <c r="D1582">
        <v>16</v>
      </c>
      <c r="E1582" t="s">
        <v>13</v>
      </c>
      <c r="F1582">
        <v>2000</v>
      </c>
      <c r="G1582">
        <v>120</v>
      </c>
      <c r="H1582">
        <v>240000</v>
      </c>
      <c r="I1582" s="3">
        <v>45306</v>
      </c>
      <c r="J1582">
        <v>24</v>
      </c>
      <c r="K1582" s="3">
        <v>45307</v>
      </c>
      <c r="L1582" s="4">
        <f>ROUNDDOWN(Table1[[#This Row],[Ordered]],0)</f>
        <v>45306</v>
      </c>
      <c r="M1582" s="4">
        <f>Table1[[#This Row],[Date ]]</f>
        <v>45306</v>
      </c>
      <c r="N1582" s="5">
        <f>Table1[[#This Row],[Ordered]]-Table1[[#This Row],[Date ]]</f>
        <v>0</v>
      </c>
      <c r="O1582">
        <f>Table1[[#This Row],[Company]]</f>
        <v>5</v>
      </c>
      <c r="P15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3" spans="1:16" x14ac:dyDescent="0.45">
      <c r="A1583" s="3">
        <v>45306</v>
      </c>
      <c r="B1583" t="s">
        <v>14</v>
      </c>
      <c r="C1583">
        <v>14</v>
      </c>
      <c r="D1583">
        <v>1003</v>
      </c>
      <c r="E1583" t="s">
        <v>16</v>
      </c>
      <c r="F1583">
        <v>38</v>
      </c>
      <c r="G1583">
        <v>3750</v>
      </c>
      <c r="H1583">
        <v>142500</v>
      </c>
      <c r="I1583" s="3">
        <v>45306.625</v>
      </c>
      <c r="J1583">
        <v>96</v>
      </c>
      <c r="K1583" s="3">
        <v>45309.625</v>
      </c>
      <c r="L1583" s="4">
        <f>ROUNDDOWN(Table1[[#This Row],[Ordered]],0)</f>
        <v>45306</v>
      </c>
      <c r="M1583" s="4">
        <f>Table1[[#This Row],[Date ]]</f>
        <v>45306</v>
      </c>
      <c r="N1583" s="5">
        <f>Table1[[#This Row],[Ordered]]-Table1[[#This Row],[Date ]]</f>
        <v>0</v>
      </c>
      <c r="O1583">
        <f>Table1[[#This Row],[Company]]</f>
        <v>14</v>
      </c>
      <c r="P15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4" spans="1:16" x14ac:dyDescent="0.45">
      <c r="A1584" s="3">
        <v>45306</v>
      </c>
      <c r="B1584" t="s">
        <v>14</v>
      </c>
      <c r="C1584">
        <v>8</v>
      </c>
      <c r="D1584">
        <v>1003</v>
      </c>
      <c r="E1584" t="s">
        <v>16</v>
      </c>
      <c r="F1584">
        <v>30</v>
      </c>
      <c r="G1584">
        <v>3800</v>
      </c>
      <c r="H1584">
        <v>114000</v>
      </c>
      <c r="I1584" s="3">
        <v>45308.458333333336</v>
      </c>
      <c r="J1584">
        <v>96</v>
      </c>
      <c r="K1584" s="3">
        <v>45309.458333333336</v>
      </c>
      <c r="L1584" s="4">
        <f>ROUNDDOWN(Table1[[#This Row],[Ordered]],0)</f>
        <v>45306</v>
      </c>
      <c r="M1584" s="4">
        <f>Table1[[#This Row],[Date ]]</f>
        <v>45306</v>
      </c>
      <c r="N1584" s="5">
        <f>Table1[[#This Row],[Ordered]]-Table1[[#This Row],[Date ]]</f>
        <v>0</v>
      </c>
      <c r="O1584">
        <f>Table1[[#This Row],[Company]]</f>
        <v>8</v>
      </c>
      <c r="P15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5" spans="1:16" x14ac:dyDescent="0.45">
      <c r="A1585" s="3">
        <v>45306</v>
      </c>
      <c r="B1585" t="s">
        <v>14</v>
      </c>
      <c r="C1585">
        <v>13</v>
      </c>
      <c r="D1585">
        <v>1003</v>
      </c>
      <c r="E1585" t="s">
        <v>16</v>
      </c>
      <c r="F1585">
        <v>30</v>
      </c>
      <c r="G1585">
        <v>3400</v>
      </c>
      <c r="H1585">
        <v>102000</v>
      </c>
      <c r="I1585" s="3">
        <v>45307</v>
      </c>
      <c r="J1585">
        <v>96</v>
      </c>
      <c r="K1585" s="3">
        <v>45310.041666666664</v>
      </c>
      <c r="L1585" s="4">
        <f>ROUNDDOWN(Table1[[#This Row],[Ordered]],0)</f>
        <v>45306</v>
      </c>
      <c r="M1585" s="4">
        <f>Table1[[#This Row],[Date ]]</f>
        <v>45306</v>
      </c>
      <c r="N1585" s="5">
        <f>Table1[[#This Row],[Ordered]]-Table1[[#This Row],[Date ]]</f>
        <v>0</v>
      </c>
      <c r="O1585">
        <f>Table1[[#This Row],[Company]]</f>
        <v>13</v>
      </c>
      <c r="P15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6" spans="1:16" x14ac:dyDescent="0.45">
      <c r="A1586" s="3">
        <v>45306</v>
      </c>
      <c r="B1586" t="s">
        <v>14</v>
      </c>
      <c r="C1586">
        <v>12</v>
      </c>
      <c r="D1586">
        <v>1003</v>
      </c>
      <c r="E1586" t="s">
        <v>16</v>
      </c>
      <c r="F1586">
        <v>15</v>
      </c>
      <c r="G1586">
        <v>4050</v>
      </c>
      <c r="H1586">
        <v>60750</v>
      </c>
      <c r="I1586" s="3">
        <v>45306.583333333336</v>
      </c>
      <c r="J1586">
        <v>60</v>
      </c>
      <c r="K1586" s="3">
        <v>45307.583333333336</v>
      </c>
      <c r="L1586" s="4">
        <f>ROUNDDOWN(Table1[[#This Row],[Ordered]],0)</f>
        <v>45306</v>
      </c>
      <c r="M1586" s="4">
        <f>Table1[[#This Row],[Date ]]</f>
        <v>45306</v>
      </c>
      <c r="N1586" s="5">
        <f>Table1[[#This Row],[Ordered]]-Table1[[#This Row],[Date ]]</f>
        <v>0</v>
      </c>
      <c r="O1586">
        <f>Table1[[#This Row],[Company]]</f>
        <v>12</v>
      </c>
      <c r="P15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7" spans="1:16" x14ac:dyDescent="0.45">
      <c r="A1587" s="3">
        <v>45306</v>
      </c>
      <c r="B1587" t="s">
        <v>14</v>
      </c>
      <c r="C1587">
        <v>16</v>
      </c>
      <c r="D1587">
        <v>1003</v>
      </c>
      <c r="E1587" t="s">
        <v>16</v>
      </c>
      <c r="F1587">
        <v>30</v>
      </c>
      <c r="G1587">
        <v>3750</v>
      </c>
      <c r="H1587">
        <v>112500</v>
      </c>
      <c r="I1587" s="3">
        <v>45306.166666666664</v>
      </c>
      <c r="J1587">
        <v>96</v>
      </c>
      <c r="K1587" s="3">
        <v>45309.166666666664</v>
      </c>
      <c r="L1587" s="4">
        <f>ROUNDDOWN(Table1[[#This Row],[Ordered]],0)</f>
        <v>45306</v>
      </c>
      <c r="M1587" s="4">
        <f>Table1[[#This Row],[Date ]]</f>
        <v>45306</v>
      </c>
      <c r="N1587" s="5">
        <f>Table1[[#This Row],[Ordered]]-Table1[[#This Row],[Date ]]</f>
        <v>0</v>
      </c>
      <c r="O1587">
        <f>Table1[[#This Row],[Company]]</f>
        <v>16</v>
      </c>
      <c r="P15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8" spans="1:16" x14ac:dyDescent="0.45">
      <c r="A1588" s="3">
        <v>45306</v>
      </c>
      <c r="B1588" t="s">
        <v>14</v>
      </c>
      <c r="C1588">
        <v>15</v>
      </c>
      <c r="D1588">
        <v>1003</v>
      </c>
      <c r="E1588" t="s">
        <v>16</v>
      </c>
      <c r="F1588">
        <v>50</v>
      </c>
      <c r="G1588">
        <v>3350</v>
      </c>
      <c r="H1588">
        <v>167500</v>
      </c>
      <c r="I1588" s="3">
        <v>45306</v>
      </c>
      <c r="J1588">
        <v>88</v>
      </c>
      <c r="K1588" s="3">
        <v>45309</v>
      </c>
      <c r="L1588" s="4">
        <f>ROUNDDOWN(Table1[[#This Row],[Ordered]],0)</f>
        <v>45306</v>
      </c>
      <c r="M1588" s="4">
        <f>Table1[[#This Row],[Date ]]</f>
        <v>45306</v>
      </c>
      <c r="N1588" s="5">
        <f>Table1[[#This Row],[Ordered]]-Table1[[#This Row],[Date ]]</f>
        <v>0</v>
      </c>
      <c r="O1588">
        <f>Table1[[#This Row],[Company]]</f>
        <v>15</v>
      </c>
      <c r="P15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9" spans="1:16" x14ac:dyDescent="0.45">
      <c r="A1589" s="3">
        <v>45306</v>
      </c>
      <c r="B1589" t="s">
        <v>14</v>
      </c>
      <c r="C1589">
        <v>9</v>
      </c>
      <c r="D1589">
        <v>1003</v>
      </c>
      <c r="E1589" t="s">
        <v>16</v>
      </c>
      <c r="F1589">
        <v>30</v>
      </c>
      <c r="G1589">
        <v>3750</v>
      </c>
      <c r="H1589">
        <v>112500</v>
      </c>
      <c r="I1589" s="3">
        <v>45306.75</v>
      </c>
      <c r="J1589">
        <v>96</v>
      </c>
      <c r="K1589" s="3">
        <v>45309.75</v>
      </c>
      <c r="L1589" s="4">
        <f>ROUNDDOWN(Table1[[#This Row],[Ordered]],0)</f>
        <v>45306</v>
      </c>
      <c r="M1589" s="4">
        <f>Table1[[#This Row],[Date ]]</f>
        <v>45306</v>
      </c>
      <c r="N1589" s="5">
        <f>Table1[[#This Row],[Ordered]]-Table1[[#This Row],[Date ]]</f>
        <v>0</v>
      </c>
      <c r="O1589">
        <f>Table1[[#This Row],[Company]]</f>
        <v>9</v>
      </c>
      <c r="P15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0" spans="1:16" hidden="1" x14ac:dyDescent="0.45">
      <c r="A1590" s="3">
        <v>45306</v>
      </c>
      <c r="B1590" t="s">
        <v>12</v>
      </c>
      <c r="C1590">
        <v>1</v>
      </c>
      <c r="D1590">
        <v>14</v>
      </c>
      <c r="E1590" t="s">
        <v>17</v>
      </c>
      <c r="F1590">
        <v>200</v>
      </c>
      <c r="G1590">
        <v>1350</v>
      </c>
      <c r="H1590">
        <v>270000</v>
      </c>
      <c r="I1590" s="3">
        <v>45306</v>
      </c>
      <c r="J1590">
        <v>24</v>
      </c>
      <c r="K1590" s="3">
        <v>45307</v>
      </c>
      <c r="L1590" s="4">
        <f>ROUNDDOWN(Table1[[#This Row],[Ordered]],0)</f>
        <v>45306</v>
      </c>
      <c r="M1590" s="4">
        <f>Table1[[#This Row],[Date ]]</f>
        <v>45306</v>
      </c>
      <c r="N1590" s="5">
        <f>Table1[[#This Row],[Ordered]]-Table1[[#This Row],[Date ]]</f>
        <v>0</v>
      </c>
      <c r="O1590">
        <f>Table1[[#This Row],[Company]]</f>
        <v>1</v>
      </c>
      <c r="P15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1" spans="1:16" x14ac:dyDescent="0.45">
      <c r="A1591" s="3">
        <v>45306.041666666664</v>
      </c>
      <c r="B1591" t="s">
        <v>14</v>
      </c>
      <c r="C1591">
        <v>12</v>
      </c>
      <c r="D1591">
        <v>1001</v>
      </c>
      <c r="E1591" t="s">
        <v>15</v>
      </c>
      <c r="F1591">
        <v>4</v>
      </c>
      <c r="G1591">
        <v>6700</v>
      </c>
      <c r="H1591">
        <v>26800</v>
      </c>
      <c r="I1591" s="3">
        <v>45306.541666666664</v>
      </c>
      <c r="J1591">
        <v>96</v>
      </c>
      <c r="K1591" s="3">
        <v>45309.541666666664</v>
      </c>
      <c r="L1591" s="4">
        <f>ROUNDDOWN(Table1[[#This Row],[Ordered]],0)</f>
        <v>45306</v>
      </c>
      <c r="M1591" s="4">
        <f>Table1[[#This Row],[Date ]]</f>
        <v>45306</v>
      </c>
      <c r="N1591" s="5">
        <f>Table1[[#This Row],[Ordered]]-Table1[[#This Row],[Date ]]</f>
        <v>4.1666666664241347E-2</v>
      </c>
      <c r="O1591">
        <f>Table1[[#This Row],[Company]]</f>
        <v>12</v>
      </c>
      <c r="P15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2" spans="1:16" x14ac:dyDescent="0.45">
      <c r="A1592" s="3">
        <v>45306.041666666664</v>
      </c>
      <c r="B1592" t="s">
        <v>14</v>
      </c>
      <c r="C1592">
        <v>13</v>
      </c>
      <c r="D1592">
        <v>1001</v>
      </c>
      <c r="E1592" t="s">
        <v>15</v>
      </c>
      <c r="F1592">
        <v>5</v>
      </c>
      <c r="G1592">
        <v>6300</v>
      </c>
      <c r="H1592">
        <v>31500</v>
      </c>
      <c r="I1592" s="3">
        <v>45307</v>
      </c>
      <c r="J1592">
        <v>96</v>
      </c>
      <c r="K1592" s="3">
        <v>45310</v>
      </c>
      <c r="L1592" s="4">
        <f>ROUNDDOWN(Table1[[#This Row],[Ordered]],0)</f>
        <v>45306</v>
      </c>
      <c r="M1592" s="4">
        <f>Table1[[#This Row],[Date ]]</f>
        <v>45306</v>
      </c>
      <c r="N1592" s="5">
        <f>Table1[[#This Row],[Ordered]]-Table1[[#This Row],[Date ]]</f>
        <v>4.1666666664241347E-2</v>
      </c>
      <c r="O1592">
        <f>Table1[[#This Row],[Company]]</f>
        <v>13</v>
      </c>
      <c r="P15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3" spans="1:16" x14ac:dyDescent="0.45">
      <c r="A1593" s="3">
        <v>45306.041666666664</v>
      </c>
      <c r="B1593" t="s">
        <v>14</v>
      </c>
      <c r="C1593">
        <v>7</v>
      </c>
      <c r="D1593">
        <v>1001</v>
      </c>
      <c r="E1593" t="s">
        <v>15</v>
      </c>
      <c r="F1593">
        <v>2</v>
      </c>
      <c r="G1593">
        <v>6850</v>
      </c>
      <c r="H1593">
        <v>13700</v>
      </c>
      <c r="I1593" s="3">
        <v>45308.583333333336</v>
      </c>
      <c r="J1593">
        <v>96</v>
      </c>
      <c r="K1593" s="3">
        <v>45309.583333333336</v>
      </c>
      <c r="L1593" s="4">
        <f>ROUNDDOWN(Table1[[#This Row],[Ordered]],0)</f>
        <v>45306</v>
      </c>
      <c r="M1593" s="4">
        <f>Table1[[#This Row],[Date ]]</f>
        <v>45306</v>
      </c>
      <c r="N1593" s="5">
        <f>Table1[[#This Row],[Ordered]]-Table1[[#This Row],[Date ]]</f>
        <v>4.1666666664241347E-2</v>
      </c>
      <c r="O1593">
        <f>Table1[[#This Row],[Company]]</f>
        <v>7</v>
      </c>
      <c r="P15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4" spans="1:16" x14ac:dyDescent="0.45">
      <c r="A1594" s="3">
        <v>45306.041666666664</v>
      </c>
      <c r="B1594" t="s">
        <v>14</v>
      </c>
      <c r="C1594">
        <v>14</v>
      </c>
      <c r="D1594">
        <v>1001</v>
      </c>
      <c r="E1594" t="s">
        <v>15</v>
      </c>
      <c r="F1594">
        <v>2</v>
      </c>
      <c r="G1594">
        <v>6650</v>
      </c>
      <c r="H1594">
        <v>13300</v>
      </c>
      <c r="I1594" s="3">
        <v>45306.583333333336</v>
      </c>
      <c r="J1594">
        <v>96</v>
      </c>
      <c r="K1594" s="3">
        <v>45309.583333333336</v>
      </c>
      <c r="L1594" s="4">
        <f>ROUNDDOWN(Table1[[#This Row],[Ordered]],0)</f>
        <v>45306</v>
      </c>
      <c r="M1594" s="4">
        <f>Table1[[#This Row],[Date ]]</f>
        <v>45306</v>
      </c>
      <c r="N1594" s="5">
        <f>Table1[[#This Row],[Ordered]]-Table1[[#This Row],[Date ]]</f>
        <v>4.1666666664241347E-2</v>
      </c>
      <c r="O1594">
        <f>Table1[[#This Row],[Company]]</f>
        <v>14</v>
      </c>
      <c r="P15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5" spans="1:16" x14ac:dyDescent="0.45">
      <c r="A1595" s="3">
        <v>45306.041666666664</v>
      </c>
      <c r="B1595" t="s">
        <v>14</v>
      </c>
      <c r="C1595">
        <v>15</v>
      </c>
      <c r="D1595">
        <v>1001</v>
      </c>
      <c r="E1595" t="s">
        <v>15</v>
      </c>
      <c r="F1595">
        <v>7</v>
      </c>
      <c r="G1595">
        <v>6350</v>
      </c>
      <c r="H1595">
        <v>44450</v>
      </c>
      <c r="I1595" s="3">
        <v>45306.041666666664</v>
      </c>
      <c r="J1595">
        <v>64</v>
      </c>
      <c r="K1595" s="3">
        <v>45308.041666666664</v>
      </c>
      <c r="L1595" s="4">
        <f>ROUNDDOWN(Table1[[#This Row],[Ordered]],0)</f>
        <v>45306</v>
      </c>
      <c r="M1595" s="4">
        <f>Table1[[#This Row],[Date ]]</f>
        <v>45306</v>
      </c>
      <c r="N1595" s="5">
        <f>Table1[[#This Row],[Ordered]]-Table1[[#This Row],[Date ]]</f>
        <v>4.1666666664241347E-2</v>
      </c>
      <c r="O1595">
        <f>Table1[[#This Row],[Company]]</f>
        <v>15</v>
      </c>
      <c r="P15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6" spans="1:16" x14ac:dyDescent="0.45">
      <c r="A1596" s="3">
        <v>45306.041666666664</v>
      </c>
      <c r="B1596" t="s">
        <v>14</v>
      </c>
      <c r="C1596">
        <v>16</v>
      </c>
      <c r="D1596">
        <v>1001</v>
      </c>
      <c r="E1596" t="s">
        <v>15</v>
      </c>
      <c r="F1596">
        <v>3</v>
      </c>
      <c r="G1596">
        <v>6650</v>
      </c>
      <c r="H1596">
        <v>19950</v>
      </c>
      <c r="I1596" s="3">
        <v>45306.25</v>
      </c>
      <c r="J1596">
        <v>96</v>
      </c>
      <c r="K1596" s="3">
        <v>45309.25</v>
      </c>
      <c r="L1596" s="4">
        <f>ROUNDDOWN(Table1[[#This Row],[Ordered]],0)</f>
        <v>45306</v>
      </c>
      <c r="M1596" s="4">
        <f>Table1[[#This Row],[Date ]]</f>
        <v>45306</v>
      </c>
      <c r="N1596" s="5">
        <f>Table1[[#This Row],[Ordered]]-Table1[[#This Row],[Date ]]</f>
        <v>4.1666666664241347E-2</v>
      </c>
      <c r="O1596">
        <f>Table1[[#This Row],[Company]]</f>
        <v>16</v>
      </c>
      <c r="P15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7" spans="1:16" x14ac:dyDescent="0.45">
      <c r="A1597" s="3">
        <v>45306.083333333336</v>
      </c>
      <c r="B1597" t="s">
        <v>14</v>
      </c>
      <c r="C1597">
        <v>14</v>
      </c>
      <c r="D1597">
        <v>1011</v>
      </c>
      <c r="E1597" t="s">
        <v>15</v>
      </c>
      <c r="F1597">
        <v>3</v>
      </c>
      <c r="G1597">
        <v>6650</v>
      </c>
      <c r="H1597">
        <v>19950</v>
      </c>
      <c r="I1597" s="3">
        <v>45306.583333333336</v>
      </c>
      <c r="J1597">
        <v>96</v>
      </c>
      <c r="K1597" s="3">
        <v>45309.583333333336</v>
      </c>
      <c r="L1597" s="4">
        <f>ROUNDDOWN(Table1[[#This Row],[Ordered]],0)</f>
        <v>45306</v>
      </c>
      <c r="M1597" s="4">
        <f>Table1[[#This Row],[Date ]]</f>
        <v>45306</v>
      </c>
      <c r="N1597" s="5">
        <f>Table1[[#This Row],[Ordered]]-Table1[[#This Row],[Date ]]</f>
        <v>8.3333333335758653E-2</v>
      </c>
      <c r="O1597">
        <f>Table1[[#This Row],[Company]]</f>
        <v>14</v>
      </c>
      <c r="P15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8" spans="1:16" x14ac:dyDescent="0.45">
      <c r="A1598" s="3">
        <v>45306.083333333336</v>
      </c>
      <c r="B1598" t="s">
        <v>14</v>
      </c>
      <c r="C1598">
        <v>12</v>
      </c>
      <c r="D1598">
        <v>1011</v>
      </c>
      <c r="E1598" t="s">
        <v>15</v>
      </c>
      <c r="F1598">
        <v>1</v>
      </c>
      <c r="G1598">
        <v>6700</v>
      </c>
      <c r="H1598">
        <v>6700</v>
      </c>
      <c r="I1598" s="3">
        <v>45308.708333333336</v>
      </c>
      <c r="J1598">
        <v>96</v>
      </c>
      <c r="K1598" s="3">
        <v>45309.708333333336</v>
      </c>
      <c r="L1598" s="4">
        <f>ROUNDDOWN(Table1[[#This Row],[Ordered]],0)</f>
        <v>45306</v>
      </c>
      <c r="M1598" s="4">
        <f>Table1[[#This Row],[Date ]]</f>
        <v>45306</v>
      </c>
      <c r="N1598" s="5">
        <f>Table1[[#This Row],[Ordered]]-Table1[[#This Row],[Date ]]</f>
        <v>8.3333333335758653E-2</v>
      </c>
      <c r="O1598">
        <f>Table1[[#This Row],[Company]]</f>
        <v>12</v>
      </c>
      <c r="P15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9" spans="1:16" x14ac:dyDescent="0.45">
      <c r="A1599" s="3">
        <v>45306.083333333336</v>
      </c>
      <c r="B1599" t="s">
        <v>14</v>
      </c>
      <c r="C1599">
        <v>7</v>
      </c>
      <c r="D1599">
        <v>1011</v>
      </c>
      <c r="E1599" t="s">
        <v>15</v>
      </c>
      <c r="F1599">
        <v>3</v>
      </c>
      <c r="G1599">
        <v>6850</v>
      </c>
      <c r="H1599">
        <v>20550</v>
      </c>
      <c r="I1599" s="3">
        <v>45308.583333333336</v>
      </c>
      <c r="J1599">
        <v>96</v>
      </c>
      <c r="K1599" s="3">
        <v>45309.583333333336</v>
      </c>
      <c r="L1599" s="4">
        <f>ROUNDDOWN(Table1[[#This Row],[Ordered]],0)</f>
        <v>45306</v>
      </c>
      <c r="M1599" s="4">
        <f>Table1[[#This Row],[Date ]]</f>
        <v>45306</v>
      </c>
      <c r="N1599" s="5">
        <f>Table1[[#This Row],[Ordered]]-Table1[[#This Row],[Date ]]</f>
        <v>8.3333333335758653E-2</v>
      </c>
      <c r="O1599">
        <f>Table1[[#This Row],[Company]]</f>
        <v>7</v>
      </c>
      <c r="P15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0" spans="1:16" x14ac:dyDescent="0.45">
      <c r="A1600" s="3">
        <v>45306.083333333336</v>
      </c>
      <c r="B1600" t="s">
        <v>14</v>
      </c>
      <c r="C1600">
        <v>16</v>
      </c>
      <c r="D1600">
        <v>1011</v>
      </c>
      <c r="E1600" t="s">
        <v>15</v>
      </c>
      <c r="F1600">
        <v>7</v>
      </c>
      <c r="G1600">
        <v>6650</v>
      </c>
      <c r="H1600">
        <v>46550</v>
      </c>
      <c r="I1600" s="3">
        <v>45306.333333333336</v>
      </c>
      <c r="J1600">
        <v>96</v>
      </c>
      <c r="K1600" s="3">
        <v>45309.333333333336</v>
      </c>
      <c r="L1600" s="4">
        <f>ROUNDDOWN(Table1[[#This Row],[Ordered]],0)</f>
        <v>45306</v>
      </c>
      <c r="M1600" s="4">
        <f>Table1[[#This Row],[Date ]]</f>
        <v>45306</v>
      </c>
      <c r="N1600" s="5">
        <f>Table1[[#This Row],[Ordered]]-Table1[[#This Row],[Date ]]</f>
        <v>8.3333333335758653E-2</v>
      </c>
      <c r="O1600">
        <f>Table1[[#This Row],[Company]]</f>
        <v>16</v>
      </c>
      <c r="P16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1" spans="1:16" x14ac:dyDescent="0.45">
      <c r="A1601" s="3">
        <v>45306.083333333336</v>
      </c>
      <c r="B1601" t="s">
        <v>14</v>
      </c>
      <c r="C1601">
        <v>12</v>
      </c>
      <c r="D1601">
        <v>1011</v>
      </c>
      <c r="E1601" t="s">
        <v>15</v>
      </c>
      <c r="F1601">
        <v>3</v>
      </c>
      <c r="G1601">
        <v>6700</v>
      </c>
      <c r="H1601">
        <v>26800</v>
      </c>
      <c r="I1601" s="3">
        <v>45306.583333333336</v>
      </c>
      <c r="J1601">
        <v>96</v>
      </c>
      <c r="K1601" s="3">
        <v>45309.583333333336</v>
      </c>
      <c r="L1601" s="4">
        <f>ROUNDDOWN(Table1[[#This Row],[Ordered]],0)</f>
        <v>45306</v>
      </c>
      <c r="M1601" s="4">
        <f>Table1[[#This Row],[Date ]]</f>
        <v>45306</v>
      </c>
      <c r="N1601" s="5">
        <f>Table1[[#This Row],[Ordered]]-Table1[[#This Row],[Date ]]</f>
        <v>8.3333333335758653E-2</v>
      </c>
      <c r="O1601">
        <f>Table1[[#This Row],[Company]]</f>
        <v>12</v>
      </c>
      <c r="P16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2" spans="1:16" x14ac:dyDescent="0.45">
      <c r="A1602" s="3">
        <v>45306.083333333336</v>
      </c>
      <c r="B1602" t="s">
        <v>14</v>
      </c>
      <c r="C1602">
        <v>15</v>
      </c>
      <c r="D1602">
        <v>1011</v>
      </c>
      <c r="E1602" t="s">
        <v>15</v>
      </c>
      <c r="F1602">
        <v>9</v>
      </c>
      <c r="G1602">
        <v>6350</v>
      </c>
      <c r="H1602">
        <v>57150</v>
      </c>
      <c r="I1602" s="3">
        <v>45306.166666666664</v>
      </c>
      <c r="J1602">
        <v>64</v>
      </c>
      <c r="K1602" s="3">
        <v>45308.166666666664</v>
      </c>
      <c r="L1602" s="4">
        <f>ROUNDDOWN(Table1[[#This Row],[Ordered]],0)</f>
        <v>45306</v>
      </c>
      <c r="M1602" s="4">
        <f>Table1[[#This Row],[Date ]]</f>
        <v>45306</v>
      </c>
      <c r="N1602" s="5">
        <f>Table1[[#This Row],[Ordered]]-Table1[[#This Row],[Date ]]</f>
        <v>8.3333333335758653E-2</v>
      </c>
      <c r="O1602">
        <f>Table1[[#This Row],[Company]]</f>
        <v>15</v>
      </c>
      <c r="P16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3" spans="1:16" x14ac:dyDescent="0.45">
      <c r="A1603" s="3">
        <v>45306.083333333336</v>
      </c>
      <c r="B1603" t="s">
        <v>14</v>
      </c>
      <c r="C1603">
        <v>13</v>
      </c>
      <c r="D1603">
        <v>1011</v>
      </c>
      <c r="E1603" t="s">
        <v>15</v>
      </c>
      <c r="F1603">
        <v>5</v>
      </c>
      <c r="G1603">
        <v>6300</v>
      </c>
      <c r="H1603">
        <v>31500</v>
      </c>
      <c r="I1603" s="3">
        <v>45307</v>
      </c>
      <c r="J1603">
        <v>96</v>
      </c>
      <c r="K1603" s="3">
        <v>45310</v>
      </c>
      <c r="L1603" s="4">
        <f>ROUNDDOWN(Table1[[#This Row],[Ordered]],0)</f>
        <v>45306</v>
      </c>
      <c r="M1603" s="4">
        <f>Table1[[#This Row],[Date ]]</f>
        <v>45306</v>
      </c>
      <c r="N1603" s="5">
        <f>Table1[[#This Row],[Ordered]]-Table1[[#This Row],[Date ]]</f>
        <v>8.3333333335758653E-2</v>
      </c>
      <c r="O1603">
        <f>Table1[[#This Row],[Company]]</f>
        <v>13</v>
      </c>
      <c r="P16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4" spans="1:16" hidden="1" x14ac:dyDescent="0.45">
      <c r="A1604" s="3">
        <v>45306.125</v>
      </c>
      <c r="B1604" t="s">
        <v>12</v>
      </c>
      <c r="C1604">
        <v>4</v>
      </c>
      <c r="D1604">
        <v>9</v>
      </c>
      <c r="E1604" t="s">
        <v>13</v>
      </c>
      <c r="F1604">
        <v>1500</v>
      </c>
      <c r="G1604">
        <v>110</v>
      </c>
      <c r="H1604">
        <v>165000</v>
      </c>
      <c r="I1604" s="3">
        <v>45306.166666666664</v>
      </c>
      <c r="J1604">
        <v>72</v>
      </c>
      <c r="K1604" s="3">
        <v>45309.166666666664</v>
      </c>
      <c r="L1604" s="4">
        <f>ROUNDDOWN(Table1[[#This Row],[Ordered]],0)</f>
        <v>45306</v>
      </c>
      <c r="M1604" s="4">
        <f>Table1[[#This Row],[Date ]]</f>
        <v>45306</v>
      </c>
      <c r="N1604" s="5">
        <f>Table1[[#This Row],[Ordered]]-Table1[[#This Row],[Date ]]</f>
        <v>0.125</v>
      </c>
      <c r="O1604">
        <f>Table1[[#This Row],[Company]]</f>
        <v>4</v>
      </c>
      <c r="P16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5" spans="1:16" hidden="1" x14ac:dyDescent="0.45">
      <c r="A1605" s="3">
        <v>45306.25</v>
      </c>
      <c r="B1605" t="s">
        <v>12</v>
      </c>
      <c r="C1605">
        <v>4</v>
      </c>
      <c r="D1605">
        <v>13</v>
      </c>
      <c r="E1605" t="s">
        <v>13</v>
      </c>
      <c r="F1605">
        <v>1500</v>
      </c>
      <c r="G1605">
        <v>112</v>
      </c>
      <c r="H1605">
        <v>168000</v>
      </c>
      <c r="I1605" s="3">
        <v>45308.208333333336</v>
      </c>
      <c r="J1605">
        <v>72</v>
      </c>
      <c r="K1605" s="3">
        <v>45311.208333333336</v>
      </c>
      <c r="L1605" s="4">
        <f>ROUNDDOWN(Table1[[#This Row],[Ordered]],0)</f>
        <v>45306</v>
      </c>
      <c r="M1605" s="4">
        <f>Table1[[#This Row],[Date ]]</f>
        <v>45306</v>
      </c>
      <c r="N1605" s="5">
        <f>Table1[[#This Row],[Ordered]]-Table1[[#This Row],[Date ]]</f>
        <v>0.25</v>
      </c>
      <c r="O1605">
        <f>Table1[[#This Row],[Company]]</f>
        <v>4</v>
      </c>
      <c r="P16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6" spans="1:16" hidden="1" x14ac:dyDescent="0.45">
      <c r="A1606" s="3">
        <v>45306.291666666664</v>
      </c>
      <c r="B1606" t="s">
        <v>12</v>
      </c>
      <c r="C1606">
        <v>11</v>
      </c>
      <c r="D1606">
        <v>4</v>
      </c>
      <c r="E1606" t="s">
        <v>20</v>
      </c>
      <c r="F1606">
        <v>83</v>
      </c>
      <c r="G1606">
        <v>10</v>
      </c>
      <c r="H1606">
        <v>830</v>
      </c>
      <c r="I1606" s="3">
        <v>45312.625</v>
      </c>
      <c r="J1606">
        <v>72</v>
      </c>
      <c r="K1606" s="3">
        <v>45315.625</v>
      </c>
      <c r="L1606" s="4">
        <f>ROUNDDOWN(Table1[[#This Row],[Ordered]],0)</f>
        <v>45306</v>
      </c>
      <c r="M1606" s="4">
        <f>Table1[[#This Row],[Date ]]</f>
        <v>45306</v>
      </c>
      <c r="N1606" s="5">
        <f>Table1[[#This Row],[Ordered]]-Table1[[#This Row],[Date ]]</f>
        <v>0.29166666666424135</v>
      </c>
      <c r="O1606">
        <f>Table1[[#This Row],[Company]]</f>
        <v>11</v>
      </c>
      <c r="P16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7" spans="1:16" x14ac:dyDescent="0.45">
      <c r="A1607" s="3">
        <v>45306.333333333336</v>
      </c>
      <c r="B1607" t="s">
        <v>0</v>
      </c>
      <c r="C1607">
        <v>16</v>
      </c>
      <c r="D1607">
        <v>2001</v>
      </c>
      <c r="E1607" t="s">
        <v>16</v>
      </c>
      <c r="F1607">
        <v>30</v>
      </c>
      <c r="G1607">
        <v>3750</v>
      </c>
      <c r="H1607">
        <v>112500</v>
      </c>
      <c r="I1607" s="3">
        <v>45306.583333333336</v>
      </c>
      <c r="J1607">
        <v>132</v>
      </c>
      <c r="K1607" s="3">
        <v>45311.083333333336</v>
      </c>
      <c r="L1607" s="4">
        <f>ROUNDDOWN(Table1[[#This Row],[Ordered]],0)</f>
        <v>45306</v>
      </c>
      <c r="M1607" s="4">
        <f>Table1[[#This Row],[Date ]]</f>
        <v>45306</v>
      </c>
      <c r="N1607" s="5">
        <f>Table1[[#This Row],[Ordered]]-Table1[[#This Row],[Date ]]</f>
        <v>0.33333333333575865</v>
      </c>
      <c r="O1607">
        <f>Table1[[#This Row],[Company]]</f>
        <v>16</v>
      </c>
      <c r="P16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8" spans="1:16" x14ac:dyDescent="0.45">
      <c r="A1608" s="3">
        <v>45306.333333333336</v>
      </c>
      <c r="B1608" t="s">
        <v>0</v>
      </c>
      <c r="C1608">
        <v>16</v>
      </c>
      <c r="D1608">
        <v>2001</v>
      </c>
      <c r="E1608" t="s">
        <v>15</v>
      </c>
      <c r="F1608">
        <v>30</v>
      </c>
      <c r="G1608">
        <v>6650</v>
      </c>
      <c r="H1608">
        <v>199500</v>
      </c>
      <c r="I1608" s="3">
        <v>45306.625</v>
      </c>
      <c r="J1608">
        <v>132</v>
      </c>
      <c r="K1608" s="3">
        <v>45311.125</v>
      </c>
      <c r="L1608" s="4">
        <f>ROUNDDOWN(Table1[[#This Row],[Ordered]],0)</f>
        <v>45306</v>
      </c>
      <c r="M1608" s="4">
        <f>Table1[[#This Row],[Date ]]</f>
        <v>45306</v>
      </c>
      <c r="N1608" s="5">
        <f>Table1[[#This Row],[Ordered]]-Table1[[#This Row],[Date ]]</f>
        <v>0.33333333333575865</v>
      </c>
      <c r="O1608">
        <f>Table1[[#This Row],[Company]]</f>
        <v>16</v>
      </c>
      <c r="P16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9" spans="1:16" x14ac:dyDescent="0.45">
      <c r="A1609" s="3">
        <v>45306.333333333336</v>
      </c>
      <c r="B1609" t="s">
        <v>0</v>
      </c>
      <c r="C1609">
        <v>13</v>
      </c>
      <c r="D1609">
        <v>2001</v>
      </c>
      <c r="E1609" t="s">
        <v>16</v>
      </c>
      <c r="F1609">
        <v>30</v>
      </c>
      <c r="G1609">
        <v>3300</v>
      </c>
      <c r="H1609">
        <v>99000</v>
      </c>
      <c r="I1609" s="3">
        <v>45307.208333333336</v>
      </c>
      <c r="J1609">
        <v>132</v>
      </c>
      <c r="K1609" s="3">
        <v>45311.791666666664</v>
      </c>
      <c r="L1609" s="4">
        <f>ROUNDDOWN(Table1[[#This Row],[Ordered]],0)</f>
        <v>45306</v>
      </c>
      <c r="M1609" s="4">
        <f>Table1[[#This Row],[Date ]]</f>
        <v>45306</v>
      </c>
      <c r="N1609" s="5">
        <f>Table1[[#This Row],[Ordered]]-Table1[[#This Row],[Date ]]</f>
        <v>0.33333333333575865</v>
      </c>
      <c r="O1609">
        <f>Table1[[#This Row],[Company]]</f>
        <v>13</v>
      </c>
      <c r="P16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0" spans="1:16" x14ac:dyDescent="0.45">
      <c r="A1610" s="3">
        <v>45306.333333333336</v>
      </c>
      <c r="B1610" t="s">
        <v>0</v>
      </c>
      <c r="C1610">
        <v>15</v>
      </c>
      <c r="D1610">
        <v>2001</v>
      </c>
      <c r="E1610" t="s">
        <v>15</v>
      </c>
      <c r="F1610">
        <v>40</v>
      </c>
      <c r="G1610">
        <v>6200</v>
      </c>
      <c r="H1610">
        <v>248000</v>
      </c>
      <c r="I1610" s="3">
        <v>45306.375</v>
      </c>
      <c r="J1610">
        <v>48</v>
      </c>
      <c r="K1610" s="3">
        <v>45307.875</v>
      </c>
      <c r="L1610" s="4">
        <f>ROUNDDOWN(Table1[[#This Row],[Ordered]],0)</f>
        <v>45306</v>
      </c>
      <c r="M1610" s="4">
        <f>Table1[[#This Row],[Date ]]</f>
        <v>45306</v>
      </c>
      <c r="N1610" s="5">
        <f>Table1[[#This Row],[Ordered]]-Table1[[#This Row],[Date ]]</f>
        <v>0.33333333333575865</v>
      </c>
      <c r="O1610">
        <f>Table1[[#This Row],[Company]]</f>
        <v>15</v>
      </c>
      <c r="P16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1" spans="1:16" x14ac:dyDescent="0.45">
      <c r="A1611" s="3">
        <v>45306.333333333336</v>
      </c>
      <c r="B1611" t="s">
        <v>0</v>
      </c>
      <c r="C1611">
        <v>8</v>
      </c>
      <c r="D1611">
        <v>2001</v>
      </c>
      <c r="E1611" t="s">
        <v>16</v>
      </c>
      <c r="F1611">
        <v>30</v>
      </c>
      <c r="G1611">
        <v>3889</v>
      </c>
      <c r="H1611">
        <v>116670</v>
      </c>
      <c r="I1611" s="3">
        <v>45309.041666666664</v>
      </c>
      <c r="J1611">
        <v>156</v>
      </c>
      <c r="K1611" s="3">
        <v>45312.125</v>
      </c>
      <c r="L1611" s="4">
        <f>ROUNDDOWN(Table1[[#This Row],[Ordered]],0)</f>
        <v>45306</v>
      </c>
      <c r="M1611" s="4">
        <f>Table1[[#This Row],[Date ]]</f>
        <v>45306</v>
      </c>
      <c r="N1611" s="5">
        <f>Table1[[#This Row],[Ordered]]-Table1[[#This Row],[Date ]]</f>
        <v>0.33333333333575865</v>
      </c>
      <c r="O1611">
        <f>Table1[[#This Row],[Company]]</f>
        <v>8</v>
      </c>
      <c r="P16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2" spans="1:16" x14ac:dyDescent="0.45">
      <c r="A1612" s="3">
        <v>45306.333333333336</v>
      </c>
      <c r="B1612" t="s">
        <v>0</v>
      </c>
      <c r="C1612">
        <v>11</v>
      </c>
      <c r="D1612">
        <v>2001</v>
      </c>
      <c r="E1612" t="s">
        <v>15</v>
      </c>
      <c r="F1612">
        <v>10</v>
      </c>
      <c r="G1612">
        <v>6800</v>
      </c>
      <c r="H1612">
        <v>68000</v>
      </c>
      <c r="I1612" s="3">
        <v>45308.833333333336</v>
      </c>
      <c r="J1612">
        <v>108</v>
      </c>
      <c r="K1612" s="3">
        <v>45310.333333333336</v>
      </c>
      <c r="L1612" s="4">
        <f>ROUNDDOWN(Table1[[#This Row],[Ordered]],0)</f>
        <v>45306</v>
      </c>
      <c r="M1612" s="4">
        <f>Table1[[#This Row],[Date ]]</f>
        <v>45306</v>
      </c>
      <c r="N1612" s="5">
        <f>Table1[[#This Row],[Ordered]]-Table1[[#This Row],[Date ]]</f>
        <v>0.33333333333575865</v>
      </c>
      <c r="O1612">
        <f>Table1[[#This Row],[Company]]</f>
        <v>11</v>
      </c>
      <c r="P16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3" spans="1:16" x14ac:dyDescent="0.45">
      <c r="A1613" s="3">
        <v>45306.333333333336</v>
      </c>
      <c r="B1613" t="s">
        <v>0</v>
      </c>
      <c r="C1613">
        <v>14</v>
      </c>
      <c r="D1613">
        <v>2001</v>
      </c>
      <c r="E1613" t="s">
        <v>15</v>
      </c>
      <c r="F1613">
        <v>14</v>
      </c>
      <c r="G1613">
        <v>6650</v>
      </c>
      <c r="H1613">
        <v>93100</v>
      </c>
      <c r="I1613" s="3">
        <v>45306.791666666664</v>
      </c>
      <c r="J1613">
        <v>132</v>
      </c>
      <c r="K1613" s="3">
        <v>45311.291666666664</v>
      </c>
      <c r="L1613" s="4">
        <f>ROUNDDOWN(Table1[[#This Row],[Ordered]],0)</f>
        <v>45306</v>
      </c>
      <c r="M1613" s="4">
        <f>Table1[[#This Row],[Date ]]</f>
        <v>45306</v>
      </c>
      <c r="N1613" s="5">
        <f>Table1[[#This Row],[Ordered]]-Table1[[#This Row],[Date ]]</f>
        <v>0.33333333333575865</v>
      </c>
      <c r="O1613">
        <f>Table1[[#This Row],[Company]]</f>
        <v>14</v>
      </c>
      <c r="P16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4" spans="1:16" hidden="1" x14ac:dyDescent="0.45">
      <c r="A1614" s="3">
        <v>45306.333333333336</v>
      </c>
      <c r="B1614" t="s">
        <v>12</v>
      </c>
      <c r="C1614">
        <v>2</v>
      </c>
      <c r="D1614">
        <v>15</v>
      </c>
      <c r="E1614" t="s">
        <v>17</v>
      </c>
      <c r="F1614">
        <v>240</v>
      </c>
      <c r="G1614">
        <v>1800</v>
      </c>
      <c r="H1614">
        <v>432000</v>
      </c>
      <c r="I1614" s="3">
        <v>45306.375</v>
      </c>
      <c r="J1614">
        <v>72</v>
      </c>
      <c r="K1614" s="3">
        <v>45309.375</v>
      </c>
      <c r="L1614" s="4">
        <f>ROUNDDOWN(Table1[[#This Row],[Ordered]],0)</f>
        <v>45306</v>
      </c>
      <c r="M1614" s="4">
        <f>Table1[[#This Row],[Date ]]</f>
        <v>45306</v>
      </c>
      <c r="N1614" s="5">
        <f>Table1[[#This Row],[Ordered]]-Table1[[#This Row],[Date ]]</f>
        <v>0.33333333333575865</v>
      </c>
      <c r="O1614">
        <f>Table1[[#This Row],[Company]]</f>
        <v>2</v>
      </c>
      <c r="P16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5" spans="1:16" x14ac:dyDescent="0.45">
      <c r="A1615" s="3">
        <v>45306.333333333336</v>
      </c>
      <c r="B1615" t="s">
        <v>0</v>
      </c>
      <c r="C1615">
        <v>11</v>
      </c>
      <c r="D1615">
        <v>2001</v>
      </c>
      <c r="E1615" t="s">
        <v>16</v>
      </c>
      <c r="F1615">
        <v>40</v>
      </c>
      <c r="G1615">
        <v>4000</v>
      </c>
      <c r="H1615">
        <v>160000</v>
      </c>
      <c r="I1615" s="3">
        <v>45306.625</v>
      </c>
      <c r="J1615">
        <v>132</v>
      </c>
      <c r="K1615" s="3">
        <v>45311.125</v>
      </c>
      <c r="L1615" s="4">
        <f>ROUNDDOWN(Table1[[#This Row],[Ordered]],0)</f>
        <v>45306</v>
      </c>
      <c r="M1615" s="4">
        <f>Table1[[#This Row],[Date ]]</f>
        <v>45306</v>
      </c>
      <c r="N1615" s="5">
        <f>Table1[[#This Row],[Ordered]]-Table1[[#This Row],[Date ]]</f>
        <v>0.33333333333575865</v>
      </c>
      <c r="O1615">
        <f>Table1[[#This Row],[Company]]</f>
        <v>11</v>
      </c>
      <c r="P16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6" spans="1:16" x14ac:dyDescent="0.45">
      <c r="A1616" s="3">
        <v>45306.333333333336</v>
      </c>
      <c r="B1616" t="s">
        <v>0</v>
      </c>
      <c r="C1616">
        <v>9</v>
      </c>
      <c r="D1616">
        <v>2001</v>
      </c>
      <c r="E1616" t="s">
        <v>16</v>
      </c>
      <c r="F1616">
        <v>30</v>
      </c>
      <c r="G1616">
        <v>3799</v>
      </c>
      <c r="H1616">
        <v>113970</v>
      </c>
      <c r="I1616" s="3">
        <v>45306.333333333336</v>
      </c>
      <c r="J1616">
        <v>112</v>
      </c>
      <c r="K1616" s="3">
        <v>45310.833333333336</v>
      </c>
      <c r="L1616" s="4">
        <f>ROUNDDOWN(Table1[[#This Row],[Ordered]],0)</f>
        <v>45306</v>
      </c>
      <c r="M1616" s="4">
        <f>Table1[[#This Row],[Date ]]</f>
        <v>45306</v>
      </c>
      <c r="N1616" s="5">
        <f>Table1[[#This Row],[Ordered]]-Table1[[#This Row],[Date ]]</f>
        <v>0.33333333333575865</v>
      </c>
      <c r="O1616">
        <f>Table1[[#This Row],[Company]]</f>
        <v>9</v>
      </c>
      <c r="P16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7" spans="1:16" x14ac:dyDescent="0.45">
      <c r="A1617" s="3">
        <v>45306.333333333336</v>
      </c>
      <c r="B1617" t="s">
        <v>0</v>
      </c>
      <c r="C1617">
        <v>10</v>
      </c>
      <c r="D1617">
        <v>2001</v>
      </c>
      <c r="E1617" t="s">
        <v>16</v>
      </c>
      <c r="F1617">
        <v>50</v>
      </c>
      <c r="G1617">
        <v>4100</v>
      </c>
      <c r="H1617">
        <v>205000</v>
      </c>
      <c r="I1617" s="3">
        <v>45306.583333333336</v>
      </c>
      <c r="J1617">
        <v>78</v>
      </c>
      <c r="K1617" s="3">
        <v>45309.583333333336</v>
      </c>
      <c r="L1617" s="4">
        <f>ROUNDDOWN(Table1[[#This Row],[Ordered]],0)</f>
        <v>45306</v>
      </c>
      <c r="M1617" s="4">
        <f>Table1[[#This Row],[Date ]]</f>
        <v>45306</v>
      </c>
      <c r="N1617" s="5">
        <f>Table1[[#This Row],[Ordered]]-Table1[[#This Row],[Date ]]</f>
        <v>0.33333333333575865</v>
      </c>
      <c r="O1617">
        <f>Table1[[#This Row],[Company]]</f>
        <v>10</v>
      </c>
      <c r="P16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8" spans="1:16" x14ac:dyDescent="0.45">
      <c r="A1618" s="3">
        <v>45306.333333333336</v>
      </c>
      <c r="B1618" t="s">
        <v>0</v>
      </c>
      <c r="C1618">
        <v>12</v>
      </c>
      <c r="D1618">
        <v>2001</v>
      </c>
      <c r="E1618" t="s">
        <v>16</v>
      </c>
      <c r="F1618">
        <v>30</v>
      </c>
      <c r="G1618">
        <v>3800</v>
      </c>
      <c r="H1618">
        <v>114000</v>
      </c>
      <c r="I1618" s="3">
        <v>45306.625</v>
      </c>
      <c r="J1618">
        <v>120</v>
      </c>
      <c r="K1618" s="3">
        <v>45311.125</v>
      </c>
      <c r="L1618" s="4">
        <f>ROUNDDOWN(Table1[[#This Row],[Ordered]],0)</f>
        <v>45306</v>
      </c>
      <c r="M1618" s="4">
        <f>Table1[[#This Row],[Date ]]</f>
        <v>45306</v>
      </c>
      <c r="N1618" s="5">
        <f>Table1[[#This Row],[Ordered]]-Table1[[#This Row],[Date ]]</f>
        <v>0.33333333333575865</v>
      </c>
      <c r="O1618">
        <f>Table1[[#This Row],[Company]]</f>
        <v>12</v>
      </c>
      <c r="P16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9" spans="1:16" x14ac:dyDescent="0.45">
      <c r="A1619" s="3">
        <v>45306.333333333336</v>
      </c>
      <c r="B1619" t="s">
        <v>0</v>
      </c>
      <c r="C1619">
        <v>14</v>
      </c>
      <c r="D1619">
        <v>2001</v>
      </c>
      <c r="E1619" t="s">
        <v>16</v>
      </c>
      <c r="F1619">
        <v>36</v>
      </c>
      <c r="G1619">
        <v>3750</v>
      </c>
      <c r="H1619">
        <v>135000</v>
      </c>
      <c r="I1619" s="3">
        <v>45306.791666666664</v>
      </c>
      <c r="J1619">
        <v>132</v>
      </c>
      <c r="K1619" s="3">
        <v>45311.291666666664</v>
      </c>
      <c r="L1619" s="4">
        <f>ROUNDDOWN(Table1[[#This Row],[Ordered]],0)</f>
        <v>45306</v>
      </c>
      <c r="M1619" s="4">
        <f>Table1[[#This Row],[Date ]]</f>
        <v>45306</v>
      </c>
      <c r="N1619" s="5">
        <f>Table1[[#This Row],[Ordered]]-Table1[[#This Row],[Date ]]</f>
        <v>0.33333333333575865</v>
      </c>
      <c r="O1619">
        <f>Table1[[#This Row],[Company]]</f>
        <v>14</v>
      </c>
      <c r="P16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0" spans="1:16" x14ac:dyDescent="0.45">
      <c r="A1620" s="3">
        <v>45306.333333333336</v>
      </c>
      <c r="B1620" t="s">
        <v>0</v>
      </c>
      <c r="C1620">
        <v>12</v>
      </c>
      <c r="D1620">
        <v>2001</v>
      </c>
      <c r="E1620" t="s">
        <v>15</v>
      </c>
      <c r="F1620">
        <v>28</v>
      </c>
      <c r="G1620">
        <v>6750</v>
      </c>
      <c r="H1620">
        <v>189000</v>
      </c>
      <c r="I1620" s="3">
        <v>45309.125</v>
      </c>
      <c r="J1620">
        <v>120</v>
      </c>
      <c r="K1620" s="3">
        <v>45310.625</v>
      </c>
      <c r="L1620" s="4">
        <f>ROUNDDOWN(Table1[[#This Row],[Ordered]],0)</f>
        <v>45306</v>
      </c>
      <c r="M1620" s="4">
        <f>Table1[[#This Row],[Date ]]</f>
        <v>45306</v>
      </c>
      <c r="N1620" s="5">
        <f>Table1[[#This Row],[Ordered]]-Table1[[#This Row],[Date ]]</f>
        <v>0.33333333333575865</v>
      </c>
      <c r="O1620">
        <f>Table1[[#This Row],[Company]]</f>
        <v>12</v>
      </c>
      <c r="P16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1" spans="1:16" x14ac:dyDescent="0.45">
      <c r="A1621" s="3">
        <v>45306.333333333336</v>
      </c>
      <c r="B1621" t="s">
        <v>0</v>
      </c>
      <c r="C1621">
        <v>7</v>
      </c>
      <c r="D1621">
        <v>2001</v>
      </c>
      <c r="E1621" t="s">
        <v>16</v>
      </c>
      <c r="F1621">
        <v>30</v>
      </c>
      <c r="G1621">
        <v>3800</v>
      </c>
      <c r="H1621">
        <v>114000</v>
      </c>
      <c r="I1621" s="3">
        <v>45310.416666666664</v>
      </c>
      <c r="J1621">
        <v>132</v>
      </c>
      <c r="K1621" s="3">
        <v>45311.916666666664</v>
      </c>
      <c r="L1621" s="4">
        <f>ROUNDDOWN(Table1[[#This Row],[Ordered]],0)</f>
        <v>45306</v>
      </c>
      <c r="M1621" s="4">
        <f>Table1[[#This Row],[Date ]]</f>
        <v>45306</v>
      </c>
      <c r="N1621" s="5">
        <f>Table1[[#This Row],[Ordered]]-Table1[[#This Row],[Date ]]</f>
        <v>0.33333333333575865</v>
      </c>
      <c r="O1621">
        <f>Table1[[#This Row],[Company]]</f>
        <v>7</v>
      </c>
      <c r="P16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2" spans="1:16" x14ac:dyDescent="0.45">
      <c r="A1622" s="3">
        <v>45306.333333333336</v>
      </c>
      <c r="B1622" t="s">
        <v>0</v>
      </c>
      <c r="C1622">
        <v>13</v>
      </c>
      <c r="D1622">
        <v>2001</v>
      </c>
      <c r="E1622" t="s">
        <v>15</v>
      </c>
      <c r="F1622">
        <v>21</v>
      </c>
      <c r="G1622">
        <v>6300</v>
      </c>
      <c r="H1622">
        <v>132300</v>
      </c>
      <c r="I1622" s="3">
        <v>45307.208333333336</v>
      </c>
      <c r="J1622">
        <v>132</v>
      </c>
      <c r="K1622" s="3">
        <v>45311.708333333336</v>
      </c>
      <c r="L1622" s="4">
        <f>ROUNDDOWN(Table1[[#This Row],[Ordered]],0)</f>
        <v>45306</v>
      </c>
      <c r="M1622" s="4">
        <f>Table1[[#This Row],[Date ]]</f>
        <v>45306</v>
      </c>
      <c r="N1622" s="5">
        <f>Table1[[#This Row],[Ordered]]-Table1[[#This Row],[Date ]]</f>
        <v>0.33333333333575865</v>
      </c>
      <c r="O1622">
        <f>Table1[[#This Row],[Company]]</f>
        <v>13</v>
      </c>
      <c r="P16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3" spans="1:16" x14ac:dyDescent="0.45">
      <c r="A1623" s="3">
        <v>45306.333333333336</v>
      </c>
      <c r="B1623" t="s">
        <v>0</v>
      </c>
      <c r="C1623">
        <v>15</v>
      </c>
      <c r="D1623">
        <v>2001</v>
      </c>
      <c r="E1623" t="s">
        <v>16</v>
      </c>
      <c r="F1623">
        <v>30</v>
      </c>
      <c r="G1623">
        <v>4050</v>
      </c>
      <c r="H1623">
        <v>121500</v>
      </c>
      <c r="I1623" s="3">
        <v>45306.375</v>
      </c>
      <c r="J1623">
        <v>48</v>
      </c>
      <c r="K1623" s="3">
        <v>45307.875</v>
      </c>
      <c r="L1623" s="4">
        <f>ROUNDDOWN(Table1[[#This Row],[Ordered]],0)</f>
        <v>45306</v>
      </c>
      <c r="M1623" s="4">
        <f>Table1[[#This Row],[Date ]]</f>
        <v>45306</v>
      </c>
      <c r="N1623" s="5">
        <f>Table1[[#This Row],[Ordered]]-Table1[[#This Row],[Date ]]</f>
        <v>0.33333333333575865</v>
      </c>
      <c r="O1623">
        <f>Table1[[#This Row],[Company]]</f>
        <v>15</v>
      </c>
      <c r="P16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4" spans="1:16" x14ac:dyDescent="0.45">
      <c r="A1624" s="3">
        <v>45306.333333333336</v>
      </c>
      <c r="B1624" t="s">
        <v>0</v>
      </c>
      <c r="C1624">
        <v>7</v>
      </c>
      <c r="D1624">
        <v>2001</v>
      </c>
      <c r="E1624" t="s">
        <v>15</v>
      </c>
      <c r="F1624">
        <v>16</v>
      </c>
      <c r="G1624">
        <v>6850</v>
      </c>
      <c r="H1624">
        <v>109600</v>
      </c>
      <c r="I1624" s="3">
        <v>45308.708333333336</v>
      </c>
      <c r="J1624">
        <v>132</v>
      </c>
      <c r="K1624" s="3">
        <v>45311.708333333336</v>
      </c>
      <c r="L1624" s="4">
        <f>ROUNDDOWN(Table1[[#This Row],[Ordered]],0)</f>
        <v>45306</v>
      </c>
      <c r="M1624" s="4">
        <f>Table1[[#This Row],[Date ]]</f>
        <v>45306</v>
      </c>
      <c r="N1624" s="5">
        <f>Table1[[#This Row],[Ordered]]-Table1[[#This Row],[Date ]]</f>
        <v>0.33333333333575865</v>
      </c>
      <c r="O1624">
        <f>Table1[[#This Row],[Company]]</f>
        <v>7</v>
      </c>
      <c r="P16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5" spans="1:16" x14ac:dyDescent="0.45">
      <c r="A1625" s="3">
        <v>45306.333333333336</v>
      </c>
      <c r="B1625" t="s">
        <v>0</v>
      </c>
      <c r="C1625">
        <v>8</v>
      </c>
      <c r="D1625">
        <v>2001</v>
      </c>
      <c r="E1625" t="s">
        <v>15</v>
      </c>
      <c r="F1625">
        <v>32</v>
      </c>
      <c r="G1625">
        <v>6000</v>
      </c>
      <c r="H1625">
        <v>192000</v>
      </c>
      <c r="I1625" s="3">
        <v>45309.541666666664</v>
      </c>
      <c r="J1625">
        <v>156</v>
      </c>
      <c r="K1625" s="3">
        <v>45312.541666666664</v>
      </c>
      <c r="L1625" s="4">
        <f>ROUNDDOWN(Table1[[#This Row],[Ordered]],0)</f>
        <v>45306</v>
      </c>
      <c r="M1625" s="4">
        <f>Table1[[#This Row],[Date ]]</f>
        <v>45306</v>
      </c>
      <c r="N1625" s="5">
        <f>Table1[[#This Row],[Ordered]]-Table1[[#This Row],[Date ]]</f>
        <v>0.33333333333575865</v>
      </c>
      <c r="O1625">
        <f>Table1[[#This Row],[Company]]</f>
        <v>8</v>
      </c>
      <c r="P16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6" spans="1:16" x14ac:dyDescent="0.45">
      <c r="A1626" s="3">
        <v>45306.375</v>
      </c>
      <c r="B1626" t="s">
        <v>14</v>
      </c>
      <c r="C1626">
        <v>13</v>
      </c>
      <c r="D1626">
        <v>1007</v>
      </c>
      <c r="E1626" t="s">
        <v>16</v>
      </c>
      <c r="F1626">
        <v>30</v>
      </c>
      <c r="G1626">
        <v>3400</v>
      </c>
      <c r="H1626">
        <v>102000</v>
      </c>
      <c r="I1626" s="3">
        <v>45307.208333333336</v>
      </c>
      <c r="J1626">
        <v>96</v>
      </c>
      <c r="K1626" s="3">
        <v>45310.208333333336</v>
      </c>
      <c r="L1626" s="4">
        <f>ROUNDDOWN(Table1[[#This Row],[Ordered]],0)</f>
        <v>45306</v>
      </c>
      <c r="M1626" s="4">
        <f>Table1[[#This Row],[Date ]]</f>
        <v>45306</v>
      </c>
      <c r="N1626" s="5">
        <f>Table1[[#This Row],[Ordered]]-Table1[[#This Row],[Date ]]</f>
        <v>0.375</v>
      </c>
      <c r="O1626">
        <f>Table1[[#This Row],[Company]]</f>
        <v>13</v>
      </c>
      <c r="P16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7" spans="1:16" x14ac:dyDescent="0.45">
      <c r="A1627" s="3">
        <v>45306.375</v>
      </c>
      <c r="B1627" t="s">
        <v>14</v>
      </c>
      <c r="C1627">
        <v>8</v>
      </c>
      <c r="D1627">
        <v>1007</v>
      </c>
      <c r="E1627" t="s">
        <v>16</v>
      </c>
      <c r="F1627">
        <v>10</v>
      </c>
      <c r="G1627">
        <v>4185</v>
      </c>
      <c r="H1627">
        <v>41850</v>
      </c>
      <c r="I1627" s="3">
        <v>45307.875</v>
      </c>
      <c r="J1627">
        <v>96</v>
      </c>
      <c r="K1627" s="3">
        <v>45309.875</v>
      </c>
      <c r="L1627" s="4">
        <f>ROUNDDOWN(Table1[[#This Row],[Ordered]],0)</f>
        <v>45306</v>
      </c>
      <c r="M1627" s="4">
        <f>Table1[[#This Row],[Date ]]</f>
        <v>45306</v>
      </c>
      <c r="N1627" s="5">
        <f>Table1[[#This Row],[Ordered]]-Table1[[#This Row],[Date ]]</f>
        <v>0.375</v>
      </c>
      <c r="O1627">
        <f>Table1[[#This Row],[Company]]</f>
        <v>8</v>
      </c>
      <c r="P16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8" spans="1:16" x14ac:dyDescent="0.45">
      <c r="A1628" s="3">
        <v>45306.375</v>
      </c>
      <c r="B1628" t="s">
        <v>14</v>
      </c>
      <c r="C1628">
        <v>9</v>
      </c>
      <c r="D1628">
        <v>1007</v>
      </c>
      <c r="E1628" t="s">
        <v>16</v>
      </c>
      <c r="F1628">
        <v>15</v>
      </c>
      <c r="G1628">
        <v>3799</v>
      </c>
      <c r="H1628">
        <v>56985</v>
      </c>
      <c r="I1628" s="3">
        <v>45306.375</v>
      </c>
      <c r="J1628">
        <v>74</v>
      </c>
      <c r="K1628" s="3">
        <v>45309.375</v>
      </c>
      <c r="L1628" s="4">
        <f>ROUNDDOWN(Table1[[#This Row],[Ordered]],0)</f>
        <v>45306</v>
      </c>
      <c r="M1628" s="4">
        <f>Table1[[#This Row],[Date ]]</f>
        <v>45306</v>
      </c>
      <c r="N1628" s="5">
        <f>Table1[[#This Row],[Ordered]]-Table1[[#This Row],[Date ]]</f>
        <v>0.375</v>
      </c>
      <c r="O1628">
        <f>Table1[[#This Row],[Company]]</f>
        <v>9</v>
      </c>
      <c r="P16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9" spans="1:16" x14ac:dyDescent="0.45">
      <c r="A1629" s="3">
        <v>45306.375</v>
      </c>
      <c r="B1629" t="s">
        <v>14</v>
      </c>
      <c r="C1629">
        <v>15</v>
      </c>
      <c r="D1629">
        <v>1007</v>
      </c>
      <c r="E1629" t="s">
        <v>16</v>
      </c>
      <c r="F1629">
        <v>50</v>
      </c>
      <c r="G1629">
        <v>3350</v>
      </c>
      <c r="H1629">
        <v>167500</v>
      </c>
      <c r="I1629" s="3">
        <v>45306.5</v>
      </c>
      <c r="J1629">
        <v>88</v>
      </c>
      <c r="K1629" s="3">
        <v>45309.5</v>
      </c>
      <c r="L1629" s="4">
        <f>ROUNDDOWN(Table1[[#This Row],[Ordered]],0)</f>
        <v>45306</v>
      </c>
      <c r="M1629" s="4">
        <f>Table1[[#This Row],[Date ]]</f>
        <v>45306</v>
      </c>
      <c r="N1629" s="5">
        <f>Table1[[#This Row],[Ordered]]-Table1[[#This Row],[Date ]]</f>
        <v>0.375</v>
      </c>
      <c r="O1629">
        <f>Table1[[#This Row],[Company]]</f>
        <v>15</v>
      </c>
      <c r="P16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0" spans="1:16" x14ac:dyDescent="0.45">
      <c r="A1630" s="3">
        <v>45306.375</v>
      </c>
      <c r="B1630" t="s">
        <v>14</v>
      </c>
      <c r="C1630">
        <v>12</v>
      </c>
      <c r="D1630">
        <v>1007</v>
      </c>
      <c r="E1630" t="s">
        <v>16</v>
      </c>
      <c r="F1630">
        <v>1</v>
      </c>
      <c r="G1630">
        <v>4050</v>
      </c>
      <c r="H1630">
        <v>4050</v>
      </c>
      <c r="I1630" s="3">
        <v>45307.375</v>
      </c>
      <c r="J1630">
        <v>60</v>
      </c>
      <c r="K1630" s="3">
        <v>45308.375</v>
      </c>
      <c r="L1630" s="4">
        <f>ROUNDDOWN(Table1[[#This Row],[Ordered]],0)</f>
        <v>45306</v>
      </c>
      <c r="M1630" s="4">
        <f>Table1[[#This Row],[Date ]]</f>
        <v>45306</v>
      </c>
      <c r="N1630" s="5">
        <f>Table1[[#This Row],[Ordered]]-Table1[[#This Row],[Date ]]</f>
        <v>0.375</v>
      </c>
      <c r="O1630">
        <f>Table1[[#This Row],[Company]]</f>
        <v>12</v>
      </c>
      <c r="P16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1" spans="1:16" x14ac:dyDescent="0.45">
      <c r="A1631" s="3">
        <v>45306.375</v>
      </c>
      <c r="B1631" t="s">
        <v>14</v>
      </c>
      <c r="C1631">
        <v>11</v>
      </c>
      <c r="D1631">
        <v>1007</v>
      </c>
      <c r="E1631" t="s">
        <v>16</v>
      </c>
      <c r="F1631">
        <v>30</v>
      </c>
      <c r="G1631">
        <v>4000</v>
      </c>
      <c r="H1631">
        <v>120000</v>
      </c>
      <c r="I1631" s="3">
        <v>45306.625</v>
      </c>
      <c r="J1631">
        <v>96</v>
      </c>
      <c r="K1631" s="3">
        <v>45309.625</v>
      </c>
      <c r="L1631" s="4">
        <f>ROUNDDOWN(Table1[[#This Row],[Ordered]],0)</f>
        <v>45306</v>
      </c>
      <c r="M1631" s="4">
        <f>Table1[[#This Row],[Date ]]</f>
        <v>45306</v>
      </c>
      <c r="N1631" s="5">
        <f>Table1[[#This Row],[Ordered]]-Table1[[#This Row],[Date ]]</f>
        <v>0.375</v>
      </c>
      <c r="O1631">
        <f>Table1[[#This Row],[Company]]</f>
        <v>11</v>
      </c>
      <c r="P16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2" spans="1:16" x14ac:dyDescent="0.45">
      <c r="A1632" s="3">
        <v>45306.375</v>
      </c>
      <c r="B1632" t="s">
        <v>14</v>
      </c>
      <c r="C1632">
        <v>12</v>
      </c>
      <c r="D1632">
        <v>1007</v>
      </c>
      <c r="E1632" t="s">
        <v>16</v>
      </c>
      <c r="F1632">
        <v>14</v>
      </c>
      <c r="G1632">
        <v>4050</v>
      </c>
      <c r="H1632">
        <v>60750</v>
      </c>
      <c r="I1632" s="3">
        <v>45306.791666666664</v>
      </c>
      <c r="J1632">
        <v>60</v>
      </c>
      <c r="K1632" s="3">
        <v>45308.791666666664</v>
      </c>
      <c r="L1632" s="4">
        <f>ROUNDDOWN(Table1[[#This Row],[Ordered]],0)</f>
        <v>45306</v>
      </c>
      <c r="M1632" s="4">
        <f>Table1[[#This Row],[Date ]]</f>
        <v>45306</v>
      </c>
      <c r="N1632" s="5">
        <f>Table1[[#This Row],[Ordered]]-Table1[[#This Row],[Date ]]</f>
        <v>0.375</v>
      </c>
      <c r="O1632">
        <f>Table1[[#This Row],[Company]]</f>
        <v>12</v>
      </c>
      <c r="P16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3" spans="1:16" hidden="1" x14ac:dyDescent="0.45">
      <c r="A1633" s="3">
        <v>45306.375</v>
      </c>
      <c r="B1633" t="s">
        <v>12</v>
      </c>
      <c r="C1633">
        <v>2</v>
      </c>
      <c r="D1633">
        <v>15</v>
      </c>
      <c r="E1633" t="s">
        <v>13</v>
      </c>
      <c r="F1633">
        <v>2800</v>
      </c>
      <c r="G1633">
        <v>130</v>
      </c>
      <c r="H1633">
        <v>364000</v>
      </c>
      <c r="I1633" s="3">
        <v>45306.416666666664</v>
      </c>
      <c r="J1633">
        <v>72</v>
      </c>
      <c r="K1633" s="3">
        <v>45309.416666666664</v>
      </c>
      <c r="L1633" s="4">
        <f>ROUNDDOWN(Table1[[#This Row],[Ordered]],0)</f>
        <v>45306</v>
      </c>
      <c r="M1633" s="4">
        <f>Table1[[#This Row],[Date ]]</f>
        <v>45306</v>
      </c>
      <c r="N1633" s="5">
        <f>Table1[[#This Row],[Ordered]]-Table1[[#This Row],[Date ]]</f>
        <v>0.375</v>
      </c>
      <c r="O1633">
        <f>Table1[[#This Row],[Company]]</f>
        <v>2</v>
      </c>
      <c r="P16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4" spans="1:16" x14ac:dyDescent="0.45">
      <c r="A1634" s="3">
        <v>45306.375</v>
      </c>
      <c r="B1634" t="s">
        <v>14</v>
      </c>
      <c r="C1634">
        <v>16</v>
      </c>
      <c r="D1634">
        <v>1007</v>
      </c>
      <c r="E1634" t="s">
        <v>16</v>
      </c>
      <c r="F1634">
        <v>30</v>
      </c>
      <c r="G1634">
        <v>3750</v>
      </c>
      <c r="H1634">
        <v>112500</v>
      </c>
      <c r="I1634" s="3">
        <v>45306.625</v>
      </c>
      <c r="J1634">
        <v>96</v>
      </c>
      <c r="K1634" s="3">
        <v>45309.75</v>
      </c>
      <c r="L1634" s="4">
        <f>ROUNDDOWN(Table1[[#This Row],[Ordered]],0)</f>
        <v>45306</v>
      </c>
      <c r="M1634" s="4">
        <f>Table1[[#This Row],[Date ]]</f>
        <v>45306</v>
      </c>
      <c r="N1634" s="5">
        <f>Table1[[#This Row],[Ordered]]-Table1[[#This Row],[Date ]]</f>
        <v>0.375</v>
      </c>
      <c r="O1634">
        <f>Table1[[#This Row],[Company]]</f>
        <v>16</v>
      </c>
      <c r="P16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5" spans="1:16" x14ac:dyDescent="0.45">
      <c r="A1635" s="3">
        <v>45306.375</v>
      </c>
      <c r="B1635" t="s">
        <v>14</v>
      </c>
      <c r="C1635">
        <v>14</v>
      </c>
      <c r="D1635">
        <v>1007</v>
      </c>
      <c r="E1635" t="s">
        <v>16</v>
      </c>
      <c r="F1635">
        <v>39</v>
      </c>
      <c r="G1635">
        <v>3750</v>
      </c>
      <c r="H1635">
        <v>146250</v>
      </c>
      <c r="I1635" s="3">
        <v>45306.875</v>
      </c>
      <c r="J1635">
        <v>96</v>
      </c>
      <c r="K1635" s="3">
        <v>45309.875</v>
      </c>
      <c r="L1635" s="4">
        <f>ROUNDDOWN(Table1[[#This Row],[Ordered]],0)</f>
        <v>45306</v>
      </c>
      <c r="M1635" s="4">
        <f>Table1[[#This Row],[Date ]]</f>
        <v>45306</v>
      </c>
      <c r="N1635" s="5">
        <f>Table1[[#This Row],[Ordered]]-Table1[[#This Row],[Date ]]</f>
        <v>0.375</v>
      </c>
      <c r="O1635">
        <f>Table1[[#This Row],[Company]]</f>
        <v>14</v>
      </c>
      <c r="P16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6" spans="1:16" x14ac:dyDescent="0.45">
      <c r="A1636" s="3">
        <v>45306.375</v>
      </c>
      <c r="B1636" t="s">
        <v>14</v>
      </c>
      <c r="C1636">
        <v>7</v>
      </c>
      <c r="D1636">
        <v>1007</v>
      </c>
      <c r="E1636" t="s">
        <v>16</v>
      </c>
      <c r="F1636">
        <v>30</v>
      </c>
      <c r="G1636">
        <v>3950</v>
      </c>
      <c r="H1636">
        <v>118500</v>
      </c>
      <c r="I1636" s="3">
        <v>45310.375</v>
      </c>
      <c r="J1636">
        <v>96</v>
      </c>
      <c r="K1636" s="3">
        <v>45311.375</v>
      </c>
      <c r="L1636" s="4">
        <f>ROUNDDOWN(Table1[[#This Row],[Ordered]],0)</f>
        <v>45306</v>
      </c>
      <c r="M1636" s="4">
        <f>Table1[[#This Row],[Date ]]</f>
        <v>45306</v>
      </c>
      <c r="N1636" s="5">
        <f>Table1[[#This Row],[Ordered]]-Table1[[#This Row],[Date ]]</f>
        <v>0.375</v>
      </c>
      <c r="O1636">
        <f>Table1[[#This Row],[Company]]</f>
        <v>7</v>
      </c>
      <c r="P16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7" spans="1:16" x14ac:dyDescent="0.45">
      <c r="A1637" s="3">
        <v>45306.375</v>
      </c>
      <c r="B1637" t="s">
        <v>14</v>
      </c>
      <c r="C1637">
        <v>10</v>
      </c>
      <c r="D1637">
        <v>1007</v>
      </c>
      <c r="E1637" t="s">
        <v>16</v>
      </c>
      <c r="F1637">
        <v>50</v>
      </c>
      <c r="G1637">
        <v>4000</v>
      </c>
      <c r="H1637">
        <v>200000</v>
      </c>
      <c r="I1637" s="3">
        <v>45307.5</v>
      </c>
      <c r="J1637">
        <v>60</v>
      </c>
      <c r="K1637" s="3">
        <v>45308.5</v>
      </c>
      <c r="L1637" s="4">
        <f>ROUNDDOWN(Table1[[#This Row],[Ordered]],0)</f>
        <v>45306</v>
      </c>
      <c r="M1637" s="4">
        <f>Table1[[#This Row],[Date ]]</f>
        <v>45306</v>
      </c>
      <c r="N1637" s="5">
        <f>Table1[[#This Row],[Ordered]]-Table1[[#This Row],[Date ]]</f>
        <v>0.375</v>
      </c>
      <c r="O1637">
        <f>Table1[[#This Row],[Company]]</f>
        <v>10</v>
      </c>
      <c r="P16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8" spans="1:16" x14ac:dyDescent="0.45">
      <c r="A1638" s="3">
        <v>45306.416666666664</v>
      </c>
      <c r="B1638" t="s">
        <v>14</v>
      </c>
      <c r="C1638">
        <v>16</v>
      </c>
      <c r="D1638">
        <v>1009</v>
      </c>
      <c r="E1638" t="s">
        <v>15</v>
      </c>
      <c r="F1638">
        <v>5</v>
      </c>
      <c r="G1638">
        <v>6650</v>
      </c>
      <c r="H1638">
        <v>33250</v>
      </c>
      <c r="I1638" s="3">
        <v>45306.625</v>
      </c>
      <c r="J1638">
        <v>96</v>
      </c>
      <c r="K1638" s="3">
        <v>45309.625</v>
      </c>
      <c r="L1638" s="4">
        <f>ROUNDDOWN(Table1[[#This Row],[Ordered]],0)</f>
        <v>45306</v>
      </c>
      <c r="M1638" s="4">
        <f>Table1[[#This Row],[Date ]]</f>
        <v>45306</v>
      </c>
      <c r="N1638" s="5">
        <f>Table1[[#This Row],[Ordered]]-Table1[[#This Row],[Date ]]</f>
        <v>0.41666666666424135</v>
      </c>
      <c r="O1638">
        <f>Table1[[#This Row],[Company]]</f>
        <v>16</v>
      </c>
      <c r="P16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9" spans="1:16" x14ac:dyDescent="0.45">
      <c r="A1639" s="3">
        <v>45306.416666666664</v>
      </c>
      <c r="B1639" t="s">
        <v>14</v>
      </c>
      <c r="C1639">
        <v>14</v>
      </c>
      <c r="D1639">
        <v>1009</v>
      </c>
      <c r="E1639" t="s">
        <v>15</v>
      </c>
      <c r="F1639">
        <v>3</v>
      </c>
      <c r="G1639">
        <v>6650</v>
      </c>
      <c r="H1639">
        <v>19950</v>
      </c>
      <c r="I1639" s="3">
        <v>45306.875</v>
      </c>
      <c r="J1639">
        <v>96</v>
      </c>
      <c r="K1639" s="3">
        <v>45309.875</v>
      </c>
      <c r="L1639" s="4">
        <f>ROUNDDOWN(Table1[[#This Row],[Ordered]],0)</f>
        <v>45306</v>
      </c>
      <c r="M1639" s="4">
        <f>Table1[[#This Row],[Date ]]</f>
        <v>45306</v>
      </c>
      <c r="N1639" s="5">
        <f>Table1[[#This Row],[Ordered]]-Table1[[#This Row],[Date ]]</f>
        <v>0.41666666666424135</v>
      </c>
      <c r="O1639">
        <f>Table1[[#This Row],[Company]]</f>
        <v>14</v>
      </c>
      <c r="P16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0" spans="1:16" x14ac:dyDescent="0.45">
      <c r="A1640" s="3">
        <v>45306.416666666664</v>
      </c>
      <c r="B1640" t="s">
        <v>14</v>
      </c>
      <c r="C1640">
        <v>12</v>
      </c>
      <c r="D1640">
        <v>1009</v>
      </c>
      <c r="E1640" t="s">
        <v>15</v>
      </c>
      <c r="F1640">
        <v>4</v>
      </c>
      <c r="G1640">
        <v>6700</v>
      </c>
      <c r="H1640">
        <v>26800</v>
      </c>
      <c r="I1640" s="3">
        <v>45308.666666666664</v>
      </c>
      <c r="J1640">
        <v>96</v>
      </c>
      <c r="K1640" s="3">
        <v>45309.666666666664</v>
      </c>
      <c r="L1640" s="4">
        <f>ROUNDDOWN(Table1[[#This Row],[Ordered]],0)</f>
        <v>45306</v>
      </c>
      <c r="M1640" s="4">
        <f>Table1[[#This Row],[Date ]]</f>
        <v>45306</v>
      </c>
      <c r="N1640" s="5">
        <f>Table1[[#This Row],[Ordered]]-Table1[[#This Row],[Date ]]</f>
        <v>0.41666666666424135</v>
      </c>
      <c r="O1640">
        <f>Table1[[#This Row],[Company]]</f>
        <v>12</v>
      </c>
      <c r="P16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1" spans="1:16" x14ac:dyDescent="0.45">
      <c r="A1641" s="3">
        <v>45306.416666666664</v>
      </c>
      <c r="B1641" t="s">
        <v>14</v>
      </c>
      <c r="C1641">
        <v>13</v>
      </c>
      <c r="D1641">
        <v>1009</v>
      </c>
      <c r="E1641" t="s">
        <v>15</v>
      </c>
      <c r="F1641">
        <v>4</v>
      </c>
      <c r="G1641">
        <v>6300</v>
      </c>
      <c r="H1641">
        <v>25200</v>
      </c>
      <c r="I1641" s="3">
        <v>45307.25</v>
      </c>
      <c r="J1641">
        <v>96</v>
      </c>
      <c r="K1641" s="3">
        <v>45310.25</v>
      </c>
      <c r="L1641" s="4">
        <f>ROUNDDOWN(Table1[[#This Row],[Ordered]],0)</f>
        <v>45306</v>
      </c>
      <c r="M1641" s="4">
        <f>Table1[[#This Row],[Date ]]</f>
        <v>45306</v>
      </c>
      <c r="N1641" s="5">
        <f>Table1[[#This Row],[Ordered]]-Table1[[#This Row],[Date ]]</f>
        <v>0.41666666666424135</v>
      </c>
      <c r="O1641">
        <f>Table1[[#This Row],[Company]]</f>
        <v>13</v>
      </c>
      <c r="P16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2" spans="1:16" x14ac:dyDescent="0.45">
      <c r="A1642" s="3">
        <v>45306.416666666664</v>
      </c>
      <c r="B1642" t="s">
        <v>14</v>
      </c>
      <c r="C1642">
        <v>15</v>
      </c>
      <c r="D1642">
        <v>1009</v>
      </c>
      <c r="E1642" t="s">
        <v>15</v>
      </c>
      <c r="F1642">
        <v>7</v>
      </c>
      <c r="G1642">
        <v>6350</v>
      </c>
      <c r="H1642">
        <v>44450</v>
      </c>
      <c r="I1642" s="3">
        <v>45306.541666666664</v>
      </c>
      <c r="J1642">
        <v>64</v>
      </c>
      <c r="K1642" s="3">
        <v>45308.541666666664</v>
      </c>
      <c r="L1642" s="4">
        <f>ROUNDDOWN(Table1[[#This Row],[Ordered]],0)</f>
        <v>45306</v>
      </c>
      <c r="M1642" s="4">
        <f>Table1[[#This Row],[Date ]]</f>
        <v>45306</v>
      </c>
      <c r="N1642" s="5">
        <f>Table1[[#This Row],[Ordered]]-Table1[[#This Row],[Date ]]</f>
        <v>0.41666666666424135</v>
      </c>
      <c r="O1642">
        <f>Table1[[#This Row],[Company]]</f>
        <v>15</v>
      </c>
      <c r="P16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3" spans="1:16" x14ac:dyDescent="0.45">
      <c r="A1643" s="3">
        <v>45306.416666666664</v>
      </c>
      <c r="B1643" t="s">
        <v>14</v>
      </c>
      <c r="C1643">
        <v>7</v>
      </c>
      <c r="D1643">
        <v>1009</v>
      </c>
      <c r="E1643" t="s">
        <v>15</v>
      </c>
      <c r="F1643">
        <v>2</v>
      </c>
      <c r="G1643">
        <v>6850</v>
      </c>
      <c r="H1643">
        <v>13700</v>
      </c>
      <c r="I1643" s="3">
        <v>45309.833333333336</v>
      </c>
      <c r="J1643">
        <v>96</v>
      </c>
      <c r="K1643" s="3">
        <v>45310.833333333336</v>
      </c>
      <c r="L1643" s="4">
        <f>ROUNDDOWN(Table1[[#This Row],[Ordered]],0)</f>
        <v>45306</v>
      </c>
      <c r="M1643" s="4">
        <f>Table1[[#This Row],[Date ]]</f>
        <v>45306</v>
      </c>
      <c r="N1643" s="5">
        <f>Table1[[#This Row],[Ordered]]-Table1[[#This Row],[Date ]]</f>
        <v>0.41666666666424135</v>
      </c>
      <c r="O1643">
        <f>Table1[[#This Row],[Company]]</f>
        <v>7</v>
      </c>
      <c r="P16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4" spans="1:16" hidden="1" x14ac:dyDescent="0.45">
      <c r="A1644" s="3">
        <v>45306.458333333336</v>
      </c>
      <c r="B1644" t="s">
        <v>12</v>
      </c>
      <c r="C1644">
        <v>1</v>
      </c>
      <c r="D1644">
        <v>14</v>
      </c>
      <c r="E1644" t="s">
        <v>13</v>
      </c>
      <c r="F1644">
        <v>3000</v>
      </c>
      <c r="G1644">
        <v>100</v>
      </c>
      <c r="H1644">
        <v>300000</v>
      </c>
      <c r="I1644" s="3">
        <v>45306.458333333336</v>
      </c>
      <c r="J1644">
        <v>72</v>
      </c>
      <c r="K1644" s="3">
        <v>45309.458333333336</v>
      </c>
      <c r="L1644" s="4">
        <f>ROUNDDOWN(Table1[[#This Row],[Ordered]],0)</f>
        <v>45306</v>
      </c>
      <c r="M1644" s="4">
        <f>Table1[[#This Row],[Date ]]</f>
        <v>45306</v>
      </c>
      <c r="N1644" s="5">
        <f>Table1[[#This Row],[Ordered]]-Table1[[#This Row],[Date ]]</f>
        <v>0.45833333333575865</v>
      </c>
      <c r="O1644">
        <f>Table1[[#This Row],[Company]]</f>
        <v>1</v>
      </c>
      <c r="P16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5" spans="1:16" x14ac:dyDescent="0.45">
      <c r="A1645" s="3">
        <v>45306.583333333336</v>
      </c>
      <c r="B1645" t="s">
        <v>14</v>
      </c>
      <c r="C1645">
        <v>13</v>
      </c>
      <c r="D1645">
        <v>1011</v>
      </c>
      <c r="E1645" t="s">
        <v>16</v>
      </c>
      <c r="F1645">
        <v>30</v>
      </c>
      <c r="G1645">
        <v>3400</v>
      </c>
      <c r="H1645">
        <v>102000</v>
      </c>
      <c r="I1645" s="3">
        <v>45307.416666666664</v>
      </c>
      <c r="J1645">
        <v>96</v>
      </c>
      <c r="K1645" s="3">
        <v>45310.416666666664</v>
      </c>
      <c r="L1645" s="4">
        <f>ROUNDDOWN(Table1[[#This Row],[Ordered]],0)</f>
        <v>45306</v>
      </c>
      <c r="M1645" s="4">
        <f>Table1[[#This Row],[Date ]]</f>
        <v>45306</v>
      </c>
      <c r="N1645" s="5">
        <f>Table1[[#This Row],[Ordered]]-Table1[[#This Row],[Date ]]</f>
        <v>0.58333333333575865</v>
      </c>
      <c r="O1645">
        <f>Table1[[#This Row],[Company]]</f>
        <v>13</v>
      </c>
      <c r="P16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6" spans="1:16" x14ac:dyDescent="0.45">
      <c r="A1646" s="3">
        <v>45306.583333333336</v>
      </c>
      <c r="B1646" t="s">
        <v>14</v>
      </c>
      <c r="C1646">
        <v>11</v>
      </c>
      <c r="D1646">
        <v>1011</v>
      </c>
      <c r="E1646" t="s">
        <v>16</v>
      </c>
      <c r="F1646">
        <v>12</v>
      </c>
      <c r="G1646">
        <v>4000</v>
      </c>
      <c r="H1646">
        <v>48000</v>
      </c>
      <c r="I1646" s="3">
        <v>45306.791666666664</v>
      </c>
      <c r="J1646">
        <v>96</v>
      </c>
      <c r="K1646" s="3">
        <v>45309.791666666664</v>
      </c>
      <c r="L1646" s="4">
        <f>ROUNDDOWN(Table1[[#This Row],[Ordered]],0)</f>
        <v>45306</v>
      </c>
      <c r="M1646" s="4">
        <f>Table1[[#This Row],[Date ]]</f>
        <v>45306</v>
      </c>
      <c r="N1646" s="5">
        <f>Table1[[#This Row],[Ordered]]-Table1[[#This Row],[Date ]]</f>
        <v>0.58333333333575865</v>
      </c>
      <c r="O1646">
        <f>Table1[[#This Row],[Company]]</f>
        <v>11</v>
      </c>
      <c r="P16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7" spans="1:16" x14ac:dyDescent="0.45">
      <c r="A1647" s="3">
        <v>45306.583333333336</v>
      </c>
      <c r="B1647" t="s">
        <v>14</v>
      </c>
      <c r="C1647">
        <v>16</v>
      </c>
      <c r="D1647">
        <v>1011</v>
      </c>
      <c r="E1647" t="s">
        <v>16</v>
      </c>
      <c r="F1647">
        <v>18</v>
      </c>
      <c r="G1647">
        <v>3750</v>
      </c>
      <c r="H1647">
        <v>67500</v>
      </c>
      <c r="I1647" s="3">
        <v>45306.791666666664</v>
      </c>
      <c r="J1647">
        <v>96</v>
      </c>
      <c r="K1647" s="3">
        <v>45309.833333333336</v>
      </c>
      <c r="L1647" s="4">
        <f>ROUNDDOWN(Table1[[#This Row],[Ordered]],0)</f>
        <v>45306</v>
      </c>
      <c r="M1647" s="4">
        <f>Table1[[#This Row],[Date ]]</f>
        <v>45306</v>
      </c>
      <c r="N1647" s="5">
        <f>Table1[[#This Row],[Ordered]]-Table1[[#This Row],[Date ]]</f>
        <v>0.58333333333575865</v>
      </c>
      <c r="O1647">
        <f>Table1[[#This Row],[Company]]</f>
        <v>16</v>
      </c>
      <c r="P16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8" spans="1:16" x14ac:dyDescent="0.45">
      <c r="A1648" s="3">
        <v>45306.583333333336</v>
      </c>
      <c r="B1648" t="s">
        <v>14</v>
      </c>
      <c r="C1648">
        <v>14</v>
      </c>
      <c r="D1648">
        <v>1011</v>
      </c>
      <c r="E1648" t="s">
        <v>16</v>
      </c>
      <c r="F1648">
        <v>24</v>
      </c>
      <c r="G1648">
        <v>3750</v>
      </c>
      <c r="H1648">
        <v>90000</v>
      </c>
      <c r="I1648" s="3">
        <v>45307.125</v>
      </c>
      <c r="J1648">
        <v>96</v>
      </c>
      <c r="K1648" s="3">
        <v>45310.125</v>
      </c>
      <c r="L1648" s="4">
        <f>ROUNDDOWN(Table1[[#This Row],[Ordered]],0)</f>
        <v>45306</v>
      </c>
      <c r="M1648" s="4">
        <f>Table1[[#This Row],[Date ]]</f>
        <v>45306</v>
      </c>
      <c r="N1648" s="5">
        <f>Table1[[#This Row],[Ordered]]-Table1[[#This Row],[Date ]]</f>
        <v>0.58333333333575865</v>
      </c>
      <c r="O1648">
        <f>Table1[[#This Row],[Company]]</f>
        <v>14</v>
      </c>
      <c r="P16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9" spans="1:16" x14ac:dyDescent="0.45">
      <c r="A1649" s="3">
        <v>45306.583333333336</v>
      </c>
      <c r="B1649" t="s">
        <v>14</v>
      </c>
      <c r="C1649">
        <v>9</v>
      </c>
      <c r="D1649">
        <v>1011</v>
      </c>
      <c r="E1649" t="s">
        <v>16</v>
      </c>
      <c r="F1649">
        <v>15</v>
      </c>
      <c r="G1649">
        <v>3799</v>
      </c>
      <c r="H1649">
        <v>56985</v>
      </c>
      <c r="I1649" s="3">
        <v>45306.583333333336</v>
      </c>
      <c r="J1649">
        <v>74</v>
      </c>
      <c r="K1649" s="3">
        <v>45309.583333333336</v>
      </c>
      <c r="L1649" s="4">
        <f>ROUNDDOWN(Table1[[#This Row],[Ordered]],0)</f>
        <v>45306</v>
      </c>
      <c r="M1649" s="4">
        <f>Table1[[#This Row],[Date ]]</f>
        <v>45306</v>
      </c>
      <c r="N1649" s="5">
        <f>Table1[[#This Row],[Ordered]]-Table1[[#This Row],[Date ]]</f>
        <v>0.58333333333575865</v>
      </c>
      <c r="O1649">
        <f>Table1[[#This Row],[Company]]</f>
        <v>9</v>
      </c>
      <c r="P16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0" spans="1:16" x14ac:dyDescent="0.45">
      <c r="A1650" s="3">
        <v>45306.583333333336</v>
      </c>
      <c r="B1650" t="s">
        <v>14</v>
      </c>
      <c r="C1650">
        <v>10</v>
      </c>
      <c r="D1650">
        <v>1011</v>
      </c>
      <c r="E1650" t="s">
        <v>16</v>
      </c>
      <c r="F1650">
        <v>21</v>
      </c>
      <c r="G1650">
        <v>4000</v>
      </c>
      <c r="H1650">
        <v>84000</v>
      </c>
      <c r="I1650" s="3">
        <v>45307.708333333336</v>
      </c>
      <c r="J1650">
        <v>60</v>
      </c>
      <c r="K1650" s="3">
        <v>45308.708333333336</v>
      </c>
      <c r="L1650" s="4">
        <f>ROUNDDOWN(Table1[[#This Row],[Ordered]],0)</f>
        <v>45306</v>
      </c>
      <c r="M1650" s="4">
        <f>Table1[[#This Row],[Date ]]</f>
        <v>45306</v>
      </c>
      <c r="N1650" s="5">
        <f>Table1[[#This Row],[Ordered]]-Table1[[#This Row],[Date ]]</f>
        <v>0.58333333333575865</v>
      </c>
      <c r="O1650">
        <f>Table1[[#This Row],[Company]]</f>
        <v>10</v>
      </c>
      <c r="P16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1" spans="1:16" x14ac:dyDescent="0.45">
      <c r="A1651" s="3">
        <v>45306.583333333336</v>
      </c>
      <c r="B1651" t="s">
        <v>14</v>
      </c>
      <c r="C1651">
        <v>15</v>
      </c>
      <c r="D1651">
        <v>1011</v>
      </c>
      <c r="E1651" t="s">
        <v>16</v>
      </c>
      <c r="F1651">
        <v>35</v>
      </c>
      <c r="G1651">
        <v>3350</v>
      </c>
      <c r="H1651">
        <v>117250</v>
      </c>
      <c r="I1651" s="3">
        <v>45306.625</v>
      </c>
      <c r="J1651">
        <v>88</v>
      </c>
      <c r="K1651" s="3">
        <v>45309.625</v>
      </c>
      <c r="L1651" s="4">
        <f>ROUNDDOWN(Table1[[#This Row],[Ordered]],0)</f>
        <v>45306</v>
      </c>
      <c r="M1651" s="4">
        <f>Table1[[#This Row],[Date ]]</f>
        <v>45306</v>
      </c>
      <c r="N1651" s="5">
        <f>Table1[[#This Row],[Ordered]]-Table1[[#This Row],[Date ]]</f>
        <v>0.58333333333575865</v>
      </c>
      <c r="O1651">
        <f>Table1[[#This Row],[Company]]</f>
        <v>15</v>
      </c>
      <c r="P16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2" spans="1:16" x14ac:dyDescent="0.45">
      <c r="A1652" s="3">
        <v>45306.583333333336</v>
      </c>
      <c r="B1652" t="s">
        <v>14</v>
      </c>
      <c r="C1652">
        <v>7</v>
      </c>
      <c r="D1652">
        <v>1011</v>
      </c>
      <c r="E1652" t="s">
        <v>16</v>
      </c>
      <c r="F1652">
        <v>14</v>
      </c>
      <c r="G1652">
        <v>3950</v>
      </c>
      <c r="H1652">
        <v>55300</v>
      </c>
      <c r="I1652" s="3">
        <v>45310.583333333336</v>
      </c>
      <c r="J1652">
        <v>96</v>
      </c>
      <c r="K1652" s="3">
        <v>45311.583333333336</v>
      </c>
      <c r="L1652" s="4">
        <f>ROUNDDOWN(Table1[[#This Row],[Ordered]],0)</f>
        <v>45306</v>
      </c>
      <c r="M1652" s="4">
        <f>Table1[[#This Row],[Date ]]</f>
        <v>45306</v>
      </c>
      <c r="N1652" s="5">
        <f>Table1[[#This Row],[Ordered]]-Table1[[#This Row],[Date ]]</f>
        <v>0.58333333333575865</v>
      </c>
      <c r="O1652">
        <f>Table1[[#This Row],[Company]]</f>
        <v>7</v>
      </c>
      <c r="P16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3" spans="1:16" x14ac:dyDescent="0.45">
      <c r="A1653" s="3">
        <v>45306.583333333336</v>
      </c>
      <c r="B1653" t="s">
        <v>14</v>
      </c>
      <c r="C1653">
        <v>12</v>
      </c>
      <c r="D1653">
        <v>1011</v>
      </c>
      <c r="E1653" t="s">
        <v>16</v>
      </c>
      <c r="F1653">
        <v>16</v>
      </c>
      <c r="G1653">
        <v>3800</v>
      </c>
      <c r="H1653">
        <v>60800</v>
      </c>
      <c r="I1653" s="3">
        <v>45307.375</v>
      </c>
      <c r="J1653">
        <v>96</v>
      </c>
      <c r="K1653" s="3">
        <v>45310.375</v>
      </c>
      <c r="L1653" s="4">
        <f>ROUNDDOWN(Table1[[#This Row],[Ordered]],0)</f>
        <v>45306</v>
      </c>
      <c r="M1653" s="4">
        <f>Table1[[#This Row],[Date ]]</f>
        <v>45306</v>
      </c>
      <c r="N1653" s="5">
        <f>Table1[[#This Row],[Ordered]]-Table1[[#This Row],[Date ]]</f>
        <v>0.58333333333575865</v>
      </c>
      <c r="O1653">
        <f>Table1[[#This Row],[Company]]</f>
        <v>12</v>
      </c>
      <c r="P16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4" spans="1:16" x14ac:dyDescent="0.45">
      <c r="A1654" s="3">
        <v>45306.625</v>
      </c>
      <c r="B1654" t="s">
        <v>14</v>
      </c>
      <c r="C1654">
        <v>12</v>
      </c>
      <c r="D1654">
        <v>1004</v>
      </c>
      <c r="E1654" t="s">
        <v>16</v>
      </c>
      <c r="F1654">
        <v>27</v>
      </c>
      <c r="G1654">
        <v>3700</v>
      </c>
      <c r="H1654">
        <v>99900</v>
      </c>
      <c r="I1654" s="3">
        <v>45307.875</v>
      </c>
      <c r="J1654">
        <v>120</v>
      </c>
      <c r="K1654" s="3">
        <v>45310.875</v>
      </c>
      <c r="L1654" s="4">
        <f>ROUNDDOWN(Table1[[#This Row],[Ordered]],0)</f>
        <v>45306</v>
      </c>
      <c r="M1654" s="4">
        <f>Table1[[#This Row],[Date ]]</f>
        <v>45306</v>
      </c>
      <c r="N1654" s="5">
        <f>Table1[[#This Row],[Ordered]]-Table1[[#This Row],[Date ]]</f>
        <v>0.625</v>
      </c>
      <c r="O1654">
        <f>Table1[[#This Row],[Company]]</f>
        <v>12</v>
      </c>
      <c r="P16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5" spans="1:16" x14ac:dyDescent="0.45">
      <c r="A1655" s="3">
        <v>45306.625</v>
      </c>
      <c r="B1655" t="s">
        <v>14</v>
      </c>
      <c r="C1655">
        <v>16</v>
      </c>
      <c r="D1655">
        <v>1004</v>
      </c>
      <c r="E1655" t="s">
        <v>16</v>
      </c>
      <c r="F1655">
        <v>20</v>
      </c>
      <c r="G1655">
        <v>3750</v>
      </c>
      <c r="H1655">
        <v>75000</v>
      </c>
      <c r="I1655" s="3">
        <v>45306.791666666664</v>
      </c>
      <c r="J1655">
        <v>96</v>
      </c>
      <c r="K1655" s="3">
        <v>45309.791666666664</v>
      </c>
      <c r="L1655" s="4">
        <f>ROUNDDOWN(Table1[[#This Row],[Ordered]],0)</f>
        <v>45306</v>
      </c>
      <c r="M1655" s="4">
        <f>Table1[[#This Row],[Date ]]</f>
        <v>45306</v>
      </c>
      <c r="N1655" s="5">
        <f>Table1[[#This Row],[Ordered]]-Table1[[#This Row],[Date ]]</f>
        <v>0.625</v>
      </c>
      <c r="O1655">
        <f>Table1[[#This Row],[Company]]</f>
        <v>16</v>
      </c>
      <c r="P16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6" spans="1:16" x14ac:dyDescent="0.45">
      <c r="A1656" s="3">
        <v>45306.625</v>
      </c>
      <c r="B1656" t="s">
        <v>14</v>
      </c>
      <c r="C1656">
        <v>13</v>
      </c>
      <c r="D1656">
        <v>1004</v>
      </c>
      <c r="E1656" t="s">
        <v>16</v>
      </c>
      <c r="F1656">
        <v>30</v>
      </c>
      <c r="G1656">
        <v>3400</v>
      </c>
      <c r="H1656">
        <v>102000</v>
      </c>
      <c r="I1656" s="3">
        <v>45308.375</v>
      </c>
      <c r="J1656">
        <v>96</v>
      </c>
      <c r="K1656" s="3">
        <v>45310.375</v>
      </c>
      <c r="L1656" s="4">
        <f>ROUNDDOWN(Table1[[#This Row],[Ordered]],0)</f>
        <v>45306</v>
      </c>
      <c r="M1656" s="4">
        <f>Table1[[#This Row],[Date ]]</f>
        <v>45306</v>
      </c>
      <c r="N1656" s="5">
        <f>Table1[[#This Row],[Ordered]]-Table1[[#This Row],[Date ]]</f>
        <v>0.625</v>
      </c>
      <c r="O1656">
        <f>Table1[[#This Row],[Company]]</f>
        <v>13</v>
      </c>
      <c r="P16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7" spans="1:16" x14ac:dyDescent="0.45">
      <c r="A1657" s="3">
        <v>45306.625</v>
      </c>
      <c r="B1657" t="s">
        <v>14</v>
      </c>
      <c r="C1657">
        <v>8</v>
      </c>
      <c r="D1657">
        <v>1004</v>
      </c>
      <c r="E1657" t="s">
        <v>16</v>
      </c>
      <c r="F1657">
        <v>31</v>
      </c>
      <c r="G1657">
        <v>3900</v>
      </c>
      <c r="H1657">
        <v>120900</v>
      </c>
      <c r="I1657" s="3">
        <v>45309.875</v>
      </c>
      <c r="J1657">
        <v>156</v>
      </c>
      <c r="K1657" s="3">
        <v>45312.875</v>
      </c>
      <c r="L1657" s="4">
        <f>ROUNDDOWN(Table1[[#This Row],[Ordered]],0)</f>
        <v>45306</v>
      </c>
      <c r="M1657" s="4">
        <f>Table1[[#This Row],[Date ]]</f>
        <v>45306</v>
      </c>
      <c r="N1657" s="5">
        <f>Table1[[#This Row],[Ordered]]-Table1[[#This Row],[Date ]]</f>
        <v>0.625</v>
      </c>
      <c r="O1657">
        <f>Table1[[#This Row],[Company]]</f>
        <v>8</v>
      </c>
      <c r="P16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8" spans="1:16" x14ac:dyDescent="0.45">
      <c r="A1658" s="3">
        <v>45306.625</v>
      </c>
      <c r="B1658" t="s">
        <v>14</v>
      </c>
      <c r="C1658">
        <v>11</v>
      </c>
      <c r="D1658">
        <v>1004</v>
      </c>
      <c r="E1658" t="s">
        <v>16</v>
      </c>
      <c r="F1658">
        <v>30</v>
      </c>
      <c r="G1658">
        <v>4000</v>
      </c>
      <c r="H1658">
        <v>120000</v>
      </c>
      <c r="I1658" s="3">
        <v>45306.875</v>
      </c>
      <c r="J1658">
        <v>96</v>
      </c>
      <c r="K1658" s="3">
        <v>45309.875</v>
      </c>
      <c r="L1658" s="4">
        <f>ROUNDDOWN(Table1[[#This Row],[Ordered]],0)</f>
        <v>45306</v>
      </c>
      <c r="M1658" s="4">
        <f>Table1[[#This Row],[Date ]]</f>
        <v>45306</v>
      </c>
      <c r="N1658" s="5">
        <f>Table1[[#This Row],[Ordered]]-Table1[[#This Row],[Date ]]</f>
        <v>0.625</v>
      </c>
      <c r="O1658">
        <f>Table1[[#This Row],[Company]]</f>
        <v>11</v>
      </c>
      <c r="P16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9" spans="1:16" hidden="1" x14ac:dyDescent="0.45">
      <c r="A1659" s="3">
        <v>45306.625</v>
      </c>
      <c r="B1659" t="s">
        <v>12</v>
      </c>
      <c r="C1659">
        <v>10</v>
      </c>
      <c r="D1659">
        <v>5</v>
      </c>
      <c r="E1659" t="s">
        <v>20</v>
      </c>
      <c r="F1659">
        <v>391</v>
      </c>
      <c r="G1659">
        <v>15</v>
      </c>
      <c r="H1659">
        <v>5865</v>
      </c>
      <c r="I1659" s="3">
        <v>45309.166666666664</v>
      </c>
      <c r="J1659">
        <v>72</v>
      </c>
      <c r="K1659" s="3">
        <v>45312.166666666664</v>
      </c>
      <c r="L1659" s="4">
        <f>ROUNDDOWN(Table1[[#This Row],[Ordered]],0)</f>
        <v>45306</v>
      </c>
      <c r="M1659" s="4">
        <f>Table1[[#This Row],[Date ]]</f>
        <v>45306</v>
      </c>
      <c r="N1659" s="5">
        <f>Table1[[#This Row],[Ordered]]-Table1[[#This Row],[Date ]]</f>
        <v>0.625</v>
      </c>
      <c r="O1659">
        <f>Table1[[#This Row],[Company]]</f>
        <v>10</v>
      </c>
      <c r="P16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0" spans="1:16" x14ac:dyDescent="0.45">
      <c r="A1660" s="3">
        <v>45306.625</v>
      </c>
      <c r="B1660" t="s">
        <v>14</v>
      </c>
      <c r="C1660">
        <v>9</v>
      </c>
      <c r="D1660">
        <v>1004</v>
      </c>
      <c r="E1660" t="s">
        <v>16</v>
      </c>
      <c r="F1660">
        <v>53</v>
      </c>
      <c r="G1660">
        <v>3465</v>
      </c>
      <c r="H1660">
        <v>183645</v>
      </c>
      <c r="I1660" s="3">
        <v>45311.333333333336</v>
      </c>
      <c r="J1660">
        <v>192</v>
      </c>
      <c r="K1660" s="3">
        <v>45314.333333333336</v>
      </c>
      <c r="L1660" s="4">
        <f>ROUNDDOWN(Table1[[#This Row],[Ordered]],0)</f>
        <v>45306</v>
      </c>
      <c r="M1660" s="4">
        <f>Table1[[#This Row],[Date ]]</f>
        <v>45306</v>
      </c>
      <c r="N1660" s="5">
        <f>Table1[[#This Row],[Ordered]]-Table1[[#This Row],[Date ]]</f>
        <v>0.625</v>
      </c>
      <c r="O1660">
        <f>Table1[[#This Row],[Company]]</f>
        <v>9</v>
      </c>
      <c r="P16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1" spans="1:16" x14ac:dyDescent="0.45">
      <c r="A1661" s="3">
        <v>45306.625</v>
      </c>
      <c r="B1661" t="s">
        <v>14</v>
      </c>
      <c r="C1661">
        <v>14</v>
      </c>
      <c r="D1661">
        <v>1004</v>
      </c>
      <c r="E1661" t="s">
        <v>16</v>
      </c>
      <c r="F1661">
        <v>39</v>
      </c>
      <c r="G1661">
        <v>3750</v>
      </c>
      <c r="H1661">
        <v>146250</v>
      </c>
      <c r="I1661" s="3">
        <v>45307.125</v>
      </c>
      <c r="J1661">
        <v>96</v>
      </c>
      <c r="K1661" s="3">
        <v>45310.125</v>
      </c>
      <c r="L1661" s="4">
        <f>ROUNDDOWN(Table1[[#This Row],[Ordered]],0)</f>
        <v>45306</v>
      </c>
      <c r="M1661" s="4">
        <f>Table1[[#This Row],[Date ]]</f>
        <v>45306</v>
      </c>
      <c r="N1661" s="5">
        <f>Table1[[#This Row],[Ordered]]-Table1[[#This Row],[Date ]]</f>
        <v>0.625</v>
      </c>
      <c r="O1661">
        <f>Table1[[#This Row],[Company]]</f>
        <v>14</v>
      </c>
      <c r="P16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2" spans="1:16" hidden="1" x14ac:dyDescent="0.45">
      <c r="A1662" s="3">
        <v>45306.625</v>
      </c>
      <c r="B1662" t="s">
        <v>12</v>
      </c>
      <c r="C1662">
        <v>1</v>
      </c>
      <c r="D1662">
        <v>14</v>
      </c>
      <c r="E1662" t="s">
        <v>17</v>
      </c>
      <c r="F1662">
        <v>200</v>
      </c>
      <c r="G1662">
        <v>1350</v>
      </c>
      <c r="H1662">
        <v>270000</v>
      </c>
      <c r="I1662" s="3">
        <v>45306.625</v>
      </c>
      <c r="J1662">
        <v>24</v>
      </c>
      <c r="K1662" s="3">
        <v>45307.625</v>
      </c>
      <c r="L1662" s="4">
        <f>ROUNDDOWN(Table1[[#This Row],[Ordered]],0)</f>
        <v>45306</v>
      </c>
      <c r="M1662" s="4">
        <f>Table1[[#This Row],[Date ]]</f>
        <v>45306</v>
      </c>
      <c r="N1662" s="5">
        <f>Table1[[#This Row],[Ordered]]-Table1[[#This Row],[Date ]]</f>
        <v>0.625</v>
      </c>
      <c r="O1662">
        <f>Table1[[#This Row],[Company]]</f>
        <v>1</v>
      </c>
      <c r="P16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3" spans="1:16" x14ac:dyDescent="0.45">
      <c r="A1663" s="3">
        <v>45306.625</v>
      </c>
      <c r="B1663" t="s">
        <v>14</v>
      </c>
      <c r="C1663">
        <v>15</v>
      </c>
      <c r="D1663">
        <v>1004</v>
      </c>
      <c r="E1663" t="s">
        <v>16</v>
      </c>
      <c r="F1663">
        <v>30</v>
      </c>
      <c r="G1663">
        <v>3450</v>
      </c>
      <c r="H1663">
        <v>103500</v>
      </c>
      <c r="I1663" s="3">
        <v>45306.708333333336</v>
      </c>
      <c r="J1663">
        <v>88</v>
      </c>
      <c r="K1663" s="3">
        <v>45309.875</v>
      </c>
      <c r="L1663" s="4">
        <f>ROUNDDOWN(Table1[[#This Row],[Ordered]],0)</f>
        <v>45306</v>
      </c>
      <c r="M1663" s="4">
        <f>Table1[[#This Row],[Date ]]</f>
        <v>45306</v>
      </c>
      <c r="N1663" s="5">
        <f>Table1[[#This Row],[Ordered]]-Table1[[#This Row],[Date ]]</f>
        <v>0.625</v>
      </c>
      <c r="O1663">
        <f>Table1[[#This Row],[Company]]</f>
        <v>15</v>
      </c>
      <c r="P16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4" spans="1:16" x14ac:dyDescent="0.45">
      <c r="A1664" s="3">
        <v>45306.625</v>
      </c>
      <c r="B1664" t="s">
        <v>14</v>
      </c>
      <c r="C1664">
        <v>10</v>
      </c>
      <c r="D1664">
        <v>1004</v>
      </c>
      <c r="E1664" t="s">
        <v>16</v>
      </c>
      <c r="F1664">
        <v>23</v>
      </c>
      <c r="G1664">
        <v>4100</v>
      </c>
      <c r="H1664">
        <v>94300</v>
      </c>
      <c r="I1664" s="3">
        <v>45307.708333333336</v>
      </c>
      <c r="J1664">
        <v>84</v>
      </c>
      <c r="K1664" s="3">
        <v>45309.708333333336</v>
      </c>
      <c r="L1664" s="4">
        <f>ROUNDDOWN(Table1[[#This Row],[Ordered]],0)</f>
        <v>45306</v>
      </c>
      <c r="M1664" s="4">
        <f>Table1[[#This Row],[Date ]]</f>
        <v>45306</v>
      </c>
      <c r="N1664" s="5">
        <f>Table1[[#This Row],[Ordered]]-Table1[[#This Row],[Date ]]</f>
        <v>0.625</v>
      </c>
      <c r="O1664">
        <f>Table1[[#This Row],[Company]]</f>
        <v>10</v>
      </c>
      <c r="P16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5" spans="1:16" x14ac:dyDescent="0.45">
      <c r="A1665" s="3">
        <v>45306.625</v>
      </c>
      <c r="B1665" t="s">
        <v>14</v>
      </c>
      <c r="C1665">
        <v>7</v>
      </c>
      <c r="D1665">
        <v>1004</v>
      </c>
      <c r="E1665" t="s">
        <v>16</v>
      </c>
      <c r="F1665">
        <v>30</v>
      </c>
      <c r="G1665">
        <v>3950</v>
      </c>
      <c r="H1665">
        <v>118500</v>
      </c>
      <c r="I1665" s="3">
        <v>45310.416666666664</v>
      </c>
      <c r="J1665">
        <v>96</v>
      </c>
      <c r="K1665" s="3">
        <v>45311.416666666664</v>
      </c>
      <c r="L1665" s="4">
        <f>ROUNDDOWN(Table1[[#This Row],[Ordered]],0)</f>
        <v>45306</v>
      </c>
      <c r="M1665" s="4">
        <f>Table1[[#This Row],[Date ]]</f>
        <v>45306</v>
      </c>
      <c r="N1665" s="5">
        <f>Table1[[#This Row],[Ordered]]-Table1[[#This Row],[Date ]]</f>
        <v>0.625</v>
      </c>
      <c r="O1665">
        <f>Table1[[#This Row],[Company]]</f>
        <v>7</v>
      </c>
      <c r="P16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6" spans="1:16" hidden="1" x14ac:dyDescent="0.45">
      <c r="A1666" s="3">
        <v>45306.75</v>
      </c>
      <c r="B1666" t="s">
        <v>12</v>
      </c>
      <c r="C1666">
        <v>5</v>
      </c>
      <c r="D1666">
        <v>16</v>
      </c>
      <c r="E1666" t="s">
        <v>17</v>
      </c>
      <c r="F1666">
        <v>400</v>
      </c>
      <c r="G1666">
        <v>1350</v>
      </c>
      <c r="H1666">
        <v>540000</v>
      </c>
      <c r="I1666" s="3">
        <v>45307.75</v>
      </c>
      <c r="J1666">
        <v>24</v>
      </c>
      <c r="K1666" s="3">
        <v>45308.75</v>
      </c>
      <c r="L1666" s="4">
        <f>ROUNDDOWN(Table1[[#This Row],[Ordered]],0)</f>
        <v>45306</v>
      </c>
      <c r="M1666" s="4">
        <f>Table1[[#This Row],[Date ]]</f>
        <v>45306</v>
      </c>
      <c r="N1666" s="5">
        <f>Table1[[#This Row],[Ordered]]-Table1[[#This Row],[Date ]]</f>
        <v>0.75</v>
      </c>
      <c r="O1666">
        <f>Table1[[#This Row],[Company]]</f>
        <v>5</v>
      </c>
      <c r="P16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7" spans="1:16" x14ac:dyDescent="0.45">
      <c r="A1667" s="3">
        <v>45306.791666666664</v>
      </c>
      <c r="B1667" t="s">
        <v>14</v>
      </c>
      <c r="C1667">
        <v>12</v>
      </c>
      <c r="D1667">
        <v>1010</v>
      </c>
      <c r="E1667" t="s">
        <v>15</v>
      </c>
      <c r="F1667">
        <v>9</v>
      </c>
      <c r="G1667">
        <v>6900</v>
      </c>
      <c r="H1667">
        <v>62100</v>
      </c>
      <c r="I1667" s="3">
        <v>45308.666666666664</v>
      </c>
      <c r="J1667">
        <v>84</v>
      </c>
      <c r="K1667" s="3">
        <v>45309.666666666664</v>
      </c>
      <c r="L1667" s="4">
        <f>ROUNDDOWN(Table1[[#This Row],[Ordered]],0)</f>
        <v>45306</v>
      </c>
      <c r="M1667" s="4">
        <f>Table1[[#This Row],[Date ]]</f>
        <v>45306</v>
      </c>
      <c r="N1667" s="5">
        <f>Table1[[#This Row],[Ordered]]-Table1[[#This Row],[Date ]]</f>
        <v>0.79166666666424135</v>
      </c>
      <c r="O1667">
        <f>Table1[[#This Row],[Company]]</f>
        <v>12</v>
      </c>
      <c r="P16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8" spans="1:16" hidden="1" x14ac:dyDescent="0.45">
      <c r="A1668" s="3">
        <v>45306.791666666664</v>
      </c>
      <c r="B1668" t="s">
        <v>12</v>
      </c>
      <c r="C1668">
        <v>4</v>
      </c>
      <c r="D1668">
        <v>8</v>
      </c>
      <c r="E1668" t="s">
        <v>17</v>
      </c>
      <c r="F1668">
        <v>100</v>
      </c>
      <c r="G1668">
        <v>1350</v>
      </c>
      <c r="H1668">
        <v>135000</v>
      </c>
      <c r="I1668" s="3">
        <v>45307.958333333336</v>
      </c>
      <c r="J1668">
        <v>24</v>
      </c>
      <c r="K1668" s="3">
        <v>45308.958333333336</v>
      </c>
      <c r="L1668" s="4">
        <f>ROUNDDOWN(Table1[[#This Row],[Ordered]],0)</f>
        <v>45306</v>
      </c>
      <c r="M1668" s="4">
        <f>Table1[[#This Row],[Date ]]</f>
        <v>45306</v>
      </c>
      <c r="N1668" s="5">
        <f>Table1[[#This Row],[Ordered]]-Table1[[#This Row],[Date ]]</f>
        <v>0.79166666666424135</v>
      </c>
      <c r="O1668">
        <f>Table1[[#This Row],[Company]]</f>
        <v>4</v>
      </c>
      <c r="P16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9" spans="1:16" x14ac:dyDescent="0.45">
      <c r="A1669" s="3">
        <v>45306.791666666664</v>
      </c>
      <c r="B1669" t="s">
        <v>14</v>
      </c>
      <c r="C1669">
        <v>7</v>
      </c>
      <c r="D1669">
        <v>1007</v>
      </c>
      <c r="E1669" t="s">
        <v>15</v>
      </c>
      <c r="F1669">
        <v>7</v>
      </c>
      <c r="G1669">
        <v>6850</v>
      </c>
      <c r="H1669">
        <v>47950</v>
      </c>
      <c r="I1669" s="3">
        <v>45309.875</v>
      </c>
      <c r="J1669">
        <v>96</v>
      </c>
      <c r="K1669" s="3">
        <v>45310.875</v>
      </c>
      <c r="L1669" s="4">
        <f>ROUNDDOWN(Table1[[#This Row],[Ordered]],0)</f>
        <v>45306</v>
      </c>
      <c r="M1669" s="4">
        <f>Table1[[#This Row],[Date ]]</f>
        <v>45306</v>
      </c>
      <c r="N1669" s="5">
        <f>Table1[[#This Row],[Ordered]]-Table1[[#This Row],[Date ]]</f>
        <v>0.79166666666424135</v>
      </c>
      <c r="O1669">
        <f>Table1[[#This Row],[Company]]</f>
        <v>7</v>
      </c>
      <c r="P16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0" spans="1:16" x14ac:dyDescent="0.45">
      <c r="A1670" s="3">
        <v>45306.791666666664</v>
      </c>
      <c r="B1670" t="s">
        <v>14</v>
      </c>
      <c r="C1670">
        <v>13</v>
      </c>
      <c r="D1670">
        <v>1007</v>
      </c>
      <c r="E1670" t="s">
        <v>15</v>
      </c>
      <c r="F1670">
        <v>9</v>
      </c>
      <c r="G1670">
        <v>6300</v>
      </c>
      <c r="H1670">
        <v>56700</v>
      </c>
      <c r="I1670" s="3">
        <v>45307.583333333336</v>
      </c>
      <c r="J1670">
        <v>96</v>
      </c>
      <c r="K1670" s="3">
        <v>45310.583333333336</v>
      </c>
      <c r="L1670" s="4">
        <f>ROUNDDOWN(Table1[[#This Row],[Ordered]],0)</f>
        <v>45306</v>
      </c>
      <c r="M1670" s="4">
        <f>Table1[[#This Row],[Date ]]</f>
        <v>45306</v>
      </c>
      <c r="N1670" s="5">
        <f>Table1[[#This Row],[Ordered]]-Table1[[#This Row],[Date ]]</f>
        <v>0.79166666666424135</v>
      </c>
      <c r="O1670">
        <f>Table1[[#This Row],[Company]]</f>
        <v>13</v>
      </c>
      <c r="P16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1" spans="1:16" x14ac:dyDescent="0.45">
      <c r="A1671" s="3">
        <v>45306.791666666664</v>
      </c>
      <c r="B1671" t="s">
        <v>14</v>
      </c>
      <c r="C1671">
        <v>16</v>
      </c>
      <c r="D1671">
        <v>1007</v>
      </c>
      <c r="E1671" t="s">
        <v>15</v>
      </c>
      <c r="F1671">
        <v>20</v>
      </c>
      <c r="G1671">
        <v>6650</v>
      </c>
      <c r="H1671">
        <v>133000</v>
      </c>
      <c r="I1671" s="3">
        <v>45307.041666666664</v>
      </c>
      <c r="J1671">
        <v>96</v>
      </c>
      <c r="K1671" s="3">
        <v>45310.041666666664</v>
      </c>
      <c r="L1671" s="4">
        <f>ROUNDDOWN(Table1[[#This Row],[Ordered]],0)</f>
        <v>45306</v>
      </c>
      <c r="M1671" s="4">
        <f>Table1[[#This Row],[Date ]]</f>
        <v>45306</v>
      </c>
      <c r="N1671" s="5">
        <f>Table1[[#This Row],[Ordered]]-Table1[[#This Row],[Date ]]</f>
        <v>0.79166666666424135</v>
      </c>
      <c r="O1671">
        <f>Table1[[#This Row],[Company]]</f>
        <v>16</v>
      </c>
      <c r="P16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2" spans="1:16" x14ac:dyDescent="0.45">
      <c r="A1672" s="3">
        <v>45306.791666666664</v>
      </c>
      <c r="B1672" t="s">
        <v>14</v>
      </c>
      <c r="C1672">
        <v>13</v>
      </c>
      <c r="D1672">
        <v>1010</v>
      </c>
      <c r="E1672" t="s">
        <v>15</v>
      </c>
      <c r="F1672">
        <v>4</v>
      </c>
      <c r="G1672">
        <v>6300</v>
      </c>
      <c r="H1672">
        <v>25200</v>
      </c>
      <c r="I1672" s="3">
        <v>45307.583333333336</v>
      </c>
      <c r="J1672">
        <v>96</v>
      </c>
      <c r="K1672" s="3">
        <v>45310.583333333336</v>
      </c>
      <c r="L1672" s="4">
        <f>ROUNDDOWN(Table1[[#This Row],[Ordered]],0)</f>
        <v>45306</v>
      </c>
      <c r="M1672" s="4">
        <f>Table1[[#This Row],[Date ]]</f>
        <v>45306</v>
      </c>
      <c r="N1672" s="5">
        <f>Table1[[#This Row],[Ordered]]-Table1[[#This Row],[Date ]]</f>
        <v>0.79166666666424135</v>
      </c>
      <c r="O1672">
        <f>Table1[[#This Row],[Company]]</f>
        <v>13</v>
      </c>
      <c r="P16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3" spans="1:16" x14ac:dyDescent="0.45">
      <c r="A1673" s="3">
        <v>45306.791666666664</v>
      </c>
      <c r="B1673" t="s">
        <v>14</v>
      </c>
      <c r="C1673">
        <v>9</v>
      </c>
      <c r="D1673">
        <v>1010</v>
      </c>
      <c r="E1673" t="s">
        <v>15</v>
      </c>
      <c r="F1673">
        <v>8</v>
      </c>
      <c r="G1673">
        <v>6699</v>
      </c>
      <c r="H1673">
        <v>53592</v>
      </c>
      <c r="I1673" s="3">
        <v>45306.791666666664</v>
      </c>
      <c r="J1673">
        <v>75</v>
      </c>
      <c r="K1673" s="3">
        <v>45309.791666666664</v>
      </c>
      <c r="L1673" s="4">
        <f>ROUNDDOWN(Table1[[#This Row],[Ordered]],0)</f>
        <v>45306</v>
      </c>
      <c r="M1673" s="4">
        <f>Table1[[#This Row],[Date ]]</f>
        <v>45306</v>
      </c>
      <c r="N1673" s="5">
        <f>Table1[[#This Row],[Ordered]]-Table1[[#This Row],[Date ]]</f>
        <v>0.79166666666424135</v>
      </c>
      <c r="O1673">
        <f>Table1[[#This Row],[Company]]</f>
        <v>9</v>
      </c>
      <c r="P16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4" spans="1:16" x14ac:dyDescent="0.45">
      <c r="A1674" s="3">
        <v>45306.791666666664</v>
      </c>
      <c r="B1674" t="s">
        <v>14</v>
      </c>
      <c r="C1674">
        <v>14</v>
      </c>
      <c r="D1674">
        <v>1010</v>
      </c>
      <c r="E1674" t="s">
        <v>15</v>
      </c>
      <c r="F1674">
        <v>3</v>
      </c>
      <c r="G1674">
        <v>6650</v>
      </c>
      <c r="H1674">
        <v>19950</v>
      </c>
      <c r="I1674" s="3">
        <v>45307.333333333336</v>
      </c>
      <c r="J1674">
        <v>96</v>
      </c>
      <c r="K1674" s="3">
        <v>45310.333333333336</v>
      </c>
      <c r="L1674" s="4">
        <f>ROUNDDOWN(Table1[[#This Row],[Ordered]],0)</f>
        <v>45306</v>
      </c>
      <c r="M1674" s="4">
        <f>Table1[[#This Row],[Date ]]</f>
        <v>45306</v>
      </c>
      <c r="N1674" s="5">
        <f>Table1[[#This Row],[Ordered]]-Table1[[#This Row],[Date ]]</f>
        <v>0.79166666666424135</v>
      </c>
      <c r="O1674">
        <f>Table1[[#This Row],[Company]]</f>
        <v>14</v>
      </c>
      <c r="P16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5" spans="1:16" x14ac:dyDescent="0.45">
      <c r="A1675" s="3">
        <v>45306.791666666664</v>
      </c>
      <c r="B1675" t="s">
        <v>14</v>
      </c>
      <c r="C1675">
        <v>16</v>
      </c>
      <c r="D1675">
        <v>1010</v>
      </c>
      <c r="E1675" t="s">
        <v>15</v>
      </c>
      <c r="F1675">
        <v>7</v>
      </c>
      <c r="G1675">
        <v>6650</v>
      </c>
      <c r="H1675">
        <v>46550</v>
      </c>
      <c r="I1675" s="3">
        <v>45307.083333333336</v>
      </c>
      <c r="J1675">
        <v>96</v>
      </c>
      <c r="K1675" s="3">
        <v>45310.083333333336</v>
      </c>
      <c r="L1675" s="4">
        <f>ROUNDDOWN(Table1[[#This Row],[Ordered]],0)</f>
        <v>45306</v>
      </c>
      <c r="M1675" s="4">
        <f>Table1[[#This Row],[Date ]]</f>
        <v>45306</v>
      </c>
      <c r="N1675" s="5">
        <f>Table1[[#This Row],[Ordered]]-Table1[[#This Row],[Date ]]</f>
        <v>0.79166666666424135</v>
      </c>
      <c r="O1675">
        <f>Table1[[#This Row],[Company]]</f>
        <v>16</v>
      </c>
      <c r="P16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6" spans="1:16" hidden="1" x14ac:dyDescent="0.45">
      <c r="A1676" s="3">
        <v>45306.791666666664</v>
      </c>
      <c r="B1676" t="s">
        <v>12</v>
      </c>
      <c r="C1676">
        <v>6</v>
      </c>
      <c r="D1676">
        <v>7</v>
      </c>
      <c r="E1676" t="s">
        <v>13</v>
      </c>
      <c r="F1676">
        <v>1933</v>
      </c>
      <c r="G1676">
        <v>140</v>
      </c>
      <c r="H1676">
        <v>270620</v>
      </c>
      <c r="I1676" s="3">
        <v>45306.833333333336</v>
      </c>
      <c r="J1676">
        <v>72</v>
      </c>
      <c r="K1676" s="3">
        <v>45309.833333333336</v>
      </c>
      <c r="L1676" s="4">
        <f>ROUNDDOWN(Table1[[#This Row],[Ordered]],0)</f>
        <v>45306</v>
      </c>
      <c r="M1676" s="4">
        <f>Table1[[#This Row],[Date ]]</f>
        <v>45306</v>
      </c>
      <c r="N1676" s="5">
        <f>Table1[[#This Row],[Ordered]]-Table1[[#This Row],[Date ]]</f>
        <v>0.79166666666424135</v>
      </c>
      <c r="O1676">
        <f>Table1[[#This Row],[Company]]</f>
        <v>6</v>
      </c>
      <c r="P16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7" spans="1:16" x14ac:dyDescent="0.45">
      <c r="A1677" s="3">
        <v>45306.791666666664</v>
      </c>
      <c r="B1677" t="s">
        <v>14</v>
      </c>
      <c r="C1677">
        <v>14</v>
      </c>
      <c r="D1677">
        <v>1007</v>
      </c>
      <c r="E1677" t="s">
        <v>15</v>
      </c>
      <c r="F1677">
        <v>6</v>
      </c>
      <c r="G1677">
        <v>6650</v>
      </c>
      <c r="H1677">
        <v>39900</v>
      </c>
      <c r="I1677" s="3">
        <v>45307.333333333336</v>
      </c>
      <c r="J1677">
        <v>96</v>
      </c>
      <c r="K1677" s="3">
        <v>45310.333333333336</v>
      </c>
      <c r="L1677" s="4">
        <f>ROUNDDOWN(Table1[[#This Row],[Ordered]],0)</f>
        <v>45306</v>
      </c>
      <c r="M1677" s="4">
        <f>Table1[[#This Row],[Date ]]</f>
        <v>45306</v>
      </c>
      <c r="N1677" s="5">
        <f>Table1[[#This Row],[Ordered]]-Table1[[#This Row],[Date ]]</f>
        <v>0.79166666666424135</v>
      </c>
      <c r="O1677">
        <f>Table1[[#This Row],[Company]]</f>
        <v>14</v>
      </c>
      <c r="P16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8" spans="1:16" x14ac:dyDescent="0.45">
      <c r="A1678" s="3">
        <v>45306.791666666664</v>
      </c>
      <c r="B1678" t="s">
        <v>14</v>
      </c>
      <c r="C1678">
        <v>15</v>
      </c>
      <c r="D1678">
        <v>1010</v>
      </c>
      <c r="E1678" t="s">
        <v>15</v>
      </c>
      <c r="F1678">
        <v>10</v>
      </c>
      <c r="G1678">
        <v>6350</v>
      </c>
      <c r="H1678">
        <v>63500</v>
      </c>
      <c r="I1678" s="3">
        <v>45306.875</v>
      </c>
      <c r="J1678">
        <v>64</v>
      </c>
      <c r="K1678" s="3">
        <v>45308.875</v>
      </c>
      <c r="L1678" s="4">
        <f>ROUNDDOWN(Table1[[#This Row],[Ordered]],0)</f>
        <v>45306</v>
      </c>
      <c r="M1678" s="4">
        <f>Table1[[#This Row],[Date ]]</f>
        <v>45306</v>
      </c>
      <c r="N1678" s="5">
        <f>Table1[[#This Row],[Ordered]]-Table1[[#This Row],[Date ]]</f>
        <v>0.79166666666424135</v>
      </c>
      <c r="O1678">
        <f>Table1[[#This Row],[Company]]</f>
        <v>15</v>
      </c>
      <c r="P16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9" spans="1:16" x14ac:dyDescent="0.45">
      <c r="A1679" s="3">
        <v>45306.791666666664</v>
      </c>
      <c r="B1679" t="s">
        <v>14</v>
      </c>
      <c r="C1679">
        <v>15</v>
      </c>
      <c r="D1679">
        <v>1007</v>
      </c>
      <c r="E1679" t="s">
        <v>15</v>
      </c>
      <c r="F1679">
        <v>17</v>
      </c>
      <c r="G1679">
        <v>6350</v>
      </c>
      <c r="H1679">
        <v>107950</v>
      </c>
      <c r="I1679" s="3">
        <v>45306.875</v>
      </c>
      <c r="J1679">
        <v>64</v>
      </c>
      <c r="K1679" s="3">
        <v>45308.875</v>
      </c>
      <c r="L1679" s="4">
        <f>ROUNDDOWN(Table1[[#This Row],[Ordered]],0)</f>
        <v>45306</v>
      </c>
      <c r="M1679" s="4">
        <f>Table1[[#This Row],[Date ]]</f>
        <v>45306</v>
      </c>
      <c r="N1679" s="5">
        <f>Table1[[#This Row],[Ordered]]-Table1[[#This Row],[Date ]]</f>
        <v>0.79166666666424135</v>
      </c>
      <c r="O1679">
        <f>Table1[[#This Row],[Company]]</f>
        <v>15</v>
      </c>
      <c r="P16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0" spans="1:16" x14ac:dyDescent="0.45">
      <c r="A1680" s="3">
        <v>45306.791666666664</v>
      </c>
      <c r="B1680" t="s">
        <v>14</v>
      </c>
      <c r="C1680">
        <v>12</v>
      </c>
      <c r="D1680">
        <v>1007</v>
      </c>
      <c r="E1680" t="s">
        <v>15</v>
      </c>
      <c r="F1680">
        <v>13</v>
      </c>
      <c r="G1680">
        <v>6900</v>
      </c>
      <c r="H1680">
        <v>89700</v>
      </c>
      <c r="I1680" s="3">
        <v>45308.666666666664</v>
      </c>
      <c r="J1680">
        <v>84</v>
      </c>
      <c r="K1680" s="3">
        <v>45309.666666666664</v>
      </c>
      <c r="L1680" s="4">
        <f>ROUNDDOWN(Table1[[#This Row],[Ordered]],0)</f>
        <v>45306</v>
      </c>
      <c r="M1680" s="4">
        <f>Table1[[#This Row],[Date ]]</f>
        <v>45306</v>
      </c>
      <c r="N1680" s="5">
        <f>Table1[[#This Row],[Ordered]]-Table1[[#This Row],[Date ]]</f>
        <v>0.79166666666424135</v>
      </c>
      <c r="O1680">
        <f>Table1[[#This Row],[Company]]</f>
        <v>12</v>
      </c>
      <c r="P16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1" spans="1:16" hidden="1" x14ac:dyDescent="0.45">
      <c r="A1681" s="3">
        <v>45306.791666666664</v>
      </c>
      <c r="B1681" t="s">
        <v>12</v>
      </c>
      <c r="C1681">
        <v>6</v>
      </c>
      <c r="D1681">
        <v>15</v>
      </c>
      <c r="E1681" t="s">
        <v>17</v>
      </c>
      <c r="F1681">
        <v>325</v>
      </c>
      <c r="G1681">
        <v>1400</v>
      </c>
      <c r="H1681">
        <v>455000</v>
      </c>
      <c r="I1681" s="3">
        <v>45306.791666666664</v>
      </c>
      <c r="J1681">
        <v>72</v>
      </c>
      <c r="K1681" s="3">
        <v>45309.791666666664</v>
      </c>
      <c r="L1681" s="4">
        <f>ROUNDDOWN(Table1[[#This Row],[Ordered]],0)</f>
        <v>45306</v>
      </c>
      <c r="M1681" s="4">
        <f>Table1[[#This Row],[Date ]]</f>
        <v>45306</v>
      </c>
      <c r="N1681" s="5">
        <f>Table1[[#This Row],[Ordered]]-Table1[[#This Row],[Date ]]</f>
        <v>0.79166666666424135</v>
      </c>
      <c r="O1681">
        <f>Table1[[#This Row],[Company]]</f>
        <v>6</v>
      </c>
      <c r="P16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2" spans="1:16" x14ac:dyDescent="0.45">
      <c r="A1682" s="3">
        <v>45306.791666666664</v>
      </c>
      <c r="B1682" t="s">
        <v>14</v>
      </c>
      <c r="C1682">
        <v>7</v>
      </c>
      <c r="D1682">
        <v>1010</v>
      </c>
      <c r="E1682" t="s">
        <v>15</v>
      </c>
      <c r="F1682">
        <v>4</v>
      </c>
      <c r="G1682">
        <v>6850</v>
      </c>
      <c r="H1682">
        <v>27400</v>
      </c>
      <c r="I1682" s="3">
        <v>45309.875</v>
      </c>
      <c r="J1682">
        <v>96</v>
      </c>
      <c r="K1682" s="3">
        <v>45310.875</v>
      </c>
      <c r="L1682" s="4">
        <f>ROUNDDOWN(Table1[[#This Row],[Ordered]],0)</f>
        <v>45306</v>
      </c>
      <c r="M1682" s="4">
        <f>Table1[[#This Row],[Date ]]</f>
        <v>45306</v>
      </c>
      <c r="N1682" s="5">
        <f>Table1[[#This Row],[Ordered]]-Table1[[#This Row],[Date ]]</f>
        <v>0.79166666666424135</v>
      </c>
      <c r="O1682">
        <f>Table1[[#This Row],[Company]]</f>
        <v>7</v>
      </c>
      <c r="P16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3" spans="1:16" x14ac:dyDescent="0.45">
      <c r="A1683" s="3">
        <v>45306.833333333336</v>
      </c>
      <c r="B1683" t="s">
        <v>0</v>
      </c>
      <c r="C1683">
        <v>9</v>
      </c>
      <c r="D1683">
        <v>2002</v>
      </c>
      <c r="E1683" t="s">
        <v>16</v>
      </c>
      <c r="F1683">
        <v>30</v>
      </c>
      <c r="G1683">
        <v>3799</v>
      </c>
      <c r="H1683">
        <v>113970</v>
      </c>
      <c r="I1683" s="3">
        <v>45306.833333333336</v>
      </c>
      <c r="J1683">
        <v>112</v>
      </c>
      <c r="K1683" s="3">
        <v>45311.333333333336</v>
      </c>
      <c r="L1683" s="4">
        <f>ROUNDDOWN(Table1[[#This Row],[Ordered]],0)</f>
        <v>45306</v>
      </c>
      <c r="M1683" s="4">
        <f>Table1[[#This Row],[Date ]]</f>
        <v>45306</v>
      </c>
      <c r="N1683" s="5">
        <f>Table1[[#This Row],[Ordered]]-Table1[[#This Row],[Date ]]</f>
        <v>0.83333333333575865</v>
      </c>
      <c r="O1683">
        <f>Table1[[#This Row],[Company]]</f>
        <v>9</v>
      </c>
      <c r="P16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4" spans="1:16" x14ac:dyDescent="0.45">
      <c r="A1684" s="3">
        <v>45306.833333333336</v>
      </c>
      <c r="B1684" t="s">
        <v>0</v>
      </c>
      <c r="C1684">
        <v>16</v>
      </c>
      <c r="D1684">
        <v>2002</v>
      </c>
      <c r="E1684" t="s">
        <v>16</v>
      </c>
      <c r="F1684">
        <v>30</v>
      </c>
      <c r="G1684">
        <v>3750</v>
      </c>
      <c r="H1684">
        <v>112500</v>
      </c>
      <c r="I1684" s="3">
        <v>45307.083333333336</v>
      </c>
      <c r="J1684">
        <v>132</v>
      </c>
      <c r="K1684" s="3">
        <v>45311.583333333336</v>
      </c>
      <c r="L1684" s="4">
        <f>ROUNDDOWN(Table1[[#This Row],[Ordered]],0)</f>
        <v>45306</v>
      </c>
      <c r="M1684" s="4">
        <f>Table1[[#This Row],[Date ]]</f>
        <v>45306</v>
      </c>
      <c r="N1684" s="5">
        <f>Table1[[#This Row],[Ordered]]-Table1[[#This Row],[Date ]]</f>
        <v>0.83333333333575865</v>
      </c>
      <c r="O1684">
        <f>Table1[[#This Row],[Company]]</f>
        <v>16</v>
      </c>
      <c r="P16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5" spans="1:16" x14ac:dyDescent="0.45">
      <c r="A1685" s="3">
        <v>45306.833333333336</v>
      </c>
      <c r="B1685" t="s">
        <v>0</v>
      </c>
      <c r="C1685">
        <v>11</v>
      </c>
      <c r="D1685">
        <v>2002</v>
      </c>
      <c r="E1685" t="s">
        <v>16</v>
      </c>
      <c r="F1685">
        <v>40</v>
      </c>
      <c r="G1685">
        <v>4000</v>
      </c>
      <c r="H1685">
        <v>160000</v>
      </c>
      <c r="I1685" s="3">
        <v>45307.125</v>
      </c>
      <c r="J1685">
        <v>132</v>
      </c>
      <c r="K1685" s="3">
        <v>45311.625</v>
      </c>
      <c r="L1685" s="4">
        <f>ROUNDDOWN(Table1[[#This Row],[Ordered]],0)</f>
        <v>45306</v>
      </c>
      <c r="M1685" s="4">
        <f>Table1[[#This Row],[Date ]]</f>
        <v>45306</v>
      </c>
      <c r="N1685" s="5">
        <f>Table1[[#This Row],[Ordered]]-Table1[[#This Row],[Date ]]</f>
        <v>0.83333333333575865</v>
      </c>
      <c r="O1685">
        <f>Table1[[#This Row],[Company]]</f>
        <v>11</v>
      </c>
      <c r="P16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6" spans="1:16" x14ac:dyDescent="0.45">
      <c r="A1686" s="3">
        <v>45306.833333333336</v>
      </c>
      <c r="B1686" t="s">
        <v>0</v>
      </c>
      <c r="C1686">
        <v>15</v>
      </c>
      <c r="D1686">
        <v>2002</v>
      </c>
      <c r="E1686" t="s">
        <v>16</v>
      </c>
      <c r="F1686">
        <v>30</v>
      </c>
      <c r="G1686">
        <v>4050</v>
      </c>
      <c r="H1686">
        <v>121500</v>
      </c>
      <c r="I1686" s="3">
        <v>45306.875</v>
      </c>
      <c r="J1686">
        <v>48</v>
      </c>
      <c r="K1686" s="3">
        <v>45308.375</v>
      </c>
      <c r="L1686" s="4">
        <f>ROUNDDOWN(Table1[[#This Row],[Ordered]],0)</f>
        <v>45306</v>
      </c>
      <c r="M1686" s="4">
        <f>Table1[[#This Row],[Date ]]</f>
        <v>45306</v>
      </c>
      <c r="N1686" s="5">
        <f>Table1[[#This Row],[Ordered]]-Table1[[#This Row],[Date ]]</f>
        <v>0.83333333333575865</v>
      </c>
      <c r="O1686">
        <f>Table1[[#This Row],[Company]]</f>
        <v>15</v>
      </c>
      <c r="P16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7" spans="1:16" x14ac:dyDescent="0.45">
      <c r="A1687" s="3">
        <v>45306.833333333336</v>
      </c>
      <c r="B1687" t="s">
        <v>0</v>
      </c>
      <c r="C1687">
        <v>15</v>
      </c>
      <c r="D1687">
        <v>2002</v>
      </c>
      <c r="E1687" t="s">
        <v>15</v>
      </c>
      <c r="F1687">
        <v>38</v>
      </c>
      <c r="G1687">
        <v>6200</v>
      </c>
      <c r="H1687">
        <v>235600</v>
      </c>
      <c r="I1687" s="3">
        <v>45306.833333333336</v>
      </c>
      <c r="J1687">
        <v>48</v>
      </c>
      <c r="K1687" s="3">
        <v>45308.333333333336</v>
      </c>
      <c r="L1687" s="4">
        <f>ROUNDDOWN(Table1[[#This Row],[Ordered]],0)</f>
        <v>45306</v>
      </c>
      <c r="M1687" s="4">
        <f>Table1[[#This Row],[Date ]]</f>
        <v>45306</v>
      </c>
      <c r="N1687" s="5">
        <f>Table1[[#This Row],[Ordered]]-Table1[[#This Row],[Date ]]</f>
        <v>0.83333333333575865</v>
      </c>
      <c r="O1687">
        <f>Table1[[#This Row],[Company]]</f>
        <v>15</v>
      </c>
      <c r="P16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8" spans="1:16" x14ac:dyDescent="0.45">
      <c r="A1688" s="3">
        <v>45306.833333333336</v>
      </c>
      <c r="B1688" t="s">
        <v>0</v>
      </c>
      <c r="C1688">
        <v>16</v>
      </c>
      <c r="D1688">
        <v>2002</v>
      </c>
      <c r="E1688" t="s">
        <v>15</v>
      </c>
      <c r="F1688">
        <v>30</v>
      </c>
      <c r="G1688">
        <v>6650</v>
      </c>
      <c r="H1688">
        <v>199500</v>
      </c>
      <c r="I1688" s="3">
        <v>45307.083333333336</v>
      </c>
      <c r="J1688">
        <v>132</v>
      </c>
      <c r="K1688" s="3">
        <v>45311.583333333336</v>
      </c>
      <c r="L1688" s="4">
        <f>ROUNDDOWN(Table1[[#This Row],[Ordered]],0)</f>
        <v>45306</v>
      </c>
      <c r="M1688" s="4">
        <f>Table1[[#This Row],[Date ]]</f>
        <v>45306</v>
      </c>
      <c r="N1688" s="5">
        <f>Table1[[#This Row],[Ordered]]-Table1[[#This Row],[Date ]]</f>
        <v>0.83333333333575865</v>
      </c>
      <c r="O1688">
        <f>Table1[[#This Row],[Company]]</f>
        <v>16</v>
      </c>
      <c r="P16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9" spans="1:16" x14ac:dyDescent="0.45">
      <c r="A1689" s="3">
        <v>45306.833333333336</v>
      </c>
      <c r="B1689" t="s">
        <v>0</v>
      </c>
      <c r="C1689">
        <v>14</v>
      </c>
      <c r="D1689">
        <v>2002</v>
      </c>
      <c r="E1689" t="s">
        <v>15</v>
      </c>
      <c r="F1689">
        <v>15</v>
      </c>
      <c r="G1689">
        <v>6650</v>
      </c>
      <c r="H1689">
        <v>99750</v>
      </c>
      <c r="I1689" s="3">
        <v>45307.333333333336</v>
      </c>
      <c r="J1689">
        <v>132</v>
      </c>
      <c r="K1689" s="3">
        <v>45311.833333333336</v>
      </c>
      <c r="L1689" s="4">
        <f>ROUNDDOWN(Table1[[#This Row],[Ordered]],0)</f>
        <v>45306</v>
      </c>
      <c r="M1689" s="4">
        <f>Table1[[#This Row],[Date ]]</f>
        <v>45306</v>
      </c>
      <c r="N1689" s="5">
        <f>Table1[[#This Row],[Ordered]]-Table1[[#This Row],[Date ]]</f>
        <v>0.83333333333575865</v>
      </c>
      <c r="O1689">
        <f>Table1[[#This Row],[Company]]</f>
        <v>14</v>
      </c>
      <c r="P16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0" spans="1:16" x14ac:dyDescent="0.45">
      <c r="A1690" s="3">
        <v>45306.833333333336</v>
      </c>
      <c r="B1690" t="s">
        <v>0</v>
      </c>
      <c r="C1690">
        <v>14</v>
      </c>
      <c r="D1690">
        <v>2002</v>
      </c>
      <c r="E1690" t="s">
        <v>16</v>
      </c>
      <c r="F1690">
        <v>36</v>
      </c>
      <c r="G1690">
        <v>3750</v>
      </c>
      <c r="H1690">
        <v>135000</v>
      </c>
      <c r="I1690" s="3">
        <v>45307.375</v>
      </c>
      <c r="J1690">
        <v>132</v>
      </c>
      <c r="K1690" s="3">
        <v>45311.875</v>
      </c>
      <c r="L1690" s="4">
        <f>ROUNDDOWN(Table1[[#This Row],[Ordered]],0)</f>
        <v>45306</v>
      </c>
      <c r="M1690" s="4">
        <f>Table1[[#This Row],[Date ]]</f>
        <v>45306</v>
      </c>
      <c r="N1690" s="5">
        <f>Table1[[#This Row],[Ordered]]-Table1[[#This Row],[Date ]]</f>
        <v>0.83333333333575865</v>
      </c>
      <c r="O1690">
        <f>Table1[[#This Row],[Company]]</f>
        <v>14</v>
      </c>
      <c r="P16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1" spans="1:16" x14ac:dyDescent="0.45">
      <c r="A1691" s="3">
        <v>45306.833333333336</v>
      </c>
      <c r="B1691" t="s">
        <v>0</v>
      </c>
      <c r="C1691">
        <v>11</v>
      </c>
      <c r="D1691">
        <v>2002</v>
      </c>
      <c r="E1691" t="s">
        <v>15</v>
      </c>
      <c r="F1691">
        <v>10</v>
      </c>
      <c r="G1691">
        <v>6800</v>
      </c>
      <c r="H1691">
        <v>68000</v>
      </c>
      <c r="I1691" s="3">
        <v>45309.666666666664</v>
      </c>
      <c r="J1691">
        <v>108</v>
      </c>
      <c r="K1691" s="3">
        <v>45311.166666666664</v>
      </c>
      <c r="L1691" s="4">
        <f>ROUNDDOWN(Table1[[#This Row],[Ordered]],0)</f>
        <v>45306</v>
      </c>
      <c r="M1691" s="4">
        <f>Table1[[#This Row],[Date ]]</f>
        <v>45306</v>
      </c>
      <c r="N1691" s="5">
        <f>Table1[[#This Row],[Ordered]]-Table1[[#This Row],[Date ]]</f>
        <v>0.83333333333575865</v>
      </c>
      <c r="O1691">
        <f>Table1[[#This Row],[Company]]</f>
        <v>11</v>
      </c>
      <c r="P16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2" spans="1:16" x14ac:dyDescent="0.45">
      <c r="A1692" s="3">
        <v>45306.833333333336</v>
      </c>
      <c r="B1692" t="s">
        <v>0</v>
      </c>
      <c r="C1692">
        <v>7</v>
      </c>
      <c r="D1692">
        <v>2002</v>
      </c>
      <c r="E1692" t="s">
        <v>16</v>
      </c>
      <c r="F1692">
        <v>30</v>
      </c>
      <c r="G1692">
        <v>3800</v>
      </c>
      <c r="H1692">
        <v>114000</v>
      </c>
      <c r="I1692" s="3">
        <v>45310.458333333336</v>
      </c>
      <c r="J1692">
        <v>132</v>
      </c>
      <c r="K1692" s="3">
        <v>45311.958333333336</v>
      </c>
      <c r="L1692" s="4">
        <f>ROUNDDOWN(Table1[[#This Row],[Ordered]],0)</f>
        <v>45306</v>
      </c>
      <c r="M1692" s="4">
        <f>Table1[[#This Row],[Date ]]</f>
        <v>45306</v>
      </c>
      <c r="N1692" s="5">
        <f>Table1[[#This Row],[Ordered]]-Table1[[#This Row],[Date ]]</f>
        <v>0.83333333333575865</v>
      </c>
      <c r="O1692">
        <f>Table1[[#This Row],[Company]]</f>
        <v>7</v>
      </c>
      <c r="P16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3" spans="1:16" x14ac:dyDescent="0.45">
      <c r="A1693" s="3">
        <v>45306.833333333336</v>
      </c>
      <c r="B1693" t="s">
        <v>0</v>
      </c>
      <c r="C1693">
        <v>13</v>
      </c>
      <c r="D1693">
        <v>2002</v>
      </c>
      <c r="E1693" t="s">
        <v>16</v>
      </c>
      <c r="F1693">
        <v>30</v>
      </c>
      <c r="G1693">
        <v>3300</v>
      </c>
      <c r="H1693">
        <v>99000</v>
      </c>
      <c r="I1693" s="3">
        <v>45310.625</v>
      </c>
      <c r="J1693">
        <v>132</v>
      </c>
      <c r="K1693" s="3">
        <v>45312.125</v>
      </c>
      <c r="L1693" s="4">
        <f>ROUNDDOWN(Table1[[#This Row],[Ordered]],0)</f>
        <v>45306</v>
      </c>
      <c r="M1693" s="4">
        <f>Table1[[#This Row],[Date ]]</f>
        <v>45306</v>
      </c>
      <c r="N1693" s="5">
        <f>Table1[[#This Row],[Ordered]]-Table1[[#This Row],[Date ]]</f>
        <v>0.83333333333575865</v>
      </c>
      <c r="O1693">
        <f>Table1[[#This Row],[Company]]</f>
        <v>13</v>
      </c>
      <c r="P16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4" spans="1:16" x14ac:dyDescent="0.45">
      <c r="A1694" s="3">
        <v>45306.833333333336</v>
      </c>
      <c r="B1694" t="s">
        <v>0</v>
      </c>
      <c r="C1694">
        <v>10</v>
      </c>
      <c r="D1694">
        <v>2002</v>
      </c>
      <c r="E1694" t="s">
        <v>16</v>
      </c>
      <c r="F1694">
        <v>50</v>
      </c>
      <c r="G1694">
        <v>4100</v>
      </c>
      <c r="H1694">
        <v>205000</v>
      </c>
      <c r="I1694" s="3">
        <v>45308.375</v>
      </c>
      <c r="J1694">
        <v>78</v>
      </c>
      <c r="K1694" s="3">
        <v>45309.875</v>
      </c>
      <c r="L1694" s="4">
        <f>ROUNDDOWN(Table1[[#This Row],[Ordered]],0)</f>
        <v>45306</v>
      </c>
      <c r="M1694" s="4">
        <f>Table1[[#This Row],[Date ]]</f>
        <v>45306</v>
      </c>
      <c r="N1694" s="5">
        <f>Table1[[#This Row],[Ordered]]-Table1[[#This Row],[Date ]]</f>
        <v>0.83333333333575865</v>
      </c>
      <c r="O1694">
        <f>Table1[[#This Row],[Company]]</f>
        <v>10</v>
      </c>
      <c r="P16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5" spans="1:16" x14ac:dyDescent="0.45">
      <c r="A1695" s="3">
        <v>45306.833333333336</v>
      </c>
      <c r="B1695" t="s">
        <v>0</v>
      </c>
      <c r="C1695">
        <v>8</v>
      </c>
      <c r="D1695">
        <v>2002</v>
      </c>
      <c r="E1695" t="s">
        <v>16</v>
      </c>
      <c r="F1695">
        <v>30</v>
      </c>
      <c r="G1695">
        <v>3889</v>
      </c>
      <c r="H1695">
        <v>116670</v>
      </c>
      <c r="I1695" s="3">
        <v>45308.583333333336</v>
      </c>
      <c r="J1695">
        <v>156</v>
      </c>
      <c r="K1695" s="3">
        <v>45313.083333333336</v>
      </c>
      <c r="L1695" s="4">
        <f>ROUNDDOWN(Table1[[#This Row],[Ordered]],0)</f>
        <v>45306</v>
      </c>
      <c r="M1695" s="4">
        <f>Table1[[#This Row],[Date ]]</f>
        <v>45306</v>
      </c>
      <c r="N1695" s="5">
        <f>Table1[[#This Row],[Ordered]]-Table1[[#This Row],[Date ]]</f>
        <v>0.83333333333575865</v>
      </c>
      <c r="O1695">
        <f>Table1[[#This Row],[Company]]</f>
        <v>8</v>
      </c>
      <c r="P16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6" spans="1:16" x14ac:dyDescent="0.45">
      <c r="A1696" s="3">
        <v>45306.833333333336</v>
      </c>
      <c r="B1696" t="s">
        <v>0</v>
      </c>
      <c r="C1696">
        <v>7</v>
      </c>
      <c r="D1696">
        <v>2002</v>
      </c>
      <c r="E1696" t="s">
        <v>15</v>
      </c>
      <c r="F1696">
        <v>13</v>
      </c>
      <c r="G1696">
        <v>6850</v>
      </c>
      <c r="H1696">
        <v>89050</v>
      </c>
      <c r="I1696" s="3">
        <v>45310.166666666664</v>
      </c>
      <c r="J1696">
        <v>132</v>
      </c>
      <c r="K1696" s="3">
        <v>45311.666666666664</v>
      </c>
      <c r="L1696" s="4">
        <f>ROUNDDOWN(Table1[[#This Row],[Ordered]],0)</f>
        <v>45306</v>
      </c>
      <c r="M1696" s="4">
        <f>Table1[[#This Row],[Date ]]</f>
        <v>45306</v>
      </c>
      <c r="N1696" s="5">
        <f>Table1[[#This Row],[Ordered]]-Table1[[#This Row],[Date ]]</f>
        <v>0.83333333333575865</v>
      </c>
      <c r="O1696">
        <f>Table1[[#This Row],[Company]]</f>
        <v>7</v>
      </c>
      <c r="P16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7" spans="1:16" x14ac:dyDescent="0.45">
      <c r="A1697" s="3">
        <v>45306.833333333336</v>
      </c>
      <c r="B1697" t="s">
        <v>0</v>
      </c>
      <c r="C1697">
        <v>12</v>
      </c>
      <c r="D1697">
        <v>2002</v>
      </c>
      <c r="E1697" t="s">
        <v>16</v>
      </c>
      <c r="F1697">
        <v>30</v>
      </c>
      <c r="G1697">
        <v>3800</v>
      </c>
      <c r="H1697">
        <v>114000</v>
      </c>
      <c r="I1697" s="3">
        <v>45307.583333333336</v>
      </c>
      <c r="J1697">
        <v>120</v>
      </c>
      <c r="K1697" s="3">
        <v>45312.083333333336</v>
      </c>
      <c r="L1697" s="4">
        <f>ROUNDDOWN(Table1[[#This Row],[Ordered]],0)</f>
        <v>45306</v>
      </c>
      <c r="M1697" s="4">
        <f>Table1[[#This Row],[Date ]]</f>
        <v>45306</v>
      </c>
      <c r="N1697" s="5">
        <f>Table1[[#This Row],[Ordered]]-Table1[[#This Row],[Date ]]</f>
        <v>0.83333333333575865</v>
      </c>
      <c r="O1697">
        <f>Table1[[#This Row],[Company]]</f>
        <v>12</v>
      </c>
      <c r="P16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8" spans="1:16" x14ac:dyDescent="0.45">
      <c r="A1698" s="3">
        <v>45306.833333333336</v>
      </c>
      <c r="B1698" t="s">
        <v>0</v>
      </c>
      <c r="C1698">
        <v>13</v>
      </c>
      <c r="D1698">
        <v>2002</v>
      </c>
      <c r="E1698" t="s">
        <v>15</v>
      </c>
      <c r="F1698">
        <v>17</v>
      </c>
      <c r="G1698">
        <v>6300</v>
      </c>
      <c r="H1698">
        <v>107100</v>
      </c>
      <c r="I1698" s="3">
        <v>45307.666666666664</v>
      </c>
      <c r="J1698">
        <v>132</v>
      </c>
      <c r="K1698" s="3">
        <v>45312.166666666664</v>
      </c>
      <c r="L1698" s="4">
        <f>ROUNDDOWN(Table1[[#This Row],[Ordered]],0)</f>
        <v>45306</v>
      </c>
      <c r="M1698" s="4">
        <f>Table1[[#This Row],[Date ]]</f>
        <v>45306</v>
      </c>
      <c r="N1698" s="5">
        <f>Table1[[#This Row],[Ordered]]-Table1[[#This Row],[Date ]]</f>
        <v>0.83333333333575865</v>
      </c>
      <c r="O1698">
        <f>Table1[[#This Row],[Company]]</f>
        <v>13</v>
      </c>
      <c r="P16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9" spans="1:16" x14ac:dyDescent="0.45">
      <c r="A1699" s="3">
        <v>45306.833333333336</v>
      </c>
      <c r="B1699" t="s">
        <v>0</v>
      </c>
      <c r="C1699">
        <v>12</v>
      </c>
      <c r="D1699">
        <v>2002</v>
      </c>
      <c r="E1699" t="s">
        <v>15</v>
      </c>
      <c r="F1699">
        <v>22</v>
      </c>
      <c r="G1699">
        <v>6750</v>
      </c>
      <c r="H1699">
        <v>148500</v>
      </c>
      <c r="I1699" s="3">
        <v>45308.708333333336</v>
      </c>
      <c r="J1699">
        <v>120</v>
      </c>
      <c r="K1699" s="3">
        <v>45311.708333333336</v>
      </c>
      <c r="L1699" s="4">
        <f>ROUNDDOWN(Table1[[#This Row],[Ordered]],0)</f>
        <v>45306</v>
      </c>
      <c r="M1699" s="4">
        <f>Table1[[#This Row],[Date ]]</f>
        <v>45306</v>
      </c>
      <c r="N1699" s="5">
        <f>Table1[[#This Row],[Ordered]]-Table1[[#This Row],[Date ]]</f>
        <v>0.83333333333575865</v>
      </c>
      <c r="O1699">
        <f>Table1[[#This Row],[Company]]</f>
        <v>12</v>
      </c>
      <c r="P16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0" spans="1:16" x14ac:dyDescent="0.45">
      <c r="A1700" s="3">
        <v>45306.916666666664</v>
      </c>
      <c r="B1700" t="s">
        <v>14</v>
      </c>
      <c r="C1700">
        <v>9</v>
      </c>
      <c r="D1700">
        <v>1009</v>
      </c>
      <c r="E1700" t="s">
        <v>16</v>
      </c>
      <c r="F1700">
        <v>15</v>
      </c>
      <c r="G1700">
        <v>3799</v>
      </c>
      <c r="H1700">
        <v>56985</v>
      </c>
      <c r="I1700" s="3">
        <v>45306.916666666664</v>
      </c>
      <c r="J1700">
        <v>76</v>
      </c>
      <c r="K1700" s="3">
        <v>45309.916666666664</v>
      </c>
      <c r="L1700" s="4">
        <f>ROUNDDOWN(Table1[[#This Row],[Ordered]],0)</f>
        <v>45306</v>
      </c>
      <c r="M1700" s="4">
        <f>Table1[[#This Row],[Date ]]</f>
        <v>45306</v>
      </c>
      <c r="N1700" s="5">
        <f>Table1[[#This Row],[Ordered]]-Table1[[#This Row],[Date ]]</f>
        <v>0.91666666666424135</v>
      </c>
      <c r="O1700">
        <f>Table1[[#This Row],[Company]]</f>
        <v>9</v>
      </c>
      <c r="P17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1" spans="1:16" x14ac:dyDescent="0.45">
      <c r="A1701" s="3">
        <v>45306.916666666664</v>
      </c>
      <c r="B1701" t="s">
        <v>14</v>
      </c>
      <c r="C1701">
        <v>10</v>
      </c>
      <c r="D1701">
        <v>1009</v>
      </c>
      <c r="E1701" t="s">
        <v>16</v>
      </c>
      <c r="F1701">
        <v>21</v>
      </c>
      <c r="G1701">
        <v>4000</v>
      </c>
      <c r="H1701">
        <v>84000</v>
      </c>
      <c r="I1701" s="3">
        <v>45307.416666666664</v>
      </c>
      <c r="J1701">
        <v>60</v>
      </c>
      <c r="K1701" s="3">
        <v>45309.416666666664</v>
      </c>
      <c r="L1701" s="4">
        <f>ROUNDDOWN(Table1[[#This Row],[Ordered]],0)</f>
        <v>45306</v>
      </c>
      <c r="M1701" s="4">
        <f>Table1[[#This Row],[Date ]]</f>
        <v>45306</v>
      </c>
      <c r="N1701" s="5">
        <f>Table1[[#This Row],[Ordered]]-Table1[[#This Row],[Date ]]</f>
        <v>0.91666666666424135</v>
      </c>
      <c r="O1701">
        <f>Table1[[#This Row],[Company]]</f>
        <v>10</v>
      </c>
      <c r="P17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2" spans="1:16" x14ac:dyDescent="0.45">
      <c r="A1702" s="3">
        <v>45306.916666666664</v>
      </c>
      <c r="B1702" t="s">
        <v>14</v>
      </c>
      <c r="C1702">
        <v>14</v>
      </c>
      <c r="D1702">
        <v>1009</v>
      </c>
      <c r="E1702" t="s">
        <v>16</v>
      </c>
      <c r="F1702">
        <v>24</v>
      </c>
      <c r="G1702">
        <v>3750</v>
      </c>
      <c r="H1702">
        <v>90000</v>
      </c>
      <c r="I1702" s="3">
        <v>45307.458333333336</v>
      </c>
      <c r="J1702">
        <v>96</v>
      </c>
      <c r="K1702" s="3">
        <v>45310.625</v>
      </c>
      <c r="L1702" s="4">
        <f>ROUNDDOWN(Table1[[#This Row],[Ordered]],0)</f>
        <v>45306</v>
      </c>
      <c r="M1702" s="4">
        <f>Table1[[#This Row],[Date ]]</f>
        <v>45306</v>
      </c>
      <c r="N1702" s="5">
        <f>Table1[[#This Row],[Ordered]]-Table1[[#This Row],[Date ]]</f>
        <v>0.91666666666424135</v>
      </c>
      <c r="O1702">
        <f>Table1[[#This Row],[Company]]</f>
        <v>14</v>
      </c>
      <c r="P17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3" spans="1:16" x14ac:dyDescent="0.45">
      <c r="A1703" s="3">
        <v>45306.916666666664</v>
      </c>
      <c r="B1703" t="s">
        <v>14</v>
      </c>
      <c r="C1703">
        <v>7</v>
      </c>
      <c r="D1703">
        <v>1009</v>
      </c>
      <c r="E1703" t="s">
        <v>16</v>
      </c>
      <c r="F1703">
        <v>11</v>
      </c>
      <c r="G1703">
        <v>3950</v>
      </c>
      <c r="H1703">
        <v>43450</v>
      </c>
      <c r="I1703" s="3">
        <v>45310.625</v>
      </c>
      <c r="J1703">
        <v>96</v>
      </c>
      <c r="K1703" s="3">
        <v>45311.625</v>
      </c>
      <c r="L1703" s="4">
        <f>ROUNDDOWN(Table1[[#This Row],[Ordered]],0)</f>
        <v>45306</v>
      </c>
      <c r="M1703" s="4">
        <f>Table1[[#This Row],[Date ]]</f>
        <v>45306</v>
      </c>
      <c r="N1703" s="5">
        <f>Table1[[#This Row],[Ordered]]-Table1[[#This Row],[Date ]]</f>
        <v>0.91666666666424135</v>
      </c>
      <c r="O1703">
        <f>Table1[[#This Row],[Company]]</f>
        <v>7</v>
      </c>
      <c r="P17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4" spans="1:16" x14ac:dyDescent="0.45">
      <c r="A1704" s="3">
        <v>45306.916666666664</v>
      </c>
      <c r="B1704" t="s">
        <v>14</v>
      </c>
      <c r="C1704">
        <v>16</v>
      </c>
      <c r="D1704">
        <v>1009</v>
      </c>
      <c r="E1704" t="s">
        <v>16</v>
      </c>
      <c r="F1704">
        <v>19</v>
      </c>
      <c r="G1704">
        <v>3750</v>
      </c>
      <c r="H1704">
        <v>71250</v>
      </c>
      <c r="I1704" s="3">
        <v>45307.083333333336</v>
      </c>
      <c r="J1704">
        <v>96</v>
      </c>
      <c r="K1704" s="3">
        <v>45310.083333333336</v>
      </c>
      <c r="L1704" s="4">
        <f>ROUNDDOWN(Table1[[#This Row],[Ordered]],0)</f>
        <v>45306</v>
      </c>
      <c r="M1704" s="4">
        <f>Table1[[#This Row],[Date ]]</f>
        <v>45306</v>
      </c>
      <c r="N1704" s="5">
        <f>Table1[[#This Row],[Ordered]]-Table1[[#This Row],[Date ]]</f>
        <v>0.91666666666424135</v>
      </c>
      <c r="O1704">
        <f>Table1[[#This Row],[Company]]</f>
        <v>16</v>
      </c>
      <c r="P17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5" spans="1:16" x14ac:dyDescent="0.45">
      <c r="A1705" s="3">
        <v>45306.916666666664</v>
      </c>
      <c r="B1705" t="s">
        <v>14</v>
      </c>
      <c r="C1705">
        <v>8</v>
      </c>
      <c r="D1705">
        <v>1009</v>
      </c>
      <c r="E1705" t="s">
        <v>16</v>
      </c>
      <c r="F1705">
        <v>12</v>
      </c>
      <c r="G1705">
        <v>3836</v>
      </c>
      <c r="H1705">
        <v>46032</v>
      </c>
      <c r="I1705" s="3">
        <v>45309.416666666664</v>
      </c>
      <c r="J1705">
        <v>144</v>
      </c>
      <c r="K1705" s="3">
        <v>45312.416666666664</v>
      </c>
      <c r="L1705" s="4">
        <f>ROUNDDOWN(Table1[[#This Row],[Ordered]],0)</f>
        <v>45306</v>
      </c>
      <c r="M1705" s="4">
        <f>Table1[[#This Row],[Date ]]</f>
        <v>45306</v>
      </c>
      <c r="N1705" s="5">
        <f>Table1[[#This Row],[Ordered]]-Table1[[#This Row],[Date ]]</f>
        <v>0.91666666666424135</v>
      </c>
      <c r="O1705">
        <f>Table1[[#This Row],[Company]]</f>
        <v>8</v>
      </c>
      <c r="P17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6" spans="1:16" x14ac:dyDescent="0.45">
      <c r="A1706" s="3">
        <v>45306.916666666664</v>
      </c>
      <c r="B1706" t="s">
        <v>14</v>
      </c>
      <c r="C1706">
        <v>13</v>
      </c>
      <c r="D1706">
        <v>1009</v>
      </c>
      <c r="E1706" t="s">
        <v>16</v>
      </c>
      <c r="F1706">
        <v>30</v>
      </c>
      <c r="G1706">
        <v>3400</v>
      </c>
      <c r="H1706">
        <v>102000</v>
      </c>
      <c r="I1706" s="3">
        <v>45308.666666666664</v>
      </c>
      <c r="J1706">
        <v>96</v>
      </c>
      <c r="K1706" s="3">
        <v>45310.708333333336</v>
      </c>
      <c r="L1706" s="4">
        <f>ROUNDDOWN(Table1[[#This Row],[Ordered]],0)</f>
        <v>45306</v>
      </c>
      <c r="M1706" s="4">
        <f>Table1[[#This Row],[Date ]]</f>
        <v>45306</v>
      </c>
      <c r="N1706" s="5">
        <f>Table1[[#This Row],[Ordered]]-Table1[[#This Row],[Date ]]</f>
        <v>0.91666666666424135</v>
      </c>
      <c r="O1706">
        <f>Table1[[#This Row],[Company]]</f>
        <v>13</v>
      </c>
      <c r="P17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7" spans="1:16" x14ac:dyDescent="0.45">
      <c r="A1707" s="3">
        <v>45306.916666666664</v>
      </c>
      <c r="B1707" t="s">
        <v>14</v>
      </c>
      <c r="C1707">
        <v>12</v>
      </c>
      <c r="D1707">
        <v>1009</v>
      </c>
      <c r="E1707" t="s">
        <v>16</v>
      </c>
      <c r="F1707">
        <v>16</v>
      </c>
      <c r="G1707">
        <v>3800</v>
      </c>
      <c r="H1707">
        <v>60800</v>
      </c>
      <c r="I1707" s="3">
        <v>45307.583333333336</v>
      </c>
      <c r="J1707">
        <v>96</v>
      </c>
      <c r="K1707" s="3">
        <v>45310.583333333336</v>
      </c>
      <c r="L1707" s="4">
        <f>ROUNDDOWN(Table1[[#This Row],[Ordered]],0)</f>
        <v>45306</v>
      </c>
      <c r="M1707" s="4">
        <f>Table1[[#This Row],[Date ]]</f>
        <v>45306</v>
      </c>
      <c r="N1707" s="5">
        <f>Table1[[#This Row],[Ordered]]-Table1[[#This Row],[Date ]]</f>
        <v>0.91666666666424135</v>
      </c>
      <c r="O1707">
        <f>Table1[[#This Row],[Company]]</f>
        <v>12</v>
      </c>
      <c r="P17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8" spans="1:16" x14ac:dyDescent="0.45">
      <c r="A1708" s="3">
        <v>45306.916666666664</v>
      </c>
      <c r="B1708" t="s">
        <v>14</v>
      </c>
      <c r="C1708">
        <v>15</v>
      </c>
      <c r="D1708">
        <v>1009</v>
      </c>
      <c r="E1708" t="s">
        <v>16</v>
      </c>
      <c r="F1708">
        <v>37</v>
      </c>
      <c r="G1708">
        <v>3350</v>
      </c>
      <c r="H1708">
        <v>123950</v>
      </c>
      <c r="I1708" s="3">
        <v>45307</v>
      </c>
      <c r="J1708">
        <v>88</v>
      </c>
      <c r="K1708" s="3">
        <v>45310</v>
      </c>
      <c r="L1708" s="4">
        <f>ROUNDDOWN(Table1[[#This Row],[Ordered]],0)</f>
        <v>45306</v>
      </c>
      <c r="M1708" s="4">
        <f>Table1[[#This Row],[Date ]]</f>
        <v>45306</v>
      </c>
      <c r="N1708" s="5">
        <f>Table1[[#This Row],[Ordered]]-Table1[[#This Row],[Date ]]</f>
        <v>0.91666666666424135</v>
      </c>
      <c r="O1708">
        <f>Table1[[#This Row],[Company]]</f>
        <v>15</v>
      </c>
      <c r="P17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9" spans="1:16" hidden="1" x14ac:dyDescent="0.45">
      <c r="A1709" s="3">
        <v>45306.958333333336</v>
      </c>
      <c r="B1709" t="s">
        <v>12</v>
      </c>
      <c r="C1709">
        <v>4</v>
      </c>
      <c r="D1709">
        <v>9</v>
      </c>
      <c r="E1709" t="s">
        <v>17</v>
      </c>
      <c r="F1709">
        <v>90</v>
      </c>
      <c r="G1709">
        <v>1350</v>
      </c>
      <c r="H1709">
        <v>121500</v>
      </c>
      <c r="I1709" s="3">
        <v>45306.958333333336</v>
      </c>
      <c r="J1709">
        <v>24</v>
      </c>
      <c r="K1709" s="3">
        <v>45307.958333333336</v>
      </c>
      <c r="L1709" s="4">
        <f>ROUNDDOWN(Table1[[#This Row],[Ordered]],0)</f>
        <v>45306</v>
      </c>
      <c r="M1709" s="4">
        <f>Table1[[#This Row],[Date ]]</f>
        <v>45306</v>
      </c>
      <c r="N1709" s="5">
        <f>Table1[[#This Row],[Ordered]]-Table1[[#This Row],[Date ]]</f>
        <v>0.95833333333575865</v>
      </c>
      <c r="O1709">
        <f>Table1[[#This Row],[Company]]</f>
        <v>4</v>
      </c>
      <c r="P17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0" spans="1:16" x14ac:dyDescent="0.45">
      <c r="A1710" s="3">
        <v>45307</v>
      </c>
      <c r="B1710" t="s">
        <v>14</v>
      </c>
      <c r="C1710">
        <v>10</v>
      </c>
      <c r="D1710">
        <v>1010</v>
      </c>
      <c r="E1710" t="s">
        <v>16</v>
      </c>
      <c r="F1710">
        <v>37</v>
      </c>
      <c r="G1710">
        <v>4000</v>
      </c>
      <c r="H1710">
        <v>148000</v>
      </c>
      <c r="I1710" s="3">
        <v>45307.416666666664</v>
      </c>
      <c r="J1710">
        <v>60</v>
      </c>
      <c r="K1710" s="3">
        <v>45309.416666666664</v>
      </c>
      <c r="L1710" s="4">
        <f>ROUNDDOWN(Table1[[#This Row],[Ordered]],0)</f>
        <v>45307</v>
      </c>
      <c r="M1710" s="4">
        <f>Table1[[#This Row],[Date ]]</f>
        <v>45307</v>
      </c>
      <c r="N1710" s="5">
        <f>Table1[[#This Row],[Ordered]]-Table1[[#This Row],[Date ]]</f>
        <v>0</v>
      </c>
      <c r="O1710">
        <f>Table1[[#This Row],[Company]]</f>
        <v>10</v>
      </c>
      <c r="P17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1" spans="1:16" x14ac:dyDescent="0.45">
      <c r="A1711" s="3">
        <v>45307</v>
      </c>
      <c r="B1711" t="s">
        <v>14</v>
      </c>
      <c r="C1711">
        <v>8</v>
      </c>
      <c r="D1711">
        <v>1010</v>
      </c>
      <c r="E1711" t="s">
        <v>16</v>
      </c>
      <c r="F1711">
        <v>10</v>
      </c>
      <c r="G1711">
        <v>4185</v>
      </c>
      <c r="H1711">
        <v>41850</v>
      </c>
      <c r="I1711" s="3">
        <v>45308.625</v>
      </c>
      <c r="J1711">
        <v>96</v>
      </c>
      <c r="K1711" s="3">
        <v>45310.625</v>
      </c>
      <c r="L1711" s="4">
        <f>ROUNDDOWN(Table1[[#This Row],[Ordered]],0)</f>
        <v>45307</v>
      </c>
      <c r="M1711" s="4">
        <f>Table1[[#This Row],[Date ]]</f>
        <v>45307</v>
      </c>
      <c r="N1711" s="5">
        <f>Table1[[#This Row],[Ordered]]-Table1[[#This Row],[Date ]]</f>
        <v>0</v>
      </c>
      <c r="O1711">
        <f>Table1[[#This Row],[Company]]</f>
        <v>8</v>
      </c>
      <c r="P17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2" spans="1:16" x14ac:dyDescent="0.45">
      <c r="A1712" s="3">
        <v>45307</v>
      </c>
      <c r="B1712" t="s">
        <v>14</v>
      </c>
      <c r="C1712">
        <v>13</v>
      </c>
      <c r="D1712">
        <v>1010</v>
      </c>
      <c r="E1712" t="s">
        <v>16</v>
      </c>
      <c r="F1712">
        <v>30</v>
      </c>
      <c r="G1712">
        <v>3400</v>
      </c>
      <c r="H1712">
        <v>102000</v>
      </c>
      <c r="I1712" s="3">
        <v>45309.833333333336</v>
      </c>
      <c r="J1712">
        <v>96</v>
      </c>
      <c r="K1712" s="3">
        <v>45310.833333333336</v>
      </c>
      <c r="L1712" s="4">
        <f>ROUNDDOWN(Table1[[#This Row],[Ordered]],0)</f>
        <v>45307</v>
      </c>
      <c r="M1712" s="4">
        <f>Table1[[#This Row],[Date ]]</f>
        <v>45307</v>
      </c>
      <c r="N1712" s="5">
        <f>Table1[[#This Row],[Ordered]]-Table1[[#This Row],[Date ]]</f>
        <v>0</v>
      </c>
      <c r="O1712">
        <f>Table1[[#This Row],[Company]]</f>
        <v>13</v>
      </c>
      <c r="P17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3" spans="1:16" x14ac:dyDescent="0.45">
      <c r="A1713" s="3">
        <v>45307</v>
      </c>
      <c r="B1713" t="s">
        <v>14</v>
      </c>
      <c r="C1713">
        <v>12</v>
      </c>
      <c r="D1713">
        <v>1010</v>
      </c>
      <c r="E1713" t="s">
        <v>16</v>
      </c>
      <c r="F1713">
        <v>25</v>
      </c>
      <c r="G1713">
        <v>3800</v>
      </c>
      <c r="H1713">
        <v>95000</v>
      </c>
      <c r="I1713" s="3">
        <v>45307.583333333336</v>
      </c>
      <c r="J1713">
        <v>96</v>
      </c>
      <c r="K1713" s="3">
        <v>45310.583333333336</v>
      </c>
      <c r="L1713" s="4">
        <f>ROUNDDOWN(Table1[[#This Row],[Ordered]],0)</f>
        <v>45307</v>
      </c>
      <c r="M1713" s="4">
        <f>Table1[[#This Row],[Date ]]</f>
        <v>45307</v>
      </c>
      <c r="N1713" s="5">
        <f>Table1[[#This Row],[Ordered]]-Table1[[#This Row],[Date ]]</f>
        <v>0</v>
      </c>
      <c r="O1713">
        <f>Table1[[#This Row],[Company]]</f>
        <v>12</v>
      </c>
      <c r="P17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4" spans="1:16" x14ac:dyDescent="0.45">
      <c r="A1714" s="3">
        <v>45307</v>
      </c>
      <c r="B1714" t="s">
        <v>14</v>
      </c>
      <c r="C1714">
        <v>7</v>
      </c>
      <c r="D1714">
        <v>1010</v>
      </c>
      <c r="E1714" t="s">
        <v>16</v>
      </c>
      <c r="F1714">
        <v>14</v>
      </c>
      <c r="G1714">
        <v>3950</v>
      </c>
      <c r="H1714">
        <v>55300</v>
      </c>
      <c r="I1714" s="3">
        <v>45310.625</v>
      </c>
      <c r="J1714">
        <v>96</v>
      </c>
      <c r="K1714" s="3">
        <v>45311.625</v>
      </c>
      <c r="L1714" s="4">
        <f>ROUNDDOWN(Table1[[#This Row],[Ordered]],0)</f>
        <v>45307</v>
      </c>
      <c r="M1714" s="4">
        <f>Table1[[#This Row],[Date ]]</f>
        <v>45307</v>
      </c>
      <c r="N1714" s="5">
        <f>Table1[[#This Row],[Ordered]]-Table1[[#This Row],[Date ]]</f>
        <v>0</v>
      </c>
      <c r="O1714">
        <f>Table1[[#This Row],[Company]]</f>
        <v>7</v>
      </c>
      <c r="P17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5" spans="1:16" x14ac:dyDescent="0.45">
      <c r="A1715" s="3">
        <v>45307</v>
      </c>
      <c r="B1715" t="s">
        <v>14</v>
      </c>
      <c r="C1715">
        <v>14</v>
      </c>
      <c r="D1715">
        <v>1010</v>
      </c>
      <c r="E1715" t="s">
        <v>16</v>
      </c>
      <c r="F1715">
        <v>28</v>
      </c>
      <c r="G1715">
        <v>3750</v>
      </c>
      <c r="H1715">
        <v>105000</v>
      </c>
      <c r="I1715" s="3">
        <v>45307.583333333336</v>
      </c>
      <c r="J1715">
        <v>96</v>
      </c>
      <c r="K1715" s="3">
        <v>45310.583333333336</v>
      </c>
      <c r="L1715" s="4">
        <f>ROUNDDOWN(Table1[[#This Row],[Ordered]],0)</f>
        <v>45307</v>
      </c>
      <c r="M1715" s="4">
        <f>Table1[[#This Row],[Date ]]</f>
        <v>45307</v>
      </c>
      <c r="N1715" s="5">
        <f>Table1[[#This Row],[Ordered]]-Table1[[#This Row],[Date ]]</f>
        <v>0</v>
      </c>
      <c r="O1715">
        <f>Table1[[#This Row],[Company]]</f>
        <v>14</v>
      </c>
      <c r="P17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6" spans="1:16" x14ac:dyDescent="0.45">
      <c r="A1716" s="3">
        <v>45307</v>
      </c>
      <c r="B1716" t="s">
        <v>14</v>
      </c>
      <c r="C1716">
        <v>11</v>
      </c>
      <c r="D1716">
        <v>1010</v>
      </c>
      <c r="E1716" t="s">
        <v>16</v>
      </c>
      <c r="F1716">
        <v>22</v>
      </c>
      <c r="G1716">
        <v>4000</v>
      </c>
      <c r="H1716">
        <v>88000</v>
      </c>
      <c r="I1716" s="3">
        <v>45307.208333333336</v>
      </c>
      <c r="J1716">
        <v>96</v>
      </c>
      <c r="K1716" s="3">
        <v>45310.208333333336</v>
      </c>
      <c r="L1716" s="4">
        <f>ROUNDDOWN(Table1[[#This Row],[Ordered]],0)</f>
        <v>45307</v>
      </c>
      <c r="M1716" s="4">
        <f>Table1[[#This Row],[Date ]]</f>
        <v>45307</v>
      </c>
      <c r="N1716" s="5">
        <f>Table1[[#This Row],[Ordered]]-Table1[[#This Row],[Date ]]</f>
        <v>0</v>
      </c>
      <c r="O1716">
        <f>Table1[[#This Row],[Company]]</f>
        <v>11</v>
      </c>
      <c r="P17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7" spans="1:16" x14ac:dyDescent="0.45">
      <c r="A1717" s="3">
        <v>45307</v>
      </c>
      <c r="B1717" t="s">
        <v>14</v>
      </c>
      <c r="C1717">
        <v>9</v>
      </c>
      <c r="D1717">
        <v>1010</v>
      </c>
      <c r="E1717" t="s">
        <v>16</v>
      </c>
      <c r="F1717">
        <v>15</v>
      </c>
      <c r="G1717">
        <v>3799</v>
      </c>
      <c r="H1717">
        <v>56985</v>
      </c>
      <c r="I1717" s="3">
        <v>45307</v>
      </c>
      <c r="J1717">
        <v>76</v>
      </c>
      <c r="K1717" s="3">
        <v>45310</v>
      </c>
      <c r="L1717" s="4">
        <f>ROUNDDOWN(Table1[[#This Row],[Ordered]],0)</f>
        <v>45307</v>
      </c>
      <c r="M1717" s="4">
        <f>Table1[[#This Row],[Date ]]</f>
        <v>45307</v>
      </c>
      <c r="N1717" s="5">
        <f>Table1[[#This Row],[Ordered]]-Table1[[#This Row],[Date ]]</f>
        <v>0</v>
      </c>
      <c r="O1717">
        <f>Table1[[#This Row],[Company]]</f>
        <v>9</v>
      </c>
      <c r="P17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8" spans="1:16" x14ac:dyDescent="0.45">
      <c r="A1718" s="3">
        <v>45307</v>
      </c>
      <c r="B1718" t="s">
        <v>14</v>
      </c>
      <c r="C1718">
        <v>16</v>
      </c>
      <c r="D1718">
        <v>1010</v>
      </c>
      <c r="E1718" t="s">
        <v>16</v>
      </c>
      <c r="F1718">
        <v>19</v>
      </c>
      <c r="G1718">
        <v>3750</v>
      </c>
      <c r="H1718">
        <v>71250</v>
      </c>
      <c r="I1718" s="3">
        <v>45307.25</v>
      </c>
      <c r="J1718">
        <v>96</v>
      </c>
      <c r="K1718" s="3">
        <v>45310.25</v>
      </c>
      <c r="L1718" s="4">
        <f>ROUNDDOWN(Table1[[#This Row],[Ordered]],0)</f>
        <v>45307</v>
      </c>
      <c r="M1718" s="4">
        <f>Table1[[#This Row],[Date ]]</f>
        <v>45307</v>
      </c>
      <c r="N1718" s="5">
        <f>Table1[[#This Row],[Ordered]]-Table1[[#This Row],[Date ]]</f>
        <v>0</v>
      </c>
      <c r="O1718">
        <f>Table1[[#This Row],[Company]]</f>
        <v>16</v>
      </c>
      <c r="P17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9" spans="1:16" x14ac:dyDescent="0.45">
      <c r="A1719" s="3">
        <v>45307</v>
      </c>
      <c r="B1719" t="s">
        <v>14</v>
      </c>
      <c r="C1719">
        <v>15</v>
      </c>
      <c r="D1719">
        <v>1010</v>
      </c>
      <c r="E1719" t="s">
        <v>16</v>
      </c>
      <c r="F1719">
        <v>49</v>
      </c>
      <c r="G1719">
        <v>3350</v>
      </c>
      <c r="H1719">
        <v>164150</v>
      </c>
      <c r="I1719" s="3">
        <v>45307.083333333336</v>
      </c>
      <c r="J1719">
        <v>88</v>
      </c>
      <c r="K1719" s="3">
        <v>45310.083333333336</v>
      </c>
      <c r="L1719" s="4">
        <f>ROUNDDOWN(Table1[[#This Row],[Ordered]],0)</f>
        <v>45307</v>
      </c>
      <c r="M1719" s="4">
        <f>Table1[[#This Row],[Date ]]</f>
        <v>45307</v>
      </c>
      <c r="N1719" s="5">
        <f>Table1[[#This Row],[Ordered]]-Table1[[#This Row],[Date ]]</f>
        <v>0</v>
      </c>
      <c r="O1719">
        <f>Table1[[#This Row],[Company]]</f>
        <v>15</v>
      </c>
      <c r="P17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0" spans="1:16" hidden="1" x14ac:dyDescent="0.45">
      <c r="A1720" s="3">
        <v>45307</v>
      </c>
      <c r="B1720" t="s">
        <v>12</v>
      </c>
      <c r="C1720">
        <v>4</v>
      </c>
      <c r="D1720">
        <v>11</v>
      </c>
      <c r="E1720" t="s">
        <v>17</v>
      </c>
      <c r="F1720">
        <v>98</v>
      </c>
      <c r="G1720">
        <v>1350</v>
      </c>
      <c r="H1720">
        <v>132300</v>
      </c>
      <c r="I1720" s="3">
        <v>45307.041666666664</v>
      </c>
      <c r="J1720">
        <v>24</v>
      </c>
      <c r="K1720" s="3">
        <v>45308.041666666664</v>
      </c>
      <c r="L1720" s="4">
        <f>ROUNDDOWN(Table1[[#This Row],[Ordered]],0)</f>
        <v>45307</v>
      </c>
      <c r="M1720" s="4">
        <f>Table1[[#This Row],[Date ]]</f>
        <v>45307</v>
      </c>
      <c r="N1720" s="5">
        <f>Table1[[#This Row],[Ordered]]-Table1[[#This Row],[Date ]]</f>
        <v>0</v>
      </c>
      <c r="O1720">
        <f>Table1[[#This Row],[Company]]</f>
        <v>4</v>
      </c>
      <c r="P17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1" spans="1:16" hidden="1" x14ac:dyDescent="0.45">
      <c r="A1721" s="3">
        <v>45307</v>
      </c>
      <c r="B1721" t="s">
        <v>12</v>
      </c>
      <c r="C1721">
        <v>1</v>
      </c>
      <c r="D1721">
        <v>10</v>
      </c>
      <c r="E1721" t="s">
        <v>17</v>
      </c>
      <c r="F1721">
        <v>300</v>
      </c>
      <c r="G1721">
        <v>1500</v>
      </c>
      <c r="H1721">
        <v>450000</v>
      </c>
      <c r="I1721" s="3">
        <v>45307.041666666664</v>
      </c>
      <c r="J1721">
        <v>24</v>
      </c>
      <c r="K1721" s="3">
        <v>45308.041666666664</v>
      </c>
      <c r="L1721" s="4">
        <f>ROUNDDOWN(Table1[[#This Row],[Ordered]],0)</f>
        <v>45307</v>
      </c>
      <c r="M1721" s="4">
        <f>Table1[[#This Row],[Date ]]</f>
        <v>45307</v>
      </c>
      <c r="N1721" s="5">
        <f>Table1[[#This Row],[Ordered]]-Table1[[#This Row],[Date ]]</f>
        <v>0</v>
      </c>
      <c r="O1721">
        <f>Table1[[#This Row],[Company]]</f>
        <v>1</v>
      </c>
      <c r="P17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2" spans="1:16" x14ac:dyDescent="0.45">
      <c r="A1722" s="3">
        <v>45307.25</v>
      </c>
      <c r="B1722" t="s">
        <v>14</v>
      </c>
      <c r="C1722">
        <v>13</v>
      </c>
      <c r="D1722">
        <v>1004</v>
      </c>
      <c r="E1722" t="s">
        <v>15</v>
      </c>
      <c r="F1722">
        <v>11</v>
      </c>
      <c r="G1722">
        <v>6300</v>
      </c>
      <c r="H1722">
        <v>69300</v>
      </c>
      <c r="I1722" s="3">
        <v>45308</v>
      </c>
      <c r="J1722">
        <v>96</v>
      </c>
      <c r="K1722" s="3">
        <v>45311</v>
      </c>
      <c r="L1722" s="4">
        <f>ROUNDDOWN(Table1[[#This Row],[Ordered]],0)</f>
        <v>45307</v>
      </c>
      <c r="M1722" s="4">
        <f>Table1[[#This Row],[Date ]]</f>
        <v>45307</v>
      </c>
      <c r="N1722" s="5">
        <f>Table1[[#This Row],[Ordered]]-Table1[[#This Row],[Date ]]</f>
        <v>0.25</v>
      </c>
      <c r="O1722">
        <f>Table1[[#This Row],[Company]]</f>
        <v>13</v>
      </c>
      <c r="P17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3" spans="1:16" hidden="1" x14ac:dyDescent="0.45">
      <c r="A1723" s="3">
        <v>45307.25</v>
      </c>
      <c r="B1723" t="s">
        <v>12</v>
      </c>
      <c r="C1723">
        <v>2</v>
      </c>
      <c r="D1723">
        <v>15</v>
      </c>
      <c r="E1723" t="s">
        <v>13</v>
      </c>
      <c r="F1723">
        <v>2800</v>
      </c>
      <c r="G1723">
        <v>130</v>
      </c>
      <c r="H1723">
        <v>364000</v>
      </c>
      <c r="I1723" s="3">
        <v>45307.583333333336</v>
      </c>
      <c r="J1723">
        <v>72</v>
      </c>
      <c r="K1723" s="3">
        <v>45310.583333333336</v>
      </c>
      <c r="L1723" s="4">
        <f>ROUNDDOWN(Table1[[#This Row],[Ordered]],0)</f>
        <v>45307</v>
      </c>
      <c r="M1723" s="4">
        <f>Table1[[#This Row],[Date ]]</f>
        <v>45307</v>
      </c>
      <c r="N1723" s="5">
        <f>Table1[[#This Row],[Ordered]]-Table1[[#This Row],[Date ]]</f>
        <v>0.25</v>
      </c>
      <c r="O1723">
        <f>Table1[[#This Row],[Company]]</f>
        <v>2</v>
      </c>
      <c r="P17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4" spans="1:16" x14ac:dyDescent="0.45">
      <c r="A1724" s="3">
        <v>45307.25</v>
      </c>
      <c r="B1724" t="s">
        <v>14</v>
      </c>
      <c r="C1724">
        <v>15</v>
      </c>
      <c r="D1724">
        <v>1004</v>
      </c>
      <c r="E1724" t="s">
        <v>15</v>
      </c>
      <c r="F1724">
        <v>13</v>
      </c>
      <c r="G1724">
        <v>6350</v>
      </c>
      <c r="H1724">
        <v>82550</v>
      </c>
      <c r="I1724" s="3">
        <v>45307.333333333336</v>
      </c>
      <c r="J1724">
        <v>64</v>
      </c>
      <c r="K1724" s="3">
        <v>45309.333333333336</v>
      </c>
      <c r="L1724" s="4">
        <f>ROUNDDOWN(Table1[[#This Row],[Ordered]],0)</f>
        <v>45307</v>
      </c>
      <c r="M1724" s="4">
        <f>Table1[[#This Row],[Date ]]</f>
        <v>45307</v>
      </c>
      <c r="N1724" s="5">
        <f>Table1[[#This Row],[Ordered]]-Table1[[#This Row],[Date ]]</f>
        <v>0.25</v>
      </c>
      <c r="O1724">
        <f>Table1[[#This Row],[Company]]</f>
        <v>15</v>
      </c>
      <c r="P17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5" spans="1:16" x14ac:dyDescent="0.45">
      <c r="A1725" s="3">
        <v>45307.25</v>
      </c>
      <c r="B1725" t="s">
        <v>14</v>
      </c>
      <c r="C1725">
        <v>7</v>
      </c>
      <c r="D1725">
        <v>1004</v>
      </c>
      <c r="E1725" t="s">
        <v>15</v>
      </c>
      <c r="F1725">
        <v>4</v>
      </c>
      <c r="G1725">
        <v>6850</v>
      </c>
      <c r="H1725">
        <v>27400</v>
      </c>
      <c r="I1725" s="3">
        <v>45309.916666666664</v>
      </c>
      <c r="J1725">
        <v>96</v>
      </c>
      <c r="K1725" s="3">
        <v>45310.916666666664</v>
      </c>
      <c r="L1725" s="4">
        <f>ROUNDDOWN(Table1[[#This Row],[Ordered]],0)</f>
        <v>45307</v>
      </c>
      <c r="M1725" s="4">
        <f>Table1[[#This Row],[Date ]]</f>
        <v>45307</v>
      </c>
      <c r="N1725" s="5">
        <f>Table1[[#This Row],[Ordered]]-Table1[[#This Row],[Date ]]</f>
        <v>0.25</v>
      </c>
      <c r="O1725">
        <f>Table1[[#This Row],[Company]]</f>
        <v>7</v>
      </c>
      <c r="P17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6" spans="1:16" hidden="1" x14ac:dyDescent="0.45">
      <c r="A1726" s="3">
        <v>45307.25</v>
      </c>
      <c r="B1726" t="s">
        <v>12</v>
      </c>
      <c r="C1726">
        <v>2</v>
      </c>
      <c r="D1726">
        <v>9</v>
      </c>
      <c r="E1726" t="s">
        <v>17</v>
      </c>
      <c r="F1726">
        <v>100</v>
      </c>
      <c r="G1726">
        <v>1700</v>
      </c>
      <c r="H1726">
        <v>170000</v>
      </c>
      <c r="I1726" s="3">
        <v>45307.291666666664</v>
      </c>
      <c r="J1726">
        <v>24</v>
      </c>
      <c r="K1726" s="3">
        <v>45308.291666666664</v>
      </c>
      <c r="L1726" s="4">
        <f>ROUNDDOWN(Table1[[#This Row],[Ordered]],0)</f>
        <v>45307</v>
      </c>
      <c r="M1726" s="4">
        <f>Table1[[#This Row],[Date ]]</f>
        <v>45307</v>
      </c>
      <c r="N1726" s="5">
        <f>Table1[[#This Row],[Ordered]]-Table1[[#This Row],[Date ]]</f>
        <v>0.25</v>
      </c>
      <c r="O1726">
        <f>Table1[[#This Row],[Company]]</f>
        <v>2</v>
      </c>
      <c r="P17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7" spans="1:16" x14ac:dyDescent="0.45">
      <c r="A1727" s="3">
        <v>45307.25</v>
      </c>
      <c r="B1727" t="s">
        <v>14</v>
      </c>
      <c r="C1727">
        <v>14</v>
      </c>
      <c r="D1727">
        <v>1004</v>
      </c>
      <c r="E1727" t="s">
        <v>15</v>
      </c>
      <c r="F1727">
        <v>5</v>
      </c>
      <c r="G1727">
        <v>6650</v>
      </c>
      <c r="H1727">
        <v>33250</v>
      </c>
      <c r="I1727" s="3">
        <v>45307.75</v>
      </c>
      <c r="J1727">
        <v>96</v>
      </c>
      <c r="K1727" s="3">
        <v>45310.75</v>
      </c>
      <c r="L1727" s="4">
        <f>ROUNDDOWN(Table1[[#This Row],[Ordered]],0)</f>
        <v>45307</v>
      </c>
      <c r="M1727" s="4">
        <f>Table1[[#This Row],[Date ]]</f>
        <v>45307</v>
      </c>
      <c r="N1727" s="5">
        <f>Table1[[#This Row],[Ordered]]-Table1[[#This Row],[Date ]]</f>
        <v>0.25</v>
      </c>
      <c r="O1727">
        <f>Table1[[#This Row],[Company]]</f>
        <v>14</v>
      </c>
      <c r="P17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8" spans="1:16" x14ac:dyDescent="0.45">
      <c r="A1728" s="3">
        <v>45307.25</v>
      </c>
      <c r="B1728" t="s">
        <v>14</v>
      </c>
      <c r="C1728">
        <v>16</v>
      </c>
      <c r="D1728">
        <v>1004</v>
      </c>
      <c r="E1728" t="s">
        <v>15</v>
      </c>
      <c r="F1728">
        <v>5</v>
      </c>
      <c r="G1728">
        <v>6650</v>
      </c>
      <c r="H1728">
        <v>33250</v>
      </c>
      <c r="I1728" s="3">
        <v>45307.458333333336</v>
      </c>
      <c r="J1728">
        <v>96</v>
      </c>
      <c r="K1728" s="3">
        <v>45310.458333333336</v>
      </c>
      <c r="L1728" s="4">
        <f>ROUNDDOWN(Table1[[#This Row],[Ordered]],0)</f>
        <v>45307</v>
      </c>
      <c r="M1728" s="4">
        <f>Table1[[#This Row],[Date ]]</f>
        <v>45307</v>
      </c>
      <c r="N1728" s="5">
        <f>Table1[[#This Row],[Ordered]]-Table1[[#This Row],[Date ]]</f>
        <v>0.25</v>
      </c>
      <c r="O1728">
        <f>Table1[[#This Row],[Company]]</f>
        <v>16</v>
      </c>
      <c r="P17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9" spans="1:16" hidden="1" x14ac:dyDescent="0.45">
      <c r="A1729" s="3">
        <v>45307.375</v>
      </c>
      <c r="B1729" t="s">
        <v>12</v>
      </c>
      <c r="C1729">
        <v>4</v>
      </c>
      <c r="D1729">
        <v>8</v>
      </c>
      <c r="E1729" t="s">
        <v>17</v>
      </c>
      <c r="F1729">
        <v>200</v>
      </c>
      <c r="G1729">
        <v>1350</v>
      </c>
      <c r="H1729">
        <v>270000</v>
      </c>
      <c r="I1729" s="3">
        <v>45307.375</v>
      </c>
      <c r="J1729">
        <v>24</v>
      </c>
      <c r="K1729" s="3">
        <v>45308.375</v>
      </c>
      <c r="L1729" s="4">
        <f>ROUNDDOWN(Table1[[#This Row],[Ordered]],0)</f>
        <v>45307</v>
      </c>
      <c r="M1729" s="4">
        <f>Table1[[#This Row],[Date ]]</f>
        <v>45307</v>
      </c>
      <c r="N1729" s="5">
        <f>Table1[[#This Row],[Ordered]]-Table1[[#This Row],[Date ]]</f>
        <v>0.375</v>
      </c>
      <c r="O1729">
        <f>Table1[[#This Row],[Company]]</f>
        <v>4</v>
      </c>
      <c r="P17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0" spans="1:16" hidden="1" x14ac:dyDescent="0.45">
      <c r="A1730" s="3">
        <v>45307.375</v>
      </c>
      <c r="B1730" t="s">
        <v>12</v>
      </c>
      <c r="C1730">
        <v>2</v>
      </c>
      <c r="D1730">
        <v>8</v>
      </c>
      <c r="E1730" t="s">
        <v>17</v>
      </c>
      <c r="F1730">
        <v>400</v>
      </c>
      <c r="G1730">
        <v>1700</v>
      </c>
      <c r="H1730">
        <v>680000</v>
      </c>
      <c r="I1730" s="3">
        <v>45307.416666666664</v>
      </c>
      <c r="J1730">
        <v>24</v>
      </c>
      <c r="K1730" s="3">
        <v>45308.416666666664</v>
      </c>
      <c r="L1730" s="4">
        <f>ROUNDDOWN(Table1[[#This Row],[Ordered]],0)</f>
        <v>45307</v>
      </c>
      <c r="M1730" s="4">
        <f>Table1[[#This Row],[Date ]]</f>
        <v>45307</v>
      </c>
      <c r="N1730" s="5">
        <f>Table1[[#This Row],[Ordered]]-Table1[[#This Row],[Date ]]</f>
        <v>0.375</v>
      </c>
      <c r="O1730">
        <f>Table1[[#This Row],[Company]]</f>
        <v>2</v>
      </c>
      <c r="P17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1" spans="1:16" x14ac:dyDescent="0.45">
      <c r="A1731" s="3">
        <v>45307.541666666664</v>
      </c>
      <c r="B1731" t="s">
        <v>19</v>
      </c>
      <c r="C1731">
        <v>7</v>
      </c>
      <c r="D1731">
        <v>3004</v>
      </c>
      <c r="E1731" t="s">
        <v>15</v>
      </c>
      <c r="F1731">
        <v>8</v>
      </c>
      <c r="G1731">
        <v>7500</v>
      </c>
      <c r="H1731">
        <v>60000</v>
      </c>
      <c r="I1731" s="3">
        <v>45314.875</v>
      </c>
      <c r="J1731">
        <v>288</v>
      </c>
      <c r="K1731" s="3">
        <v>45319.875</v>
      </c>
      <c r="L1731" s="4">
        <f>ROUNDDOWN(Table1[[#This Row],[Ordered]],0)</f>
        <v>45307</v>
      </c>
      <c r="M1731" s="4">
        <f>Table1[[#This Row],[Date ]]</f>
        <v>45307</v>
      </c>
      <c r="N1731" s="5">
        <f>Table1[[#This Row],[Ordered]]-Table1[[#This Row],[Date ]]</f>
        <v>0.54166666666424135</v>
      </c>
      <c r="O1731">
        <f>Table1[[#This Row],[Company]]</f>
        <v>7</v>
      </c>
      <c r="P17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2" spans="1:16" x14ac:dyDescent="0.45">
      <c r="A1732" s="3">
        <v>45307.541666666664</v>
      </c>
      <c r="B1732" t="s">
        <v>19</v>
      </c>
      <c r="C1732">
        <v>7</v>
      </c>
      <c r="D1732">
        <v>3003</v>
      </c>
      <c r="E1732" t="s">
        <v>15</v>
      </c>
      <c r="F1732">
        <v>6</v>
      </c>
      <c r="G1732">
        <v>7500</v>
      </c>
      <c r="H1732">
        <v>45000</v>
      </c>
      <c r="I1732" s="3">
        <v>45314.875</v>
      </c>
      <c r="J1732">
        <v>288</v>
      </c>
      <c r="K1732" s="3">
        <v>45319.875</v>
      </c>
      <c r="L1732" s="4">
        <f>ROUNDDOWN(Table1[[#This Row],[Ordered]],0)</f>
        <v>45307</v>
      </c>
      <c r="M1732" s="4">
        <f>Table1[[#This Row],[Date ]]</f>
        <v>45307</v>
      </c>
      <c r="N1732" s="5">
        <f>Table1[[#This Row],[Ordered]]-Table1[[#This Row],[Date ]]</f>
        <v>0.54166666666424135</v>
      </c>
      <c r="O1732">
        <f>Table1[[#This Row],[Company]]</f>
        <v>7</v>
      </c>
      <c r="P17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3" spans="1:16" x14ac:dyDescent="0.45">
      <c r="A1733" s="3">
        <v>45307.541666666664</v>
      </c>
      <c r="B1733" t="s">
        <v>19</v>
      </c>
      <c r="C1733">
        <v>7</v>
      </c>
      <c r="D1733">
        <v>3001</v>
      </c>
      <c r="E1733" t="s">
        <v>15</v>
      </c>
      <c r="F1733">
        <v>3</v>
      </c>
      <c r="G1733">
        <v>7500</v>
      </c>
      <c r="H1733">
        <v>22500</v>
      </c>
      <c r="I1733" s="3">
        <v>45314.041666666664</v>
      </c>
      <c r="J1733">
        <v>288</v>
      </c>
      <c r="K1733" s="3">
        <v>45319.041666666664</v>
      </c>
      <c r="L1733" s="4">
        <f>ROUNDDOWN(Table1[[#This Row],[Ordered]],0)</f>
        <v>45307</v>
      </c>
      <c r="M1733" s="4">
        <f>Table1[[#This Row],[Date ]]</f>
        <v>45307</v>
      </c>
      <c r="N1733" s="5">
        <f>Table1[[#This Row],[Ordered]]-Table1[[#This Row],[Date ]]</f>
        <v>0.54166666666424135</v>
      </c>
      <c r="O1733">
        <f>Table1[[#This Row],[Company]]</f>
        <v>7</v>
      </c>
      <c r="P17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4" spans="1:16" hidden="1" x14ac:dyDescent="0.45">
      <c r="A1734" s="3">
        <v>45307.583333333336</v>
      </c>
      <c r="B1734" t="s">
        <v>12</v>
      </c>
      <c r="C1734">
        <v>4</v>
      </c>
      <c r="D1734">
        <v>9</v>
      </c>
      <c r="E1734" t="s">
        <v>17</v>
      </c>
      <c r="F1734">
        <v>220</v>
      </c>
      <c r="G1734">
        <v>1350</v>
      </c>
      <c r="H1734">
        <v>297000</v>
      </c>
      <c r="I1734" s="3">
        <v>45307.625</v>
      </c>
      <c r="J1734">
        <v>24</v>
      </c>
      <c r="K1734" s="3">
        <v>45308.625</v>
      </c>
      <c r="L1734" s="4">
        <f>ROUNDDOWN(Table1[[#This Row],[Ordered]],0)</f>
        <v>45307</v>
      </c>
      <c r="M1734" s="4">
        <f>Table1[[#This Row],[Date ]]</f>
        <v>45307</v>
      </c>
      <c r="N1734" s="5">
        <f>Table1[[#This Row],[Ordered]]-Table1[[#This Row],[Date ]]</f>
        <v>0.58333333333575865</v>
      </c>
      <c r="O1734">
        <f>Table1[[#This Row],[Company]]</f>
        <v>4</v>
      </c>
      <c r="P17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5" spans="1:16" hidden="1" x14ac:dyDescent="0.45">
      <c r="A1735" s="3">
        <v>45307.625</v>
      </c>
      <c r="B1735" t="s">
        <v>12</v>
      </c>
      <c r="C1735">
        <v>1</v>
      </c>
      <c r="D1735">
        <v>14</v>
      </c>
      <c r="E1735" t="s">
        <v>17</v>
      </c>
      <c r="F1735">
        <v>400</v>
      </c>
      <c r="G1735">
        <v>1350</v>
      </c>
      <c r="H1735">
        <v>540000</v>
      </c>
      <c r="I1735" s="3">
        <v>45307.666666666664</v>
      </c>
      <c r="J1735">
        <v>24</v>
      </c>
      <c r="K1735" s="3">
        <v>45308.666666666664</v>
      </c>
      <c r="L1735" s="4">
        <f>ROUNDDOWN(Table1[[#This Row],[Ordered]],0)</f>
        <v>45307</v>
      </c>
      <c r="M1735" s="4">
        <f>Table1[[#This Row],[Date ]]</f>
        <v>45307</v>
      </c>
      <c r="N1735" s="5">
        <f>Table1[[#This Row],[Ordered]]-Table1[[#This Row],[Date ]]</f>
        <v>0.625</v>
      </c>
      <c r="O1735">
        <f>Table1[[#This Row],[Company]]</f>
        <v>1</v>
      </c>
      <c r="P17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6" spans="1:16" x14ac:dyDescent="0.45">
      <c r="A1736" s="3">
        <v>45307.666666666664</v>
      </c>
      <c r="B1736" t="s">
        <v>0</v>
      </c>
      <c r="C1736">
        <v>11</v>
      </c>
      <c r="D1736">
        <v>2003</v>
      </c>
      <c r="E1736" t="s">
        <v>16</v>
      </c>
      <c r="F1736">
        <v>40</v>
      </c>
      <c r="G1736">
        <v>4000</v>
      </c>
      <c r="H1736">
        <v>160000</v>
      </c>
      <c r="I1736" s="3">
        <v>45307.916666666664</v>
      </c>
      <c r="J1736">
        <v>132</v>
      </c>
      <c r="K1736" s="3">
        <v>45312.416666666664</v>
      </c>
      <c r="L1736" s="4">
        <f>ROUNDDOWN(Table1[[#This Row],[Ordered]],0)</f>
        <v>45307</v>
      </c>
      <c r="M1736" s="4">
        <f>Table1[[#This Row],[Date ]]</f>
        <v>45307</v>
      </c>
      <c r="N1736" s="5">
        <f>Table1[[#This Row],[Ordered]]-Table1[[#This Row],[Date ]]</f>
        <v>0.66666666666424135</v>
      </c>
      <c r="O1736">
        <f>Table1[[#This Row],[Company]]</f>
        <v>11</v>
      </c>
      <c r="P17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7" spans="1:16" x14ac:dyDescent="0.45">
      <c r="A1737" s="3">
        <v>45307.666666666664</v>
      </c>
      <c r="B1737" t="s">
        <v>0</v>
      </c>
      <c r="C1737">
        <v>16</v>
      </c>
      <c r="D1737">
        <v>2003</v>
      </c>
      <c r="E1737" t="s">
        <v>16</v>
      </c>
      <c r="F1737">
        <v>30</v>
      </c>
      <c r="G1737">
        <v>3750</v>
      </c>
      <c r="H1737">
        <v>112500</v>
      </c>
      <c r="I1737" s="3">
        <v>45307.916666666664</v>
      </c>
      <c r="J1737">
        <v>132</v>
      </c>
      <c r="K1737" s="3">
        <v>45312.416666666664</v>
      </c>
      <c r="L1737" s="4">
        <f>ROUNDDOWN(Table1[[#This Row],[Ordered]],0)</f>
        <v>45307</v>
      </c>
      <c r="M1737" s="4">
        <f>Table1[[#This Row],[Date ]]</f>
        <v>45307</v>
      </c>
      <c r="N1737" s="5">
        <f>Table1[[#This Row],[Ordered]]-Table1[[#This Row],[Date ]]</f>
        <v>0.66666666666424135</v>
      </c>
      <c r="O1737">
        <f>Table1[[#This Row],[Company]]</f>
        <v>16</v>
      </c>
      <c r="P17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8" spans="1:16" x14ac:dyDescent="0.45">
      <c r="A1738" s="3">
        <v>45307.666666666664</v>
      </c>
      <c r="B1738" t="s">
        <v>0</v>
      </c>
      <c r="C1738">
        <v>8</v>
      </c>
      <c r="D1738">
        <v>2003</v>
      </c>
      <c r="E1738" t="s">
        <v>16</v>
      </c>
      <c r="F1738">
        <v>30</v>
      </c>
      <c r="G1738">
        <v>3889</v>
      </c>
      <c r="H1738">
        <v>116670</v>
      </c>
      <c r="I1738" s="3">
        <v>45309.416666666664</v>
      </c>
      <c r="J1738">
        <v>156</v>
      </c>
      <c r="K1738" s="3">
        <v>45313.916666666664</v>
      </c>
      <c r="L1738" s="4">
        <f>ROUNDDOWN(Table1[[#This Row],[Ordered]],0)</f>
        <v>45307</v>
      </c>
      <c r="M1738" s="4">
        <f>Table1[[#This Row],[Date ]]</f>
        <v>45307</v>
      </c>
      <c r="N1738" s="5">
        <f>Table1[[#This Row],[Ordered]]-Table1[[#This Row],[Date ]]</f>
        <v>0.66666666666424135</v>
      </c>
      <c r="O1738">
        <f>Table1[[#This Row],[Company]]</f>
        <v>8</v>
      </c>
      <c r="P17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9" spans="1:16" x14ac:dyDescent="0.45">
      <c r="A1739" s="3">
        <v>45307.666666666664</v>
      </c>
      <c r="B1739" t="s">
        <v>14</v>
      </c>
      <c r="C1739">
        <v>8</v>
      </c>
      <c r="D1739">
        <v>1005</v>
      </c>
      <c r="E1739" t="s">
        <v>16</v>
      </c>
      <c r="F1739">
        <v>10</v>
      </c>
      <c r="G1739">
        <v>4185</v>
      </c>
      <c r="H1739">
        <v>41850</v>
      </c>
      <c r="I1739" s="3">
        <v>45308.625</v>
      </c>
      <c r="J1739">
        <v>96</v>
      </c>
      <c r="K1739" s="3">
        <v>45311.625</v>
      </c>
      <c r="L1739" s="4">
        <f>ROUNDDOWN(Table1[[#This Row],[Ordered]],0)</f>
        <v>45307</v>
      </c>
      <c r="M1739" s="4">
        <f>Table1[[#This Row],[Date ]]</f>
        <v>45307</v>
      </c>
      <c r="N1739" s="5">
        <f>Table1[[#This Row],[Ordered]]-Table1[[#This Row],[Date ]]</f>
        <v>0.66666666666424135</v>
      </c>
      <c r="O1739">
        <f>Table1[[#This Row],[Company]]</f>
        <v>8</v>
      </c>
      <c r="P17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0" spans="1:16" x14ac:dyDescent="0.45">
      <c r="A1740" s="3">
        <v>45307.666666666664</v>
      </c>
      <c r="B1740" t="s">
        <v>0</v>
      </c>
      <c r="C1740">
        <v>11</v>
      </c>
      <c r="D1740">
        <v>2003</v>
      </c>
      <c r="E1740" t="s">
        <v>15</v>
      </c>
      <c r="F1740">
        <v>10</v>
      </c>
      <c r="G1740">
        <v>6800</v>
      </c>
      <c r="H1740">
        <v>68000</v>
      </c>
      <c r="I1740" s="3">
        <v>45308.541666666664</v>
      </c>
      <c r="J1740">
        <v>108</v>
      </c>
      <c r="K1740" s="3">
        <v>45311.541666666664</v>
      </c>
      <c r="L1740" s="4">
        <f>ROUNDDOWN(Table1[[#This Row],[Ordered]],0)</f>
        <v>45307</v>
      </c>
      <c r="M1740" s="4">
        <f>Table1[[#This Row],[Date ]]</f>
        <v>45307</v>
      </c>
      <c r="N1740" s="5">
        <f>Table1[[#This Row],[Ordered]]-Table1[[#This Row],[Date ]]</f>
        <v>0.66666666666424135</v>
      </c>
      <c r="O1740">
        <f>Table1[[#This Row],[Company]]</f>
        <v>11</v>
      </c>
      <c r="P17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1" spans="1:16" x14ac:dyDescent="0.45">
      <c r="A1741" s="3">
        <v>45307.666666666664</v>
      </c>
      <c r="B1741" t="s">
        <v>0</v>
      </c>
      <c r="C1741">
        <v>13</v>
      </c>
      <c r="D1741">
        <v>2003</v>
      </c>
      <c r="E1741" t="s">
        <v>15</v>
      </c>
      <c r="F1741">
        <v>30</v>
      </c>
      <c r="G1741">
        <v>6300</v>
      </c>
      <c r="H1741">
        <v>189000</v>
      </c>
      <c r="I1741" s="3">
        <v>45308.5</v>
      </c>
      <c r="J1741">
        <v>132</v>
      </c>
      <c r="K1741" s="3">
        <v>45313</v>
      </c>
      <c r="L1741" s="4">
        <f>ROUNDDOWN(Table1[[#This Row],[Ordered]],0)</f>
        <v>45307</v>
      </c>
      <c r="M1741" s="4">
        <f>Table1[[#This Row],[Date ]]</f>
        <v>45307</v>
      </c>
      <c r="N1741" s="5">
        <f>Table1[[#This Row],[Ordered]]-Table1[[#This Row],[Date ]]</f>
        <v>0.66666666666424135</v>
      </c>
      <c r="O1741">
        <f>Table1[[#This Row],[Company]]</f>
        <v>13</v>
      </c>
      <c r="P17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2" spans="1:16" x14ac:dyDescent="0.45">
      <c r="A1742" s="3">
        <v>45307.666666666664</v>
      </c>
      <c r="B1742" t="s">
        <v>0</v>
      </c>
      <c r="C1742">
        <v>9</v>
      </c>
      <c r="D1742">
        <v>2003</v>
      </c>
      <c r="E1742" t="s">
        <v>16</v>
      </c>
      <c r="F1742">
        <v>30</v>
      </c>
      <c r="G1742">
        <v>3799</v>
      </c>
      <c r="H1742">
        <v>113970</v>
      </c>
      <c r="I1742" s="3">
        <v>45307.666666666664</v>
      </c>
      <c r="J1742">
        <v>112</v>
      </c>
      <c r="K1742" s="3">
        <v>45312.166666666664</v>
      </c>
      <c r="L1742" s="4">
        <f>ROUNDDOWN(Table1[[#This Row],[Ordered]],0)</f>
        <v>45307</v>
      </c>
      <c r="M1742" s="4">
        <f>Table1[[#This Row],[Date ]]</f>
        <v>45307</v>
      </c>
      <c r="N1742" s="5">
        <f>Table1[[#This Row],[Ordered]]-Table1[[#This Row],[Date ]]</f>
        <v>0.66666666666424135</v>
      </c>
      <c r="O1742">
        <f>Table1[[#This Row],[Company]]</f>
        <v>9</v>
      </c>
      <c r="P17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3" spans="1:16" x14ac:dyDescent="0.45">
      <c r="A1743" s="3">
        <v>45307.666666666664</v>
      </c>
      <c r="B1743" t="s">
        <v>0</v>
      </c>
      <c r="C1743">
        <v>12</v>
      </c>
      <c r="D1743">
        <v>2003</v>
      </c>
      <c r="E1743" t="s">
        <v>16</v>
      </c>
      <c r="F1743">
        <v>30</v>
      </c>
      <c r="G1743">
        <v>3800</v>
      </c>
      <c r="H1743">
        <v>114000</v>
      </c>
      <c r="I1743" s="3">
        <v>45307.708333333336</v>
      </c>
      <c r="J1743">
        <v>120</v>
      </c>
      <c r="K1743" s="3">
        <v>45312.333333333336</v>
      </c>
      <c r="L1743" s="4">
        <f>ROUNDDOWN(Table1[[#This Row],[Ordered]],0)</f>
        <v>45307</v>
      </c>
      <c r="M1743" s="4">
        <f>Table1[[#This Row],[Date ]]</f>
        <v>45307</v>
      </c>
      <c r="N1743" s="5">
        <f>Table1[[#This Row],[Ordered]]-Table1[[#This Row],[Date ]]</f>
        <v>0.66666666666424135</v>
      </c>
      <c r="O1743">
        <f>Table1[[#This Row],[Company]]</f>
        <v>12</v>
      </c>
      <c r="P17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4" spans="1:16" x14ac:dyDescent="0.45">
      <c r="A1744" s="3">
        <v>45307.666666666664</v>
      </c>
      <c r="B1744" t="s">
        <v>14</v>
      </c>
      <c r="C1744">
        <v>15</v>
      </c>
      <c r="D1744">
        <v>1005</v>
      </c>
      <c r="E1744" t="s">
        <v>16</v>
      </c>
      <c r="F1744">
        <v>50</v>
      </c>
      <c r="G1744">
        <v>3350</v>
      </c>
      <c r="H1744">
        <v>167500</v>
      </c>
      <c r="I1744" s="3">
        <v>45307.75</v>
      </c>
      <c r="J1744">
        <v>88</v>
      </c>
      <c r="K1744" s="3">
        <v>45310.75</v>
      </c>
      <c r="L1744" s="4">
        <f>ROUNDDOWN(Table1[[#This Row],[Ordered]],0)</f>
        <v>45307</v>
      </c>
      <c r="M1744" s="4">
        <f>Table1[[#This Row],[Date ]]</f>
        <v>45307</v>
      </c>
      <c r="N1744" s="5">
        <f>Table1[[#This Row],[Ordered]]-Table1[[#This Row],[Date ]]</f>
        <v>0.66666666666424135</v>
      </c>
      <c r="O1744">
        <f>Table1[[#This Row],[Company]]</f>
        <v>15</v>
      </c>
      <c r="P17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5" spans="1:16" x14ac:dyDescent="0.45">
      <c r="A1745" s="3">
        <v>45307.666666666664</v>
      </c>
      <c r="B1745" t="s">
        <v>0</v>
      </c>
      <c r="C1745">
        <v>9</v>
      </c>
      <c r="D1745">
        <v>2003</v>
      </c>
      <c r="E1745" t="s">
        <v>15</v>
      </c>
      <c r="F1745">
        <v>38</v>
      </c>
      <c r="G1745">
        <v>6489</v>
      </c>
      <c r="H1745">
        <v>246582</v>
      </c>
      <c r="I1745" s="3">
        <v>45307.833333333336</v>
      </c>
      <c r="J1745">
        <v>120</v>
      </c>
      <c r="K1745" s="3">
        <v>45312.333333333336</v>
      </c>
      <c r="L1745" s="4">
        <f>ROUNDDOWN(Table1[[#This Row],[Ordered]],0)</f>
        <v>45307</v>
      </c>
      <c r="M1745" s="4">
        <f>Table1[[#This Row],[Date ]]</f>
        <v>45307</v>
      </c>
      <c r="N1745" s="5">
        <f>Table1[[#This Row],[Ordered]]-Table1[[#This Row],[Date ]]</f>
        <v>0.66666666666424135</v>
      </c>
      <c r="O1745">
        <f>Table1[[#This Row],[Company]]</f>
        <v>9</v>
      </c>
      <c r="P17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6" spans="1:16" x14ac:dyDescent="0.45">
      <c r="A1746" s="3">
        <v>45307.666666666664</v>
      </c>
      <c r="B1746" t="s">
        <v>14</v>
      </c>
      <c r="C1746">
        <v>16</v>
      </c>
      <c r="D1746">
        <v>1005</v>
      </c>
      <c r="E1746" t="s">
        <v>16</v>
      </c>
      <c r="F1746">
        <v>30</v>
      </c>
      <c r="G1746">
        <v>3750</v>
      </c>
      <c r="H1746">
        <v>112500</v>
      </c>
      <c r="I1746" s="3">
        <v>45307.875</v>
      </c>
      <c r="J1746">
        <v>96</v>
      </c>
      <c r="K1746" s="3">
        <v>45311.041666666664</v>
      </c>
      <c r="L1746" s="4">
        <f>ROUNDDOWN(Table1[[#This Row],[Ordered]],0)</f>
        <v>45307</v>
      </c>
      <c r="M1746" s="4">
        <f>Table1[[#This Row],[Date ]]</f>
        <v>45307</v>
      </c>
      <c r="N1746" s="5">
        <f>Table1[[#This Row],[Ordered]]-Table1[[#This Row],[Date ]]</f>
        <v>0.66666666666424135</v>
      </c>
      <c r="O1746">
        <f>Table1[[#This Row],[Company]]</f>
        <v>16</v>
      </c>
      <c r="P17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7" spans="1:16" x14ac:dyDescent="0.45">
      <c r="A1747" s="3">
        <v>45307.666666666664</v>
      </c>
      <c r="B1747" t="s">
        <v>14</v>
      </c>
      <c r="C1747">
        <v>12</v>
      </c>
      <c r="D1747">
        <v>1005</v>
      </c>
      <c r="E1747" t="s">
        <v>16</v>
      </c>
      <c r="F1747">
        <v>11</v>
      </c>
      <c r="G1747">
        <v>3800</v>
      </c>
      <c r="H1747">
        <v>114000</v>
      </c>
      <c r="I1747" s="3">
        <v>45308.458333333336</v>
      </c>
      <c r="J1747">
        <v>96</v>
      </c>
      <c r="K1747" s="3">
        <v>45311.458333333336</v>
      </c>
      <c r="L1747" s="4">
        <f>ROUNDDOWN(Table1[[#This Row],[Ordered]],0)</f>
        <v>45307</v>
      </c>
      <c r="M1747" s="4">
        <f>Table1[[#This Row],[Date ]]</f>
        <v>45307</v>
      </c>
      <c r="N1747" s="5">
        <f>Table1[[#This Row],[Ordered]]-Table1[[#This Row],[Date ]]</f>
        <v>0.66666666666424135</v>
      </c>
      <c r="O1747">
        <f>Table1[[#This Row],[Company]]</f>
        <v>12</v>
      </c>
      <c r="P17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8" spans="1:16" x14ac:dyDescent="0.45">
      <c r="A1748" s="3">
        <v>45307.666666666664</v>
      </c>
      <c r="B1748" t="s">
        <v>14</v>
      </c>
      <c r="C1748">
        <v>13</v>
      </c>
      <c r="D1748">
        <v>1005</v>
      </c>
      <c r="E1748" t="s">
        <v>16</v>
      </c>
      <c r="F1748">
        <v>30</v>
      </c>
      <c r="G1748">
        <v>3400</v>
      </c>
      <c r="H1748">
        <v>102000</v>
      </c>
      <c r="I1748" s="3">
        <v>45308.5</v>
      </c>
      <c r="J1748">
        <v>96</v>
      </c>
      <c r="K1748" s="3">
        <v>45311.5</v>
      </c>
      <c r="L1748" s="4">
        <f>ROUNDDOWN(Table1[[#This Row],[Ordered]],0)</f>
        <v>45307</v>
      </c>
      <c r="M1748" s="4">
        <f>Table1[[#This Row],[Date ]]</f>
        <v>45307</v>
      </c>
      <c r="N1748" s="5">
        <f>Table1[[#This Row],[Ordered]]-Table1[[#This Row],[Date ]]</f>
        <v>0.66666666666424135</v>
      </c>
      <c r="O1748">
        <f>Table1[[#This Row],[Company]]</f>
        <v>13</v>
      </c>
      <c r="P17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9" spans="1:16" x14ac:dyDescent="0.45">
      <c r="A1749" s="3">
        <v>45307.666666666664</v>
      </c>
      <c r="B1749" t="s">
        <v>14</v>
      </c>
      <c r="C1749">
        <v>9</v>
      </c>
      <c r="D1749">
        <v>1005</v>
      </c>
      <c r="E1749" t="s">
        <v>16</v>
      </c>
      <c r="F1749">
        <v>15</v>
      </c>
      <c r="G1749">
        <v>3799</v>
      </c>
      <c r="H1749">
        <v>56985</v>
      </c>
      <c r="I1749" s="3">
        <v>45307.666666666664</v>
      </c>
      <c r="J1749">
        <v>76</v>
      </c>
      <c r="K1749" s="3">
        <v>45310.666666666664</v>
      </c>
      <c r="L1749" s="4">
        <f>ROUNDDOWN(Table1[[#This Row],[Ordered]],0)</f>
        <v>45307</v>
      </c>
      <c r="M1749" s="4">
        <f>Table1[[#This Row],[Date ]]</f>
        <v>45307</v>
      </c>
      <c r="N1749" s="5">
        <f>Table1[[#This Row],[Ordered]]-Table1[[#This Row],[Date ]]</f>
        <v>0.66666666666424135</v>
      </c>
      <c r="O1749">
        <f>Table1[[#This Row],[Company]]</f>
        <v>9</v>
      </c>
      <c r="P17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0" spans="1:16" x14ac:dyDescent="0.45">
      <c r="A1750" s="3">
        <v>45307.666666666664</v>
      </c>
      <c r="B1750" t="s">
        <v>0</v>
      </c>
      <c r="C1750">
        <v>15</v>
      </c>
      <c r="D1750">
        <v>2003</v>
      </c>
      <c r="E1750" t="s">
        <v>16</v>
      </c>
      <c r="F1750">
        <v>30</v>
      </c>
      <c r="G1750">
        <v>4050</v>
      </c>
      <c r="H1750">
        <v>121500</v>
      </c>
      <c r="I1750" s="3">
        <v>45307.708333333336</v>
      </c>
      <c r="J1750">
        <v>48</v>
      </c>
      <c r="K1750" s="3">
        <v>45309.208333333336</v>
      </c>
      <c r="L1750" s="4">
        <f>ROUNDDOWN(Table1[[#This Row],[Ordered]],0)</f>
        <v>45307</v>
      </c>
      <c r="M1750" s="4">
        <f>Table1[[#This Row],[Date ]]</f>
        <v>45307</v>
      </c>
      <c r="N1750" s="5">
        <f>Table1[[#This Row],[Ordered]]-Table1[[#This Row],[Date ]]</f>
        <v>0.66666666666424135</v>
      </c>
      <c r="O1750">
        <f>Table1[[#This Row],[Company]]</f>
        <v>15</v>
      </c>
      <c r="P17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1" spans="1:16" hidden="1" x14ac:dyDescent="0.45">
      <c r="A1751" s="3">
        <v>45307.666666666664</v>
      </c>
      <c r="B1751" t="s">
        <v>12</v>
      </c>
      <c r="C1751">
        <v>4</v>
      </c>
      <c r="D1751">
        <v>13</v>
      </c>
      <c r="E1751" t="s">
        <v>13</v>
      </c>
      <c r="F1751">
        <v>1500</v>
      </c>
      <c r="G1751">
        <v>110</v>
      </c>
      <c r="H1751">
        <v>165000</v>
      </c>
      <c r="I1751" s="3">
        <v>45308.208333333336</v>
      </c>
      <c r="J1751">
        <v>72</v>
      </c>
      <c r="K1751" s="3">
        <v>45311.208333333336</v>
      </c>
      <c r="L1751" s="4">
        <f>ROUNDDOWN(Table1[[#This Row],[Ordered]],0)</f>
        <v>45307</v>
      </c>
      <c r="M1751" s="4">
        <f>Table1[[#This Row],[Date ]]</f>
        <v>45307</v>
      </c>
      <c r="N1751" s="5">
        <f>Table1[[#This Row],[Ordered]]-Table1[[#This Row],[Date ]]</f>
        <v>0.66666666666424135</v>
      </c>
      <c r="O1751">
        <f>Table1[[#This Row],[Company]]</f>
        <v>4</v>
      </c>
      <c r="P17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2" spans="1:16" x14ac:dyDescent="0.45">
      <c r="A1752" s="3">
        <v>45307.666666666664</v>
      </c>
      <c r="B1752" t="s">
        <v>0</v>
      </c>
      <c r="C1752">
        <v>14</v>
      </c>
      <c r="D1752">
        <v>2003</v>
      </c>
      <c r="E1752" t="s">
        <v>15</v>
      </c>
      <c r="F1752">
        <v>29</v>
      </c>
      <c r="G1752">
        <v>6650</v>
      </c>
      <c r="H1752">
        <v>192850</v>
      </c>
      <c r="I1752" s="3">
        <v>45308.166666666664</v>
      </c>
      <c r="J1752">
        <v>132</v>
      </c>
      <c r="K1752" s="3">
        <v>45312.666666666664</v>
      </c>
      <c r="L1752" s="4">
        <f>ROUNDDOWN(Table1[[#This Row],[Ordered]],0)</f>
        <v>45307</v>
      </c>
      <c r="M1752" s="4">
        <f>Table1[[#This Row],[Date ]]</f>
        <v>45307</v>
      </c>
      <c r="N1752" s="5">
        <f>Table1[[#This Row],[Ordered]]-Table1[[#This Row],[Date ]]</f>
        <v>0.66666666666424135</v>
      </c>
      <c r="O1752">
        <f>Table1[[#This Row],[Company]]</f>
        <v>14</v>
      </c>
      <c r="P17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3" spans="1:16" x14ac:dyDescent="0.45">
      <c r="A1753" s="3">
        <v>45307.666666666664</v>
      </c>
      <c r="B1753" t="s">
        <v>0</v>
      </c>
      <c r="C1753">
        <v>10</v>
      </c>
      <c r="D1753">
        <v>2003</v>
      </c>
      <c r="E1753" t="s">
        <v>16</v>
      </c>
      <c r="F1753">
        <v>80</v>
      </c>
      <c r="G1753">
        <v>4100</v>
      </c>
      <c r="H1753">
        <v>328000</v>
      </c>
      <c r="I1753" s="3">
        <v>45307.833333333336</v>
      </c>
      <c r="J1753">
        <v>114</v>
      </c>
      <c r="K1753" s="3">
        <v>45312.333333333336</v>
      </c>
      <c r="L1753" s="4">
        <f>ROUNDDOWN(Table1[[#This Row],[Ordered]],0)</f>
        <v>45307</v>
      </c>
      <c r="M1753" s="4">
        <f>Table1[[#This Row],[Date ]]</f>
        <v>45307</v>
      </c>
      <c r="N1753" s="5">
        <f>Table1[[#This Row],[Ordered]]-Table1[[#This Row],[Date ]]</f>
        <v>0.66666666666424135</v>
      </c>
      <c r="O1753">
        <f>Table1[[#This Row],[Company]]</f>
        <v>10</v>
      </c>
      <c r="P17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4" spans="1:16" x14ac:dyDescent="0.45">
      <c r="A1754" s="3">
        <v>45307.666666666664</v>
      </c>
      <c r="B1754" t="s">
        <v>0</v>
      </c>
      <c r="C1754">
        <v>7</v>
      </c>
      <c r="D1754">
        <v>2003</v>
      </c>
      <c r="E1754" t="s">
        <v>15</v>
      </c>
      <c r="F1754">
        <v>25</v>
      </c>
      <c r="G1754">
        <v>6850</v>
      </c>
      <c r="H1754">
        <v>171250</v>
      </c>
      <c r="I1754" s="3">
        <v>45309.958333333336</v>
      </c>
      <c r="J1754">
        <v>132</v>
      </c>
      <c r="K1754" s="3">
        <v>45312.958333333336</v>
      </c>
      <c r="L1754" s="4">
        <f>ROUNDDOWN(Table1[[#This Row],[Ordered]],0)</f>
        <v>45307</v>
      </c>
      <c r="M1754" s="4">
        <f>Table1[[#This Row],[Date ]]</f>
        <v>45307</v>
      </c>
      <c r="N1754" s="5">
        <f>Table1[[#This Row],[Ordered]]-Table1[[#This Row],[Date ]]</f>
        <v>0.66666666666424135</v>
      </c>
      <c r="O1754">
        <f>Table1[[#This Row],[Company]]</f>
        <v>7</v>
      </c>
      <c r="P17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5" spans="1:16" x14ac:dyDescent="0.45">
      <c r="A1755" s="3">
        <v>45307.666666666664</v>
      </c>
      <c r="B1755" t="s">
        <v>14</v>
      </c>
      <c r="C1755">
        <v>11</v>
      </c>
      <c r="D1755">
        <v>1005</v>
      </c>
      <c r="E1755" t="s">
        <v>16</v>
      </c>
      <c r="F1755">
        <v>30</v>
      </c>
      <c r="G1755">
        <v>4000</v>
      </c>
      <c r="H1755">
        <v>120000</v>
      </c>
      <c r="I1755" s="3">
        <v>45307.875</v>
      </c>
      <c r="J1755">
        <v>96</v>
      </c>
      <c r="K1755" s="3">
        <v>45310.875</v>
      </c>
      <c r="L1755" s="4">
        <f>ROUNDDOWN(Table1[[#This Row],[Ordered]],0)</f>
        <v>45307</v>
      </c>
      <c r="M1755" s="4">
        <f>Table1[[#This Row],[Date ]]</f>
        <v>45307</v>
      </c>
      <c r="N1755" s="5">
        <f>Table1[[#This Row],[Ordered]]-Table1[[#This Row],[Date ]]</f>
        <v>0.66666666666424135</v>
      </c>
      <c r="O1755">
        <f>Table1[[#This Row],[Company]]</f>
        <v>11</v>
      </c>
      <c r="P17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6" spans="1:16" x14ac:dyDescent="0.45">
      <c r="A1756" s="3">
        <v>45307.666666666664</v>
      </c>
      <c r="B1756" t="s">
        <v>0</v>
      </c>
      <c r="C1756">
        <v>16</v>
      </c>
      <c r="D1756">
        <v>2003</v>
      </c>
      <c r="E1756" t="s">
        <v>15</v>
      </c>
      <c r="F1756">
        <v>30</v>
      </c>
      <c r="G1756">
        <v>6650</v>
      </c>
      <c r="H1756">
        <v>199500</v>
      </c>
      <c r="I1756" s="3">
        <v>45307.916666666664</v>
      </c>
      <c r="J1756">
        <v>132</v>
      </c>
      <c r="K1756" s="3">
        <v>45312.5</v>
      </c>
      <c r="L1756" s="4">
        <f>ROUNDDOWN(Table1[[#This Row],[Ordered]],0)</f>
        <v>45307</v>
      </c>
      <c r="M1756" s="4">
        <f>Table1[[#This Row],[Date ]]</f>
        <v>45307</v>
      </c>
      <c r="N1756" s="5">
        <f>Table1[[#This Row],[Ordered]]-Table1[[#This Row],[Date ]]</f>
        <v>0.66666666666424135</v>
      </c>
      <c r="O1756">
        <f>Table1[[#This Row],[Company]]</f>
        <v>16</v>
      </c>
      <c r="P17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7" spans="1:16" x14ac:dyDescent="0.45">
      <c r="A1757" s="3">
        <v>45307.666666666664</v>
      </c>
      <c r="B1757" t="s">
        <v>14</v>
      </c>
      <c r="C1757">
        <v>7</v>
      </c>
      <c r="D1757">
        <v>1005</v>
      </c>
      <c r="E1757" t="s">
        <v>16</v>
      </c>
      <c r="F1757">
        <v>30</v>
      </c>
      <c r="G1757">
        <v>3950</v>
      </c>
      <c r="H1757">
        <v>118500</v>
      </c>
      <c r="I1757" s="3">
        <v>45310.708333333336</v>
      </c>
      <c r="J1757">
        <v>96</v>
      </c>
      <c r="K1757" s="3">
        <v>45311.708333333336</v>
      </c>
      <c r="L1757" s="4">
        <f>ROUNDDOWN(Table1[[#This Row],[Ordered]],0)</f>
        <v>45307</v>
      </c>
      <c r="M1757" s="4">
        <f>Table1[[#This Row],[Date ]]</f>
        <v>45307</v>
      </c>
      <c r="N1757" s="5">
        <f>Table1[[#This Row],[Ordered]]-Table1[[#This Row],[Date ]]</f>
        <v>0.66666666666424135</v>
      </c>
      <c r="O1757">
        <f>Table1[[#This Row],[Company]]</f>
        <v>7</v>
      </c>
      <c r="P17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8" spans="1:16" x14ac:dyDescent="0.45">
      <c r="A1758" s="3">
        <v>45307.666666666664</v>
      </c>
      <c r="B1758" t="s">
        <v>0</v>
      </c>
      <c r="C1758">
        <v>15</v>
      </c>
      <c r="D1758">
        <v>2003</v>
      </c>
      <c r="E1758" t="s">
        <v>15</v>
      </c>
      <c r="F1758">
        <v>40</v>
      </c>
      <c r="G1758">
        <v>6200</v>
      </c>
      <c r="H1758">
        <v>248000</v>
      </c>
      <c r="I1758" s="3">
        <v>45307.708333333336</v>
      </c>
      <c r="J1758">
        <v>48</v>
      </c>
      <c r="K1758" s="3">
        <v>45309.208333333336</v>
      </c>
      <c r="L1758" s="4">
        <f>ROUNDDOWN(Table1[[#This Row],[Ordered]],0)</f>
        <v>45307</v>
      </c>
      <c r="M1758" s="4">
        <f>Table1[[#This Row],[Date ]]</f>
        <v>45307</v>
      </c>
      <c r="N1758" s="5">
        <f>Table1[[#This Row],[Ordered]]-Table1[[#This Row],[Date ]]</f>
        <v>0.66666666666424135</v>
      </c>
      <c r="O1758">
        <f>Table1[[#This Row],[Company]]</f>
        <v>15</v>
      </c>
      <c r="P17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9" spans="1:16" x14ac:dyDescent="0.45">
      <c r="A1759" s="3">
        <v>45307.666666666664</v>
      </c>
      <c r="B1759" t="s">
        <v>0</v>
      </c>
      <c r="C1759">
        <v>14</v>
      </c>
      <c r="D1759">
        <v>2003</v>
      </c>
      <c r="E1759" t="s">
        <v>16</v>
      </c>
      <c r="F1759">
        <v>36</v>
      </c>
      <c r="G1759">
        <v>3750</v>
      </c>
      <c r="H1759">
        <v>135000</v>
      </c>
      <c r="I1759" s="3">
        <v>45308.208333333336</v>
      </c>
      <c r="J1759">
        <v>132</v>
      </c>
      <c r="K1759" s="3">
        <v>45312.708333333336</v>
      </c>
      <c r="L1759" s="4">
        <f>ROUNDDOWN(Table1[[#This Row],[Ordered]],0)</f>
        <v>45307</v>
      </c>
      <c r="M1759" s="4">
        <f>Table1[[#This Row],[Date ]]</f>
        <v>45307</v>
      </c>
      <c r="N1759" s="5">
        <f>Table1[[#This Row],[Ordered]]-Table1[[#This Row],[Date ]]</f>
        <v>0.66666666666424135</v>
      </c>
      <c r="O1759">
        <f>Table1[[#This Row],[Company]]</f>
        <v>14</v>
      </c>
      <c r="P17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0" spans="1:16" hidden="1" x14ac:dyDescent="0.45">
      <c r="A1760" s="3">
        <v>45307.666666666664</v>
      </c>
      <c r="B1760" t="s">
        <v>12</v>
      </c>
      <c r="C1760">
        <v>6</v>
      </c>
      <c r="D1760">
        <v>12</v>
      </c>
      <c r="E1760" t="s">
        <v>13</v>
      </c>
      <c r="F1760">
        <v>1916</v>
      </c>
      <c r="G1760">
        <v>140</v>
      </c>
      <c r="H1760">
        <v>268240</v>
      </c>
      <c r="I1760" s="3">
        <v>45307.75</v>
      </c>
      <c r="J1760">
        <v>72</v>
      </c>
      <c r="K1760" s="3">
        <v>45310.75</v>
      </c>
      <c r="L1760" s="4">
        <f>ROUNDDOWN(Table1[[#This Row],[Ordered]],0)</f>
        <v>45307</v>
      </c>
      <c r="M1760" s="4">
        <f>Table1[[#This Row],[Date ]]</f>
        <v>45307</v>
      </c>
      <c r="N1760" s="5">
        <f>Table1[[#This Row],[Ordered]]-Table1[[#This Row],[Date ]]</f>
        <v>0.66666666666424135</v>
      </c>
      <c r="O1760">
        <f>Table1[[#This Row],[Company]]</f>
        <v>6</v>
      </c>
      <c r="P17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1" spans="1:16" x14ac:dyDescent="0.45">
      <c r="A1761" s="3">
        <v>45307.666666666664</v>
      </c>
      <c r="B1761" t="s">
        <v>14</v>
      </c>
      <c r="C1761">
        <v>14</v>
      </c>
      <c r="D1761">
        <v>1005</v>
      </c>
      <c r="E1761" t="s">
        <v>16</v>
      </c>
      <c r="F1761">
        <v>39</v>
      </c>
      <c r="G1761">
        <v>3750</v>
      </c>
      <c r="H1761">
        <v>146250</v>
      </c>
      <c r="I1761" s="3">
        <v>45308.166666666664</v>
      </c>
      <c r="J1761">
        <v>96</v>
      </c>
      <c r="K1761" s="3">
        <v>45311.166666666664</v>
      </c>
      <c r="L1761" s="4">
        <f>ROUNDDOWN(Table1[[#This Row],[Ordered]],0)</f>
        <v>45307</v>
      </c>
      <c r="M1761" s="4">
        <f>Table1[[#This Row],[Date ]]</f>
        <v>45307</v>
      </c>
      <c r="N1761" s="5">
        <f>Table1[[#This Row],[Ordered]]-Table1[[#This Row],[Date ]]</f>
        <v>0.66666666666424135</v>
      </c>
      <c r="O1761">
        <f>Table1[[#This Row],[Company]]</f>
        <v>14</v>
      </c>
      <c r="P17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2" spans="1:16" x14ac:dyDescent="0.45">
      <c r="A1762" s="3">
        <v>45307.666666666664</v>
      </c>
      <c r="B1762" t="s">
        <v>0</v>
      </c>
      <c r="C1762">
        <v>7</v>
      </c>
      <c r="D1762">
        <v>2003</v>
      </c>
      <c r="E1762" t="s">
        <v>16</v>
      </c>
      <c r="F1762">
        <v>30</v>
      </c>
      <c r="G1762">
        <v>3800</v>
      </c>
      <c r="H1762">
        <v>114000</v>
      </c>
      <c r="I1762" s="3">
        <v>45310.75</v>
      </c>
      <c r="J1762">
        <v>132</v>
      </c>
      <c r="K1762" s="3">
        <v>45312.25</v>
      </c>
      <c r="L1762" s="4">
        <f>ROUNDDOWN(Table1[[#This Row],[Ordered]],0)</f>
        <v>45307</v>
      </c>
      <c r="M1762" s="4">
        <f>Table1[[#This Row],[Date ]]</f>
        <v>45307</v>
      </c>
      <c r="N1762" s="5">
        <f>Table1[[#This Row],[Ordered]]-Table1[[#This Row],[Date ]]</f>
        <v>0.66666666666424135</v>
      </c>
      <c r="O1762">
        <f>Table1[[#This Row],[Company]]</f>
        <v>7</v>
      </c>
      <c r="P17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3" spans="1:16" x14ac:dyDescent="0.45">
      <c r="A1763" s="3">
        <v>45307.666666666664</v>
      </c>
      <c r="B1763" t="s">
        <v>0</v>
      </c>
      <c r="C1763">
        <v>8</v>
      </c>
      <c r="D1763">
        <v>2003</v>
      </c>
      <c r="E1763" t="s">
        <v>15</v>
      </c>
      <c r="F1763">
        <v>33</v>
      </c>
      <c r="G1763">
        <v>6000</v>
      </c>
      <c r="H1763">
        <v>198000</v>
      </c>
      <c r="I1763" s="3">
        <v>45310.291666666664</v>
      </c>
      <c r="J1763">
        <v>156</v>
      </c>
      <c r="K1763" s="3">
        <v>45313.291666666664</v>
      </c>
      <c r="L1763" s="4">
        <f>ROUNDDOWN(Table1[[#This Row],[Ordered]],0)</f>
        <v>45307</v>
      </c>
      <c r="M1763" s="4">
        <f>Table1[[#This Row],[Date ]]</f>
        <v>45307</v>
      </c>
      <c r="N1763" s="5">
        <f>Table1[[#This Row],[Ordered]]-Table1[[#This Row],[Date ]]</f>
        <v>0.66666666666424135</v>
      </c>
      <c r="O1763">
        <f>Table1[[#This Row],[Company]]</f>
        <v>8</v>
      </c>
      <c r="P17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4" spans="1:16" x14ac:dyDescent="0.45">
      <c r="A1764" s="3">
        <v>45307.666666666664</v>
      </c>
      <c r="B1764" t="s">
        <v>0</v>
      </c>
      <c r="C1764">
        <v>13</v>
      </c>
      <c r="D1764">
        <v>2003</v>
      </c>
      <c r="E1764" t="s">
        <v>16</v>
      </c>
      <c r="F1764">
        <v>30</v>
      </c>
      <c r="G1764">
        <v>3300</v>
      </c>
      <c r="H1764">
        <v>99000</v>
      </c>
      <c r="I1764" s="3">
        <v>45308.5</v>
      </c>
      <c r="J1764">
        <v>132</v>
      </c>
      <c r="K1764" s="3">
        <v>45313</v>
      </c>
      <c r="L1764" s="4">
        <f>ROUNDDOWN(Table1[[#This Row],[Ordered]],0)</f>
        <v>45307</v>
      </c>
      <c r="M1764" s="4">
        <f>Table1[[#This Row],[Date ]]</f>
        <v>45307</v>
      </c>
      <c r="N1764" s="5">
        <f>Table1[[#This Row],[Ordered]]-Table1[[#This Row],[Date ]]</f>
        <v>0.66666666666424135</v>
      </c>
      <c r="O1764">
        <f>Table1[[#This Row],[Company]]</f>
        <v>13</v>
      </c>
      <c r="P17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5" spans="1:16" x14ac:dyDescent="0.45">
      <c r="A1765" s="3">
        <v>45307.666666666664</v>
      </c>
      <c r="B1765" t="s">
        <v>14</v>
      </c>
      <c r="C1765">
        <v>12</v>
      </c>
      <c r="D1765">
        <v>1005</v>
      </c>
      <c r="E1765" t="s">
        <v>16</v>
      </c>
      <c r="F1765">
        <v>19</v>
      </c>
      <c r="G1765">
        <v>3800</v>
      </c>
      <c r="H1765">
        <v>72200</v>
      </c>
      <c r="I1765" s="3">
        <v>45310.041666666664</v>
      </c>
      <c r="J1765">
        <v>96</v>
      </c>
      <c r="K1765" s="3">
        <v>45311.041666666664</v>
      </c>
      <c r="L1765" s="4">
        <f>ROUNDDOWN(Table1[[#This Row],[Ordered]],0)</f>
        <v>45307</v>
      </c>
      <c r="M1765" s="4">
        <f>Table1[[#This Row],[Date ]]</f>
        <v>45307</v>
      </c>
      <c r="N1765" s="5">
        <f>Table1[[#This Row],[Ordered]]-Table1[[#This Row],[Date ]]</f>
        <v>0.66666666666424135</v>
      </c>
      <c r="O1765">
        <f>Table1[[#This Row],[Company]]</f>
        <v>12</v>
      </c>
      <c r="P17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6" spans="1:16" x14ac:dyDescent="0.45">
      <c r="A1766" s="3">
        <v>45307.666666666664</v>
      </c>
      <c r="B1766" t="s">
        <v>14</v>
      </c>
      <c r="C1766">
        <v>10</v>
      </c>
      <c r="D1766">
        <v>1005</v>
      </c>
      <c r="E1766" t="s">
        <v>16</v>
      </c>
      <c r="F1766">
        <v>30</v>
      </c>
      <c r="G1766">
        <v>4200</v>
      </c>
      <c r="H1766">
        <v>126000</v>
      </c>
      <c r="I1766" s="3">
        <v>45307.833333333336</v>
      </c>
      <c r="J1766">
        <v>84</v>
      </c>
      <c r="K1766" s="3">
        <v>45310.833333333336</v>
      </c>
      <c r="L1766" s="4">
        <f>ROUNDDOWN(Table1[[#This Row],[Ordered]],0)</f>
        <v>45307</v>
      </c>
      <c r="M1766" s="4">
        <f>Table1[[#This Row],[Date ]]</f>
        <v>45307</v>
      </c>
      <c r="N1766" s="5">
        <f>Table1[[#This Row],[Ordered]]-Table1[[#This Row],[Date ]]</f>
        <v>0.66666666666424135</v>
      </c>
      <c r="O1766">
        <f>Table1[[#This Row],[Company]]</f>
        <v>10</v>
      </c>
      <c r="P17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7" spans="1:16" x14ac:dyDescent="0.45">
      <c r="A1767" s="3">
        <v>45307.666666666664</v>
      </c>
      <c r="B1767" t="s">
        <v>0</v>
      </c>
      <c r="C1767">
        <v>12</v>
      </c>
      <c r="D1767">
        <v>2003</v>
      </c>
      <c r="E1767" t="s">
        <v>15</v>
      </c>
      <c r="F1767">
        <v>30</v>
      </c>
      <c r="G1767">
        <v>6750</v>
      </c>
      <c r="H1767">
        <v>202500</v>
      </c>
      <c r="I1767" s="3">
        <v>45309.125</v>
      </c>
      <c r="J1767">
        <v>120</v>
      </c>
      <c r="K1767" s="3">
        <v>45312.125</v>
      </c>
      <c r="L1767" s="4">
        <f>ROUNDDOWN(Table1[[#This Row],[Ordered]],0)</f>
        <v>45307</v>
      </c>
      <c r="M1767" s="4">
        <f>Table1[[#This Row],[Date ]]</f>
        <v>45307</v>
      </c>
      <c r="N1767" s="5">
        <f>Table1[[#This Row],[Ordered]]-Table1[[#This Row],[Date ]]</f>
        <v>0.66666666666424135</v>
      </c>
      <c r="O1767">
        <f>Table1[[#This Row],[Company]]</f>
        <v>12</v>
      </c>
      <c r="P17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8" spans="1:16" hidden="1" x14ac:dyDescent="0.45">
      <c r="A1768" s="3">
        <v>45307.708333333336</v>
      </c>
      <c r="B1768" t="s">
        <v>12</v>
      </c>
      <c r="C1768">
        <v>4</v>
      </c>
      <c r="D1768">
        <v>11</v>
      </c>
      <c r="E1768" t="s">
        <v>13</v>
      </c>
      <c r="F1768">
        <v>1500</v>
      </c>
      <c r="G1768">
        <v>110</v>
      </c>
      <c r="H1768">
        <v>165000</v>
      </c>
      <c r="I1768" s="3">
        <v>45307.708333333336</v>
      </c>
      <c r="J1768">
        <v>72</v>
      </c>
      <c r="K1768" s="3">
        <v>45310.708333333336</v>
      </c>
      <c r="L1768" s="4">
        <f>ROUNDDOWN(Table1[[#This Row],[Ordered]],0)</f>
        <v>45307</v>
      </c>
      <c r="M1768" s="4">
        <f>Table1[[#This Row],[Date ]]</f>
        <v>45307</v>
      </c>
      <c r="N1768" s="5">
        <f>Table1[[#This Row],[Ordered]]-Table1[[#This Row],[Date ]]</f>
        <v>0.70833333333575865</v>
      </c>
      <c r="O1768">
        <f>Table1[[#This Row],[Company]]</f>
        <v>4</v>
      </c>
      <c r="P17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9" spans="1:16" hidden="1" x14ac:dyDescent="0.45">
      <c r="A1769" s="3">
        <v>45307.75</v>
      </c>
      <c r="B1769" t="s">
        <v>12</v>
      </c>
      <c r="C1769">
        <v>6</v>
      </c>
      <c r="D1769">
        <v>15</v>
      </c>
      <c r="E1769" t="s">
        <v>17</v>
      </c>
      <c r="F1769">
        <v>315</v>
      </c>
      <c r="G1769">
        <v>1450</v>
      </c>
      <c r="H1769">
        <v>456750</v>
      </c>
      <c r="I1769" s="3">
        <v>45307.958333333336</v>
      </c>
      <c r="J1769">
        <v>72</v>
      </c>
      <c r="K1769" s="3">
        <v>45310.958333333336</v>
      </c>
      <c r="L1769" s="4">
        <f>ROUNDDOWN(Table1[[#This Row],[Ordered]],0)</f>
        <v>45307</v>
      </c>
      <c r="M1769" s="4">
        <f>Table1[[#This Row],[Date ]]</f>
        <v>45307</v>
      </c>
      <c r="N1769" s="5">
        <f>Table1[[#This Row],[Ordered]]-Table1[[#This Row],[Date ]]</f>
        <v>0.75</v>
      </c>
      <c r="O1769">
        <f>Table1[[#This Row],[Company]]</f>
        <v>6</v>
      </c>
      <c r="P17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0" spans="1:16" x14ac:dyDescent="0.45">
      <c r="A1770" s="3">
        <v>45307.791666666664</v>
      </c>
      <c r="B1770" t="s">
        <v>14</v>
      </c>
      <c r="C1770">
        <v>16</v>
      </c>
      <c r="D1770">
        <v>1002</v>
      </c>
      <c r="E1770" t="s">
        <v>16</v>
      </c>
      <c r="F1770">
        <v>18</v>
      </c>
      <c r="G1770">
        <v>3750</v>
      </c>
      <c r="H1770">
        <v>67500</v>
      </c>
      <c r="I1770" s="3">
        <v>45307.958333333336</v>
      </c>
      <c r="J1770">
        <v>96</v>
      </c>
      <c r="K1770" s="3">
        <v>45310.958333333336</v>
      </c>
      <c r="L1770" s="4">
        <f>ROUNDDOWN(Table1[[#This Row],[Ordered]],0)</f>
        <v>45307</v>
      </c>
      <c r="M1770" s="4">
        <f>Table1[[#This Row],[Date ]]</f>
        <v>45307</v>
      </c>
      <c r="N1770" s="5">
        <f>Table1[[#This Row],[Ordered]]-Table1[[#This Row],[Date ]]</f>
        <v>0.79166666666424135</v>
      </c>
      <c r="O1770">
        <f>Table1[[#This Row],[Company]]</f>
        <v>16</v>
      </c>
      <c r="P17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1" spans="1:16" x14ac:dyDescent="0.45">
      <c r="A1771" s="3">
        <v>45307.791666666664</v>
      </c>
      <c r="B1771" t="s">
        <v>14</v>
      </c>
      <c r="C1771">
        <v>9</v>
      </c>
      <c r="D1771">
        <v>1002</v>
      </c>
      <c r="E1771" t="s">
        <v>16</v>
      </c>
      <c r="F1771">
        <v>15</v>
      </c>
      <c r="G1771">
        <v>3799</v>
      </c>
      <c r="H1771">
        <v>56985</v>
      </c>
      <c r="I1771" s="3">
        <v>45307.791666666664</v>
      </c>
      <c r="J1771">
        <v>76</v>
      </c>
      <c r="K1771" s="3">
        <v>45310.791666666664</v>
      </c>
      <c r="L1771" s="4">
        <f>ROUNDDOWN(Table1[[#This Row],[Ordered]],0)</f>
        <v>45307</v>
      </c>
      <c r="M1771" s="4">
        <f>Table1[[#This Row],[Date ]]</f>
        <v>45307</v>
      </c>
      <c r="N1771" s="5">
        <f>Table1[[#This Row],[Ordered]]-Table1[[#This Row],[Date ]]</f>
        <v>0.79166666666424135</v>
      </c>
      <c r="O1771">
        <f>Table1[[#This Row],[Company]]</f>
        <v>9</v>
      </c>
      <c r="P17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2" spans="1:16" x14ac:dyDescent="0.45">
      <c r="A1772" s="3">
        <v>45307.791666666664</v>
      </c>
      <c r="B1772" t="s">
        <v>14</v>
      </c>
      <c r="C1772">
        <v>13</v>
      </c>
      <c r="D1772">
        <v>1002</v>
      </c>
      <c r="E1772" t="s">
        <v>16</v>
      </c>
      <c r="F1772">
        <v>30</v>
      </c>
      <c r="G1772">
        <v>3400</v>
      </c>
      <c r="H1772">
        <v>102000</v>
      </c>
      <c r="I1772" s="3">
        <v>45308.541666666664</v>
      </c>
      <c r="J1772">
        <v>96</v>
      </c>
      <c r="K1772" s="3">
        <v>45311.541666666664</v>
      </c>
      <c r="L1772" s="4">
        <f>ROUNDDOWN(Table1[[#This Row],[Ordered]],0)</f>
        <v>45307</v>
      </c>
      <c r="M1772" s="4">
        <f>Table1[[#This Row],[Date ]]</f>
        <v>45307</v>
      </c>
      <c r="N1772" s="5">
        <f>Table1[[#This Row],[Ordered]]-Table1[[#This Row],[Date ]]</f>
        <v>0.79166666666424135</v>
      </c>
      <c r="O1772">
        <f>Table1[[#This Row],[Company]]</f>
        <v>13</v>
      </c>
      <c r="P17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3" spans="1:16" x14ac:dyDescent="0.45">
      <c r="A1773" s="3">
        <v>45307.791666666664</v>
      </c>
      <c r="B1773" t="s">
        <v>14</v>
      </c>
      <c r="C1773">
        <v>8</v>
      </c>
      <c r="D1773">
        <v>1002</v>
      </c>
      <c r="E1773" t="s">
        <v>16</v>
      </c>
      <c r="F1773">
        <v>10</v>
      </c>
      <c r="G1773">
        <v>4185</v>
      </c>
      <c r="H1773">
        <v>41850</v>
      </c>
      <c r="I1773" s="3">
        <v>45308.708333333336</v>
      </c>
      <c r="J1773">
        <v>96</v>
      </c>
      <c r="K1773" s="3">
        <v>45311.708333333336</v>
      </c>
      <c r="L1773" s="4">
        <f>ROUNDDOWN(Table1[[#This Row],[Ordered]],0)</f>
        <v>45307</v>
      </c>
      <c r="M1773" s="4">
        <f>Table1[[#This Row],[Date ]]</f>
        <v>45307</v>
      </c>
      <c r="N1773" s="5">
        <f>Table1[[#This Row],[Ordered]]-Table1[[#This Row],[Date ]]</f>
        <v>0.79166666666424135</v>
      </c>
      <c r="O1773">
        <f>Table1[[#This Row],[Company]]</f>
        <v>8</v>
      </c>
      <c r="P17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4" spans="1:16" x14ac:dyDescent="0.45">
      <c r="A1774" s="3">
        <v>45307.791666666664</v>
      </c>
      <c r="B1774" t="s">
        <v>14</v>
      </c>
      <c r="C1774">
        <v>7</v>
      </c>
      <c r="D1774">
        <v>1002</v>
      </c>
      <c r="E1774" t="s">
        <v>16</v>
      </c>
      <c r="F1774">
        <v>15</v>
      </c>
      <c r="G1774">
        <v>3950</v>
      </c>
      <c r="H1774">
        <v>59250</v>
      </c>
      <c r="I1774" s="3">
        <v>45310.708333333336</v>
      </c>
      <c r="J1774">
        <v>96</v>
      </c>
      <c r="K1774" s="3">
        <v>45311.708333333336</v>
      </c>
      <c r="L1774" s="4">
        <f>ROUNDDOWN(Table1[[#This Row],[Ordered]],0)</f>
        <v>45307</v>
      </c>
      <c r="M1774" s="4">
        <f>Table1[[#This Row],[Date ]]</f>
        <v>45307</v>
      </c>
      <c r="N1774" s="5">
        <f>Table1[[#This Row],[Ordered]]-Table1[[#This Row],[Date ]]</f>
        <v>0.79166666666424135</v>
      </c>
      <c r="O1774">
        <f>Table1[[#This Row],[Company]]</f>
        <v>7</v>
      </c>
      <c r="P17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5" spans="1:16" x14ac:dyDescent="0.45">
      <c r="A1775" s="3">
        <v>45307.791666666664</v>
      </c>
      <c r="B1775" t="s">
        <v>14</v>
      </c>
      <c r="C1775">
        <v>12</v>
      </c>
      <c r="D1775">
        <v>1002</v>
      </c>
      <c r="E1775" t="s">
        <v>16</v>
      </c>
      <c r="F1775">
        <v>23</v>
      </c>
      <c r="G1775">
        <v>3800</v>
      </c>
      <c r="H1775">
        <v>87400</v>
      </c>
      <c r="I1775" s="3">
        <v>45310.541666666664</v>
      </c>
      <c r="J1775">
        <v>96</v>
      </c>
      <c r="K1775" s="3">
        <v>45311.541666666664</v>
      </c>
      <c r="L1775" s="4">
        <f>ROUNDDOWN(Table1[[#This Row],[Ordered]],0)</f>
        <v>45307</v>
      </c>
      <c r="M1775" s="4">
        <f>Table1[[#This Row],[Date ]]</f>
        <v>45307</v>
      </c>
      <c r="N1775" s="5">
        <f>Table1[[#This Row],[Ordered]]-Table1[[#This Row],[Date ]]</f>
        <v>0.79166666666424135</v>
      </c>
      <c r="O1775">
        <f>Table1[[#This Row],[Company]]</f>
        <v>12</v>
      </c>
      <c r="P17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6" spans="1:16" x14ac:dyDescent="0.45">
      <c r="A1776" s="3">
        <v>45307.791666666664</v>
      </c>
      <c r="B1776" t="s">
        <v>14</v>
      </c>
      <c r="C1776">
        <v>14</v>
      </c>
      <c r="D1776">
        <v>1002</v>
      </c>
      <c r="E1776" t="s">
        <v>16</v>
      </c>
      <c r="F1776">
        <v>31</v>
      </c>
      <c r="G1776">
        <v>3750</v>
      </c>
      <c r="H1776">
        <v>116250</v>
      </c>
      <c r="I1776" s="3">
        <v>45308.291666666664</v>
      </c>
      <c r="J1776">
        <v>96</v>
      </c>
      <c r="K1776" s="3">
        <v>45311.291666666664</v>
      </c>
      <c r="L1776" s="4">
        <f>ROUNDDOWN(Table1[[#This Row],[Ordered]],0)</f>
        <v>45307</v>
      </c>
      <c r="M1776" s="4">
        <f>Table1[[#This Row],[Date ]]</f>
        <v>45307</v>
      </c>
      <c r="N1776" s="5">
        <f>Table1[[#This Row],[Ordered]]-Table1[[#This Row],[Date ]]</f>
        <v>0.79166666666424135</v>
      </c>
      <c r="O1776">
        <f>Table1[[#This Row],[Company]]</f>
        <v>14</v>
      </c>
      <c r="P17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7" spans="1:16" x14ac:dyDescent="0.45">
      <c r="A1777" s="3">
        <v>45307.791666666664</v>
      </c>
      <c r="B1777" t="s">
        <v>14</v>
      </c>
      <c r="C1777">
        <v>15</v>
      </c>
      <c r="D1777">
        <v>1002</v>
      </c>
      <c r="E1777" t="s">
        <v>16</v>
      </c>
      <c r="F1777">
        <v>30</v>
      </c>
      <c r="G1777">
        <v>3450</v>
      </c>
      <c r="H1777">
        <v>103500</v>
      </c>
      <c r="I1777" s="3">
        <v>45307.875</v>
      </c>
      <c r="J1777">
        <v>88</v>
      </c>
      <c r="K1777" s="3">
        <v>45310.875</v>
      </c>
      <c r="L1777" s="4">
        <f>ROUNDDOWN(Table1[[#This Row],[Ordered]],0)</f>
        <v>45307</v>
      </c>
      <c r="M1777" s="4">
        <f>Table1[[#This Row],[Date ]]</f>
        <v>45307</v>
      </c>
      <c r="N1777" s="5">
        <f>Table1[[#This Row],[Ordered]]-Table1[[#This Row],[Date ]]</f>
        <v>0.79166666666424135</v>
      </c>
      <c r="O1777">
        <f>Table1[[#This Row],[Company]]</f>
        <v>15</v>
      </c>
      <c r="P17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8" spans="1:16" x14ac:dyDescent="0.45">
      <c r="A1778" s="3">
        <v>45307.791666666664</v>
      </c>
      <c r="B1778" t="s">
        <v>14</v>
      </c>
      <c r="C1778">
        <v>10</v>
      </c>
      <c r="D1778">
        <v>1002</v>
      </c>
      <c r="E1778" t="s">
        <v>16</v>
      </c>
      <c r="F1778">
        <v>30</v>
      </c>
      <c r="G1778">
        <v>4200</v>
      </c>
      <c r="H1778">
        <v>126000</v>
      </c>
      <c r="I1778" s="3">
        <v>45308.208333333336</v>
      </c>
      <c r="J1778">
        <v>84</v>
      </c>
      <c r="K1778" s="3">
        <v>45311.208333333336</v>
      </c>
      <c r="L1778" s="4">
        <f>ROUNDDOWN(Table1[[#This Row],[Ordered]],0)</f>
        <v>45307</v>
      </c>
      <c r="M1778" s="4">
        <f>Table1[[#This Row],[Date ]]</f>
        <v>45307</v>
      </c>
      <c r="N1778" s="5">
        <f>Table1[[#This Row],[Ordered]]-Table1[[#This Row],[Date ]]</f>
        <v>0.79166666666424135</v>
      </c>
      <c r="O1778">
        <f>Table1[[#This Row],[Company]]</f>
        <v>10</v>
      </c>
      <c r="P17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9" spans="1:16" x14ac:dyDescent="0.45">
      <c r="A1779" s="3">
        <v>45307.791666666664</v>
      </c>
      <c r="B1779" t="s">
        <v>14</v>
      </c>
      <c r="C1779">
        <v>11</v>
      </c>
      <c r="D1779">
        <v>1002</v>
      </c>
      <c r="E1779" t="s">
        <v>16</v>
      </c>
      <c r="F1779">
        <v>27</v>
      </c>
      <c r="G1779">
        <v>4000</v>
      </c>
      <c r="H1779">
        <v>108000</v>
      </c>
      <c r="I1779" s="3">
        <v>45308</v>
      </c>
      <c r="J1779">
        <v>96</v>
      </c>
      <c r="K1779" s="3">
        <v>45311</v>
      </c>
      <c r="L1779" s="4">
        <f>ROUNDDOWN(Table1[[#This Row],[Ordered]],0)</f>
        <v>45307</v>
      </c>
      <c r="M1779" s="4">
        <f>Table1[[#This Row],[Date ]]</f>
        <v>45307</v>
      </c>
      <c r="N1779" s="5">
        <f>Table1[[#This Row],[Ordered]]-Table1[[#This Row],[Date ]]</f>
        <v>0.79166666666424135</v>
      </c>
      <c r="O1779">
        <f>Table1[[#This Row],[Company]]</f>
        <v>11</v>
      </c>
      <c r="P17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0" spans="1:16" hidden="1" x14ac:dyDescent="0.45">
      <c r="A1780" s="3">
        <v>45307.875</v>
      </c>
      <c r="B1780" t="s">
        <v>12</v>
      </c>
      <c r="C1780">
        <v>5</v>
      </c>
      <c r="D1780">
        <v>16</v>
      </c>
      <c r="E1780" t="s">
        <v>13</v>
      </c>
      <c r="F1780">
        <v>2000</v>
      </c>
      <c r="G1780">
        <v>120</v>
      </c>
      <c r="H1780">
        <v>240000</v>
      </c>
      <c r="I1780" s="3">
        <v>45308.166666666664</v>
      </c>
      <c r="J1780">
        <v>24</v>
      </c>
      <c r="K1780" s="3">
        <v>45309.166666666664</v>
      </c>
      <c r="L1780" s="4">
        <f>ROUNDDOWN(Table1[[#This Row],[Ordered]],0)</f>
        <v>45307</v>
      </c>
      <c r="M1780" s="4">
        <f>Table1[[#This Row],[Date ]]</f>
        <v>45307</v>
      </c>
      <c r="N1780" s="5">
        <f>Table1[[#This Row],[Ordered]]-Table1[[#This Row],[Date ]]</f>
        <v>0.875</v>
      </c>
      <c r="O1780">
        <f>Table1[[#This Row],[Company]]</f>
        <v>5</v>
      </c>
      <c r="P17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1" spans="1:16" hidden="1" x14ac:dyDescent="0.45">
      <c r="A1781" s="3">
        <v>45307.916666666664</v>
      </c>
      <c r="B1781" t="s">
        <v>12</v>
      </c>
      <c r="C1781">
        <v>2</v>
      </c>
      <c r="D1781">
        <v>8</v>
      </c>
      <c r="E1781" t="s">
        <v>17</v>
      </c>
      <c r="F1781">
        <v>300</v>
      </c>
      <c r="G1781">
        <v>1700</v>
      </c>
      <c r="H1781">
        <v>510000</v>
      </c>
      <c r="I1781" s="3">
        <v>45307.958333333336</v>
      </c>
      <c r="J1781">
        <v>24</v>
      </c>
      <c r="K1781" s="3">
        <v>45308.958333333336</v>
      </c>
      <c r="L1781" s="4">
        <f>ROUNDDOWN(Table1[[#This Row],[Ordered]],0)</f>
        <v>45307</v>
      </c>
      <c r="M1781" s="4">
        <f>Table1[[#This Row],[Date ]]</f>
        <v>45307</v>
      </c>
      <c r="N1781" s="5">
        <f>Table1[[#This Row],[Ordered]]-Table1[[#This Row],[Date ]]</f>
        <v>0.91666666666424135</v>
      </c>
      <c r="O1781">
        <f>Table1[[#This Row],[Company]]</f>
        <v>2</v>
      </c>
      <c r="P17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2" spans="1:16" x14ac:dyDescent="0.45">
      <c r="A1782" s="3">
        <v>45307.958333333336</v>
      </c>
      <c r="B1782" t="s">
        <v>19</v>
      </c>
      <c r="C1782">
        <v>7</v>
      </c>
      <c r="D1782">
        <v>3006</v>
      </c>
      <c r="E1782" t="s">
        <v>16</v>
      </c>
      <c r="F1782">
        <v>7</v>
      </c>
      <c r="G1782">
        <v>4650</v>
      </c>
      <c r="H1782">
        <v>32550</v>
      </c>
      <c r="I1782" s="3">
        <v>45314</v>
      </c>
      <c r="J1782">
        <v>288</v>
      </c>
      <c r="K1782" s="3">
        <v>45319</v>
      </c>
      <c r="L1782" s="4">
        <f>ROUNDDOWN(Table1[[#This Row],[Ordered]],0)</f>
        <v>45307</v>
      </c>
      <c r="M1782" s="4">
        <f>Table1[[#This Row],[Date ]]</f>
        <v>45307</v>
      </c>
      <c r="N1782" s="5">
        <f>Table1[[#This Row],[Ordered]]-Table1[[#This Row],[Date ]]</f>
        <v>0.95833333333575865</v>
      </c>
      <c r="O1782">
        <f>Table1[[#This Row],[Company]]</f>
        <v>7</v>
      </c>
      <c r="P17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3" spans="1:16" x14ac:dyDescent="0.45">
      <c r="A1783" s="3">
        <v>45307.958333333336</v>
      </c>
      <c r="B1783" t="s">
        <v>19</v>
      </c>
      <c r="C1783">
        <v>15</v>
      </c>
      <c r="D1783">
        <v>3006</v>
      </c>
      <c r="E1783" t="s">
        <v>16</v>
      </c>
      <c r="F1783">
        <v>5</v>
      </c>
      <c r="G1783">
        <v>4150</v>
      </c>
      <c r="H1783">
        <v>20750</v>
      </c>
      <c r="I1783" s="3">
        <v>45309.208333333336</v>
      </c>
      <c r="J1783">
        <v>288</v>
      </c>
      <c r="K1783" s="3">
        <v>45319.208333333336</v>
      </c>
      <c r="L1783" s="4">
        <f>ROUNDDOWN(Table1[[#This Row],[Ordered]],0)</f>
        <v>45307</v>
      </c>
      <c r="M1783" s="4">
        <f>Table1[[#This Row],[Date ]]</f>
        <v>45307</v>
      </c>
      <c r="N1783" s="5">
        <f>Table1[[#This Row],[Ordered]]-Table1[[#This Row],[Date ]]</f>
        <v>0.95833333333575865</v>
      </c>
      <c r="O1783">
        <f>Table1[[#This Row],[Company]]</f>
        <v>15</v>
      </c>
      <c r="P17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4" spans="1:16" x14ac:dyDescent="0.45">
      <c r="A1784" s="3">
        <v>45307.958333333336</v>
      </c>
      <c r="B1784" t="s">
        <v>19</v>
      </c>
      <c r="C1784">
        <v>7</v>
      </c>
      <c r="D1784">
        <v>3002</v>
      </c>
      <c r="E1784" t="s">
        <v>16</v>
      </c>
      <c r="F1784">
        <v>6</v>
      </c>
      <c r="G1784">
        <v>4650</v>
      </c>
      <c r="H1784">
        <v>27900</v>
      </c>
      <c r="I1784" s="3">
        <v>45313.958333333336</v>
      </c>
      <c r="J1784">
        <v>288</v>
      </c>
      <c r="K1784" s="3">
        <v>45318.958333333336</v>
      </c>
      <c r="L1784" s="4">
        <f>ROUNDDOWN(Table1[[#This Row],[Ordered]],0)</f>
        <v>45307</v>
      </c>
      <c r="M1784" s="4">
        <f>Table1[[#This Row],[Date ]]</f>
        <v>45307</v>
      </c>
      <c r="N1784" s="5">
        <f>Table1[[#This Row],[Ordered]]-Table1[[#This Row],[Date ]]</f>
        <v>0.95833333333575865</v>
      </c>
      <c r="O1784">
        <f>Table1[[#This Row],[Company]]</f>
        <v>7</v>
      </c>
      <c r="P17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5" spans="1:16" x14ac:dyDescent="0.45">
      <c r="A1785" s="3">
        <v>45307.958333333336</v>
      </c>
      <c r="B1785" t="s">
        <v>19</v>
      </c>
      <c r="C1785">
        <v>15</v>
      </c>
      <c r="D1785">
        <v>3002</v>
      </c>
      <c r="E1785" t="s">
        <v>16</v>
      </c>
      <c r="F1785">
        <v>4</v>
      </c>
      <c r="G1785">
        <v>4150</v>
      </c>
      <c r="H1785">
        <v>16600</v>
      </c>
      <c r="I1785" s="3">
        <v>45309.208333333336</v>
      </c>
      <c r="J1785">
        <v>288</v>
      </c>
      <c r="K1785" s="3">
        <v>45319.208333333336</v>
      </c>
      <c r="L1785" s="4">
        <f>ROUNDDOWN(Table1[[#This Row],[Ordered]],0)</f>
        <v>45307</v>
      </c>
      <c r="M1785" s="4">
        <f>Table1[[#This Row],[Date ]]</f>
        <v>45307</v>
      </c>
      <c r="N1785" s="5">
        <f>Table1[[#This Row],[Ordered]]-Table1[[#This Row],[Date ]]</f>
        <v>0.95833333333575865</v>
      </c>
      <c r="O1785">
        <f>Table1[[#This Row],[Company]]</f>
        <v>15</v>
      </c>
      <c r="P17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6" spans="1:16" hidden="1" x14ac:dyDescent="0.45">
      <c r="A1786" s="3">
        <v>45308</v>
      </c>
      <c r="B1786" t="s">
        <v>12</v>
      </c>
      <c r="C1786">
        <v>4</v>
      </c>
      <c r="D1786">
        <v>11</v>
      </c>
      <c r="E1786" t="s">
        <v>17</v>
      </c>
      <c r="F1786">
        <v>200</v>
      </c>
      <c r="G1786">
        <v>1350</v>
      </c>
      <c r="H1786">
        <v>270000</v>
      </c>
      <c r="I1786" s="3">
        <v>45308</v>
      </c>
      <c r="J1786">
        <v>24</v>
      </c>
      <c r="K1786" s="3">
        <v>45309</v>
      </c>
      <c r="L1786" s="4">
        <f>ROUNDDOWN(Table1[[#This Row],[Ordered]],0)</f>
        <v>45308</v>
      </c>
      <c r="M1786" s="4">
        <f>Table1[[#This Row],[Date ]]</f>
        <v>45308</v>
      </c>
      <c r="N1786" s="5">
        <f>Table1[[#This Row],[Ordered]]-Table1[[#This Row],[Date ]]</f>
        <v>0</v>
      </c>
      <c r="O1786">
        <f>Table1[[#This Row],[Company]]</f>
        <v>4</v>
      </c>
      <c r="P17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7" spans="1:16" x14ac:dyDescent="0.45">
      <c r="A1787" s="3">
        <v>45308.083333333336</v>
      </c>
      <c r="B1787" t="s">
        <v>14</v>
      </c>
      <c r="C1787">
        <v>16</v>
      </c>
      <c r="D1787">
        <v>1001</v>
      </c>
      <c r="E1787" t="s">
        <v>16</v>
      </c>
      <c r="F1787">
        <v>30</v>
      </c>
      <c r="G1787">
        <v>3750</v>
      </c>
      <c r="H1787">
        <v>112500</v>
      </c>
      <c r="I1787" s="3">
        <v>45308.333333333336</v>
      </c>
      <c r="J1787">
        <v>96</v>
      </c>
      <c r="K1787" s="3">
        <v>45311.333333333336</v>
      </c>
      <c r="L1787" s="4">
        <f>ROUNDDOWN(Table1[[#This Row],[Ordered]],0)</f>
        <v>45308</v>
      </c>
      <c r="M1787" s="4">
        <f>Table1[[#This Row],[Date ]]</f>
        <v>45308</v>
      </c>
      <c r="N1787" s="5">
        <f>Table1[[#This Row],[Ordered]]-Table1[[#This Row],[Date ]]</f>
        <v>8.3333333335758653E-2</v>
      </c>
      <c r="O1787">
        <f>Table1[[#This Row],[Company]]</f>
        <v>16</v>
      </c>
      <c r="P17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8" spans="1:16" x14ac:dyDescent="0.45">
      <c r="A1788" s="3">
        <v>45308.083333333336</v>
      </c>
      <c r="B1788" t="s">
        <v>14</v>
      </c>
      <c r="C1788">
        <v>7</v>
      </c>
      <c r="D1788">
        <v>1001</v>
      </c>
      <c r="E1788" t="s">
        <v>16</v>
      </c>
      <c r="F1788">
        <v>22</v>
      </c>
      <c r="G1788">
        <v>3950</v>
      </c>
      <c r="H1788">
        <v>86900</v>
      </c>
      <c r="I1788" s="3">
        <v>45310.791666666664</v>
      </c>
      <c r="J1788">
        <v>96</v>
      </c>
      <c r="K1788" s="3">
        <v>45311.791666666664</v>
      </c>
      <c r="L1788" s="4">
        <f>ROUNDDOWN(Table1[[#This Row],[Ordered]],0)</f>
        <v>45308</v>
      </c>
      <c r="M1788" s="4">
        <f>Table1[[#This Row],[Date ]]</f>
        <v>45308</v>
      </c>
      <c r="N1788" s="5">
        <f>Table1[[#This Row],[Ordered]]-Table1[[#This Row],[Date ]]</f>
        <v>8.3333333335758653E-2</v>
      </c>
      <c r="O1788">
        <f>Table1[[#This Row],[Company]]</f>
        <v>7</v>
      </c>
      <c r="P17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9" spans="1:16" x14ac:dyDescent="0.45">
      <c r="A1789" s="3">
        <v>45308.083333333336</v>
      </c>
      <c r="B1789" t="s">
        <v>14</v>
      </c>
      <c r="C1789">
        <v>7</v>
      </c>
      <c r="D1789">
        <v>1005</v>
      </c>
      <c r="E1789" t="s">
        <v>15</v>
      </c>
      <c r="F1789">
        <v>6</v>
      </c>
      <c r="G1789">
        <v>6850</v>
      </c>
      <c r="H1789">
        <v>41100</v>
      </c>
      <c r="I1789" s="3">
        <v>45310.583333333336</v>
      </c>
      <c r="J1789">
        <v>96</v>
      </c>
      <c r="K1789" s="3">
        <v>45311.583333333336</v>
      </c>
      <c r="L1789" s="4">
        <f>ROUNDDOWN(Table1[[#This Row],[Ordered]],0)</f>
        <v>45308</v>
      </c>
      <c r="M1789" s="4">
        <f>Table1[[#This Row],[Date ]]</f>
        <v>45308</v>
      </c>
      <c r="N1789" s="5">
        <f>Table1[[#This Row],[Ordered]]-Table1[[#This Row],[Date ]]</f>
        <v>8.3333333335758653E-2</v>
      </c>
      <c r="O1789">
        <f>Table1[[#This Row],[Company]]</f>
        <v>7</v>
      </c>
      <c r="P17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0" spans="1:16" x14ac:dyDescent="0.45">
      <c r="A1790" s="3">
        <v>45308.083333333336</v>
      </c>
      <c r="B1790" t="s">
        <v>14</v>
      </c>
      <c r="C1790">
        <v>12</v>
      </c>
      <c r="D1790">
        <v>1001</v>
      </c>
      <c r="E1790" t="s">
        <v>16</v>
      </c>
      <c r="F1790">
        <v>30</v>
      </c>
      <c r="G1790">
        <v>3800</v>
      </c>
      <c r="H1790">
        <v>114000</v>
      </c>
      <c r="I1790" s="3">
        <v>45310.541666666664</v>
      </c>
      <c r="J1790">
        <v>96</v>
      </c>
      <c r="K1790" s="3">
        <v>45311.541666666664</v>
      </c>
      <c r="L1790" s="4">
        <f>ROUNDDOWN(Table1[[#This Row],[Ordered]],0)</f>
        <v>45308</v>
      </c>
      <c r="M1790" s="4">
        <f>Table1[[#This Row],[Date ]]</f>
        <v>45308</v>
      </c>
      <c r="N1790" s="5">
        <f>Table1[[#This Row],[Ordered]]-Table1[[#This Row],[Date ]]</f>
        <v>8.3333333335758653E-2</v>
      </c>
      <c r="O1790">
        <f>Table1[[#This Row],[Company]]</f>
        <v>12</v>
      </c>
      <c r="P17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1" spans="1:16" x14ac:dyDescent="0.45">
      <c r="A1791" s="3">
        <v>45308.083333333336</v>
      </c>
      <c r="B1791" t="s">
        <v>14</v>
      </c>
      <c r="C1791">
        <v>8</v>
      </c>
      <c r="D1791">
        <v>1001</v>
      </c>
      <c r="E1791" t="s">
        <v>16</v>
      </c>
      <c r="F1791">
        <v>25</v>
      </c>
      <c r="G1791">
        <v>3836</v>
      </c>
      <c r="H1791">
        <v>95900</v>
      </c>
      <c r="I1791" s="3">
        <v>45310.708333333336</v>
      </c>
      <c r="J1791">
        <v>144</v>
      </c>
      <c r="K1791" s="3">
        <v>45313.708333333336</v>
      </c>
      <c r="L1791" s="4">
        <f>ROUNDDOWN(Table1[[#This Row],[Ordered]],0)</f>
        <v>45308</v>
      </c>
      <c r="M1791" s="4">
        <f>Table1[[#This Row],[Date ]]</f>
        <v>45308</v>
      </c>
      <c r="N1791" s="5">
        <f>Table1[[#This Row],[Ordered]]-Table1[[#This Row],[Date ]]</f>
        <v>8.3333333335758653E-2</v>
      </c>
      <c r="O1791">
        <f>Table1[[#This Row],[Company]]</f>
        <v>8</v>
      </c>
      <c r="P17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2" spans="1:16" hidden="1" x14ac:dyDescent="0.45">
      <c r="A1792" s="3">
        <v>45308.083333333336</v>
      </c>
      <c r="B1792" t="s">
        <v>12</v>
      </c>
      <c r="C1792">
        <v>3</v>
      </c>
      <c r="D1792">
        <v>12</v>
      </c>
      <c r="E1792" t="s">
        <v>13</v>
      </c>
      <c r="F1792">
        <v>2700</v>
      </c>
      <c r="G1792">
        <v>120</v>
      </c>
      <c r="H1792">
        <v>324000</v>
      </c>
      <c r="I1792" s="3">
        <v>45308.125</v>
      </c>
      <c r="J1792">
        <v>72</v>
      </c>
      <c r="K1792" s="3">
        <v>45311.125</v>
      </c>
      <c r="L1792" s="4">
        <f>ROUNDDOWN(Table1[[#This Row],[Ordered]],0)</f>
        <v>45308</v>
      </c>
      <c r="M1792" s="4">
        <f>Table1[[#This Row],[Date ]]</f>
        <v>45308</v>
      </c>
      <c r="N1792" s="5">
        <f>Table1[[#This Row],[Ordered]]-Table1[[#This Row],[Date ]]</f>
        <v>8.3333333335758653E-2</v>
      </c>
      <c r="O1792">
        <f>Table1[[#This Row],[Company]]</f>
        <v>3</v>
      </c>
      <c r="P17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3" spans="1:16" x14ac:dyDescent="0.45">
      <c r="A1793" s="3">
        <v>45308.083333333336</v>
      </c>
      <c r="B1793" t="s">
        <v>14</v>
      </c>
      <c r="C1793">
        <v>15</v>
      </c>
      <c r="D1793">
        <v>1001</v>
      </c>
      <c r="E1793" t="s">
        <v>16</v>
      </c>
      <c r="F1793">
        <v>50</v>
      </c>
      <c r="G1793">
        <v>3350</v>
      </c>
      <c r="H1793">
        <v>167500</v>
      </c>
      <c r="I1793" s="3">
        <v>45308.166666666664</v>
      </c>
      <c r="J1793">
        <v>88</v>
      </c>
      <c r="K1793" s="3">
        <v>45311.166666666664</v>
      </c>
      <c r="L1793" s="4">
        <f>ROUNDDOWN(Table1[[#This Row],[Ordered]],0)</f>
        <v>45308</v>
      </c>
      <c r="M1793" s="4">
        <f>Table1[[#This Row],[Date ]]</f>
        <v>45308</v>
      </c>
      <c r="N1793" s="5">
        <f>Table1[[#This Row],[Ordered]]-Table1[[#This Row],[Date ]]</f>
        <v>8.3333333335758653E-2</v>
      </c>
      <c r="O1793">
        <f>Table1[[#This Row],[Company]]</f>
        <v>15</v>
      </c>
      <c r="P17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4" spans="1:16" x14ac:dyDescent="0.45">
      <c r="A1794" s="3">
        <v>45308.083333333336</v>
      </c>
      <c r="B1794" t="s">
        <v>14</v>
      </c>
      <c r="C1794">
        <v>15</v>
      </c>
      <c r="D1794">
        <v>1005</v>
      </c>
      <c r="E1794" t="s">
        <v>15</v>
      </c>
      <c r="F1794">
        <v>18</v>
      </c>
      <c r="G1794">
        <v>6350</v>
      </c>
      <c r="H1794">
        <v>114300</v>
      </c>
      <c r="I1794" s="3">
        <v>45308.166666666664</v>
      </c>
      <c r="J1794">
        <v>64</v>
      </c>
      <c r="K1794" s="3">
        <v>45310.166666666664</v>
      </c>
      <c r="L1794" s="4">
        <f>ROUNDDOWN(Table1[[#This Row],[Ordered]],0)</f>
        <v>45308</v>
      </c>
      <c r="M1794" s="4">
        <f>Table1[[#This Row],[Date ]]</f>
        <v>45308</v>
      </c>
      <c r="N1794" s="5">
        <f>Table1[[#This Row],[Ordered]]-Table1[[#This Row],[Date ]]</f>
        <v>8.3333333335758653E-2</v>
      </c>
      <c r="O1794">
        <f>Table1[[#This Row],[Company]]</f>
        <v>15</v>
      </c>
      <c r="P17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5" spans="1:16" x14ac:dyDescent="0.45">
      <c r="A1795" s="3">
        <v>45308.083333333336</v>
      </c>
      <c r="B1795" t="s">
        <v>14</v>
      </c>
      <c r="C1795">
        <v>9</v>
      </c>
      <c r="D1795">
        <v>1001</v>
      </c>
      <c r="E1795" t="s">
        <v>16</v>
      </c>
      <c r="F1795">
        <v>15</v>
      </c>
      <c r="G1795">
        <v>3799</v>
      </c>
      <c r="H1795">
        <v>56985</v>
      </c>
      <c r="I1795" s="3">
        <v>45308.208333333336</v>
      </c>
      <c r="J1795">
        <v>76</v>
      </c>
      <c r="K1795" s="3">
        <v>45311.208333333336</v>
      </c>
      <c r="L1795" s="4">
        <f>ROUNDDOWN(Table1[[#This Row],[Ordered]],0)</f>
        <v>45308</v>
      </c>
      <c r="M1795" s="4">
        <f>Table1[[#This Row],[Date ]]</f>
        <v>45308</v>
      </c>
      <c r="N1795" s="5">
        <f>Table1[[#This Row],[Ordered]]-Table1[[#This Row],[Date ]]</f>
        <v>8.3333333335758653E-2</v>
      </c>
      <c r="O1795">
        <f>Table1[[#This Row],[Company]]</f>
        <v>9</v>
      </c>
      <c r="P17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6" spans="1:16" x14ac:dyDescent="0.45">
      <c r="A1796" s="3">
        <v>45308.083333333336</v>
      </c>
      <c r="B1796" t="s">
        <v>14</v>
      </c>
      <c r="C1796">
        <v>14</v>
      </c>
      <c r="D1796">
        <v>1005</v>
      </c>
      <c r="E1796" t="s">
        <v>15</v>
      </c>
      <c r="F1796">
        <v>7</v>
      </c>
      <c r="G1796">
        <v>6650</v>
      </c>
      <c r="H1796">
        <v>46550</v>
      </c>
      <c r="I1796" s="3">
        <v>45308.583333333336</v>
      </c>
      <c r="J1796">
        <v>96</v>
      </c>
      <c r="K1796" s="3">
        <v>45311.583333333336</v>
      </c>
      <c r="L1796" s="4">
        <f>ROUNDDOWN(Table1[[#This Row],[Ordered]],0)</f>
        <v>45308</v>
      </c>
      <c r="M1796" s="4">
        <f>Table1[[#This Row],[Date ]]</f>
        <v>45308</v>
      </c>
      <c r="N1796" s="5">
        <f>Table1[[#This Row],[Ordered]]-Table1[[#This Row],[Date ]]</f>
        <v>8.3333333335758653E-2</v>
      </c>
      <c r="O1796">
        <f>Table1[[#This Row],[Company]]</f>
        <v>14</v>
      </c>
      <c r="P17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7" spans="1:16" x14ac:dyDescent="0.45">
      <c r="A1797" s="3">
        <v>45308.083333333336</v>
      </c>
      <c r="B1797" t="s">
        <v>14</v>
      </c>
      <c r="C1797">
        <v>16</v>
      </c>
      <c r="D1797">
        <v>1005</v>
      </c>
      <c r="E1797" t="s">
        <v>15</v>
      </c>
      <c r="F1797">
        <v>8</v>
      </c>
      <c r="G1797">
        <v>6650</v>
      </c>
      <c r="H1797">
        <v>53200</v>
      </c>
      <c r="I1797" s="3">
        <v>45308.333333333336</v>
      </c>
      <c r="J1797">
        <v>96</v>
      </c>
      <c r="K1797" s="3">
        <v>45311.333333333336</v>
      </c>
      <c r="L1797" s="4">
        <f>ROUNDDOWN(Table1[[#This Row],[Ordered]],0)</f>
        <v>45308</v>
      </c>
      <c r="M1797" s="4">
        <f>Table1[[#This Row],[Date ]]</f>
        <v>45308</v>
      </c>
      <c r="N1797" s="5">
        <f>Table1[[#This Row],[Ordered]]-Table1[[#This Row],[Date ]]</f>
        <v>8.3333333335758653E-2</v>
      </c>
      <c r="O1797">
        <f>Table1[[#This Row],[Company]]</f>
        <v>16</v>
      </c>
      <c r="P17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8" spans="1:16" x14ac:dyDescent="0.45">
      <c r="A1798" s="3">
        <v>45308.083333333336</v>
      </c>
      <c r="B1798" t="s">
        <v>14</v>
      </c>
      <c r="C1798">
        <v>14</v>
      </c>
      <c r="D1798">
        <v>1001</v>
      </c>
      <c r="E1798" t="s">
        <v>16</v>
      </c>
      <c r="F1798">
        <v>39</v>
      </c>
      <c r="G1798">
        <v>3750</v>
      </c>
      <c r="H1798">
        <v>146250</v>
      </c>
      <c r="I1798" s="3">
        <v>45308.583333333336</v>
      </c>
      <c r="J1798">
        <v>96</v>
      </c>
      <c r="K1798" s="3">
        <v>45311.583333333336</v>
      </c>
      <c r="L1798" s="4">
        <f>ROUNDDOWN(Table1[[#This Row],[Ordered]],0)</f>
        <v>45308</v>
      </c>
      <c r="M1798" s="4">
        <f>Table1[[#This Row],[Date ]]</f>
        <v>45308</v>
      </c>
      <c r="N1798" s="5">
        <f>Table1[[#This Row],[Ordered]]-Table1[[#This Row],[Date ]]</f>
        <v>8.3333333335758653E-2</v>
      </c>
      <c r="O1798">
        <f>Table1[[#This Row],[Company]]</f>
        <v>14</v>
      </c>
      <c r="P17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9" spans="1:16" x14ac:dyDescent="0.45">
      <c r="A1799" s="3">
        <v>45308.083333333336</v>
      </c>
      <c r="B1799" t="s">
        <v>14</v>
      </c>
      <c r="C1799">
        <v>11</v>
      </c>
      <c r="D1799">
        <v>1001</v>
      </c>
      <c r="E1799" t="s">
        <v>16</v>
      </c>
      <c r="F1799">
        <v>29</v>
      </c>
      <c r="G1799">
        <v>3900</v>
      </c>
      <c r="H1799">
        <v>113100</v>
      </c>
      <c r="I1799" s="3">
        <v>45308.875</v>
      </c>
      <c r="J1799">
        <v>108</v>
      </c>
      <c r="K1799" s="3">
        <v>45311.875</v>
      </c>
      <c r="L1799" s="4">
        <f>ROUNDDOWN(Table1[[#This Row],[Ordered]],0)</f>
        <v>45308</v>
      </c>
      <c r="M1799" s="4">
        <f>Table1[[#This Row],[Date ]]</f>
        <v>45308</v>
      </c>
      <c r="N1799" s="5">
        <f>Table1[[#This Row],[Ordered]]-Table1[[#This Row],[Date ]]</f>
        <v>8.3333333335758653E-2</v>
      </c>
      <c r="O1799">
        <f>Table1[[#This Row],[Company]]</f>
        <v>11</v>
      </c>
      <c r="P17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0" spans="1:16" x14ac:dyDescent="0.45">
      <c r="A1800" s="3">
        <v>45308.083333333336</v>
      </c>
      <c r="B1800" t="s">
        <v>14</v>
      </c>
      <c r="C1800">
        <v>13</v>
      </c>
      <c r="D1800">
        <v>1001</v>
      </c>
      <c r="E1800" t="s">
        <v>16</v>
      </c>
      <c r="F1800">
        <v>30</v>
      </c>
      <c r="G1800">
        <v>3400</v>
      </c>
      <c r="H1800">
        <v>102000</v>
      </c>
      <c r="I1800" s="3">
        <v>45309.833333333336</v>
      </c>
      <c r="J1800">
        <v>96</v>
      </c>
      <c r="K1800" s="3">
        <v>45311.833333333336</v>
      </c>
      <c r="L1800" s="4">
        <f>ROUNDDOWN(Table1[[#This Row],[Ordered]],0)</f>
        <v>45308</v>
      </c>
      <c r="M1800" s="4">
        <f>Table1[[#This Row],[Date ]]</f>
        <v>45308</v>
      </c>
      <c r="N1800" s="5">
        <f>Table1[[#This Row],[Ordered]]-Table1[[#This Row],[Date ]]</f>
        <v>8.3333333335758653E-2</v>
      </c>
      <c r="O1800">
        <f>Table1[[#This Row],[Company]]</f>
        <v>13</v>
      </c>
      <c r="P18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1" spans="1:16" x14ac:dyDescent="0.45">
      <c r="A1801" s="3">
        <v>45308.083333333336</v>
      </c>
      <c r="B1801" t="s">
        <v>14</v>
      </c>
      <c r="C1801">
        <v>12</v>
      </c>
      <c r="D1801">
        <v>1005</v>
      </c>
      <c r="E1801" t="s">
        <v>15</v>
      </c>
      <c r="F1801">
        <v>10</v>
      </c>
      <c r="G1801">
        <v>6700</v>
      </c>
      <c r="H1801">
        <v>67000</v>
      </c>
      <c r="I1801" s="3">
        <v>45308.75</v>
      </c>
      <c r="J1801">
        <v>96</v>
      </c>
      <c r="K1801" s="3">
        <v>45311.791666666664</v>
      </c>
      <c r="L1801" s="4">
        <f>ROUNDDOWN(Table1[[#This Row],[Ordered]],0)</f>
        <v>45308</v>
      </c>
      <c r="M1801" s="4">
        <f>Table1[[#This Row],[Date ]]</f>
        <v>45308</v>
      </c>
      <c r="N1801" s="5">
        <f>Table1[[#This Row],[Ordered]]-Table1[[#This Row],[Date ]]</f>
        <v>8.3333333335758653E-2</v>
      </c>
      <c r="O1801">
        <f>Table1[[#This Row],[Company]]</f>
        <v>12</v>
      </c>
      <c r="P18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2" spans="1:16" x14ac:dyDescent="0.45">
      <c r="A1802" s="3">
        <v>45308.083333333336</v>
      </c>
      <c r="B1802" t="s">
        <v>14</v>
      </c>
      <c r="C1802">
        <v>13</v>
      </c>
      <c r="D1802">
        <v>1005</v>
      </c>
      <c r="E1802" t="s">
        <v>15</v>
      </c>
      <c r="F1802">
        <v>15</v>
      </c>
      <c r="G1802">
        <v>6300</v>
      </c>
      <c r="H1802">
        <v>94500</v>
      </c>
      <c r="I1802" s="3">
        <v>45308.833333333336</v>
      </c>
      <c r="J1802">
        <v>96</v>
      </c>
      <c r="K1802" s="3">
        <v>45311.833333333336</v>
      </c>
      <c r="L1802" s="4">
        <f>ROUNDDOWN(Table1[[#This Row],[Ordered]],0)</f>
        <v>45308</v>
      </c>
      <c r="M1802" s="4">
        <f>Table1[[#This Row],[Date ]]</f>
        <v>45308</v>
      </c>
      <c r="N1802" s="5">
        <f>Table1[[#This Row],[Ordered]]-Table1[[#This Row],[Date ]]</f>
        <v>8.3333333335758653E-2</v>
      </c>
      <c r="O1802">
        <f>Table1[[#This Row],[Company]]</f>
        <v>13</v>
      </c>
      <c r="P18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3" spans="1:16" hidden="1" x14ac:dyDescent="0.45">
      <c r="A1803" s="3">
        <v>45308.125</v>
      </c>
      <c r="B1803" t="s">
        <v>12</v>
      </c>
      <c r="C1803">
        <v>3</v>
      </c>
      <c r="D1803">
        <v>13</v>
      </c>
      <c r="E1803" t="s">
        <v>13</v>
      </c>
      <c r="F1803">
        <v>2000</v>
      </c>
      <c r="G1803">
        <v>125</v>
      </c>
      <c r="H1803">
        <v>250000</v>
      </c>
      <c r="I1803" s="3">
        <v>45308.166666666664</v>
      </c>
      <c r="J1803">
        <v>72</v>
      </c>
      <c r="K1803" s="3">
        <v>45311.166666666664</v>
      </c>
      <c r="L1803" s="4">
        <f>ROUNDDOWN(Table1[[#This Row],[Ordered]],0)</f>
        <v>45308</v>
      </c>
      <c r="M1803" s="4">
        <f>Table1[[#This Row],[Date ]]</f>
        <v>45308</v>
      </c>
      <c r="N1803" s="5">
        <f>Table1[[#This Row],[Ordered]]-Table1[[#This Row],[Date ]]</f>
        <v>0.125</v>
      </c>
      <c r="O1803">
        <f>Table1[[#This Row],[Company]]</f>
        <v>3</v>
      </c>
      <c r="P18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4" spans="1:16" hidden="1" x14ac:dyDescent="0.45">
      <c r="A1804" s="3">
        <v>45308.125</v>
      </c>
      <c r="B1804" t="s">
        <v>12</v>
      </c>
      <c r="C1804">
        <v>1</v>
      </c>
      <c r="D1804">
        <v>13</v>
      </c>
      <c r="E1804" t="s">
        <v>17</v>
      </c>
      <c r="F1804">
        <v>300</v>
      </c>
      <c r="G1804">
        <v>1400</v>
      </c>
      <c r="H1804">
        <v>420000</v>
      </c>
      <c r="I1804" s="3">
        <v>45308.125</v>
      </c>
      <c r="J1804">
        <v>24</v>
      </c>
      <c r="K1804" s="3">
        <v>45309.125</v>
      </c>
      <c r="L1804" s="4">
        <f>ROUNDDOWN(Table1[[#This Row],[Ordered]],0)</f>
        <v>45308</v>
      </c>
      <c r="M1804" s="4">
        <f>Table1[[#This Row],[Date ]]</f>
        <v>45308</v>
      </c>
      <c r="N1804" s="5">
        <f>Table1[[#This Row],[Ordered]]-Table1[[#This Row],[Date ]]</f>
        <v>0.125</v>
      </c>
      <c r="O1804">
        <f>Table1[[#This Row],[Company]]</f>
        <v>1</v>
      </c>
      <c r="P18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5" spans="1:16" hidden="1" x14ac:dyDescent="0.45">
      <c r="A1805" s="3">
        <v>45308.166666666664</v>
      </c>
      <c r="B1805" t="s">
        <v>12</v>
      </c>
      <c r="C1805">
        <v>3</v>
      </c>
      <c r="D1805">
        <v>12</v>
      </c>
      <c r="E1805" t="s">
        <v>17</v>
      </c>
      <c r="F1805">
        <v>650</v>
      </c>
      <c r="G1805">
        <v>1300</v>
      </c>
      <c r="H1805">
        <v>845000</v>
      </c>
      <c r="I1805" s="3">
        <v>45308.208333333336</v>
      </c>
      <c r="J1805">
        <v>72</v>
      </c>
      <c r="K1805" s="3">
        <v>45311.208333333336</v>
      </c>
      <c r="L1805" s="4">
        <f>ROUNDDOWN(Table1[[#This Row],[Ordered]],0)</f>
        <v>45308</v>
      </c>
      <c r="M1805" s="4">
        <f>Table1[[#This Row],[Date ]]</f>
        <v>45308</v>
      </c>
      <c r="N1805" s="5">
        <f>Table1[[#This Row],[Ordered]]-Table1[[#This Row],[Date ]]</f>
        <v>0.16666666666424135</v>
      </c>
      <c r="O1805">
        <f>Table1[[#This Row],[Company]]</f>
        <v>3</v>
      </c>
      <c r="P18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6" spans="1:16" x14ac:dyDescent="0.45">
      <c r="A1806" s="3">
        <v>45308.25</v>
      </c>
      <c r="B1806" t="s">
        <v>14</v>
      </c>
      <c r="C1806">
        <v>13</v>
      </c>
      <c r="D1806">
        <v>1008</v>
      </c>
      <c r="E1806" t="s">
        <v>16</v>
      </c>
      <c r="F1806">
        <v>50</v>
      </c>
      <c r="G1806">
        <v>3300</v>
      </c>
      <c r="H1806">
        <v>165000</v>
      </c>
      <c r="I1806" s="3">
        <v>45310.916666666664</v>
      </c>
      <c r="J1806">
        <v>120</v>
      </c>
      <c r="K1806" s="3">
        <v>45312.916666666664</v>
      </c>
      <c r="L1806" s="4">
        <f>ROUNDDOWN(Table1[[#This Row],[Ordered]],0)</f>
        <v>45308</v>
      </c>
      <c r="M1806" s="4">
        <f>Table1[[#This Row],[Date ]]</f>
        <v>45308</v>
      </c>
      <c r="N1806" s="5">
        <f>Table1[[#This Row],[Ordered]]-Table1[[#This Row],[Date ]]</f>
        <v>0.25</v>
      </c>
      <c r="O1806">
        <f>Table1[[#This Row],[Company]]</f>
        <v>13</v>
      </c>
      <c r="P18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7" spans="1:16" x14ac:dyDescent="0.45">
      <c r="A1807" s="3">
        <v>45308.25</v>
      </c>
      <c r="B1807" t="s">
        <v>14</v>
      </c>
      <c r="C1807">
        <v>8</v>
      </c>
      <c r="D1807">
        <v>1008</v>
      </c>
      <c r="E1807" t="s">
        <v>16</v>
      </c>
      <c r="F1807">
        <v>30</v>
      </c>
      <c r="G1807">
        <v>3836</v>
      </c>
      <c r="H1807">
        <v>115080</v>
      </c>
      <c r="I1807" s="3">
        <v>45311.125</v>
      </c>
      <c r="J1807">
        <v>144</v>
      </c>
      <c r="K1807" s="3">
        <v>45314.125</v>
      </c>
      <c r="L1807" s="4">
        <f>ROUNDDOWN(Table1[[#This Row],[Ordered]],0)</f>
        <v>45308</v>
      </c>
      <c r="M1807" s="4">
        <f>Table1[[#This Row],[Date ]]</f>
        <v>45308</v>
      </c>
      <c r="N1807" s="5">
        <f>Table1[[#This Row],[Ordered]]-Table1[[#This Row],[Date ]]</f>
        <v>0.25</v>
      </c>
      <c r="O1807">
        <f>Table1[[#This Row],[Company]]</f>
        <v>8</v>
      </c>
      <c r="P18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8" spans="1:16" x14ac:dyDescent="0.45">
      <c r="A1808" s="3">
        <v>45308.25</v>
      </c>
      <c r="B1808" t="s">
        <v>14</v>
      </c>
      <c r="C1808">
        <v>16</v>
      </c>
      <c r="D1808">
        <v>1008</v>
      </c>
      <c r="E1808" t="s">
        <v>16</v>
      </c>
      <c r="F1808">
        <v>26</v>
      </c>
      <c r="G1808">
        <v>3650</v>
      </c>
      <c r="H1808">
        <v>94900</v>
      </c>
      <c r="I1808" s="3">
        <v>45309.416666666664</v>
      </c>
      <c r="J1808">
        <v>120</v>
      </c>
      <c r="K1808" s="3">
        <v>45312.416666666664</v>
      </c>
      <c r="L1808" s="4">
        <f>ROUNDDOWN(Table1[[#This Row],[Ordered]],0)</f>
        <v>45308</v>
      </c>
      <c r="M1808" s="4">
        <f>Table1[[#This Row],[Date ]]</f>
        <v>45308</v>
      </c>
      <c r="N1808" s="5">
        <f>Table1[[#This Row],[Ordered]]-Table1[[#This Row],[Date ]]</f>
        <v>0.25</v>
      </c>
      <c r="O1808">
        <f>Table1[[#This Row],[Company]]</f>
        <v>16</v>
      </c>
      <c r="P18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9" spans="1:16" x14ac:dyDescent="0.45">
      <c r="A1809" s="3">
        <v>45308.25</v>
      </c>
      <c r="B1809" t="s">
        <v>14</v>
      </c>
      <c r="C1809">
        <v>9</v>
      </c>
      <c r="D1809">
        <v>1008</v>
      </c>
      <c r="E1809" t="s">
        <v>16</v>
      </c>
      <c r="F1809">
        <v>52</v>
      </c>
      <c r="G1809">
        <v>3465</v>
      </c>
      <c r="H1809">
        <v>180180</v>
      </c>
      <c r="I1809" s="3">
        <v>45313</v>
      </c>
      <c r="J1809">
        <v>192</v>
      </c>
      <c r="K1809" s="3">
        <v>45316</v>
      </c>
      <c r="L1809" s="4">
        <f>ROUNDDOWN(Table1[[#This Row],[Ordered]],0)</f>
        <v>45308</v>
      </c>
      <c r="M1809" s="4">
        <f>Table1[[#This Row],[Date ]]</f>
        <v>45308</v>
      </c>
      <c r="N1809" s="5">
        <f>Table1[[#This Row],[Ordered]]-Table1[[#This Row],[Date ]]</f>
        <v>0.25</v>
      </c>
      <c r="O1809">
        <f>Table1[[#This Row],[Company]]</f>
        <v>9</v>
      </c>
      <c r="P18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0" spans="1:16" x14ac:dyDescent="0.45">
      <c r="A1810" s="3">
        <v>45308.25</v>
      </c>
      <c r="B1810" t="s">
        <v>14</v>
      </c>
      <c r="C1810">
        <v>12</v>
      </c>
      <c r="D1810">
        <v>1008</v>
      </c>
      <c r="E1810" t="s">
        <v>16</v>
      </c>
      <c r="F1810">
        <v>40</v>
      </c>
      <c r="G1810">
        <v>3700</v>
      </c>
      <c r="H1810">
        <v>148000</v>
      </c>
      <c r="I1810" s="3">
        <v>45310.541666666664</v>
      </c>
      <c r="J1810">
        <v>120</v>
      </c>
      <c r="K1810" s="3">
        <v>45312.541666666664</v>
      </c>
      <c r="L1810" s="4">
        <f>ROUNDDOWN(Table1[[#This Row],[Ordered]],0)</f>
        <v>45308</v>
      </c>
      <c r="M1810" s="4">
        <f>Table1[[#This Row],[Date ]]</f>
        <v>45308</v>
      </c>
      <c r="N1810" s="5">
        <f>Table1[[#This Row],[Ordered]]-Table1[[#This Row],[Date ]]</f>
        <v>0.25</v>
      </c>
      <c r="O1810">
        <f>Table1[[#This Row],[Company]]</f>
        <v>12</v>
      </c>
      <c r="P18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1" spans="1:16" hidden="1" x14ac:dyDescent="0.45">
      <c r="A1811" s="3">
        <v>45308.25</v>
      </c>
      <c r="B1811" t="s">
        <v>12</v>
      </c>
      <c r="C1811">
        <v>2</v>
      </c>
      <c r="D1811">
        <v>14</v>
      </c>
      <c r="E1811" t="s">
        <v>13</v>
      </c>
      <c r="F1811">
        <v>1500</v>
      </c>
      <c r="G1811">
        <v>125</v>
      </c>
      <c r="H1811">
        <v>187500</v>
      </c>
      <c r="I1811" s="3">
        <v>45308.25</v>
      </c>
      <c r="J1811">
        <v>48</v>
      </c>
      <c r="K1811" s="3">
        <v>45310.25</v>
      </c>
      <c r="L1811" s="4">
        <f>ROUNDDOWN(Table1[[#This Row],[Ordered]],0)</f>
        <v>45308</v>
      </c>
      <c r="M1811" s="4">
        <f>Table1[[#This Row],[Date ]]</f>
        <v>45308</v>
      </c>
      <c r="N1811" s="5">
        <f>Table1[[#This Row],[Ordered]]-Table1[[#This Row],[Date ]]</f>
        <v>0.25</v>
      </c>
      <c r="O1811">
        <f>Table1[[#This Row],[Company]]</f>
        <v>2</v>
      </c>
      <c r="P18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2" spans="1:16" x14ac:dyDescent="0.45">
      <c r="A1812" s="3">
        <v>45308.25</v>
      </c>
      <c r="B1812" t="s">
        <v>14</v>
      </c>
      <c r="C1812">
        <v>15</v>
      </c>
      <c r="D1812">
        <v>1008</v>
      </c>
      <c r="E1812" t="s">
        <v>16</v>
      </c>
      <c r="F1812">
        <v>50</v>
      </c>
      <c r="G1812">
        <v>3350</v>
      </c>
      <c r="H1812">
        <v>167500</v>
      </c>
      <c r="I1812" s="3">
        <v>45308.333333333336</v>
      </c>
      <c r="J1812">
        <v>88</v>
      </c>
      <c r="K1812" s="3">
        <v>45311.333333333336</v>
      </c>
      <c r="L1812" s="4">
        <f>ROUNDDOWN(Table1[[#This Row],[Ordered]],0)</f>
        <v>45308</v>
      </c>
      <c r="M1812" s="4">
        <f>Table1[[#This Row],[Date ]]</f>
        <v>45308</v>
      </c>
      <c r="N1812" s="5">
        <f>Table1[[#This Row],[Ordered]]-Table1[[#This Row],[Date ]]</f>
        <v>0.25</v>
      </c>
      <c r="O1812">
        <f>Table1[[#This Row],[Company]]</f>
        <v>15</v>
      </c>
      <c r="P18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3" spans="1:16" x14ac:dyDescent="0.45">
      <c r="A1813" s="3">
        <v>45308.25</v>
      </c>
      <c r="B1813" t="s">
        <v>14</v>
      </c>
      <c r="C1813">
        <v>7</v>
      </c>
      <c r="D1813">
        <v>1008</v>
      </c>
      <c r="E1813" t="s">
        <v>16</v>
      </c>
      <c r="F1813">
        <v>23</v>
      </c>
      <c r="G1813">
        <v>3900</v>
      </c>
      <c r="H1813">
        <v>89700</v>
      </c>
      <c r="I1813" s="3">
        <v>45311</v>
      </c>
      <c r="J1813">
        <v>120</v>
      </c>
      <c r="K1813" s="3">
        <v>45313</v>
      </c>
      <c r="L1813" s="4">
        <f>ROUNDDOWN(Table1[[#This Row],[Ordered]],0)</f>
        <v>45308</v>
      </c>
      <c r="M1813" s="4">
        <f>Table1[[#This Row],[Date ]]</f>
        <v>45308</v>
      </c>
      <c r="N1813" s="5">
        <f>Table1[[#This Row],[Ordered]]-Table1[[#This Row],[Date ]]</f>
        <v>0.25</v>
      </c>
      <c r="O1813">
        <f>Table1[[#This Row],[Company]]</f>
        <v>7</v>
      </c>
      <c r="P18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4" spans="1:16" x14ac:dyDescent="0.45">
      <c r="A1814" s="3">
        <v>45308.25</v>
      </c>
      <c r="B1814" t="s">
        <v>14</v>
      </c>
      <c r="C1814">
        <v>11</v>
      </c>
      <c r="D1814">
        <v>1008</v>
      </c>
      <c r="E1814" t="s">
        <v>16</v>
      </c>
      <c r="F1814">
        <v>35</v>
      </c>
      <c r="G1814">
        <v>3900</v>
      </c>
      <c r="H1814">
        <v>136500</v>
      </c>
      <c r="I1814" s="3">
        <v>45309</v>
      </c>
      <c r="J1814">
        <v>108</v>
      </c>
      <c r="K1814" s="3">
        <v>45312</v>
      </c>
      <c r="L1814" s="4">
        <f>ROUNDDOWN(Table1[[#This Row],[Ordered]],0)</f>
        <v>45308</v>
      </c>
      <c r="M1814" s="4">
        <f>Table1[[#This Row],[Date ]]</f>
        <v>45308</v>
      </c>
      <c r="N1814" s="5">
        <f>Table1[[#This Row],[Ordered]]-Table1[[#This Row],[Date ]]</f>
        <v>0.25</v>
      </c>
      <c r="O1814">
        <f>Table1[[#This Row],[Company]]</f>
        <v>11</v>
      </c>
      <c r="P18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5" spans="1:16" x14ac:dyDescent="0.45">
      <c r="A1815" s="3">
        <v>45308.25</v>
      </c>
      <c r="B1815" t="s">
        <v>14</v>
      </c>
      <c r="C1815">
        <v>14</v>
      </c>
      <c r="D1815">
        <v>1008</v>
      </c>
      <c r="E1815" t="s">
        <v>16</v>
      </c>
      <c r="F1815">
        <v>40</v>
      </c>
      <c r="G1815">
        <v>3650</v>
      </c>
      <c r="H1815">
        <v>146000</v>
      </c>
      <c r="I1815" s="3">
        <v>45309.375</v>
      </c>
      <c r="J1815">
        <v>120</v>
      </c>
      <c r="K1815" s="3">
        <v>45312.375</v>
      </c>
      <c r="L1815" s="4">
        <f>ROUNDDOWN(Table1[[#This Row],[Ordered]],0)</f>
        <v>45308</v>
      </c>
      <c r="M1815" s="4">
        <f>Table1[[#This Row],[Date ]]</f>
        <v>45308</v>
      </c>
      <c r="N1815" s="5">
        <f>Table1[[#This Row],[Ordered]]-Table1[[#This Row],[Date ]]</f>
        <v>0.25</v>
      </c>
      <c r="O1815">
        <f>Table1[[#This Row],[Company]]</f>
        <v>14</v>
      </c>
      <c r="P18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6" spans="1:16" x14ac:dyDescent="0.45">
      <c r="A1816" s="3">
        <v>45308.291666666664</v>
      </c>
      <c r="B1816" t="s">
        <v>14</v>
      </c>
      <c r="C1816">
        <v>7</v>
      </c>
      <c r="D1816">
        <v>1002</v>
      </c>
      <c r="E1816" t="s">
        <v>15</v>
      </c>
      <c r="F1816">
        <v>3</v>
      </c>
      <c r="G1816">
        <v>6850</v>
      </c>
      <c r="H1816">
        <v>20550</v>
      </c>
      <c r="I1816" s="3">
        <v>45310.5</v>
      </c>
      <c r="J1816">
        <v>96</v>
      </c>
      <c r="K1816" s="3">
        <v>45311.5</v>
      </c>
      <c r="L1816" s="4">
        <f>ROUNDDOWN(Table1[[#This Row],[Ordered]],0)</f>
        <v>45308</v>
      </c>
      <c r="M1816" s="4">
        <f>Table1[[#This Row],[Date ]]</f>
        <v>45308</v>
      </c>
      <c r="N1816" s="5">
        <f>Table1[[#This Row],[Ordered]]-Table1[[#This Row],[Date ]]</f>
        <v>0.29166666666424135</v>
      </c>
      <c r="O1816">
        <f>Table1[[#This Row],[Company]]</f>
        <v>7</v>
      </c>
      <c r="P18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7" spans="1:16" x14ac:dyDescent="0.45">
      <c r="A1817" s="3">
        <v>45308.291666666664</v>
      </c>
      <c r="B1817" t="s">
        <v>14</v>
      </c>
      <c r="C1817">
        <v>13</v>
      </c>
      <c r="D1817">
        <v>1002</v>
      </c>
      <c r="E1817" t="s">
        <v>15</v>
      </c>
      <c r="F1817">
        <v>9</v>
      </c>
      <c r="G1817">
        <v>6300</v>
      </c>
      <c r="H1817">
        <v>56700</v>
      </c>
      <c r="I1817" s="3">
        <v>45309.041666666664</v>
      </c>
      <c r="J1817">
        <v>96</v>
      </c>
      <c r="K1817" s="3">
        <v>45312.041666666664</v>
      </c>
      <c r="L1817" s="4">
        <f>ROUNDDOWN(Table1[[#This Row],[Ordered]],0)</f>
        <v>45308</v>
      </c>
      <c r="M1817" s="4">
        <f>Table1[[#This Row],[Date ]]</f>
        <v>45308</v>
      </c>
      <c r="N1817" s="5">
        <f>Table1[[#This Row],[Ordered]]-Table1[[#This Row],[Date ]]</f>
        <v>0.29166666666424135</v>
      </c>
      <c r="O1817">
        <f>Table1[[#This Row],[Company]]</f>
        <v>13</v>
      </c>
      <c r="P18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8" spans="1:16" x14ac:dyDescent="0.45">
      <c r="A1818" s="3">
        <v>45308.291666666664</v>
      </c>
      <c r="B1818" t="s">
        <v>14</v>
      </c>
      <c r="C1818">
        <v>12</v>
      </c>
      <c r="D1818">
        <v>1002</v>
      </c>
      <c r="E1818" t="s">
        <v>15</v>
      </c>
      <c r="F1818">
        <v>7</v>
      </c>
      <c r="G1818">
        <v>6700</v>
      </c>
      <c r="H1818">
        <v>46900</v>
      </c>
      <c r="I1818" s="3">
        <v>45308.75</v>
      </c>
      <c r="J1818">
        <v>96</v>
      </c>
      <c r="K1818" s="3">
        <v>45311.75</v>
      </c>
      <c r="L1818" s="4">
        <f>ROUNDDOWN(Table1[[#This Row],[Ordered]],0)</f>
        <v>45308</v>
      </c>
      <c r="M1818" s="4">
        <f>Table1[[#This Row],[Date ]]</f>
        <v>45308</v>
      </c>
      <c r="N1818" s="5">
        <f>Table1[[#This Row],[Ordered]]-Table1[[#This Row],[Date ]]</f>
        <v>0.29166666666424135</v>
      </c>
      <c r="O1818">
        <f>Table1[[#This Row],[Company]]</f>
        <v>12</v>
      </c>
      <c r="P18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9" spans="1:16" x14ac:dyDescent="0.45">
      <c r="A1819" s="3">
        <v>45308.291666666664</v>
      </c>
      <c r="B1819" t="s">
        <v>14</v>
      </c>
      <c r="C1819">
        <v>9</v>
      </c>
      <c r="D1819">
        <v>1002</v>
      </c>
      <c r="E1819" t="s">
        <v>15</v>
      </c>
      <c r="F1819">
        <v>8</v>
      </c>
      <c r="G1819">
        <v>6699</v>
      </c>
      <c r="H1819">
        <v>53592</v>
      </c>
      <c r="I1819" s="3">
        <v>45308.291666666664</v>
      </c>
      <c r="J1819">
        <v>75</v>
      </c>
      <c r="K1819" s="3">
        <v>45311.291666666664</v>
      </c>
      <c r="L1819" s="4">
        <f>ROUNDDOWN(Table1[[#This Row],[Ordered]],0)</f>
        <v>45308</v>
      </c>
      <c r="M1819" s="4">
        <f>Table1[[#This Row],[Date ]]</f>
        <v>45308</v>
      </c>
      <c r="N1819" s="5">
        <f>Table1[[#This Row],[Ordered]]-Table1[[#This Row],[Date ]]</f>
        <v>0.29166666666424135</v>
      </c>
      <c r="O1819">
        <f>Table1[[#This Row],[Company]]</f>
        <v>9</v>
      </c>
      <c r="P18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0" spans="1:16" x14ac:dyDescent="0.45">
      <c r="A1820" s="3">
        <v>45308.291666666664</v>
      </c>
      <c r="B1820" t="s">
        <v>14</v>
      </c>
      <c r="C1820">
        <v>8</v>
      </c>
      <c r="D1820">
        <v>1002</v>
      </c>
      <c r="E1820" t="s">
        <v>15</v>
      </c>
      <c r="F1820">
        <v>5</v>
      </c>
      <c r="G1820">
        <v>6911</v>
      </c>
      <c r="H1820">
        <v>34555</v>
      </c>
      <c r="I1820" s="3">
        <v>45310.291666666664</v>
      </c>
      <c r="J1820">
        <v>96</v>
      </c>
      <c r="K1820" s="3">
        <v>45312.291666666664</v>
      </c>
      <c r="L1820" s="4">
        <f>ROUNDDOWN(Table1[[#This Row],[Ordered]],0)</f>
        <v>45308</v>
      </c>
      <c r="M1820" s="4">
        <f>Table1[[#This Row],[Date ]]</f>
        <v>45308</v>
      </c>
      <c r="N1820" s="5">
        <f>Table1[[#This Row],[Ordered]]-Table1[[#This Row],[Date ]]</f>
        <v>0.29166666666424135</v>
      </c>
      <c r="O1820">
        <f>Table1[[#This Row],[Company]]</f>
        <v>8</v>
      </c>
      <c r="P18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1" spans="1:16" x14ac:dyDescent="0.45">
      <c r="A1821" s="3">
        <v>45308.291666666664</v>
      </c>
      <c r="B1821" t="s">
        <v>14</v>
      </c>
      <c r="C1821">
        <v>15</v>
      </c>
      <c r="D1821">
        <v>1002</v>
      </c>
      <c r="E1821" t="s">
        <v>15</v>
      </c>
      <c r="F1821">
        <v>11</v>
      </c>
      <c r="G1821">
        <v>6350</v>
      </c>
      <c r="H1821">
        <v>69850</v>
      </c>
      <c r="I1821" s="3">
        <v>45308.375</v>
      </c>
      <c r="J1821">
        <v>64</v>
      </c>
      <c r="K1821" s="3">
        <v>45310.458333333336</v>
      </c>
      <c r="L1821" s="4">
        <f>ROUNDDOWN(Table1[[#This Row],[Ordered]],0)</f>
        <v>45308</v>
      </c>
      <c r="M1821" s="4">
        <f>Table1[[#This Row],[Date ]]</f>
        <v>45308</v>
      </c>
      <c r="N1821" s="5">
        <f>Table1[[#This Row],[Ordered]]-Table1[[#This Row],[Date ]]</f>
        <v>0.29166666666424135</v>
      </c>
      <c r="O1821">
        <f>Table1[[#This Row],[Company]]</f>
        <v>15</v>
      </c>
      <c r="P18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2" spans="1:16" hidden="1" x14ac:dyDescent="0.45">
      <c r="A1822" s="3">
        <v>45308.291666666664</v>
      </c>
      <c r="B1822" t="s">
        <v>12</v>
      </c>
      <c r="C1822">
        <v>2</v>
      </c>
      <c r="D1822">
        <v>15</v>
      </c>
      <c r="E1822" t="s">
        <v>13</v>
      </c>
      <c r="F1822">
        <v>2800</v>
      </c>
      <c r="G1822">
        <v>130</v>
      </c>
      <c r="H1822">
        <v>364000</v>
      </c>
      <c r="I1822" s="3">
        <v>45308.375</v>
      </c>
      <c r="J1822">
        <v>72</v>
      </c>
      <c r="K1822" s="3">
        <v>45311.375</v>
      </c>
      <c r="L1822" s="4">
        <f>ROUNDDOWN(Table1[[#This Row],[Ordered]],0)</f>
        <v>45308</v>
      </c>
      <c r="M1822" s="4">
        <f>Table1[[#This Row],[Date ]]</f>
        <v>45308</v>
      </c>
      <c r="N1822" s="5">
        <f>Table1[[#This Row],[Ordered]]-Table1[[#This Row],[Date ]]</f>
        <v>0.29166666666424135</v>
      </c>
      <c r="O1822">
        <f>Table1[[#This Row],[Company]]</f>
        <v>2</v>
      </c>
      <c r="P18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3" spans="1:16" hidden="1" x14ac:dyDescent="0.45">
      <c r="A1823" s="3">
        <v>45308.291666666664</v>
      </c>
      <c r="B1823" t="s">
        <v>12</v>
      </c>
      <c r="C1823">
        <v>4</v>
      </c>
      <c r="D1823">
        <v>11</v>
      </c>
      <c r="E1823" t="s">
        <v>17</v>
      </c>
      <c r="F1823">
        <v>200</v>
      </c>
      <c r="G1823">
        <v>1450</v>
      </c>
      <c r="H1823">
        <v>290000</v>
      </c>
      <c r="I1823" s="3">
        <v>45308.333333333336</v>
      </c>
      <c r="J1823">
        <v>24</v>
      </c>
      <c r="K1823" s="3">
        <v>45309.333333333336</v>
      </c>
      <c r="L1823" s="4">
        <f>ROUNDDOWN(Table1[[#This Row],[Ordered]],0)</f>
        <v>45308</v>
      </c>
      <c r="M1823" s="4">
        <f>Table1[[#This Row],[Date ]]</f>
        <v>45308</v>
      </c>
      <c r="N1823" s="5">
        <f>Table1[[#This Row],[Ordered]]-Table1[[#This Row],[Date ]]</f>
        <v>0.29166666666424135</v>
      </c>
      <c r="O1823">
        <f>Table1[[#This Row],[Company]]</f>
        <v>4</v>
      </c>
      <c r="P18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4" spans="1:16" x14ac:dyDescent="0.45">
      <c r="A1824" s="3">
        <v>45308.291666666664</v>
      </c>
      <c r="B1824" t="s">
        <v>14</v>
      </c>
      <c r="C1824">
        <v>16</v>
      </c>
      <c r="D1824">
        <v>1002</v>
      </c>
      <c r="E1824" t="s">
        <v>15</v>
      </c>
      <c r="F1824">
        <v>6</v>
      </c>
      <c r="G1824">
        <v>6650</v>
      </c>
      <c r="H1824">
        <v>39900</v>
      </c>
      <c r="I1824" s="3">
        <v>45308.5</v>
      </c>
      <c r="J1824">
        <v>96</v>
      </c>
      <c r="K1824" s="3">
        <v>45311.5</v>
      </c>
      <c r="L1824" s="4">
        <f>ROUNDDOWN(Table1[[#This Row],[Ordered]],0)</f>
        <v>45308</v>
      </c>
      <c r="M1824" s="4">
        <f>Table1[[#This Row],[Date ]]</f>
        <v>45308</v>
      </c>
      <c r="N1824" s="5">
        <f>Table1[[#This Row],[Ordered]]-Table1[[#This Row],[Date ]]</f>
        <v>0.29166666666424135</v>
      </c>
      <c r="O1824">
        <f>Table1[[#This Row],[Company]]</f>
        <v>16</v>
      </c>
      <c r="P18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5" spans="1:16" x14ac:dyDescent="0.45">
      <c r="A1825" s="3">
        <v>45308.375</v>
      </c>
      <c r="B1825" t="s">
        <v>14</v>
      </c>
      <c r="C1825">
        <v>13</v>
      </c>
      <c r="D1825">
        <v>1001</v>
      </c>
      <c r="E1825" t="s">
        <v>15</v>
      </c>
      <c r="F1825">
        <v>7</v>
      </c>
      <c r="G1825">
        <v>6300</v>
      </c>
      <c r="H1825">
        <v>44100</v>
      </c>
      <c r="I1825" s="3">
        <v>45309.041666666664</v>
      </c>
      <c r="J1825">
        <v>96</v>
      </c>
      <c r="K1825" s="3">
        <v>45312.041666666664</v>
      </c>
      <c r="L1825" s="4">
        <f>ROUNDDOWN(Table1[[#This Row],[Ordered]],0)</f>
        <v>45308</v>
      </c>
      <c r="M1825" s="4">
        <f>Table1[[#This Row],[Date ]]</f>
        <v>45308</v>
      </c>
      <c r="N1825" s="5">
        <f>Table1[[#This Row],[Ordered]]-Table1[[#This Row],[Date ]]</f>
        <v>0.375</v>
      </c>
      <c r="O1825">
        <f>Table1[[#This Row],[Company]]</f>
        <v>13</v>
      </c>
      <c r="P18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6" spans="1:16" x14ac:dyDescent="0.45">
      <c r="A1826" s="3">
        <v>45308.375</v>
      </c>
      <c r="B1826" t="s">
        <v>14</v>
      </c>
      <c r="C1826">
        <v>15</v>
      </c>
      <c r="D1826">
        <v>1001</v>
      </c>
      <c r="E1826" t="s">
        <v>15</v>
      </c>
      <c r="F1826">
        <v>8</v>
      </c>
      <c r="G1826">
        <v>6350</v>
      </c>
      <c r="H1826">
        <v>50800</v>
      </c>
      <c r="I1826" s="3">
        <v>45308.5</v>
      </c>
      <c r="J1826">
        <v>64</v>
      </c>
      <c r="K1826" s="3">
        <v>45310.5</v>
      </c>
      <c r="L1826" s="4">
        <f>ROUNDDOWN(Table1[[#This Row],[Ordered]],0)</f>
        <v>45308</v>
      </c>
      <c r="M1826" s="4">
        <f>Table1[[#This Row],[Date ]]</f>
        <v>45308</v>
      </c>
      <c r="N1826" s="5">
        <f>Table1[[#This Row],[Ordered]]-Table1[[#This Row],[Date ]]</f>
        <v>0.375</v>
      </c>
      <c r="O1826">
        <f>Table1[[#This Row],[Company]]</f>
        <v>15</v>
      </c>
      <c r="P18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7" spans="1:16" x14ac:dyDescent="0.45">
      <c r="A1827" s="3">
        <v>45308.375</v>
      </c>
      <c r="B1827" t="s">
        <v>14</v>
      </c>
      <c r="C1827">
        <v>16</v>
      </c>
      <c r="D1827">
        <v>1001</v>
      </c>
      <c r="E1827" t="s">
        <v>15</v>
      </c>
      <c r="F1827">
        <v>5</v>
      </c>
      <c r="G1827">
        <v>6650</v>
      </c>
      <c r="H1827">
        <v>33250</v>
      </c>
      <c r="I1827" s="3">
        <v>45308.75</v>
      </c>
      <c r="J1827">
        <v>96</v>
      </c>
      <c r="K1827" s="3">
        <v>45311.916666666664</v>
      </c>
      <c r="L1827" s="4">
        <f>ROUNDDOWN(Table1[[#This Row],[Ordered]],0)</f>
        <v>45308</v>
      </c>
      <c r="M1827" s="4">
        <f>Table1[[#This Row],[Date ]]</f>
        <v>45308</v>
      </c>
      <c r="N1827" s="5">
        <f>Table1[[#This Row],[Ordered]]-Table1[[#This Row],[Date ]]</f>
        <v>0.375</v>
      </c>
      <c r="O1827">
        <f>Table1[[#This Row],[Company]]</f>
        <v>16</v>
      </c>
      <c r="P18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8" spans="1:16" x14ac:dyDescent="0.45">
      <c r="A1828" s="3">
        <v>45308.375</v>
      </c>
      <c r="B1828" t="s">
        <v>14</v>
      </c>
      <c r="C1828">
        <v>12</v>
      </c>
      <c r="D1828">
        <v>1001</v>
      </c>
      <c r="E1828" t="s">
        <v>15</v>
      </c>
      <c r="F1828">
        <v>5</v>
      </c>
      <c r="G1828">
        <v>6700</v>
      </c>
      <c r="H1828">
        <v>33500</v>
      </c>
      <c r="I1828" s="3">
        <v>45308.75</v>
      </c>
      <c r="J1828">
        <v>96</v>
      </c>
      <c r="K1828" s="3">
        <v>45311.75</v>
      </c>
      <c r="L1828" s="4">
        <f>ROUNDDOWN(Table1[[#This Row],[Ordered]],0)</f>
        <v>45308</v>
      </c>
      <c r="M1828" s="4">
        <f>Table1[[#This Row],[Date ]]</f>
        <v>45308</v>
      </c>
      <c r="N1828" s="5">
        <f>Table1[[#This Row],[Ordered]]-Table1[[#This Row],[Date ]]</f>
        <v>0.375</v>
      </c>
      <c r="O1828">
        <f>Table1[[#This Row],[Company]]</f>
        <v>12</v>
      </c>
      <c r="P18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9" spans="1:16" x14ac:dyDescent="0.45">
      <c r="A1829" s="3">
        <v>45308.375</v>
      </c>
      <c r="B1829" t="s">
        <v>14</v>
      </c>
      <c r="C1829">
        <v>7</v>
      </c>
      <c r="D1829">
        <v>1001</v>
      </c>
      <c r="E1829" t="s">
        <v>15</v>
      </c>
      <c r="F1829">
        <v>2</v>
      </c>
      <c r="G1829">
        <v>6850</v>
      </c>
      <c r="H1829">
        <v>13700</v>
      </c>
      <c r="I1829" s="3">
        <v>45310.541666666664</v>
      </c>
      <c r="J1829">
        <v>96</v>
      </c>
      <c r="K1829" s="3">
        <v>45311.541666666664</v>
      </c>
      <c r="L1829" s="4">
        <f>ROUNDDOWN(Table1[[#This Row],[Ordered]],0)</f>
        <v>45308</v>
      </c>
      <c r="M1829" s="4">
        <f>Table1[[#This Row],[Date ]]</f>
        <v>45308</v>
      </c>
      <c r="N1829" s="5">
        <f>Table1[[#This Row],[Ordered]]-Table1[[#This Row],[Date ]]</f>
        <v>0.375</v>
      </c>
      <c r="O1829">
        <f>Table1[[#This Row],[Company]]</f>
        <v>7</v>
      </c>
      <c r="P18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0" spans="1:16" hidden="1" x14ac:dyDescent="0.45">
      <c r="A1830" s="3">
        <v>45308.416666666664</v>
      </c>
      <c r="B1830" t="s">
        <v>12</v>
      </c>
      <c r="C1830">
        <v>5</v>
      </c>
      <c r="D1830">
        <v>16</v>
      </c>
      <c r="E1830" t="s">
        <v>17</v>
      </c>
      <c r="F1830">
        <v>400</v>
      </c>
      <c r="G1830">
        <v>1350</v>
      </c>
      <c r="H1830">
        <v>540000</v>
      </c>
      <c r="I1830" s="3">
        <v>45308.416666666664</v>
      </c>
      <c r="J1830">
        <v>24</v>
      </c>
      <c r="K1830" s="3">
        <v>45309.416666666664</v>
      </c>
      <c r="L1830" s="4">
        <f>ROUNDDOWN(Table1[[#This Row],[Ordered]],0)</f>
        <v>45308</v>
      </c>
      <c r="M1830" s="4">
        <f>Table1[[#This Row],[Date ]]</f>
        <v>45308</v>
      </c>
      <c r="N1830" s="5">
        <f>Table1[[#This Row],[Ordered]]-Table1[[#This Row],[Date ]]</f>
        <v>0.41666666666424135</v>
      </c>
      <c r="O1830">
        <f>Table1[[#This Row],[Company]]</f>
        <v>5</v>
      </c>
      <c r="P18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1" spans="1:16" hidden="1" x14ac:dyDescent="0.45">
      <c r="A1831" s="3">
        <v>45308.416666666664</v>
      </c>
      <c r="B1831" t="s">
        <v>12</v>
      </c>
      <c r="C1831">
        <v>3</v>
      </c>
      <c r="D1831">
        <v>13</v>
      </c>
      <c r="E1831" t="s">
        <v>17</v>
      </c>
      <c r="F1831">
        <v>150</v>
      </c>
      <c r="G1831">
        <v>1300</v>
      </c>
      <c r="H1831">
        <v>195000</v>
      </c>
      <c r="I1831" s="3">
        <v>45309.75</v>
      </c>
      <c r="J1831">
        <v>72</v>
      </c>
      <c r="K1831" s="3">
        <v>45312.75</v>
      </c>
      <c r="L1831" s="4">
        <f>ROUNDDOWN(Table1[[#This Row],[Ordered]],0)</f>
        <v>45308</v>
      </c>
      <c r="M1831" s="4">
        <f>Table1[[#This Row],[Date ]]</f>
        <v>45308</v>
      </c>
      <c r="N1831" s="5">
        <f>Table1[[#This Row],[Ordered]]-Table1[[#This Row],[Date ]]</f>
        <v>0.41666666666424135</v>
      </c>
      <c r="O1831">
        <f>Table1[[#This Row],[Company]]</f>
        <v>3</v>
      </c>
      <c r="P18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2" spans="1:16" x14ac:dyDescent="0.45">
      <c r="A1832" s="3">
        <v>45308.5</v>
      </c>
      <c r="B1832" t="s">
        <v>0</v>
      </c>
      <c r="C1832">
        <v>14</v>
      </c>
      <c r="D1832">
        <v>2004</v>
      </c>
      <c r="E1832" t="s">
        <v>16</v>
      </c>
      <c r="F1832">
        <v>36</v>
      </c>
      <c r="G1832">
        <v>3750</v>
      </c>
      <c r="H1832">
        <v>135000</v>
      </c>
      <c r="I1832" s="3">
        <v>45309</v>
      </c>
      <c r="J1832">
        <v>132</v>
      </c>
      <c r="K1832" s="3">
        <v>45313.541666666664</v>
      </c>
      <c r="L1832" s="4">
        <f>ROUNDDOWN(Table1[[#This Row],[Ordered]],0)</f>
        <v>45308</v>
      </c>
      <c r="M1832" s="4">
        <f>Table1[[#This Row],[Date ]]</f>
        <v>45308</v>
      </c>
      <c r="N1832" s="5">
        <f>Table1[[#This Row],[Ordered]]-Table1[[#This Row],[Date ]]</f>
        <v>0.5</v>
      </c>
      <c r="O1832">
        <f>Table1[[#This Row],[Company]]</f>
        <v>14</v>
      </c>
      <c r="P18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3" spans="1:16" x14ac:dyDescent="0.45">
      <c r="A1833" s="3">
        <v>45308.5</v>
      </c>
      <c r="B1833" t="s">
        <v>14</v>
      </c>
      <c r="C1833">
        <v>9</v>
      </c>
      <c r="D1833">
        <v>1006</v>
      </c>
      <c r="E1833" t="s">
        <v>16</v>
      </c>
      <c r="F1833">
        <v>15</v>
      </c>
      <c r="G1833">
        <v>3799</v>
      </c>
      <c r="H1833">
        <v>56985</v>
      </c>
      <c r="I1833" s="3">
        <v>45308.5</v>
      </c>
      <c r="J1833">
        <v>76</v>
      </c>
      <c r="K1833" s="3">
        <v>45311.5</v>
      </c>
      <c r="L1833" s="4">
        <f>ROUNDDOWN(Table1[[#This Row],[Ordered]],0)</f>
        <v>45308</v>
      </c>
      <c r="M1833" s="4">
        <f>Table1[[#This Row],[Date ]]</f>
        <v>45308</v>
      </c>
      <c r="N1833" s="5">
        <f>Table1[[#This Row],[Ordered]]-Table1[[#This Row],[Date ]]</f>
        <v>0.5</v>
      </c>
      <c r="O1833">
        <f>Table1[[#This Row],[Company]]</f>
        <v>9</v>
      </c>
      <c r="P18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4" spans="1:16" x14ac:dyDescent="0.45">
      <c r="A1834" s="3">
        <v>45308.5</v>
      </c>
      <c r="B1834" t="s">
        <v>0</v>
      </c>
      <c r="C1834">
        <v>12</v>
      </c>
      <c r="D1834">
        <v>2004</v>
      </c>
      <c r="E1834" t="s">
        <v>16</v>
      </c>
      <c r="F1834">
        <v>30</v>
      </c>
      <c r="G1834">
        <v>3800</v>
      </c>
      <c r="H1834">
        <v>114000</v>
      </c>
      <c r="I1834" s="3">
        <v>45310.541666666664</v>
      </c>
      <c r="J1834">
        <v>120</v>
      </c>
      <c r="K1834" s="3">
        <v>45313.541666666664</v>
      </c>
      <c r="L1834" s="4">
        <f>ROUNDDOWN(Table1[[#This Row],[Ordered]],0)</f>
        <v>45308</v>
      </c>
      <c r="M1834" s="4">
        <f>Table1[[#This Row],[Date ]]</f>
        <v>45308</v>
      </c>
      <c r="N1834" s="5">
        <f>Table1[[#This Row],[Ordered]]-Table1[[#This Row],[Date ]]</f>
        <v>0.5</v>
      </c>
      <c r="O1834">
        <f>Table1[[#This Row],[Company]]</f>
        <v>12</v>
      </c>
      <c r="P18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5" spans="1:16" x14ac:dyDescent="0.45">
      <c r="A1835" s="3">
        <v>45308.5</v>
      </c>
      <c r="B1835" t="s">
        <v>0</v>
      </c>
      <c r="C1835">
        <v>8</v>
      </c>
      <c r="D1835">
        <v>2004</v>
      </c>
      <c r="E1835" t="s">
        <v>16</v>
      </c>
      <c r="F1835">
        <v>30</v>
      </c>
      <c r="G1835">
        <v>3889</v>
      </c>
      <c r="H1835">
        <v>116670</v>
      </c>
      <c r="I1835" s="3">
        <v>45310.291666666664</v>
      </c>
      <c r="J1835">
        <v>156</v>
      </c>
      <c r="K1835" s="3">
        <v>45314.791666666664</v>
      </c>
      <c r="L1835" s="4">
        <f>ROUNDDOWN(Table1[[#This Row],[Ordered]],0)</f>
        <v>45308</v>
      </c>
      <c r="M1835" s="4">
        <f>Table1[[#This Row],[Date ]]</f>
        <v>45308</v>
      </c>
      <c r="N1835" s="5">
        <f>Table1[[#This Row],[Ordered]]-Table1[[#This Row],[Date ]]</f>
        <v>0.5</v>
      </c>
      <c r="O1835">
        <f>Table1[[#This Row],[Company]]</f>
        <v>8</v>
      </c>
      <c r="P18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6" spans="1:16" x14ac:dyDescent="0.45">
      <c r="A1836" s="3">
        <v>45308.5</v>
      </c>
      <c r="B1836" t="s">
        <v>0</v>
      </c>
      <c r="C1836">
        <v>15</v>
      </c>
      <c r="D1836">
        <v>2004</v>
      </c>
      <c r="E1836" t="s">
        <v>16</v>
      </c>
      <c r="F1836">
        <v>45</v>
      </c>
      <c r="G1836">
        <v>4050</v>
      </c>
      <c r="H1836">
        <v>182250</v>
      </c>
      <c r="I1836" s="3">
        <v>45308.583333333336</v>
      </c>
      <c r="J1836">
        <v>48</v>
      </c>
      <c r="K1836" s="3">
        <v>45310.083333333336</v>
      </c>
      <c r="L1836" s="4">
        <f>ROUNDDOWN(Table1[[#This Row],[Ordered]],0)</f>
        <v>45308</v>
      </c>
      <c r="M1836" s="4">
        <f>Table1[[#This Row],[Date ]]</f>
        <v>45308</v>
      </c>
      <c r="N1836" s="5">
        <f>Table1[[#This Row],[Ordered]]-Table1[[#This Row],[Date ]]</f>
        <v>0.5</v>
      </c>
      <c r="O1836">
        <f>Table1[[#This Row],[Company]]</f>
        <v>15</v>
      </c>
      <c r="P18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7" spans="1:16" x14ac:dyDescent="0.45">
      <c r="A1837" s="3">
        <v>45308.5</v>
      </c>
      <c r="B1837" t="s">
        <v>14</v>
      </c>
      <c r="C1837">
        <v>7</v>
      </c>
      <c r="D1837">
        <v>1006</v>
      </c>
      <c r="E1837" t="s">
        <v>16</v>
      </c>
      <c r="F1837">
        <v>32</v>
      </c>
      <c r="G1837">
        <v>3950</v>
      </c>
      <c r="H1837">
        <v>126400</v>
      </c>
      <c r="I1837" s="3">
        <v>45310.875</v>
      </c>
      <c r="J1837">
        <v>96</v>
      </c>
      <c r="K1837" s="3">
        <v>45311.875</v>
      </c>
      <c r="L1837" s="4">
        <f>ROUNDDOWN(Table1[[#This Row],[Ordered]],0)</f>
        <v>45308</v>
      </c>
      <c r="M1837" s="4">
        <f>Table1[[#This Row],[Date ]]</f>
        <v>45308</v>
      </c>
      <c r="N1837" s="5">
        <f>Table1[[#This Row],[Ordered]]-Table1[[#This Row],[Date ]]</f>
        <v>0.5</v>
      </c>
      <c r="O1837">
        <f>Table1[[#This Row],[Company]]</f>
        <v>7</v>
      </c>
      <c r="P18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8" spans="1:16" x14ac:dyDescent="0.45">
      <c r="A1838" s="3">
        <v>45308.5</v>
      </c>
      <c r="B1838" t="s">
        <v>14</v>
      </c>
      <c r="C1838">
        <v>15</v>
      </c>
      <c r="D1838">
        <v>1011</v>
      </c>
      <c r="E1838" t="s">
        <v>15</v>
      </c>
      <c r="F1838">
        <v>11</v>
      </c>
      <c r="G1838">
        <v>6350</v>
      </c>
      <c r="H1838">
        <v>69850</v>
      </c>
      <c r="I1838" s="3">
        <v>45308.541666666664</v>
      </c>
      <c r="J1838">
        <v>64</v>
      </c>
      <c r="K1838" s="3">
        <v>45310.541666666664</v>
      </c>
      <c r="L1838" s="4">
        <f>ROUNDDOWN(Table1[[#This Row],[Ordered]],0)</f>
        <v>45308</v>
      </c>
      <c r="M1838" s="4">
        <f>Table1[[#This Row],[Date ]]</f>
        <v>45308</v>
      </c>
      <c r="N1838" s="5">
        <f>Table1[[#This Row],[Ordered]]-Table1[[#This Row],[Date ]]</f>
        <v>0.5</v>
      </c>
      <c r="O1838">
        <f>Table1[[#This Row],[Company]]</f>
        <v>15</v>
      </c>
      <c r="P18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9" spans="1:16" x14ac:dyDescent="0.45">
      <c r="A1839" s="3">
        <v>45308.5</v>
      </c>
      <c r="B1839" t="s">
        <v>0</v>
      </c>
      <c r="C1839">
        <v>15</v>
      </c>
      <c r="D1839">
        <v>2004</v>
      </c>
      <c r="E1839" t="s">
        <v>15</v>
      </c>
      <c r="F1839">
        <v>25</v>
      </c>
      <c r="G1839">
        <v>6200</v>
      </c>
      <c r="H1839">
        <v>155000</v>
      </c>
      <c r="I1839" s="3">
        <v>45308.541666666664</v>
      </c>
      <c r="J1839">
        <v>48</v>
      </c>
      <c r="K1839" s="3">
        <v>45310.041666666664</v>
      </c>
      <c r="L1839" s="4">
        <f>ROUNDDOWN(Table1[[#This Row],[Ordered]],0)</f>
        <v>45308</v>
      </c>
      <c r="M1839" s="4">
        <f>Table1[[#This Row],[Date ]]</f>
        <v>45308</v>
      </c>
      <c r="N1839" s="5">
        <f>Table1[[#This Row],[Ordered]]-Table1[[#This Row],[Date ]]</f>
        <v>0.5</v>
      </c>
      <c r="O1839">
        <f>Table1[[#This Row],[Company]]</f>
        <v>15</v>
      </c>
      <c r="P18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0" spans="1:16" x14ac:dyDescent="0.45">
      <c r="A1840" s="3">
        <v>45308.5</v>
      </c>
      <c r="B1840" t="s">
        <v>0</v>
      </c>
      <c r="C1840">
        <v>13</v>
      </c>
      <c r="D1840">
        <v>2004</v>
      </c>
      <c r="E1840" t="s">
        <v>15</v>
      </c>
      <c r="F1840">
        <v>19</v>
      </c>
      <c r="G1840">
        <v>6300</v>
      </c>
      <c r="H1840">
        <v>119700</v>
      </c>
      <c r="I1840" s="3">
        <v>45312.208333333336</v>
      </c>
      <c r="J1840">
        <v>132</v>
      </c>
      <c r="K1840" s="3">
        <v>45313.708333333336</v>
      </c>
      <c r="L1840" s="4">
        <f>ROUNDDOWN(Table1[[#This Row],[Ordered]],0)</f>
        <v>45308</v>
      </c>
      <c r="M1840" s="4">
        <f>Table1[[#This Row],[Date ]]</f>
        <v>45308</v>
      </c>
      <c r="N1840" s="5">
        <f>Table1[[#This Row],[Ordered]]-Table1[[#This Row],[Date ]]</f>
        <v>0.5</v>
      </c>
      <c r="O1840">
        <f>Table1[[#This Row],[Company]]</f>
        <v>13</v>
      </c>
      <c r="P18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1" spans="1:16" x14ac:dyDescent="0.45">
      <c r="A1841" s="3">
        <v>45308.5</v>
      </c>
      <c r="B1841" t="s">
        <v>14</v>
      </c>
      <c r="C1841">
        <v>15</v>
      </c>
      <c r="D1841">
        <v>1006</v>
      </c>
      <c r="E1841" t="s">
        <v>16</v>
      </c>
      <c r="F1841">
        <v>50</v>
      </c>
      <c r="G1841">
        <v>3350</v>
      </c>
      <c r="H1841">
        <v>167500</v>
      </c>
      <c r="I1841" s="3">
        <v>45308.541666666664</v>
      </c>
      <c r="J1841">
        <v>88</v>
      </c>
      <c r="K1841" s="3">
        <v>45311.583333333336</v>
      </c>
      <c r="L1841" s="4">
        <f>ROUNDDOWN(Table1[[#This Row],[Ordered]],0)</f>
        <v>45308</v>
      </c>
      <c r="M1841" s="4">
        <f>Table1[[#This Row],[Date ]]</f>
        <v>45308</v>
      </c>
      <c r="N1841" s="5">
        <f>Table1[[#This Row],[Ordered]]-Table1[[#This Row],[Date ]]</f>
        <v>0.5</v>
      </c>
      <c r="O1841">
        <f>Table1[[#This Row],[Company]]</f>
        <v>15</v>
      </c>
      <c r="P18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2" spans="1:16" x14ac:dyDescent="0.45">
      <c r="A1842" s="3">
        <v>45308.5</v>
      </c>
      <c r="B1842" t="s">
        <v>14</v>
      </c>
      <c r="C1842">
        <v>14</v>
      </c>
      <c r="D1842">
        <v>1006</v>
      </c>
      <c r="E1842" t="s">
        <v>16</v>
      </c>
      <c r="F1842">
        <v>39</v>
      </c>
      <c r="G1842">
        <v>3750</v>
      </c>
      <c r="H1842">
        <v>146250</v>
      </c>
      <c r="I1842" s="3">
        <v>45308.666666666664</v>
      </c>
      <c r="J1842">
        <v>84</v>
      </c>
      <c r="K1842" s="3">
        <v>45311.666666666664</v>
      </c>
      <c r="L1842" s="4">
        <f>ROUNDDOWN(Table1[[#This Row],[Ordered]],0)</f>
        <v>45308</v>
      </c>
      <c r="M1842" s="4">
        <f>Table1[[#This Row],[Date ]]</f>
        <v>45308</v>
      </c>
      <c r="N1842" s="5">
        <f>Table1[[#This Row],[Ordered]]-Table1[[#This Row],[Date ]]</f>
        <v>0.5</v>
      </c>
      <c r="O1842">
        <f>Table1[[#This Row],[Company]]</f>
        <v>14</v>
      </c>
      <c r="P18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3" spans="1:16" x14ac:dyDescent="0.45">
      <c r="A1843" s="3">
        <v>45308.5</v>
      </c>
      <c r="B1843" t="s">
        <v>0</v>
      </c>
      <c r="C1843">
        <v>11</v>
      </c>
      <c r="D1843">
        <v>2004</v>
      </c>
      <c r="E1843" t="s">
        <v>16</v>
      </c>
      <c r="F1843">
        <v>40</v>
      </c>
      <c r="G1843">
        <v>4000</v>
      </c>
      <c r="H1843">
        <v>160000</v>
      </c>
      <c r="I1843" s="3">
        <v>45308.791666666664</v>
      </c>
      <c r="J1843">
        <v>132</v>
      </c>
      <c r="K1843" s="3">
        <v>45313.291666666664</v>
      </c>
      <c r="L1843" s="4">
        <f>ROUNDDOWN(Table1[[#This Row],[Ordered]],0)</f>
        <v>45308</v>
      </c>
      <c r="M1843" s="4">
        <f>Table1[[#This Row],[Date ]]</f>
        <v>45308</v>
      </c>
      <c r="N1843" s="5">
        <f>Table1[[#This Row],[Ordered]]-Table1[[#This Row],[Date ]]</f>
        <v>0.5</v>
      </c>
      <c r="O1843">
        <f>Table1[[#This Row],[Company]]</f>
        <v>11</v>
      </c>
      <c r="P18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4" spans="1:16" x14ac:dyDescent="0.45">
      <c r="A1844" s="3">
        <v>45308.5</v>
      </c>
      <c r="B1844" t="s">
        <v>0</v>
      </c>
      <c r="C1844">
        <v>11</v>
      </c>
      <c r="D1844">
        <v>2004</v>
      </c>
      <c r="E1844" t="s">
        <v>15</v>
      </c>
      <c r="F1844">
        <v>10</v>
      </c>
      <c r="G1844">
        <v>6800</v>
      </c>
      <c r="H1844">
        <v>68000</v>
      </c>
      <c r="I1844" s="3">
        <v>45309.666666666664</v>
      </c>
      <c r="J1844">
        <v>108</v>
      </c>
      <c r="K1844" s="3">
        <v>45312.666666666664</v>
      </c>
      <c r="L1844" s="4">
        <f>ROUNDDOWN(Table1[[#This Row],[Ordered]],0)</f>
        <v>45308</v>
      </c>
      <c r="M1844" s="4">
        <f>Table1[[#This Row],[Date ]]</f>
        <v>45308</v>
      </c>
      <c r="N1844" s="5">
        <f>Table1[[#This Row],[Ordered]]-Table1[[#This Row],[Date ]]</f>
        <v>0.5</v>
      </c>
      <c r="O1844">
        <f>Table1[[#This Row],[Company]]</f>
        <v>11</v>
      </c>
      <c r="P18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5" spans="1:16" x14ac:dyDescent="0.45">
      <c r="A1845" s="3">
        <v>45308.5</v>
      </c>
      <c r="B1845" t="s">
        <v>14</v>
      </c>
      <c r="C1845">
        <v>13</v>
      </c>
      <c r="D1845">
        <v>1006</v>
      </c>
      <c r="E1845" t="s">
        <v>16</v>
      </c>
      <c r="F1845">
        <v>30</v>
      </c>
      <c r="G1845">
        <v>3400</v>
      </c>
      <c r="H1845">
        <v>102000</v>
      </c>
      <c r="I1845" s="3">
        <v>45309.458333333336</v>
      </c>
      <c r="J1845">
        <v>96</v>
      </c>
      <c r="K1845" s="3">
        <v>45312.458333333336</v>
      </c>
      <c r="L1845" s="4">
        <f>ROUNDDOWN(Table1[[#This Row],[Ordered]],0)</f>
        <v>45308</v>
      </c>
      <c r="M1845" s="4">
        <f>Table1[[#This Row],[Date ]]</f>
        <v>45308</v>
      </c>
      <c r="N1845" s="5">
        <f>Table1[[#This Row],[Ordered]]-Table1[[#This Row],[Date ]]</f>
        <v>0.5</v>
      </c>
      <c r="O1845">
        <f>Table1[[#This Row],[Company]]</f>
        <v>13</v>
      </c>
      <c r="P18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6" spans="1:16" x14ac:dyDescent="0.45">
      <c r="A1846" s="3">
        <v>45308.5</v>
      </c>
      <c r="B1846" t="s">
        <v>0</v>
      </c>
      <c r="C1846">
        <v>13</v>
      </c>
      <c r="D1846">
        <v>2004</v>
      </c>
      <c r="E1846" t="s">
        <v>16</v>
      </c>
      <c r="F1846">
        <v>30</v>
      </c>
      <c r="G1846">
        <v>3300</v>
      </c>
      <c r="H1846">
        <v>99000</v>
      </c>
      <c r="I1846" s="3">
        <v>45309.5</v>
      </c>
      <c r="J1846">
        <v>132</v>
      </c>
      <c r="K1846" s="3">
        <v>45314</v>
      </c>
      <c r="L1846" s="4">
        <f>ROUNDDOWN(Table1[[#This Row],[Ordered]],0)</f>
        <v>45308</v>
      </c>
      <c r="M1846" s="4">
        <f>Table1[[#This Row],[Date ]]</f>
        <v>45308</v>
      </c>
      <c r="N1846" s="5">
        <f>Table1[[#This Row],[Ordered]]-Table1[[#This Row],[Date ]]</f>
        <v>0.5</v>
      </c>
      <c r="O1846">
        <f>Table1[[#This Row],[Company]]</f>
        <v>13</v>
      </c>
      <c r="P18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7" spans="1:16" x14ac:dyDescent="0.45">
      <c r="A1847" s="3">
        <v>45308.5</v>
      </c>
      <c r="B1847" t="s">
        <v>14</v>
      </c>
      <c r="C1847">
        <v>12</v>
      </c>
      <c r="D1847">
        <v>1006</v>
      </c>
      <c r="E1847" t="s">
        <v>16</v>
      </c>
      <c r="F1847">
        <v>30</v>
      </c>
      <c r="G1847">
        <v>3800</v>
      </c>
      <c r="H1847">
        <v>114000</v>
      </c>
      <c r="I1847" s="3">
        <v>45314.916666666664</v>
      </c>
      <c r="J1847">
        <v>96</v>
      </c>
      <c r="K1847" s="3">
        <v>45318.083333333336</v>
      </c>
      <c r="L1847" s="4">
        <f>ROUNDDOWN(Table1[[#This Row],[Ordered]],0)</f>
        <v>45308</v>
      </c>
      <c r="M1847" s="4">
        <f>Table1[[#This Row],[Date ]]</f>
        <v>45308</v>
      </c>
      <c r="N1847" s="5">
        <f>Table1[[#This Row],[Ordered]]-Table1[[#This Row],[Date ]]</f>
        <v>0.5</v>
      </c>
      <c r="O1847">
        <f>Table1[[#This Row],[Company]]</f>
        <v>12</v>
      </c>
      <c r="P18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8" spans="1:16" x14ac:dyDescent="0.45">
      <c r="A1848" s="3">
        <v>45308.5</v>
      </c>
      <c r="B1848" t="s">
        <v>14</v>
      </c>
      <c r="C1848">
        <v>11</v>
      </c>
      <c r="D1848">
        <v>1006</v>
      </c>
      <c r="E1848" t="s">
        <v>16</v>
      </c>
      <c r="F1848">
        <v>30</v>
      </c>
      <c r="G1848">
        <v>4000</v>
      </c>
      <c r="H1848">
        <v>120000</v>
      </c>
      <c r="I1848" s="3">
        <v>45308.75</v>
      </c>
      <c r="J1848">
        <v>96</v>
      </c>
      <c r="K1848" s="3">
        <v>45311.75</v>
      </c>
      <c r="L1848" s="4">
        <f>ROUNDDOWN(Table1[[#This Row],[Ordered]],0)</f>
        <v>45308</v>
      </c>
      <c r="M1848" s="4">
        <f>Table1[[#This Row],[Date ]]</f>
        <v>45308</v>
      </c>
      <c r="N1848" s="5">
        <f>Table1[[#This Row],[Ordered]]-Table1[[#This Row],[Date ]]</f>
        <v>0.5</v>
      </c>
      <c r="O1848">
        <f>Table1[[#This Row],[Company]]</f>
        <v>11</v>
      </c>
      <c r="P18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9" spans="1:16" x14ac:dyDescent="0.45">
      <c r="A1849" s="3">
        <v>45308.5</v>
      </c>
      <c r="B1849" t="s">
        <v>14</v>
      </c>
      <c r="C1849">
        <v>16</v>
      </c>
      <c r="D1849">
        <v>1011</v>
      </c>
      <c r="E1849" t="s">
        <v>15</v>
      </c>
      <c r="F1849">
        <v>7</v>
      </c>
      <c r="G1849">
        <v>6650</v>
      </c>
      <c r="H1849">
        <v>46550</v>
      </c>
      <c r="I1849" s="3">
        <v>45308.75</v>
      </c>
      <c r="J1849">
        <v>96</v>
      </c>
      <c r="K1849" s="3">
        <v>45311.75</v>
      </c>
      <c r="L1849" s="4">
        <f>ROUNDDOWN(Table1[[#This Row],[Ordered]],0)</f>
        <v>45308</v>
      </c>
      <c r="M1849" s="4">
        <f>Table1[[#This Row],[Date ]]</f>
        <v>45308</v>
      </c>
      <c r="N1849" s="5">
        <f>Table1[[#This Row],[Ordered]]-Table1[[#This Row],[Date ]]</f>
        <v>0.5</v>
      </c>
      <c r="O1849">
        <f>Table1[[#This Row],[Company]]</f>
        <v>16</v>
      </c>
      <c r="P18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0" spans="1:16" x14ac:dyDescent="0.45">
      <c r="A1850" s="3">
        <v>45308.5</v>
      </c>
      <c r="B1850" t="s">
        <v>0</v>
      </c>
      <c r="C1850">
        <v>14</v>
      </c>
      <c r="D1850">
        <v>2004</v>
      </c>
      <c r="E1850" t="s">
        <v>15</v>
      </c>
      <c r="F1850">
        <v>10</v>
      </c>
      <c r="G1850">
        <v>6650</v>
      </c>
      <c r="H1850">
        <v>66500</v>
      </c>
      <c r="I1850" s="3">
        <v>45308.666666666664</v>
      </c>
      <c r="J1850">
        <v>120</v>
      </c>
      <c r="K1850" s="3">
        <v>45313.166666666664</v>
      </c>
      <c r="L1850" s="4">
        <f>ROUNDDOWN(Table1[[#This Row],[Ordered]],0)</f>
        <v>45308</v>
      </c>
      <c r="M1850" s="4">
        <f>Table1[[#This Row],[Date ]]</f>
        <v>45308</v>
      </c>
      <c r="N1850" s="5">
        <f>Table1[[#This Row],[Ordered]]-Table1[[#This Row],[Date ]]</f>
        <v>0.5</v>
      </c>
      <c r="O1850">
        <f>Table1[[#This Row],[Company]]</f>
        <v>14</v>
      </c>
      <c r="P18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1" spans="1:16" x14ac:dyDescent="0.45">
      <c r="A1851" s="3">
        <v>45308.5</v>
      </c>
      <c r="B1851" t="s">
        <v>14</v>
      </c>
      <c r="C1851">
        <v>13</v>
      </c>
      <c r="D1851">
        <v>1011</v>
      </c>
      <c r="E1851" t="s">
        <v>15</v>
      </c>
      <c r="F1851">
        <v>9</v>
      </c>
      <c r="G1851">
        <v>6300</v>
      </c>
      <c r="H1851">
        <v>56700</v>
      </c>
      <c r="I1851" s="3">
        <v>45309.208333333336</v>
      </c>
      <c r="J1851">
        <v>96</v>
      </c>
      <c r="K1851" s="3">
        <v>45312.208333333336</v>
      </c>
      <c r="L1851" s="4">
        <f>ROUNDDOWN(Table1[[#This Row],[Ordered]],0)</f>
        <v>45308</v>
      </c>
      <c r="M1851" s="4">
        <f>Table1[[#This Row],[Date ]]</f>
        <v>45308</v>
      </c>
      <c r="N1851" s="5">
        <f>Table1[[#This Row],[Ordered]]-Table1[[#This Row],[Date ]]</f>
        <v>0.5</v>
      </c>
      <c r="O1851">
        <f>Table1[[#This Row],[Company]]</f>
        <v>13</v>
      </c>
      <c r="P18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2" spans="1:16" x14ac:dyDescent="0.45">
      <c r="A1852" s="3">
        <v>45308.5</v>
      </c>
      <c r="B1852" t="s">
        <v>0</v>
      </c>
      <c r="C1852">
        <v>12</v>
      </c>
      <c r="D1852">
        <v>2004</v>
      </c>
      <c r="E1852" t="s">
        <v>15</v>
      </c>
      <c r="F1852">
        <v>15</v>
      </c>
      <c r="G1852">
        <v>6750</v>
      </c>
      <c r="H1852">
        <v>101250</v>
      </c>
      <c r="I1852" s="3">
        <v>45308.75</v>
      </c>
      <c r="J1852">
        <v>120</v>
      </c>
      <c r="K1852" s="3">
        <v>45313.25</v>
      </c>
      <c r="L1852" s="4">
        <f>ROUNDDOWN(Table1[[#This Row],[Ordered]],0)</f>
        <v>45308</v>
      </c>
      <c r="M1852" s="4">
        <f>Table1[[#This Row],[Date ]]</f>
        <v>45308</v>
      </c>
      <c r="N1852" s="5">
        <f>Table1[[#This Row],[Ordered]]-Table1[[#This Row],[Date ]]</f>
        <v>0.5</v>
      </c>
      <c r="O1852">
        <f>Table1[[#This Row],[Company]]</f>
        <v>12</v>
      </c>
      <c r="P18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3" spans="1:16" x14ac:dyDescent="0.45">
      <c r="A1853" s="3">
        <v>45308.5</v>
      </c>
      <c r="B1853" t="s">
        <v>0</v>
      </c>
      <c r="C1853">
        <v>7</v>
      </c>
      <c r="D1853">
        <v>2004</v>
      </c>
      <c r="E1853" t="s">
        <v>16</v>
      </c>
      <c r="F1853">
        <v>51</v>
      </c>
      <c r="G1853">
        <v>3800</v>
      </c>
      <c r="H1853">
        <v>193800</v>
      </c>
      <c r="I1853" s="3">
        <v>45311.5</v>
      </c>
      <c r="J1853">
        <v>132</v>
      </c>
      <c r="K1853" s="3">
        <v>45313</v>
      </c>
      <c r="L1853" s="4">
        <f>ROUNDDOWN(Table1[[#This Row],[Ordered]],0)</f>
        <v>45308</v>
      </c>
      <c r="M1853" s="4">
        <f>Table1[[#This Row],[Date ]]</f>
        <v>45308</v>
      </c>
      <c r="N1853" s="5">
        <f>Table1[[#This Row],[Ordered]]-Table1[[#This Row],[Date ]]</f>
        <v>0.5</v>
      </c>
      <c r="O1853">
        <f>Table1[[#This Row],[Company]]</f>
        <v>7</v>
      </c>
      <c r="P18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4" spans="1:16" x14ac:dyDescent="0.45">
      <c r="A1854" s="3">
        <v>45308.5</v>
      </c>
      <c r="B1854" t="s">
        <v>14</v>
      </c>
      <c r="C1854">
        <v>8</v>
      </c>
      <c r="D1854">
        <v>1006</v>
      </c>
      <c r="E1854" t="s">
        <v>16</v>
      </c>
      <c r="F1854">
        <v>10</v>
      </c>
      <c r="G1854">
        <v>4185</v>
      </c>
      <c r="H1854">
        <v>41850</v>
      </c>
      <c r="I1854" s="3">
        <v>45309.208333333336</v>
      </c>
      <c r="J1854">
        <v>96</v>
      </c>
      <c r="K1854" s="3">
        <v>45312.208333333336</v>
      </c>
      <c r="L1854" s="4">
        <f>ROUNDDOWN(Table1[[#This Row],[Ordered]],0)</f>
        <v>45308</v>
      </c>
      <c r="M1854" s="4">
        <f>Table1[[#This Row],[Date ]]</f>
        <v>45308</v>
      </c>
      <c r="N1854" s="5">
        <f>Table1[[#This Row],[Ordered]]-Table1[[#This Row],[Date ]]</f>
        <v>0.5</v>
      </c>
      <c r="O1854">
        <f>Table1[[#This Row],[Company]]</f>
        <v>8</v>
      </c>
      <c r="P18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5" spans="1:16" x14ac:dyDescent="0.45">
      <c r="A1855" s="3">
        <v>45308.5</v>
      </c>
      <c r="B1855" t="s">
        <v>0</v>
      </c>
      <c r="C1855">
        <v>16</v>
      </c>
      <c r="D1855">
        <v>2004</v>
      </c>
      <c r="E1855" t="s">
        <v>15</v>
      </c>
      <c r="F1855">
        <v>22</v>
      </c>
      <c r="G1855">
        <v>6650</v>
      </c>
      <c r="H1855">
        <v>146300</v>
      </c>
      <c r="I1855" s="3">
        <v>45308.791666666664</v>
      </c>
      <c r="J1855">
        <v>132</v>
      </c>
      <c r="K1855" s="3">
        <v>45313.333333333336</v>
      </c>
      <c r="L1855" s="4">
        <f>ROUNDDOWN(Table1[[#This Row],[Ordered]],0)</f>
        <v>45308</v>
      </c>
      <c r="M1855" s="4">
        <f>Table1[[#This Row],[Date ]]</f>
        <v>45308</v>
      </c>
      <c r="N1855" s="5">
        <f>Table1[[#This Row],[Ordered]]-Table1[[#This Row],[Date ]]</f>
        <v>0.5</v>
      </c>
      <c r="O1855">
        <f>Table1[[#This Row],[Company]]</f>
        <v>16</v>
      </c>
      <c r="P18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6" spans="1:16" x14ac:dyDescent="0.45">
      <c r="A1856" s="3">
        <v>45308.5</v>
      </c>
      <c r="B1856" t="s">
        <v>14</v>
      </c>
      <c r="C1856">
        <v>16</v>
      </c>
      <c r="D1856">
        <v>1006</v>
      </c>
      <c r="E1856" t="s">
        <v>16</v>
      </c>
      <c r="F1856">
        <v>30</v>
      </c>
      <c r="G1856">
        <v>3750</v>
      </c>
      <c r="H1856">
        <v>112500</v>
      </c>
      <c r="I1856" s="3">
        <v>45308.75</v>
      </c>
      <c r="J1856">
        <v>96</v>
      </c>
      <c r="K1856" s="3">
        <v>45311.75</v>
      </c>
      <c r="L1856" s="4">
        <f>ROUNDDOWN(Table1[[#This Row],[Ordered]],0)</f>
        <v>45308</v>
      </c>
      <c r="M1856" s="4">
        <f>Table1[[#This Row],[Date ]]</f>
        <v>45308</v>
      </c>
      <c r="N1856" s="5">
        <f>Table1[[#This Row],[Ordered]]-Table1[[#This Row],[Date ]]</f>
        <v>0.5</v>
      </c>
      <c r="O1856">
        <f>Table1[[#This Row],[Company]]</f>
        <v>16</v>
      </c>
      <c r="P18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7" spans="1:16" x14ac:dyDescent="0.45">
      <c r="A1857" s="3">
        <v>45308.5</v>
      </c>
      <c r="B1857" t="s">
        <v>0</v>
      </c>
      <c r="C1857">
        <v>7</v>
      </c>
      <c r="D1857">
        <v>2004</v>
      </c>
      <c r="E1857" t="s">
        <v>15</v>
      </c>
      <c r="F1857">
        <v>8</v>
      </c>
      <c r="G1857">
        <v>7000</v>
      </c>
      <c r="H1857">
        <v>56000</v>
      </c>
      <c r="I1857" s="3">
        <v>45310.541666666664</v>
      </c>
      <c r="J1857">
        <v>132</v>
      </c>
      <c r="K1857" s="3">
        <v>45313.625</v>
      </c>
      <c r="L1857" s="4">
        <f>ROUNDDOWN(Table1[[#This Row],[Ordered]],0)</f>
        <v>45308</v>
      </c>
      <c r="M1857" s="4">
        <f>Table1[[#This Row],[Date ]]</f>
        <v>45308</v>
      </c>
      <c r="N1857" s="5">
        <f>Table1[[#This Row],[Ordered]]-Table1[[#This Row],[Date ]]</f>
        <v>0.5</v>
      </c>
      <c r="O1857">
        <f>Table1[[#This Row],[Company]]</f>
        <v>7</v>
      </c>
      <c r="P18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8" spans="1:16" x14ac:dyDescent="0.45">
      <c r="A1858" s="3">
        <v>45308.5</v>
      </c>
      <c r="B1858" t="s">
        <v>14</v>
      </c>
      <c r="C1858">
        <v>12</v>
      </c>
      <c r="D1858">
        <v>1011</v>
      </c>
      <c r="E1858" t="s">
        <v>15</v>
      </c>
      <c r="F1858">
        <v>6</v>
      </c>
      <c r="G1858">
        <v>6700</v>
      </c>
      <c r="H1858">
        <v>40200</v>
      </c>
      <c r="I1858" s="3">
        <v>45308.791666666664</v>
      </c>
      <c r="J1858">
        <v>96</v>
      </c>
      <c r="K1858" s="3">
        <v>45311.791666666664</v>
      </c>
      <c r="L1858" s="4">
        <f>ROUNDDOWN(Table1[[#This Row],[Ordered]],0)</f>
        <v>45308</v>
      </c>
      <c r="M1858" s="4">
        <f>Table1[[#This Row],[Date ]]</f>
        <v>45308</v>
      </c>
      <c r="N1858" s="5">
        <f>Table1[[#This Row],[Ordered]]-Table1[[#This Row],[Date ]]</f>
        <v>0.5</v>
      </c>
      <c r="O1858">
        <f>Table1[[#This Row],[Company]]</f>
        <v>12</v>
      </c>
      <c r="P18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9" spans="1:16" x14ac:dyDescent="0.45">
      <c r="A1859" s="3">
        <v>45308.5</v>
      </c>
      <c r="B1859" t="s">
        <v>0</v>
      </c>
      <c r="C1859">
        <v>16</v>
      </c>
      <c r="D1859">
        <v>2004</v>
      </c>
      <c r="E1859" t="s">
        <v>16</v>
      </c>
      <c r="F1859">
        <v>30</v>
      </c>
      <c r="G1859">
        <v>3750</v>
      </c>
      <c r="H1859">
        <v>112500</v>
      </c>
      <c r="I1859" s="3">
        <v>45308.791666666664</v>
      </c>
      <c r="J1859">
        <v>132</v>
      </c>
      <c r="K1859" s="3">
        <v>45313.291666666664</v>
      </c>
      <c r="L1859" s="4">
        <f>ROUNDDOWN(Table1[[#This Row],[Ordered]],0)</f>
        <v>45308</v>
      </c>
      <c r="M1859" s="4">
        <f>Table1[[#This Row],[Date ]]</f>
        <v>45308</v>
      </c>
      <c r="N1859" s="5">
        <f>Table1[[#This Row],[Ordered]]-Table1[[#This Row],[Date ]]</f>
        <v>0.5</v>
      </c>
      <c r="O1859">
        <f>Table1[[#This Row],[Company]]</f>
        <v>16</v>
      </c>
      <c r="P18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0" spans="1:16" x14ac:dyDescent="0.45">
      <c r="A1860" s="3">
        <v>45308.5</v>
      </c>
      <c r="B1860" t="s">
        <v>0</v>
      </c>
      <c r="C1860">
        <v>9</v>
      </c>
      <c r="D1860">
        <v>2004</v>
      </c>
      <c r="E1860" t="s">
        <v>16</v>
      </c>
      <c r="F1860">
        <v>30</v>
      </c>
      <c r="G1860">
        <v>3799</v>
      </c>
      <c r="H1860">
        <v>113970</v>
      </c>
      <c r="I1860" s="3">
        <v>45308.5</v>
      </c>
      <c r="J1860">
        <v>112</v>
      </c>
      <c r="K1860" s="3">
        <v>45313</v>
      </c>
      <c r="L1860" s="4">
        <f>ROUNDDOWN(Table1[[#This Row],[Ordered]],0)</f>
        <v>45308</v>
      </c>
      <c r="M1860" s="4">
        <f>Table1[[#This Row],[Date ]]</f>
        <v>45308</v>
      </c>
      <c r="N1860" s="5">
        <f>Table1[[#This Row],[Ordered]]-Table1[[#This Row],[Date ]]</f>
        <v>0.5</v>
      </c>
      <c r="O1860">
        <f>Table1[[#This Row],[Company]]</f>
        <v>9</v>
      </c>
      <c r="P18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1" spans="1:16" x14ac:dyDescent="0.45">
      <c r="A1861" s="3">
        <v>45308.5</v>
      </c>
      <c r="B1861" t="s">
        <v>14</v>
      </c>
      <c r="C1861">
        <v>7</v>
      </c>
      <c r="D1861">
        <v>1011</v>
      </c>
      <c r="E1861" t="s">
        <v>15</v>
      </c>
      <c r="F1861">
        <v>3</v>
      </c>
      <c r="G1861">
        <v>6850</v>
      </c>
      <c r="H1861">
        <v>20550</v>
      </c>
      <c r="I1861" s="3">
        <v>45310.5</v>
      </c>
      <c r="J1861">
        <v>96</v>
      </c>
      <c r="K1861" s="3">
        <v>45312.5</v>
      </c>
      <c r="L1861" s="4">
        <f>ROUNDDOWN(Table1[[#This Row],[Ordered]],0)</f>
        <v>45308</v>
      </c>
      <c r="M1861" s="4">
        <f>Table1[[#This Row],[Date ]]</f>
        <v>45308</v>
      </c>
      <c r="N1861" s="5">
        <f>Table1[[#This Row],[Ordered]]-Table1[[#This Row],[Date ]]</f>
        <v>0.5</v>
      </c>
      <c r="O1861">
        <f>Table1[[#This Row],[Company]]</f>
        <v>7</v>
      </c>
      <c r="P18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2" spans="1:16" hidden="1" x14ac:dyDescent="0.45">
      <c r="A1862" s="3">
        <v>45308.5</v>
      </c>
      <c r="B1862" t="s">
        <v>12</v>
      </c>
      <c r="C1862">
        <v>2</v>
      </c>
      <c r="D1862">
        <v>11</v>
      </c>
      <c r="E1862" t="s">
        <v>13</v>
      </c>
      <c r="F1862">
        <v>1000</v>
      </c>
      <c r="G1862">
        <v>135</v>
      </c>
      <c r="H1862">
        <v>135000</v>
      </c>
      <c r="I1862" s="3">
        <v>45308.5</v>
      </c>
      <c r="J1862">
        <v>72</v>
      </c>
      <c r="K1862" s="3">
        <v>45311.5</v>
      </c>
      <c r="L1862" s="4">
        <f>ROUNDDOWN(Table1[[#This Row],[Ordered]],0)</f>
        <v>45308</v>
      </c>
      <c r="M1862" s="4">
        <f>Table1[[#This Row],[Date ]]</f>
        <v>45308</v>
      </c>
      <c r="N1862" s="5">
        <f>Table1[[#This Row],[Ordered]]-Table1[[#This Row],[Date ]]</f>
        <v>0.5</v>
      </c>
      <c r="O1862">
        <f>Table1[[#This Row],[Company]]</f>
        <v>2</v>
      </c>
      <c r="P18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3" spans="1:16" hidden="1" x14ac:dyDescent="0.45">
      <c r="A1863" s="3">
        <v>45308.541666666664</v>
      </c>
      <c r="B1863" t="s">
        <v>12</v>
      </c>
      <c r="C1863">
        <v>2</v>
      </c>
      <c r="D1863">
        <v>8</v>
      </c>
      <c r="E1863" t="s">
        <v>17</v>
      </c>
      <c r="F1863">
        <v>300</v>
      </c>
      <c r="G1863">
        <v>1700</v>
      </c>
      <c r="H1863">
        <v>510000</v>
      </c>
      <c r="I1863" s="3">
        <v>45308.541666666664</v>
      </c>
      <c r="J1863">
        <v>24</v>
      </c>
      <c r="K1863" s="3">
        <v>45309.541666666664</v>
      </c>
      <c r="L1863" s="4">
        <f>ROUNDDOWN(Table1[[#This Row],[Ordered]],0)</f>
        <v>45308</v>
      </c>
      <c r="M1863" s="4">
        <f>Table1[[#This Row],[Date ]]</f>
        <v>45308</v>
      </c>
      <c r="N1863" s="5">
        <f>Table1[[#This Row],[Ordered]]-Table1[[#This Row],[Date ]]</f>
        <v>0.54166666666424135</v>
      </c>
      <c r="O1863">
        <f>Table1[[#This Row],[Company]]</f>
        <v>2</v>
      </c>
      <c r="P18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4" spans="1:16" x14ac:dyDescent="0.45">
      <c r="A1864" s="3">
        <v>45308.541666666664</v>
      </c>
      <c r="B1864" t="s">
        <v>14</v>
      </c>
      <c r="C1864">
        <v>13</v>
      </c>
      <c r="D1864">
        <v>1003</v>
      </c>
      <c r="E1864" t="s">
        <v>15</v>
      </c>
      <c r="F1864">
        <v>4</v>
      </c>
      <c r="G1864">
        <v>6300</v>
      </c>
      <c r="H1864">
        <v>25200</v>
      </c>
      <c r="I1864" s="3">
        <v>45309.541666666664</v>
      </c>
      <c r="J1864">
        <v>96</v>
      </c>
      <c r="K1864" s="3">
        <v>45312.666666666664</v>
      </c>
      <c r="L1864" s="4">
        <f>ROUNDDOWN(Table1[[#This Row],[Ordered]],0)</f>
        <v>45308</v>
      </c>
      <c r="M1864" s="4">
        <f>Table1[[#This Row],[Date ]]</f>
        <v>45308</v>
      </c>
      <c r="N1864" s="5">
        <f>Table1[[#This Row],[Ordered]]-Table1[[#This Row],[Date ]]</f>
        <v>0.54166666666424135</v>
      </c>
      <c r="O1864">
        <f>Table1[[#This Row],[Company]]</f>
        <v>13</v>
      </c>
      <c r="P18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5" spans="1:16" hidden="1" x14ac:dyDescent="0.45">
      <c r="A1865" s="3">
        <v>45308.541666666664</v>
      </c>
      <c r="B1865" t="s">
        <v>12</v>
      </c>
      <c r="C1865">
        <v>4</v>
      </c>
      <c r="D1865">
        <v>8</v>
      </c>
      <c r="E1865" t="s">
        <v>17</v>
      </c>
      <c r="F1865">
        <v>200</v>
      </c>
      <c r="G1865">
        <v>1350</v>
      </c>
      <c r="H1865">
        <v>270000</v>
      </c>
      <c r="I1865" s="3">
        <v>45308.875</v>
      </c>
      <c r="J1865">
        <v>24</v>
      </c>
      <c r="K1865" s="3">
        <v>45309.875</v>
      </c>
      <c r="L1865" s="4">
        <f>ROUNDDOWN(Table1[[#This Row],[Ordered]],0)</f>
        <v>45308</v>
      </c>
      <c r="M1865" s="4">
        <f>Table1[[#This Row],[Date ]]</f>
        <v>45308</v>
      </c>
      <c r="N1865" s="5">
        <f>Table1[[#This Row],[Ordered]]-Table1[[#This Row],[Date ]]</f>
        <v>0.54166666666424135</v>
      </c>
      <c r="O1865">
        <f>Table1[[#This Row],[Company]]</f>
        <v>4</v>
      </c>
      <c r="P18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6" spans="1:16" x14ac:dyDescent="0.45">
      <c r="A1866" s="3">
        <v>45308.541666666664</v>
      </c>
      <c r="B1866" t="s">
        <v>14</v>
      </c>
      <c r="C1866">
        <v>8</v>
      </c>
      <c r="D1866">
        <v>1003</v>
      </c>
      <c r="E1866" t="s">
        <v>15</v>
      </c>
      <c r="F1866">
        <v>30</v>
      </c>
      <c r="G1866">
        <v>5848</v>
      </c>
      <c r="H1866">
        <v>175440</v>
      </c>
      <c r="I1866" s="3">
        <v>45310.333333333336</v>
      </c>
      <c r="J1866">
        <v>120</v>
      </c>
      <c r="K1866" s="3">
        <v>45313.333333333336</v>
      </c>
      <c r="L1866" s="4">
        <f>ROUNDDOWN(Table1[[#This Row],[Ordered]],0)</f>
        <v>45308</v>
      </c>
      <c r="M1866" s="4">
        <f>Table1[[#This Row],[Date ]]</f>
        <v>45308</v>
      </c>
      <c r="N1866" s="5">
        <f>Table1[[#This Row],[Ordered]]-Table1[[#This Row],[Date ]]</f>
        <v>0.54166666666424135</v>
      </c>
      <c r="O1866">
        <f>Table1[[#This Row],[Company]]</f>
        <v>8</v>
      </c>
      <c r="P18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7" spans="1:16" x14ac:dyDescent="0.45">
      <c r="A1867" s="3">
        <v>45308.541666666664</v>
      </c>
      <c r="B1867" t="s">
        <v>14</v>
      </c>
      <c r="C1867">
        <v>15</v>
      </c>
      <c r="D1867">
        <v>1003</v>
      </c>
      <c r="E1867" t="s">
        <v>15</v>
      </c>
      <c r="F1867">
        <v>5</v>
      </c>
      <c r="G1867">
        <v>6350</v>
      </c>
      <c r="H1867">
        <v>31750</v>
      </c>
      <c r="I1867" s="3">
        <v>45308.666666666664</v>
      </c>
      <c r="J1867">
        <v>64</v>
      </c>
      <c r="K1867" s="3">
        <v>45310.666666666664</v>
      </c>
      <c r="L1867" s="4">
        <f>ROUNDDOWN(Table1[[#This Row],[Ordered]],0)</f>
        <v>45308</v>
      </c>
      <c r="M1867" s="4">
        <f>Table1[[#This Row],[Date ]]</f>
        <v>45308</v>
      </c>
      <c r="N1867" s="5">
        <f>Table1[[#This Row],[Ordered]]-Table1[[#This Row],[Date ]]</f>
        <v>0.54166666666424135</v>
      </c>
      <c r="O1867">
        <f>Table1[[#This Row],[Company]]</f>
        <v>15</v>
      </c>
      <c r="P18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8" spans="1:16" hidden="1" x14ac:dyDescent="0.45">
      <c r="A1868" s="3">
        <v>45308.625</v>
      </c>
      <c r="B1868" t="s">
        <v>12</v>
      </c>
      <c r="C1868">
        <v>1</v>
      </c>
      <c r="D1868">
        <v>14</v>
      </c>
      <c r="E1868" t="s">
        <v>17</v>
      </c>
      <c r="F1868">
        <v>400</v>
      </c>
      <c r="G1868">
        <v>1350</v>
      </c>
      <c r="H1868">
        <v>540000</v>
      </c>
      <c r="I1868" s="3">
        <v>45308.625</v>
      </c>
      <c r="J1868">
        <v>24</v>
      </c>
      <c r="K1868" s="3">
        <v>45309.625</v>
      </c>
      <c r="L1868" s="4">
        <f>ROUNDDOWN(Table1[[#This Row],[Ordered]],0)</f>
        <v>45308</v>
      </c>
      <c r="M1868" s="4">
        <f>Table1[[#This Row],[Date ]]</f>
        <v>45308</v>
      </c>
      <c r="N1868" s="5">
        <f>Table1[[#This Row],[Ordered]]-Table1[[#This Row],[Date ]]</f>
        <v>0.625</v>
      </c>
      <c r="O1868">
        <f>Table1[[#This Row],[Company]]</f>
        <v>1</v>
      </c>
      <c r="P18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9" spans="1:16" hidden="1" x14ac:dyDescent="0.45">
      <c r="A1869" s="3">
        <v>45308.666666666664</v>
      </c>
      <c r="B1869" t="s">
        <v>12</v>
      </c>
      <c r="C1869">
        <v>6</v>
      </c>
      <c r="D1869">
        <v>7</v>
      </c>
      <c r="E1869" t="s">
        <v>13</v>
      </c>
      <c r="F1869">
        <v>1945</v>
      </c>
      <c r="G1869">
        <v>150</v>
      </c>
      <c r="H1869">
        <v>291750</v>
      </c>
      <c r="I1869" s="3">
        <v>45308.833333333336</v>
      </c>
      <c r="J1869">
        <v>48</v>
      </c>
      <c r="K1869" s="3">
        <v>45310.833333333336</v>
      </c>
      <c r="L1869" s="4">
        <f>ROUNDDOWN(Table1[[#This Row],[Ordered]],0)</f>
        <v>45308</v>
      </c>
      <c r="M1869" s="4">
        <f>Table1[[#This Row],[Date ]]</f>
        <v>45308</v>
      </c>
      <c r="N1869" s="5">
        <f>Table1[[#This Row],[Ordered]]-Table1[[#This Row],[Date ]]</f>
        <v>0.66666666666424135</v>
      </c>
      <c r="O1869">
        <f>Table1[[#This Row],[Company]]</f>
        <v>6</v>
      </c>
      <c r="P18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0" spans="1:16" hidden="1" x14ac:dyDescent="0.45">
      <c r="A1870" s="3">
        <v>45308.708333333336</v>
      </c>
      <c r="B1870" t="s">
        <v>12</v>
      </c>
      <c r="C1870">
        <v>5</v>
      </c>
      <c r="D1870">
        <v>10</v>
      </c>
      <c r="E1870" t="s">
        <v>17</v>
      </c>
      <c r="F1870">
        <v>200</v>
      </c>
      <c r="G1870">
        <v>1400</v>
      </c>
      <c r="H1870">
        <v>280000</v>
      </c>
      <c r="I1870" s="3">
        <v>45308.708333333336</v>
      </c>
      <c r="J1870">
        <v>24</v>
      </c>
      <c r="K1870" s="3">
        <v>45309.708333333336</v>
      </c>
      <c r="L1870" s="4">
        <f>ROUNDDOWN(Table1[[#This Row],[Ordered]],0)</f>
        <v>45308</v>
      </c>
      <c r="M1870" s="4">
        <f>Table1[[#This Row],[Date ]]</f>
        <v>45308</v>
      </c>
      <c r="N1870" s="5">
        <f>Table1[[#This Row],[Ordered]]-Table1[[#This Row],[Date ]]</f>
        <v>0.70833333333575865</v>
      </c>
      <c r="O1870">
        <f>Table1[[#This Row],[Company]]</f>
        <v>5</v>
      </c>
      <c r="P18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1" spans="1:16" hidden="1" x14ac:dyDescent="0.45">
      <c r="A1871" s="3">
        <v>45308.708333333336</v>
      </c>
      <c r="B1871" t="s">
        <v>12</v>
      </c>
      <c r="C1871">
        <v>6</v>
      </c>
      <c r="D1871">
        <v>15</v>
      </c>
      <c r="E1871" t="s">
        <v>17</v>
      </c>
      <c r="F1871">
        <v>316</v>
      </c>
      <c r="G1871">
        <v>1450</v>
      </c>
      <c r="H1871">
        <v>458200</v>
      </c>
      <c r="I1871" s="3">
        <v>45308.916666666664</v>
      </c>
      <c r="J1871">
        <v>72</v>
      </c>
      <c r="K1871" s="3">
        <v>45311.916666666664</v>
      </c>
      <c r="L1871" s="4">
        <f>ROUNDDOWN(Table1[[#This Row],[Ordered]],0)</f>
        <v>45308</v>
      </c>
      <c r="M1871" s="4">
        <f>Table1[[#This Row],[Date ]]</f>
        <v>45308</v>
      </c>
      <c r="N1871" s="5">
        <f>Table1[[#This Row],[Ordered]]-Table1[[#This Row],[Date ]]</f>
        <v>0.70833333333575865</v>
      </c>
      <c r="O1871">
        <f>Table1[[#This Row],[Company]]</f>
        <v>6</v>
      </c>
      <c r="P18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2" spans="1:16" hidden="1" x14ac:dyDescent="0.45">
      <c r="A1872" s="3">
        <v>45308.791666666664</v>
      </c>
      <c r="B1872" t="s">
        <v>12</v>
      </c>
      <c r="C1872">
        <v>8</v>
      </c>
      <c r="D1872">
        <v>4</v>
      </c>
      <c r="E1872" t="s">
        <v>20</v>
      </c>
      <c r="F1872">
        <v>291</v>
      </c>
      <c r="G1872">
        <v>15</v>
      </c>
      <c r="H1872">
        <v>4365</v>
      </c>
      <c r="I1872" s="3">
        <v>45309.208333333336</v>
      </c>
      <c r="J1872">
        <v>72</v>
      </c>
      <c r="K1872" s="3">
        <v>45312.208333333336</v>
      </c>
      <c r="L1872" s="4">
        <f>ROUNDDOWN(Table1[[#This Row],[Ordered]],0)</f>
        <v>45308</v>
      </c>
      <c r="M1872" s="4">
        <f>Table1[[#This Row],[Date ]]</f>
        <v>45308</v>
      </c>
      <c r="N1872" s="5">
        <f>Table1[[#This Row],[Ordered]]-Table1[[#This Row],[Date ]]</f>
        <v>0.79166666666424135</v>
      </c>
      <c r="O1872">
        <f>Table1[[#This Row],[Company]]</f>
        <v>8</v>
      </c>
      <c r="P18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3" spans="1:16" x14ac:dyDescent="0.45">
      <c r="A1873" s="3">
        <v>45308.791666666664</v>
      </c>
      <c r="B1873" t="s">
        <v>14</v>
      </c>
      <c r="C1873">
        <v>15</v>
      </c>
      <c r="D1873">
        <v>1003</v>
      </c>
      <c r="E1873" t="s">
        <v>16</v>
      </c>
      <c r="F1873">
        <v>50</v>
      </c>
      <c r="G1873">
        <v>3350</v>
      </c>
      <c r="H1873">
        <v>167500</v>
      </c>
      <c r="I1873" s="3">
        <v>45308.875</v>
      </c>
      <c r="J1873">
        <v>88</v>
      </c>
      <c r="K1873" s="3">
        <v>45311.875</v>
      </c>
      <c r="L1873" s="4">
        <f>ROUNDDOWN(Table1[[#This Row],[Ordered]],0)</f>
        <v>45308</v>
      </c>
      <c r="M1873" s="4">
        <f>Table1[[#This Row],[Date ]]</f>
        <v>45308</v>
      </c>
      <c r="N1873" s="5">
        <f>Table1[[#This Row],[Ordered]]-Table1[[#This Row],[Date ]]</f>
        <v>0.79166666666424135</v>
      </c>
      <c r="O1873">
        <f>Table1[[#This Row],[Company]]</f>
        <v>15</v>
      </c>
      <c r="P18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4" spans="1:16" x14ac:dyDescent="0.45">
      <c r="A1874" s="3">
        <v>45308.791666666664</v>
      </c>
      <c r="B1874" t="s">
        <v>14</v>
      </c>
      <c r="C1874">
        <v>8</v>
      </c>
      <c r="D1874">
        <v>1003</v>
      </c>
      <c r="E1874" t="s">
        <v>16</v>
      </c>
      <c r="F1874">
        <v>10</v>
      </c>
      <c r="G1874">
        <v>4185</v>
      </c>
      <c r="H1874">
        <v>41850</v>
      </c>
      <c r="I1874" s="3">
        <v>45310.375</v>
      </c>
      <c r="J1874">
        <v>96</v>
      </c>
      <c r="K1874" s="3">
        <v>45312.375</v>
      </c>
      <c r="L1874" s="4">
        <f>ROUNDDOWN(Table1[[#This Row],[Ordered]],0)</f>
        <v>45308</v>
      </c>
      <c r="M1874" s="4">
        <f>Table1[[#This Row],[Date ]]</f>
        <v>45308</v>
      </c>
      <c r="N1874" s="5">
        <f>Table1[[#This Row],[Ordered]]-Table1[[#This Row],[Date ]]</f>
        <v>0.79166666666424135</v>
      </c>
      <c r="O1874">
        <f>Table1[[#This Row],[Company]]</f>
        <v>8</v>
      </c>
      <c r="P18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5" spans="1:16" x14ac:dyDescent="0.45">
      <c r="A1875" s="3">
        <v>45308.791666666664</v>
      </c>
      <c r="B1875" t="s">
        <v>14</v>
      </c>
      <c r="C1875">
        <v>7</v>
      </c>
      <c r="D1875">
        <v>1003</v>
      </c>
      <c r="E1875" t="s">
        <v>16</v>
      </c>
      <c r="F1875">
        <v>18</v>
      </c>
      <c r="G1875">
        <v>3950</v>
      </c>
      <c r="H1875">
        <v>71100</v>
      </c>
      <c r="I1875" s="3">
        <v>45310.916666666664</v>
      </c>
      <c r="J1875">
        <v>96</v>
      </c>
      <c r="K1875" s="3">
        <v>45311.916666666664</v>
      </c>
      <c r="L1875" s="4">
        <f>ROUNDDOWN(Table1[[#This Row],[Ordered]],0)</f>
        <v>45308</v>
      </c>
      <c r="M1875" s="4">
        <f>Table1[[#This Row],[Date ]]</f>
        <v>45308</v>
      </c>
      <c r="N1875" s="5">
        <f>Table1[[#This Row],[Ordered]]-Table1[[#This Row],[Date ]]</f>
        <v>0.79166666666424135</v>
      </c>
      <c r="O1875">
        <f>Table1[[#This Row],[Company]]</f>
        <v>7</v>
      </c>
      <c r="P18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6" spans="1:16" x14ac:dyDescent="0.45">
      <c r="A1876" s="3">
        <v>45308.791666666664</v>
      </c>
      <c r="B1876" t="s">
        <v>14</v>
      </c>
      <c r="C1876">
        <v>12</v>
      </c>
      <c r="D1876">
        <v>1003</v>
      </c>
      <c r="E1876" t="s">
        <v>16</v>
      </c>
      <c r="F1876">
        <v>30</v>
      </c>
      <c r="G1876">
        <v>3800</v>
      </c>
      <c r="H1876">
        <v>114000</v>
      </c>
      <c r="I1876" s="3">
        <v>45314.916666666664</v>
      </c>
      <c r="J1876">
        <v>96</v>
      </c>
      <c r="K1876" s="3">
        <v>45317.916666666664</v>
      </c>
      <c r="L1876" s="4">
        <f>ROUNDDOWN(Table1[[#This Row],[Ordered]],0)</f>
        <v>45308</v>
      </c>
      <c r="M1876" s="4">
        <f>Table1[[#This Row],[Date ]]</f>
        <v>45308</v>
      </c>
      <c r="N1876" s="5">
        <f>Table1[[#This Row],[Ordered]]-Table1[[#This Row],[Date ]]</f>
        <v>0.79166666666424135</v>
      </c>
      <c r="O1876">
        <f>Table1[[#This Row],[Company]]</f>
        <v>12</v>
      </c>
      <c r="P18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7" spans="1:16" x14ac:dyDescent="0.45">
      <c r="A1877" s="3">
        <v>45308.791666666664</v>
      </c>
      <c r="B1877" t="s">
        <v>14</v>
      </c>
      <c r="C1877">
        <v>16</v>
      </c>
      <c r="D1877">
        <v>1003</v>
      </c>
      <c r="E1877" t="s">
        <v>16</v>
      </c>
      <c r="F1877">
        <v>24</v>
      </c>
      <c r="G1877">
        <v>3750</v>
      </c>
      <c r="H1877">
        <v>90000</v>
      </c>
      <c r="I1877" s="3">
        <v>45309.041666666664</v>
      </c>
      <c r="J1877">
        <v>96</v>
      </c>
      <c r="K1877" s="3">
        <v>45312.041666666664</v>
      </c>
      <c r="L1877" s="4">
        <f>ROUNDDOWN(Table1[[#This Row],[Ordered]],0)</f>
        <v>45308</v>
      </c>
      <c r="M1877" s="4">
        <f>Table1[[#This Row],[Date ]]</f>
        <v>45308</v>
      </c>
      <c r="N1877" s="5">
        <f>Table1[[#This Row],[Ordered]]-Table1[[#This Row],[Date ]]</f>
        <v>0.79166666666424135</v>
      </c>
      <c r="O1877">
        <f>Table1[[#This Row],[Company]]</f>
        <v>16</v>
      </c>
      <c r="P18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8" spans="1:16" x14ac:dyDescent="0.45">
      <c r="A1878" s="3">
        <v>45308.791666666664</v>
      </c>
      <c r="B1878" t="s">
        <v>14</v>
      </c>
      <c r="C1878">
        <v>14</v>
      </c>
      <c r="D1878">
        <v>1003</v>
      </c>
      <c r="E1878" t="s">
        <v>16</v>
      </c>
      <c r="F1878">
        <v>39</v>
      </c>
      <c r="G1878">
        <v>3750</v>
      </c>
      <c r="H1878">
        <v>146250</v>
      </c>
      <c r="I1878" s="3">
        <v>45308.833333333336</v>
      </c>
      <c r="J1878">
        <v>84</v>
      </c>
      <c r="K1878" s="3">
        <v>45311.833333333336</v>
      </c>
      <c r="L1878" s="4">
        <f>ROUNDDOWN(Table1[[#This Row],[Ordered]],0)</f>
        <v>45308</v>
      </c>
      <c r="M1878" s="4">
        <f>Table1[[#This Row],[Date ]]</f>
        <v>45308</v>
      </c>
      <c r="N1878" s="5">
        <f>Table1[[#This Row],[Ordered]]-Table1[[#This Row],[Date ]]</f>
        <v>0.79166666666424135</v>
      </c>
      <c r="O1878">
        <f>Table1[[#This Row],[Company]]</f>
        <v>14</v>
      </c>
      <c r="P18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9" spans="1:16" x14ac:dyDescent="0.45">
      <c r="A1879" s="3">
        <v>45308.791666666664</v>
      </c>
      <c r="B1879" t="s">
        <v>14</v>
      </c>
      <c r="C1879">
        <v>9</v>
      </c>
      <c r="D1879">
        <v>1003</v>
      </c>
      <c r="E1879" t="s">
        <v>16</v>
      </c>
      <c r="F1879">
        <v>15</v>
      </c>
      <c r="G1879">
        <v>3799</v>
      </c>
      <c r="H1879">
        <v>56985</v>
      </c>
      <c r="I1879" s="3">
        <v>45308.791666666664</v>
      </c>
      <c r="J1879">
        <v>76</v>
      </c>
      <c r="K1879" s="3">
        <v>45311.791666666664</v>
      </c>
      <c r="L1879" s="4">
        <f>ROUNDDOWN(Table1[[#This Row],[Ordered]],0)</f>
        <v>45308</v>
      </c>
      <c r="M1879" s="4">
        <f>Table1[[#This Row],[Date ]]</f>
        <v>45308</v>
      </c>
      <c r="N1879" s="5">
        <f>Table1[[#This Row],[Ordered]]-Table1[[#This Row],[Date ]]</f>
        <v>0.79166666666424135</v>
      </c>
      <c r="O1879">
        <f>Table1[[#This Row],[Company]]</f>
        <v>9</v>
      </c>
      <c r="P18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0" spans="1:16" x14ac:dyDescent="0.45">
      <c r="A1880" s="3">
        <v>45308.791666666664</v>
      </c>
      <c r="B1880" t="s">
        <v>14</v>
      </c>
      <c r="C1880">
        <v>10</v>
      </c>
      <c r="D1880">
        <v>1003</v>
      </c>
      <c r="E1880" t="s">
        <v>16</v>
      </c>
      <c r="F1880">
        <v>36</v>
      </c>
      <c r="G1880">
        <v>4200</v>
      </c>
      <c r="H1880">
        <v>151200</v>
      </c>
      <c r="I1880" s="3">
        <v>45308.875</v>
      </c>
      <c r="J1880">
        <v>60</v>
      </c>
      <c r="K1880" s="3">
        <v>45310.875</v>
      </c>
      <c r="L1880" s="4">
        <f>ROUNDDOWN(Table1[[#This Row],[Ordered]],0)</f>
        <v>45308</v>
      </c>
      <c r="M1880" s="4">
        <f>Table1[[#This Row],[Date ]]</f>
        <v>45308</v>
      </c>
      <c r="N1880" s="5">
        <f>Table1[[#This Row],[Ordered]]-Table1[[#This Row],[Date ]]</f>
        <v>0.79166666666424135</v>
      </c>
      <c r="O1880">
        <f>Table1[[#This Row],[Company]]</f>
        <v>10</v>
      </c>
      <c r="P18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1" spans="1:16" x14ac:dyDescent="0.45">
      <c r="A1881" s="3">
        <v>45308.791666666664</v>
      </c>
      <c r="B1881" t="s">
        <v>14</v>
      </c>
      <c r="C1881">
        <v>13</v>
      </c>
      <c r="D1881">
        <v>1003</v>
      </c>
      <c r="E1881" t="s">
        <v>16</v>
      </c>
      <c r="F1881">
        <v>30</v>
      </c>
      <c r="G1881">
        <v>3400</v>
      </c>
      <c r="H1881">
        <v>102000</v>
      </c>
      <c r="I1881" s="3">
        <v>45309.5</v>
      </c>
      <c r="J1881">
        <v>96</v>
      </c>
      <c r="K1881" s="3">
        <v>45312.5</v>
      </c>
      <c r="L1881" s="4">
        <f>ROUNDDOWN(Table1[[#This Row],[Ordered]],0)</f>
        <v>45308</v>
      </c>
      <c r="M1881" s="4">
        <f>Table1[[#This Row],[Date ]]</f>
        <v>45308</v>
      </c>
      <c r="N1881" s="5">
        <f>Table1[[#This Row],[Ordered]]-Table1[[#This Row],[Date ]]</f>
        <v>0.79166666666424135</v>
      </c>
      <c r="O1881">
        <f>Table1[[#This Row],[Company]]</f>
        <v>13</v>
      </c>
      <c r="P18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2" spans="1:16" x14ac:dyDescent="0.45">
      <c r="A1882" s="3">
        <v>45308.791666666664</v>
      </c>
      <c r="B1882" t="s">
        <v>14</v>
      </c>
      <c r="C1882">
        <v>11</v>
      </c>
      <c r="D1882">
        <v>1003</v>
      </c>
      <c r="E1882" t="s">
        <v>16</v>
      </c>
      <c r="F1882">
        <v>30</v>
      </c>
      <c r="G1882">
        <v>4000</v>
      </c>
      <c r="H1882">
        <v>120000</v>
      </c>
      <c r="I1882" s="3">
        <v>45309.041666666664</v>
      </c>
      <c r="J1882">
        <v>96</v>
      </c>
      <c r="K1882" s="3">
        <v>45312.041666666664</v>
      </c>
      <c r="L1882" s="4">
        <f>ROUNDDOWN(Table1[[#This Row],[Ordered]],0)</f>
        <v>45308</v>
      </c>
      <c r="M1882" s="4">
        <f>Table1[[#This Row],[Date ]]</f>
        <v>45308</v>
      </c>
      <c r="N1882" s="5">
        <f>Table1[[#This Row],[Ordered]]-Table1[[#This Row],[Date ]]</f>
        <v>0.79166666666424135</v>
      </c>
      <c r="O1882">
        <f>Table1[[#This Row],[Company]]</f>
        <v>11</v>
      </c>
      <c r="P18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3" spans="1:16" hidden="1" x14ac:dyDescent="0.45">
      <c r="A1883" s="3">
        <v>45308.833333333336</v>
      </c>
      <c r="B1883" t="s">
        <v>12</v>
      </c>
      <c r="C1883">
        <v>4</v>
      </c>
      <c r="D1883">
        <v>9</v>
      </c>
      <c r="E1883" t="s">
        <v>17</v>
      </c>
      <c r="F1883">
        <v>200</v>
      </c>
      <c r="G1883">
        <v>1350</v>
      </c>
      <c r="H1883">
        <v>270000</v>
      </c>
      <c r="I1883" s="3">
        <v>45308.833333333336</v>
      </c>
      <c r="J1883">
        <v>24</v>
      </c>
      <c r="K1883" s="3">
        <v>45309.833333333336</v>
      </c>
      <c r="L1883" s="4">
        <f>ROUNDDOWN(Table1[[#This Row],[Ordered]],0)</f>
        <v>45308</v>
      </c>
      <c r="M1883" s="4">
        <f>Table1[[#This Row],[Date ]]</f>
        <v>45308</v>
      </c>
      <c r="N1883" s="5">
        <f>Table1[[#This Row],[Ordered]]-Table1[[#This Row],[Date ]]</f>
        <v>0.83333333333575865</v>
      </c>
      <c r="O1883">
        <f>Table1[[#This Row],[Company]]</f>
        <v>4</v>
      </c>
      <c r="P18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4" spans="1:16" hidden="1" x14ac:dyDescent="0.45">
      <c r="A1884" s="3">
        <v>45308.875</v>
      </c>
      <c r="B1884" t="s">
        <v>12</v>
      </c>
      <c r="C1884">
        <v>4</v>
      </c>
      <c r="D1884">
        <v>8</v>
      </c>
      <c r="E1884" t="s">
        <v>13</v>
      </c>
      <c r="F1884">
        <v>2000</v>
      </c>
      <c r="G1884">
        <v>110</v>
      </c>
      <c r="H1884">
        <v>220000</v>
      </c>
      <c r="I1884" s="3">
        <v>45308.875</v>
      </c>
      <c r="J1884">
        <v>72</v>
      </c>
      <c r="K1884" s="3">
        <v>45311.875</v>
      </c>
      <c r="L1884" s="4">
        <f>ROUNDDOWN(Table1[[#This Row],[Ordered]],0)</f>
        <v>45308</v>
      </c>
      <c r="M1884" s="4">
        <f>Table1[[#This Row],[Date ]]</f>
        <v>45308</v>
      </c>
      <c r="N1884" s="5">
        <f>Table1[[#This Row],[Ordered]]-Table1[[#This Row],[Date ]]</f>
        <v>0.875</v>
      </c>
      <c r="O1884">
        <f>Table1[[#This Row],[Company]]</f>
        <v>4</v>
      </c>
      <c r="P18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5" spans="1:16" hidden="1" x14ac:dyDescent="0.45">
      <c r="A1885" s="3">
        <v>45308.875</v>
      </c>
      <c r="B1885" t="s">
        <v>12</v>
      </c>
      <c r="C1885">
        <v>4</v>
      </c>
      <c r="D1885">
        <v>9</v>
      </c>
      <c r="E1885" t="s">
        <v>13</v>
      </c>
      <c r="F1885">
        <v>2000</v>
      </c>
      <c r="G1885">
        <v>110</v>
      </c>
      <c r="H1885">
        <v>220000</v>
      </c>
      <c r="I1885" s="3">
        <v>45309.125</v>
      </c>
      <c r="J1885">
        <v>72</v>
      </c>
      <c r="K1885" s="3">
        <v>45312.125</v>
      </c>
      <c r="L1885" s="4">
        <f>ROUNDDOWN(Table1[[#This Row],[Ordered]],0)</f>
        <v>45308</v>
      </c>
      <c r="M1885" s="4">
        <f>Table1[[#This Row],[Date ]]</f>
        <v>45308</v>
      </c>
      <c r="N1885" s="5">
        <f>Table1[[#This Row],[Ordered]]-Table1[[#This Row],[Date ]]</f>
        <v>0.875</v>
      </c>
      <c r="O1885">
        <f>Table1[[#This Row],[Company]]</f>
        <v>4</v>
      </c>
      <c r="P18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6" spans="1:16" hidden="1" x14ac:dyDescent="0.45">
      <c r="A1886" s="3">
        <v>45308.875</v>
      </c>
      <c r="B1886" t="s">
        <v>12</v>
      </c>
      <c r="C1886">
        <v>9</v>
      </c>
      <c r="D1886">
        <v>4</v>
      </c>
      <c r="E1886" t="s">
        <v>20</v>
      </c>
      <c r="F1886">
        <v>168</v>
      </c>
      <c r="G1886">
        <v>15</v>
      </c>
      <c r="H1886">
        <v>2520</v>
      </c>
      <c r="I1886" s="3">
        <v>45309.166666666664</v>
      </c>
      <c r="J1886">
        <v>48</v>
      </c>
      <c r="K1886" s="3">
        <v>45311.166666666664</v>
      </c>
      <c r="L1886" s="4">
        <f>ROUNDDOWN(Table1[[#This Row],[Ordered]],0)</f>
        <v>45308</v>
      </c>
      <c r="M1886" s="4">
        <f>Table1[[#This Row],[Date ]]</f>
        <v>45308</v>
      </c>
      <c r="N1886" s="5">
        <f>Table1[[#This Row],[Ordered]]-Table1[[#This Row],[Date ]]</f>
        <v>0.875</v>
      </c>
      <c r="O1886">
        <f>Table1[[#This Row],[Company]]</f>
        <v>9</v>
      </c>
      <c r="P18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7" spans="1:16" hidden="1" x14ac:dyDescent="0.45">
      <c r="A1887" s="3">
        <v>45308.875</v>
      </c>
      <c r="B1887" t="s">
        <v>12</v>
      </c>
      <c r="C1887">
        <v>1</v>
      </c>
      <c r="D1887">
        <v>7</v>
      </c>
      <c r="E1887" t="s">
        <v>13</v>
      </c>
      <c r="F1887">
        <v>7000</v>
      </c>
      <c r="G1887">
        <v>140</v>
      </c>
      <c r="H1887">
        <v>980000</v>
      </c>
      <c r="I1887" s="3">
        <v>45308.916666666664</v>
      </c>
      <c r="J1887">
        <v>24</v>
      </c>
      <c r="K1887" s="3">
        <v>45309.916666666664</v>
      </c>
      <c r="L1887" s="4">
        <f>ROUNDDOWN(Table1[[#This Row],[Ordered]],0)</f>
        <v>45308</v>
      </c>
      <c r="M1887" s="4">
        <f>Table1[[#This Row],[Date ]]</f>
        <v>45308</v>
      </c>
      <c r="N1887" s="5">
        <f>Table1[[#This Row],[Ordered]]-Table1[[#This Row],[Date ]]</f>
        <v>0.875</v>
      </c>
      <c r="O1887">
        <f>Table1[[#This Row],[Company]]</f>
        <v>1</v>
      </c>
      <c r="P18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8" spans="1:16" x14ac:dyDescent="0.45">
      <c r="A1888" s="3">
        <v>45308.916666666664</v>
      </c>
      <c r="B1888" t="s">
        <v>14</v>
      </c>
      <c r="C1888">
        <v>12</v>
      </c>
      <c r="D1888">
        <v>1006</v>
      </c>
      <c r="E1888" t="s">
        <v>15</v>
      </c>
      <c r="F1888">
        <v>12</v>
      </c>
      <c r="G1888">
        <v>6700</v>
      </c>
      <c r="H1888">
        <v>80400</v>
      </c>
      <c r="I1888" s="3">
        <v>45309.166666666664</v>
      </c>
      <c r="J1888">
        <v>96</v>
      </c>
      <c r="K1888" s="3">
        <v>45312.166666666664</v>
      </c>
      <c r="L1888" s="4">
        <f>ROUNDDOWN(Table1[[#This Row],[Ordered]],0)</f>
        <v>45308</v>
      </c>
      <c r="M1888" s="4">
        <f>Table1[[#This Row],[Date ]]</f>
        <v>45308</v>
      </c>
      <c r="N1888" s="5">
        <f>Table1[[#This Row],[Ordered]]-Table1[[#This Row],[Date ]]</f>
        <v>0.91666666666424135</v>
      </c>
      <c r="O1888">
        <f>Table1[[#This Row],[Company]]</f>
        <v>12</v>
      </c>
      <c r="P18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9" spans="1:16" x14ac:dyDescent="0.45">
      <c r="A1889" s="3">
        <v>45308.916666666664</v>
      </c>
      <c r="B1889" t="s">
        <v>14</v>
      </c>
      <c r="C1889">
        <v>13</v>
      </c>
      <c r="D1889">
        <v>1006</v>
      </c>
      <c r="E1889" t="s">
        <v>15</v>
      </c>
      <c r="F1889">
        <v>19</v>
      </c>
      <c r="G1889">
        <v>6300</v>
      </c>
      <c r="H1889">
        <v>119700</v>
      </c>
      <c r="I1889" s="3">
        <v>45309.541666666664</v>
      </c>
      <c r="J1889">
        <v>96</v>
      </c>
      <c r="K1889" s="3">
        <v>45312.541666666664</v>
      </c>
      <c r="L1889" s="4">
        <f>ROUNDDOWN(Table1[[#This Row],[Ordered]],0)</f>
        <v>45308</v>
      </c>
      <c r="M1889" s="4">
        <f>Table1[[#This Row],[Date ]]</f>
        <v>45308</v>
      </c>
      <c r="N1889" s="5">
        <f>Table1[[#This Row],[Ordered]]-Table1[[#This Row],[Date ]]</f>
        <v>0.91666666666424135</v>
      </c>
      <c r="O1889">
        <f>Table1[[#This Row],[Company]]</f>
        <v>13</v>
      </c>
      <c r="P18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0" spans="1:16" x14ac:dyDescent="0.45">
      <c r="A1890" s="3">
        <v>45308.916666666664</v>
      </c>
      <c r="B1890" t="s">
        <v>14</v>
      </c>
      <c r="C1890">
        <v>16</v>
      </c>
      <c r="D1890">
        <v>1006</v>
      </c>
      <c r="E1890" t="s">
        <v>15</v>
      </c>
      <c r="F1890">
        <v>9</v>
      </c>
      <c r="G1890">
        <v>6650</v>
      </c>
      <c r="H1890">
        <v>59850</v>
      </c>
      <c r="I1890" s="3">
        <v>45309.125</v>
      </c>
      <c r="J1890">
        <v>96</v>
      </c>
      <c r="K1890" s="3">
        <v>45312.125</v>
      </c>
      <c r="L1890" s="4">
        <f>ROUNDDOWN(Table1[[#This Row],[Ordered]],0)</f>
        <v>45308</v>
      </c>
      <c r="M1890" s="4">
        <f>Table1[[#This Row],[Date ]]</f>
        <v>45308</v>
      </c>
      <c r="N1890" s="5">
        <f>Table1[[#This Row],[Ordered]]-Table1[[#This Row],[Date ]]</f>
        <v>0.91666666666424135</v>
      </c>
      <c r="O1890">
        <f>Table1[[#This Row],[Company]]</f>
        <v>16</v>
      </c>
      <c r="P18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1" spans="1:16" x14ac:dyDescent="0.45">
      <c r="A1891" s="3">
        <v>45308.916666666664</v>
      </c>
      <c r="B1891" t="s">
        <v>14</v>
      </c>
      <c r="C1891">
        <v>7</v>
      </c>
      <c r="D1891">
        <v>1006</v>
      </c>
      <c r="E1891" t="s">
        <v>15</v>
      </c>
      <c r="F1891">
        <v>7</v>
      </c>
      <c r="G1891">
        <v>7050</v>
      </c>
      <c r="H1891">
        <v>49350</v>
      </c>
      <c r="I1891" s="3">
        <v>45310.541666666664</v>
      </c>
      <c r="J1891">
        <v>96</v>
      </c>
      <c r="K1891" s="3">
        <v>45312.541666666664</v>
      </c>
      <c r="L1891" s="4">
        <f>ROUNDDOWN(Table1[[#This Row],[Ordered]],0)</f>
        <v>45308</v>
      </c>
      <c r="M1891" s="4">
        <f>Table1[[#This Row],[Date ]]</f>
        <v>45308</v>
      </c>
      <c r="N1891" s="5">
        <f>Table1[[#This Row],[Ordered]]-Table1[[#This Row],[Date ]]</f>
        <v>0.91666666666424135</v>
      </c>
      <c r="O1891">
        <f>Table1[[#This Row],[Company]]</f>
        <v>7</v>
      </c>
      <c r="P18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2" spans="1:16" x14ac:dyDescent="0.45">
      <c r="A1892" s="3">
        <v>45308.916666666664</v>
      </c>
      <c r="B1892" t="s">
        <v>14</v>
      </c>
      <c r="C1892">
        <v>15</v>
      </c>
      <c r="D1892">
        <v>1006</v>
      </c>
      <c r="E1892" t="s">
        <v>15</v>
      </c>
      <c r="F1892">
        <v>21</v>
      </c>
      <c r="G1892">
        <v>6350</v>
      </c>
      <c r="H1892">
        <v>133350</v>
      </c>
      <c r="I1892" s="3">
        <v>45309</v>
      </c>
      <c r="J1892">
        <v>64</v>
      </c>
      <c r="K1892" s="3">
        <v>45311</v>
      </c>
      <c r="L1892" s="4">
        <f>ROUNDDOWN(Table1[[#This Row],[Ordered]],0)</f>
        <v>45308</v>
      </c>
      <c r="M1892" s="4">
        <f>Table1[[#This Row],[Date ]]</f>
        <v>45308</v>
      </c>
      <c r="N1892" s="5">
        <f>Table1[[#This Row],[Ordered]]-Table1[[#This Row],[Date ]]</f>
        <v>0.91666666666424135</v>
      </c>
      <c r="O1892">
        <f>Table1[[#This Row],[Company]]</f>
        <v>15</v>
      </c>
      <c r="P18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3" spans="1:16" x14ac:dyDescent="0.45">
      <c r="A1893" s="3">
        <v>45308.916666666664</v>
      </c>
      <c r="B1893" t="s">
        <v>14</v>
      </c>
      <c r="C1893">
        <v>14</v>
      </c>
      <c r="D1893">
        <v>1006</v>
      </c>
      <c r="E1893" t="s">
        <v>15</v>
      </c>
      <c r="F1893">
        <v>11</v>
      </c>
      <c r="G1893">
        <v>6650</v>
      </c>
      <c r="H1893">
        <v>73150</v>
      </c>
      <c r="I1893" s="3">
        <v>45308.916666666664</v>
      </c>
      <c r="J1893">
        <v>84</v>
      </c>
      <c r="K1893" s="3">
        <v>45311.916666666664</v>
      </c>
      <c r="L1893" s="4">
        <f>ROUNDDOWN(Table1[[#This Row],[Ordered]],0)</f>
        <v>45308</v>
      </c>
      <c r="M1893" s="4">
        <f>Table1[[#This Row],[Date ]]</f>
        <v>45308</v>
      </c>
      <c r="N1893" s="5">
        <f>Table1[[#This Row],[Ordered]]-Table1[[#This Row],[Date ]]</f>
        <v>0.91666666666424135</v>
      </c>
      <c r="O1893">
        <f>Table1[[#This Row],[Company]]</f>
        <v>14</v>
      </c>
      <c r="P18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4" spans="1:16" hidden="1" x14ac:dyDescent="0.45">
      <c r="A1894" s="3">
        <v>45308.958333333336</v>
      </c>
      <c r="B1894" t="s">
        <v>12</v>
      </c>
      <c r="C1894">
        <v>5</v>
      </c>
      <c r="D1894">
        <v>9</v>
      </c>
      <c r="E1894" t="s">
        <v>13</v>
      </c>
      <c r="F1894">
        <v>1500</v>
      </c>
      <c r="G1894">
        <v>120</v>
      </c>
      <c r="H1894">
        <v>180000</v>
      </c>
      <c r="I1894" s="3">
        <v>45309.125</v>
      </c>
      <c r="J1894">
        <v>48</v>
      </c>
      <c r="K1894" s="3">
        <v>45311.125</v>
      </c>
      <c r="L1894" s="4">
        <f>ROUNDDOWN(Table1[[#This Row],[Ordered]],0)</f>
        <v>45308</v>
      </c>
      <c r="M1894" s="4">
        <f>Table1[[#This Row],[Date ]]</f>
        <v>45308</v>
      </c>
      <c r="N1894" s="5">
        <f>Table1[[#This Row],[Ordered]]-Table1[[#This Row],[Date ]]</f>
        <v>0.95833333333575865</v>
      </c>
      <c r="O1894">
        <f>Table1[[#This Row],[Company]]</f>
        <v>5</v>
      </c>
      <c r="P18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5" spans="1:16" x14ac:dyDescent="0.45">
      <c r="A1895" s="3">
        <v>45309</v>
      </c>
      <c r="B1895" t="s">
        <v>14</v>
      </c>
      <c r="C1895">
        <v>13</v>
      </c>
      <c r="D1895">
        <v>1008</v>
      </c>
      <c r="E1895" t="s">
        <v>15</v>
      </c>
      <c r="F1895">
        <v>23</v>
      </c>
      <c r="G1895">
        <v>6200</v>
      </c>
      <c r="H1895">
        <v>142600</v>
      </c>
      <c r="I1895" s="3">
        <v>45311.666666666664</v>
      </c>
      <c r="J1895">
        <v>120</v>
      </c>
      <c r="K1895" s="3">
        <v>45313.791666666664</v>
      </c>
      <c r="L1895" s="4">
        <f>ROUNDDOWN(Table1[[#This Row],[Ordered]],0)</f>
        <v>45309</v>
      </c>
      <c r="M1895" s="4">
        <f>Table1[[#This Row],[Date ]]</f>
        <v>45309</v>
      </c>
      <c r="N1895" s="5">
        <f>Table1[[#This Row],[Ordered]]-Table1[[#This Row],[Date ]]</f>
        <v>0</v>
      </c>
      <c r="O1895">
        <f>Table1[[#This Row],[Company]]</f>
        <v>13</v>
      </c>
      <c r="P18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6" spans="1:16" hidden="1" x14ac:dyDescent="0.45">
      <c r="A1896" s="3">
        <v>45309</v>
      </c>
      <c r="B1896" t="s">
        <v>12</v>
      </c>
      <c r="C1896">
        <v>3</v>
      </c>
      <c r="D1896">
        <v>9</v>
      </c>
      <c r="E1896" t="s">
        <v>17</v>
      </c>
      <c r="F1896">
        <v>150</v>
      </c>
      <c r="G1896">
        <v>1350</v>
      </c>
      <c r="H1896">
        <v>202500</v>
      </c>
      <c r="I1896" s="3">
        <v>45309.083333333336</v>
      </c>
      <c r="J1896">
        <v>72</v>
      </c>
      <c r="K1896" s="3">
        <v>45312.083333333336</v>
      </c>
      <c r="L1896" s="4">
        <f>ROUNDDOWN(Table1[[#This Row],[Ordered]],0)</f>
        <v>45309</v>
      </c>
      <c r="M1896" s="4">
        <f>Table1[[#This Row],[Date ]]</f>
        <v>45309</v>
      </c>
      <c r="N1896" s="5">
        <f>Table1[[#This Row],[Ordered]]-Table1[[#This Row],[Date ]]</f>
        <v>0</v>
      </c>
      <c r="O1896">
        <f>Table1[[#This Row],[Company]]</f>
        <v>3</v>
      </c>
      <c r="P18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7" spans="1:16" x14ac:dyDescent="0.45">
      <c r="A1897" s="3">
        <v>45309</v>
      </c>
      <c r="B1897" t="s">
        <v>14</v>
      </c>
      <c r="C1897">
        <v>15</v>
      </c>
      <c r="D1897">
        <v>1008</v>
      </c>
      <c r="E1897" t="s">
        <v>15</v>
      </c>
      <c r="F1897">
        <v>26</v>
      </c>
      <c r="G1897">
        <v>6250</v>
      </c>
      <c r="H1897">
        <v>162500</v>
      </c>
      <c r="I1897" s="3">
        <v>45309.166666666664</v>
      </c>
      <c r="J1897">
        <v>89</v>
      </c>
      <c r="K1897" s="3">
        <v>45312.166666666664</v>
      </c>
      <c r="L1897" s="4">
        <f>ROUNDDOWN(Table1[[#This Row],[Ordered]],0)</f>
        <v>45309</v>
      </c>
      <c r="M1897" s="4">
        <f>Table1[[#This Row],[Date ]]</f>
        <v>45309</v>
      </c>
      <c r="N1897" s="5">
        <f>Table1[[#This Row],[Ordered]]-Table1[[#This Row],[Date ]]</f>
        <v>0</v>
      </c>
      <c r="O1897">
        <f>Table1[[#This Row],[Company]]</f>
        <v>15</v>
      </c>
      <c r="P18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8" spans="1:16" hidden="1" x14ac:dyDescent="0.45">
      <c r="A1898" s="3">
        <v>45309</v>
      </c>
      <c r="B1898" t="s">
        <v>12</v>
      </c>
      <c r="C1898">
        <v>2</v>
      </c>
      <c r="D1898">
        <v>8</v>
      </c>
      <c r="E1898" t="s">
        <v>17</v>
      </c>
      <c r="F1898">
        <v>200</v>
      </c>
      <c r="G1898">
        <v>1700</v>
      </c>
      <c r="H1898">
        <v>340000</v>
      </c>
      <c r="I1898" s="3">
        <v>45309.041666666664</v>
      </c>
      <c r="J1898">
        <v>48</v>
      </c>
      <c r="K1898" s="3">
        <v>45311.041666666664</v>
      </c>
      <c r="L1898" s="4">
        <f>ROUNDDOWN(Table1[[#This Row],[Ordered]],0)</f>
        <v>45309</v>
      </c>
      <c r="M1898" s="4">
        <f>Table1[[#This Row],[Date ]]</f>
        <v>45309</v>
      </c>
      <c r="N1898" s="5">
        <f>Table1[[#This Row],[Ordered]]-Table1[[#This Row],[Date ]]</f>
        <v>0</v>
      </c>
      <c r="O1898">
        <f>Table1[[#This Row],[Company]]</f>
        <v>2</v>
      </c>
      <c r="P18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9" spans="1:16" hidden="1" x14ac:dyDescent="0.45">
      <c r="A1899" s="3">
        <v>45309</v>
      </c>
      <c r="B1899" t="s">
        <v>12</v>
      </c>
      <c r="C1899">
        <v>4</v>
      </c>
      <c r="D1899">
        <v>13</v>
      </c>
      <c r="E1899" t="s">
        <v>17</v>
      </c>
      <c r="F1899">
        <v>180</v>
      </c>
      <c r="G1899">
        <v>1350</v>
      </c>
      <c r="H1899">
        <v>243000</v>
      </c>
      <c r="I1899" s="3">
        <v>45309.625</v>
      </c>
      <c r="J1899">
        <v>24</v>
      </c>
      <c r="K1899" s="3">
        <v>45310.625</v>
      </c>
      <c r="L1899" s="4">
        <f>ROUNDDOWN(Table1[[#This Row],[Ordered]],0)</f>
        <v>45309</v>
      </c>
      <c r="M1899" s="4">
        <f>Table1[[#This Row],[Date ]]</f>
        <v>45309</v>
      </c>
      <c r="N1899" s="5">
        <f>Table1[[#This Row],[Ordered]]-Table1[[#This Row],[Date ]]</f>
        <v>0</v>
      </c>
      <c r="O1899">
        <f>Table1[[#This Row],[Company]]</f>
        <v>4</v>
      </c>
      <c r="P18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0" spans="1:16" hidden="1" x14ac:dyDescent="0.45">
      <c r="A1900" s="3">
        <v>45309.041666666664</v>
      </c>
      <c r="B1900" t="s">
        <v>12</v>
      </c>
      <c r="C1900">
        <v>5</v>
      </c>
      <c r="D1900">
        <v>16</v>
      </c>
      <c r="E1900" t="s">
        <v>13</v>
      </c>
      <c r="F1900">
        <v>2000</v>
      </c>
      <c r="G1900">
        <v>120</v>
      </c>
      <c r="H1900">
        <v>240000</v>
      </c>
      <c r="I1900" s="3">
        <v>45309.125</v>
      </c>
      <c r="J1900">
        <v>24</v>
      </c>
      <c r="K1900" s="3">
        <v>45310.125</v>
      </c>
      <c r="L1900" s="4">
        <f>ROUNDDOWN(Table1[[#This Row],[Ordered]],0)</f>
        <v>45309</v>
      </c>
      <c r="M1900" s="4">
        <f>Table1[[#This Row],[Date ]]</f>
        <v>45309</v>
      </c>
      <c r="N1900" s="5">
        <f>Table1[[#This Row],[Ordered]]-Table1[[#This Row],[Date ]]</f>
        <v>4.1666666664241347E-2</v>
      </c>
      <c r="O1900">
        <f>Table1[[#This Row],[Company]]</f>
        <v>5</v>
      </c>
      <c r="P19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1" spans="1:16" hidden="1" x14ac:dyDescent="0.45">
      <c r="A1901" s="3">
        <v>45309.041666666664</v>
      </c>
      <c r="B1901" t="s">
        <v>12</v>
      </c>
      <c r="C1901">
        <v>1</v>
      </c>
      <c r="D1901">
        <v>14</v>
      </c>
      <c r="E1901" t="s">
        <v>13</v>
      </c>
      <c r="F1901">
        <v>3000</v>
      </c>
      <c r="G1901">
        <v>100</v>
      </c>
      <c r="H1901">
        <v>300000</v>
      </c>
      <c r="I1901" s="3">
        <v>45309.041666666664</v>
      </c>
      <c r="J1901">
        <v>72</v>
      </c>
      <c r="K1901" s="3">
        <v>45312.041666666664</v>
      </c>
      <c r="L1901" s="4">
        <f>ROUNDDOWN(Table1[[#This Row],[Ordered]],0)</f>
        <v>45309</v>
      </c>
      <c r="M1901" s="4">
        <f>Table1[[#This Row],[Date ]]</f>
        <v>45309</v>
      </c>
      <c r="N1901" s="5">
        <f>Table1[[#This Row],[Ordered]]-Table1[[#This Row],[Date ]]</f>
        <v>4.1666666664241347E-2</v>
      </c>
      <c r="O1901">
        <f>Table1[[#This Row],[Company]]</f>
        <v>1</v>
      </c>
      <c r="P19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2" spans="1:16" hidden="1" x14ac:dyDescent="0.45">
      <c r="A1902" s="3">
        <v>45309.083333333336</v>
      </c>
      <c r="B1902" t="s">
        <v>12</v>
      </c>
      <c r="C1902">
        <v>2</v>
      </c>
      <c r="D1902">
        <v>14</v>
      </c>
      <c r="E1902" t="s">
        <v>13</v>
      </c>
      <c r="F1902">
        <v>1500</v>
      </c>
      <c r="G1902">
        <v>125</v>
      </c>
      <c r="H1902">
        <v>187500</v>
      </c>
      <c r="I1902" s="3">
        <v>45309.125</v>
      </c>
      <c r="J1902">
        <v>72</v>
      </c>
      <c r="K1902" s="3">
        <v>45312.125</v>
      </c>
      <c r="L1902" s="4">
        <f>ROUNDDOWN(Table1[[#This Row],[Ordered]],0)</f>
        <v>45309</v>
      </c>
      <c r="M1902" s="4">
        <f>Table1[[#This Row],[Date ]]</f>
        <v>45309</v>
      </c>
      <c r="N1902" s="5">
        <f>Table1[[#This Row],[Ordered]]-Table1[[#This Row],[Date ]]</f>
        <v>8.3333333335758653E-2</v>
      </c>
      <c r="O1902">
        <f>Table1[[#This Row],[Company]]</f>
        <v>2</v>
      </c>
      <c r="P19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3" spans="1:16" x14ac:dyDescent="0.45">
      <c r="A1903" s="3">
        <v>45309.083333333336</v>
      </c>
      <c r="B1903" t="s">
        <v>14</v>
      </c>
      <c r="C1903">
        <v>14</v>
      </c>
      <c r="D1903">
        <v>1011</v>
      </c>
      <c r="E1903" t="s">
        <v>16</v>
      </c>
      <c r="F1903">
        <v>29</v>
      </c>
      <c r="G1903">
        <v>3750</v>
      </c>
      <c r="H1903">
        <v>108750</v>
      </c>
      <c r="I1903" s="3">
        <v>45309.083333333336</v>
      </c>
      <c r="J1903">
        <v>84</v>
      </c>
      <c r="K1903" s="3">
        <v>45312.083333333336</v>
      </c>
      <c r="L1903" s="4">
        <f>ROUNDDOWN(Table1[[#This Row],[Ordered]],0)</f>
        <v>45309</v>
      </c>
      <c r="M1903" s="4">
        <f>Table1[[#This Row],[Date ]]</f>
        <v>45309</v>
      </c>
      <c r="N1903" s="5">
        <f>Table1[[#This Row],[Ordered]]-Table1[[#This Row],[Date ]]</f>
        <v>8.3333333335758653E-2</v>
      </c>
      <c r="O1903">
        <f>Table1[[#This Row],[Company]]</f>
        <v>14</v>
      </c>
      <c r="P19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4" spans="1:16" x14ac:dyDescent="0.45">
      <c r="A1904" s="3">
        <v>45309.083333333336</v>
      </c>
      <c r="B1904" t="s">
        <v>14</v>
      </c>
      <c r="C1904">
        <v>9</v>
      </c>
      <c r="D1904">
        <v>1011</v>
      </c>
      <c r="E1904" t="s">
        <v>16</v>
      </c>
      <c r="F1904">
        <v>15</v>
      </c>
      <c r="G1904">
        <v>3799</v>
      </c>
      <c r="H1904">
        <v>56985</v>
      </c>
      <c r="I1904" s="3">
        <v>45309.083333333336</v>
      </c>
      <c r="J1904">
        <v>76</v>
      </c>
      <c r="K1904" s="3">
        <v>45312.083333333336</v>
      </c>
      <c r="L1904" s="4">
        <f>ROUNDDOWN(Table1[[#This Row],[Ordered]],0)</f>
        <v>45309</v>
      </c>
      <c r="M1904" s="4">
        <f>Table1[[#This Row],[Date ]]</f>
        <v>45309</v>
      </c>
      <c r="N1904" s="5">
        <f>Table1[[#This Row],[Ordered]]-Table1[[#This Row],[Date ]]</f>
        <v>8.3333333335758653E-2</v>
      </c>
      <c r="O1904">
        <f>Table1[[#This Row],[Company]]</f>
        <v>9</v>
      </c>
      <c r="P19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5" spans="1:16" x14ac:dyDescent="0.45">
      <c r="A1905" s="3">
        <v>45309.083333333336</v>
      </c>
      <c r="B1905" t="s">
        <v>14</v>
      </c>
      <c r="C1905">
        <v>12</v>
      </c>
      <c r="D1905">
        <v>1011</v>
      </c>
      <c r="E1905" t="s">
        <v>16</v>
      </c>
      <c r="F1905">
        <v>19</v>
      </c>
      <c r="G1905">
        <v>3800</v>
      </c>
      <c r="H1905">
        <v>72200</v>
      </c>
      <c r="I1905" s="3">
        <v>45310.583333333336</v>
      </c>
      <c r="J1905">
        <v>96</v>
      </c>
      <c r="K1905" s="3">
        <v>45312.583333333336</v>
      </c>
      <c r="L1905" s="4">
        <f>ROUNDDOWN(Table1[[#This Row],[Ordered]],0)</f>
        <v>45309</v>
      </c>
      <c r="M1905" s="4">
        <f>Table1[[#This Row],[Date ]]</f>
        <v>45309</v>
      </c>
      <c r="N1905" s="5">
        <f>Table1[[#This Row],[Ordered]]-Table1[[#This Row],[Date ]]</f>
        <v>8.3333333335758653E-2</v>
      </c>
      <c r="O1905">
        <f>Table1[[#This Row],[Company]]</f>
        <v>12</v>
      </c>
      <c r="P19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6" spans="1:16" x14ac:dyDescent="0.45">
      <c r="A1906" s="3">
        <v>45309.083333333336</v>
      </c>
      <c r="B1906" t="s">
        <v>14</v>
      </c>
      <c r="C1906">
        <v>10</v>
      </c>
      <c r="D1906">
        <v>1011</v>
      </c>
      <c r="E1906" t="s">
        <v>16</v>
      </c>
      <c r="F1906">
        <v>14</v>
      </c>
      <c r="G1906">
        <v>4200</v>
      </c>
      <c r="H1906">
        <v>58800</v>
      </c>
      <c r="I1906" s="3">
        <v>45309.208333333336</v>
      </c>
      <c r="J1906">
        <v>60</v>
      </c>
      <c r="K1906" s="3">
        <v>45311.208333333336</v>
      </c>
      <c r="L1906" s="4">
        <f>ROUNDDOWN(Table1[[#This Row],[Ordered]],0)</f>
        <v>45309</v>
      </c>
      <c r="M1906" s="4">
        <f>Table1[[#This Row],[Date ]]</f>
        <v>45309</v>
      </c>
      <c r="N1906" s="5">
        <f>Table1[[#This Row],[Ordered]]-Table1[[#This Row],[Date ]]</f>
        <v>8.3333333335758653E-2</v>
      </c>
      <c r="O1906">
        <f>Table1[[#This Row],[Company]]</f>
        <v>10</v>
      </c>
      <c r="P19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7" spans="1:16" x14ac:dyDescent="0.45">
      <c r="A1907" s="3">
        <v>45309.083333333336</v>
      </c>
      <c r="B1907" t="s">
        <v>14</v>
      </c>
      <c r="C1907">
        <v>11</v>
      </c>
      <c r="D1907">
        <v>1011</v>
      </c>
      <c r="E1907" t="s">
        <v>16</v>
      </c>
      <c r="F1907">
        <v>17</v>
      </c>
      <c r="G1907">
        <v>4000</v>
      </c>
      <c r="H1907">
        <v>68000</v>
      </c>
      <c r="I1907" s="3">
        <v>45309.291666666664</v>
      </c>
      <c r="J1907">
        <v>96</v>
      </c>
      <c r="K1907" s="3">
        <v>45312.291666666664</v>
      </c>
      <c r="L1907" s="4">
        <f>ROUNDDOWN(Table1[[#This Row],[Ordered]],0)</f>
        <v>45309</v>
      </c>
      <c r="M1907" s="4">
        <f>Table1[[#This Row],[Date ]]</f>
        <v>45309</v>
      </c>
      <c r="N1907" s="5">
        <f>Table1[[#This Row],[Ordered]]-Table1[[#This Row],[Date ]]</f>
        <v>8.3333333335758653E-2</v>
      </c>
      <c r="O1907">
        <f>Table1[[#This Row],[Company]]</f>
        <v>11</v>
      </c>
      <c r="P19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8" spans="1:16" x14ac:dyDescent="0.45">
      <c r="A1908" s="3">
        <v>45309.083333333336</v>
      </c>
      <c r="B1908" t="s">
        <v>14</v>
      </c>
      <c r="C1908">
        <v>16</v>
      </c>
      <c r="D1908">
        <v>1011</v>
      </c>
      <c r="E1908" t="s">
        <v>16</v>
      </c>
      <c r="F1908">
        <v>22</v>
      </c>
      <c r="G1908">
        <v>3750</v>
      </c>
      <c r="H1908">
        <v>82500</v>
      </c>
      <c r="I1908" s="3">
        <v>45309.333333333336</v>
      </c>
      <c r="J1908">
        <v>96</v>
      </c>
      <c r="K1908" s="3">
        <v>45312.458333333336</v>
      </c>
      <c r="L1908" s="4">
        <f>ROUNDDOWN(Table1[[#This Row],[Ordered]],0)</f>
        <v>45309</v>
      </c>
      <c r="M1908" s="4">
        <f>Table1[[#This Row],[Date ]]</f>
        <v>45309</v>
      </c>
      <c r="N1908" s="5">
        <f>Table1[[#This Row],[Ordered]]-Table1[[#This Row],[Date ]]</f>
        <v>8.3333333335758653E-2</v>
      </c>
      <c r="O1908">
        <f>Table1[[#This Row],[Company]]</f>
        <v>16</v>
      </c>
      <c r="P19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9" spans="1:16" x14ac:dyDescent="0.45">
      <c r="A1909" s="3">
        <v>45309.083333333336</v>
      </c>
      <c r="B1909" t="s">
        <v>14</v>
      </c>
      <c r="C1909">
        <v>7</v>
      </c>
      <c r="D1909">
        <v>1011</v>
      </c>
      <c r="E1909" t="s">
        <v>16</v>
      </c>
      <c r="F1909">
        <v>11</v>
      </c>
      <c r="G1909">
        <v>3950</v>
      </c>
      <c r="H1909">
        <v>43450</v>
      </c>
      <c r="I1909" s="3">
        <v>45310.958333333336</v>
      </c>
      <c r="J1909">
        <v>96</v>
      </c>
      <c r="K1909" s="3">
        <v>45312.958333333336</v>
      </c>
      <c r="L1909" s="4">
        <f>ROUNDDOWN(Table1[[#This Row],[Ordered]],0)</f>
        <v>45309</v>
      </c>
      <c r="M1909" s="4">
        <f>Table1[[#This Row],[Date ]]</f>
        <v>45309</v>
      </c>
      <c r="N1909" s="5">
        <f>Table1[[#This Row],[Ordered]]-Table1[[#This Row],[Date ]]</f>
        <v>8.3333333335758653E-2</v>
      </c>
      <c r="O1909">
        <f>Table1[[#This Row],[Company]]</f>
        <v>7</v>
      </c>
      <c r="P19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0" spans="1:16" x14ac:dyDescent="0.45">
      <c r="A1910" s="3">
        <v>45309.083333333336</v>
      </c>
      <c r="B1910" t="s">
        <v>14</v>
      </c>
      <c r="C1910">
        <v>8</v>
      </c>
      <c r="D1910">
        <v>1011</v>
      </c>
      <c r="E1910" t="s">
        <v>16</v>
      </c>
      <c r="F1910">
        <v>13</v>
      </c>
      <c r="G1910">
        <v>3836</v>
      </c>
      <c r="H1910">
        <v>49868</v>
      </c>
      <c r="I1910" s="3">
        <v>45311.708333333336</v>
      </c>
      <c r="J1910">
        <v>144</v>
      </c>
      <c r="K1910" s="3">
        <v>45314.708333333336</v>
      </c>
      <c r="L1910" s="4">
        <f>ROUNDDOWN(Table1[[#This Row],[Ordered]],0)</f>
        <v>45309</v>
      </c>
      <c r="M1910" s="4">
        <f>Table1[[#This Row],[Date ]]</f>
        <v>45309</v>
      </c>
      <c r="N1910" s="5">
        <f>Table1[[#This Row],[Ordered]]-Table1[[#This Row],[Date ]]</f>
        <v>8.3333333335758653E-2</v>
      </c>
      <c r="O1910">
        <f>Table1[[#This Row],[Company]]</f>
        <v>8</v>
      </c>
      <c r="P19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1" spans="1:16" x14ac:dyDescent="0.45">
      <c r="A1911" s="3">
        <v>45309.083333333336</v>
      </c>
      <c r="B1911" t="s">
        <v>14</v>
      </c>
      <c r="C1911">
        <v>15</v>
      </c>
      <c r="D1911">
        <v>1011</v>
      </c>
      <c r="E1911" t="s">
        <v>16</v>
      </c>
      <c r="F1911">
        <v>37</v>
      </c>
      <c r="G1911">
        <v>3350</v>
      </c>
      <c r="H1911">
        <v>123950</v>
      </c>
      <c r="I1911" s="3">
        <v>45309.166666666664</v>
      </c>
      <c r="J1911">
        <v>88</v>
      </c>
      <c r="K1911" s="3">
        <v>45312.166666666664</v>
      </c>
      <c r="L1911" s="4">
        <f>ROUNDDOWN(Table1[[#This Row],[Ordered]],0)</f>
        <v>45309</v>
      </c>
      <c r="M1911" s="4">
        <f>Table1[[#This Row],[Date ]]</f>
        <v>45309</v>
      </c>
      <c r="N1911" s="5">
        <f>Table1[[#This Row],[Ordered]]-Table1[[#This Row],[Date ]]</f>
        <v>8.3333333335758653E-2</v>
      </c>
      <c r="O1911">
        <f>Table1[[#This Row],[Company]]</f>
        <v>15</v>
      </c>
      <c r="P19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2" spans="1:16" x14ac:dyDescent="0.45">
      <c r="A1912" s="3">
        <v>45309.083333333336</v>
      </c>
      <c r="B1912" t="s">
        <v>14</v>
      </c>
      <c r="C1912">
        <v>13</v>
      </c>
      <c r="D1912">
        <v>1011</v>
      </c>
      <c r="E1912" t="s">
        <v>16</v>
      </c>
      <c r="F1912">
        <v>30</v>
      </c>
      <c r="G1912">
        <v>3400</v>
      </c>
      <c r="H1912">
        <v>102000</v>
      </c>
      <c r="I1912" s="3">
        <v>45310.75</v>
      </c>
      <c r="J1912">
        <v>96</v>
      </c>
      <c r="K1912" s="3">
        <v>45312.75</v>
      </c>
      <c r="L1912" s="4">
        <f>ROUNDDOWN(Table1[[#This Row],[Ordered]],0)</f>
        <v>45309</v>
      </c>
      <c r="M1912" s="4">
        <f>Table1[[#This Row],[Date ]]</f>
        <v>45309</v>
      </c>
      <c r="N1912" s="5">
        <f>Table1[[#This Row],[Ordered]]-Table1[[#This Row],[Date ]]</f>
        <v>8.3333333335758653E-2</v>
      </c>
      <c r="O1912">
        <f>Table1[[#This Row],[Company]]</f>
        <v>13</v>
      </c>
      <c r="P19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3" spans="1:16" hidden="1" x14ac:dyDescent="0.45">
      <c r="A1913" s="3">
        <v>45309.125</v>
      </c>
      <c r="B1913" t="s">
        <v>12</v>
      </c>
      <c r="C1913">
        <v>5</v>
      </c>
      <c r="D1913">
        <v>16</v>
      </c>
      <c r="E1913" t="s">
        <v>13</v>
      </c>
      <c r="F1913">
        <v>2000</v>
      </c>
      <c r="G1913">
        <v>120</v>
      </c>
      <c r="H1913">
        <v>240000</v>
      </c>
      <c r="I1913" s="3">
        <v>45309.166666666664</v>
      </c>
      <c r="J1913">
        <v>48</v>
      </c>
      <c r="K1913" s="3">
        <v>45311.166666666664</v>
      </c>
      <c r="L1913" s="4">
        <f>ROUNDDOWN(Table1[[#This Row],[Ordered]],0)</f>
        <v>45309</v>
      </c>
      <c r="M1913" s="4">
        <f>Table1[[#This Row],[Date ]]</f>
        <v>45309</v>
      </c>
      <c r="N1913" s="5">
        <f>Table1[[#This Row],[Ordered]]-Table1[[#This Row],[Date ]]</f>
        <v>0.125</v>
      </c>
      <c r="O1913">
        <f>Table1[[#This Row],[Company]]</f>
        <v>5</v>
      </c>
      <c r="P19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4" spans="1:16" x14ac:dyDescent="0.45">
      <c r="A1914" s="3">
        <v>45309.166666666664</v>
      </c>
      <c r="B1914" t="s">
        <v>14</v>
      </c>
      <c r="C1914">
        <v>7</v>
      </c>
      <c r="D1914">
        <v>1009</v>
      </c>
      <c r="E1914" t="s">
        <v>15</v>
      </c>
      <c r="F1914">
        <v>3</v>
      </c>
      <c r="G1914">
        <v>7050</v>
      </c>
      <c r="H1914">
        <v>21150</v>
      </c>
      <c r="I1914" s="3">
        <v>45310.958333333336</v>
      </c>
      <c r="J1914">
        <v>96</v>
      </c>
      <c r="K1914" s="3">
        <v>45312.958333333336</v>
      </c>
      <c r="L1914" s="4">
        <f>ROUNDDOWN(Table1[[#This Row],[Ordered]],0)</f>
        <v>45309</v>
      </c>
      <c r="M1914" s="4">
        <f>Table1[[#This Row],[Date ]]</f>
        <v>45309</v>
      </c>
      <c r="N1914" s="5">
        <f>Table1[[#This Row],[Ordered]]-Table1[[#This Row],[Date ]]</f>
        <v>0.16666666666424135</v>
      </c>
      <c r="O1914">
        <f>Table1[[#This Row],[Company]]</f>
        <v>7</v>
      </c>
      <c r="P19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5" spans="1:16" x14ac:dyDescent="0.45">
      <c r="A1915" s="3">
        <v>45309.166666666664</v>
      </c>
      <c r="B1915" t="s">
        <v>14</v>
      </c>
      <c r="C1915">
        <v>16</v>
      </c>
      <c r="D1915">
        <v>1009</v>
      </c>
      <c r="E1915" t="s">
        <v>15</v>
      </c>
      <c r="F1915">
        <v>5</v>
      </c>
      <c r="G1915">
        <v>6650</v>
      </c>
      <c r="H1915">
        <v>33250</v>
      </c>
      <c r="I1915" s="3">
        <v>45309.333333333336</v>
      </c>
      <c r="J1915">
        <v>96</v>
      </c>
      <c r="K1915" s="3">
        <v>45312.333333333336</v>
      </c>
      <c r="L1915" s="4">
        <f>ROUNDDOWN(Table1[[#This Row],[Ordered]],0)</f>
        <v>45309</v>
      </c>
      <c r="M1915" s="4">
        <f>Table1[[#This Row],[Date ]]</f>
        <v>45309</v>
      </c>
      <c r="N1915" s="5">
        <f>Table1[[#This Row],[Ordered]]-Table1[[#This Row],[Date ]]</f>
        <v>0.16666666666424135</v>
      </c>
      <c r="O1915">
        <f>Table1[[#This Row],[Company]]</f>
        <v>16</v>
      </c>
      <c r="P19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6" spans="1:16" x14ac:dyDescent="0.45">
      <c r="A1916" s="3">
        <v>45309.166666666664</v>
      </c>
      <c r="B1916" t="s">
        <v>14</v>
      </c>
      <c r="C1916">
        <v>12</v>
      </c>
      <c r="D1916">
        <v>1009</v>
      </c>
      <c r="E1916" t="s">
        <v>15</v>
      </c>
      <c r="F1916">
        <v>4</v>
      </c>
      <c r="G1916">
        <v>6700</v>
      </c>
      <c r="H1916">
        <v>26800</v>
      </c>
      <c r="I1916" s="3">
        <v>45309.583333333336</v>
      </c>
      <c r="J1916">
        <v>96</v>
      </c>
      <c r="K1916" s="3">
        <v>45312.583333333336</v>
      </c>
      <c r="L1916" s="4">
        <f>ROUNDDOWN(Table1[[#This Row],[Ordered]],0)</f>
        <v>45309</v>
      </c>
      <c r="M1916" s="4">
        <f>Table1[[#This Row],[Date ]]</f>
        <v>45309</v>
      </c>
      <c r="N1916" s="5">
        <f>Table1[[#This Row],[Ordered]]-Table1[[#This Row],[Date ]]</f>
        <v>0.16666666666424135</v>
      </c>
      <c r="O1916">
        <f>Table1[[#This Row],[Company]]</f>
        <v>12</v>
      </c>
      <c r="P19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7" spans="1:16" x14ac:dyDescent="0.45">
      <c r="A1917" s="3">
        <v>45309.166666666664</v>
      </c>
      <c r="B1917" t="s">
        <v>14</v>
      </c>
      <c r="C1917">
        <v>15</v>
      </c>
      <c r="D1917">
        <v>1009</v>
      </c>
      <c r="E1917" t="s">
        <v>15</v>
      </c>
      <c r="F1917">
        <v>8</v>
      </c>
      <c r="G1917">
        <v>6350</v>
      </c>
      <c r="H1917">
        <v>50800</v>
      </c>
      <c r="I1917" s="3">
        <v>45309.25</v>
      </c>
      <c r="J1917">
        <v>64</v>
      </c>
      <c r="K1917" s="3">
        <v>45311.25</v>
      </c>
      <c r="L1917" s="4">
        <f>ROUNDDOWN(Table1[[#This Row],[Ordered]],0)</f>
        <v>45309</v>
      </c>
      <c r="M1917" s="4">
        <f>Table1[[#This Row],[Date ]]</f>
        <v>45309</v>
      </c>
      <c r="N1917" s="5">
        <f>Table1[[#This Row],[Ordered]]-Table1[[#This Row],[Date ]]</f>
        <v>0.16666666666424135</v>
      </c>
      <c r="O1917">
        <f>Table1[[#This Row],[Company]]</f>
        <v>15</v>
      </c>
      <c r="P19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8" spans="1:16" x14ac:dyDescent="0.45">
      <c r="A1918" s="3">
        <v>45309.166666666664</v>
      </c>
      <c r="B1918" t="s">
        <v>14</v>
      </c>
      <c r="C1918">
        <v>13</v>
      </c>
      <c r="D1918">
        <v>1009</v>
      </c>
      <c r="E1918" t="s">
        <v>15</v>
      </c>
      <c r="F1918">
        <v>7</v>
      </c>
      <c r="G1918">
        <v>6300</v>
      </c>
      <c r="H1918">
        <v>44100</v>
      </c>
      <c r="I1918" s="3">
        <v>45309.875</v>
      </c>
      <c r="J1918">
        <v>96</v>
      </c>
      <c r="K1918" s="3">
        <v>45312.875</v>
      </c>
      <c r="L1918" s="4">
        <f>ROUNDDOWN(Table1[[#This Row],[Ordered]],0)</f>
        <v>45309</v>
      </c>
      <c r="M1918" s="4">
        <f>Table1[[#This Row],[Date ]]</f>
        <v>45309</v>
      </c>
      <c r="N1918" s="5">
        <f>Table1[[#This Row],[Ordered]]-Table1[[#This Row],[Date ]]</f>
        <v>0.16666666666424135</v>
      </c>
      <c r="O1918">
        <f>Table1[[#This Row],[Company]]</f>
        <v>13</v>
      </c>
      <c r="P19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9" spans="1:16" x14ac:dyDescent="0.45">
      <c r="A1919" s="3">
        <v>45309.333333333336</v>
      </c>
      <c r="B1919" t="s">
        <v>0</v>
      </c>
      <c r="C1919">
        <v>9</v>
      </c>
      <c r="D1919">
        <v>2005</v>
      </c>
      <c r="E1919" t="s">
        <v>15</v>
      </c>
      <c r="F1919">
        <v>75</v>
      </c>
      <c r="G1919">
        <v>6489</v>
      </c>
      <c r="H1919">
        <v>486675</v>
      </c>
      <c r="I1919" s="3">
        <v>45309.791666666664</v>
      </c>
      <c r="J1919">
        <v>120</v>
      </c>
      <c r="K1919" s="3">
        <v>45314.291666666664</v>
      </c>
      <c r="L1919" s="4">
        <f>ROUNDDOWN(Table1[[#This Row],[Ordered]],0)</f>
        <v>45309</v>
      </c>
      <c r="M1919" s="4">
        <f>Table1[[#This Row],[Date ]]</f>
        <v>45309</v>
      </c>
      <c r="N1919" s="5">
        <f>Table1[[#This Row],[Ordered]]-Table1[[#This Row],[Date ]]</f>
        <v>0.33333333333575865</v>
      </c>
      <c r="O1919">
        <f>Table1[[#This Row],[Company]]</f>
        <v>9</v>
      </c>
      <c r="P19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0" spans="1:16" x14ac:dyDescent="0.45">
      <c r="A1920" s="3">
        <v>45309.333333333336</v>
      </c>
      <c r="B1920" t="s">
        <v>0</v>
      </c>
      <c r="C1920">
        <v>15</v>
      </c>
      <c r="D1920">
        <v>2005</v>
      </c>
      <c r="E1920" t="s">
        <v>15</v>
      </c>
      <c r="F1920">
        <v>50</v>
      </c>
      <c r="G1920">
        <v>6300</v>
      </c>
      <c r="H1920">
        <v>315000</v>
      </c>
      <c r="I1920" s="3">
        <v>45309.333333333336</v>
      </c>
      <c r="J1920">
        <v>48</v>
      </c>
      <c r="K1920" s="3">
        <v>45310.833333333336</v>
      </c>
      <c r="L1920" s="4">
        <f>ROUNDDOWN(Table1[[#This Row],[Ordered]],0)</f>
        <v>45309</v>
      </c>
      <c r="M1920" s="4">
        <f>Table1[[#This Row],[Date ]]</f>
        <v>45309</v>
      </c>
      <c r="N1920" s="5">
        <f>Table1[[#This Row],[Ordered]]-Table1[[#This Row],[Date ]]</f>
        <v>0.33333333333575865</v>
      </c>
      <c r="O1920">
        <f>Table1[[#This Row],[Company]]</f>
        <v>15</v>
      </c>
      <c r="P19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1" spans="1:16" x14ac:dyDescent="0.45">
      <c r="A1921" s="3">
        <v>45309.333333333336</v>
      </c>
      <c r="B1921" t="s">
        <v>0</v>
      </c>
      <c r="C1921">
        <v>15</v>
      </c>
      <c r="D1921">
        <v>2005</v>
      </c>
      <c r="E1921" t="s">
        <v>16</v>
      </c>
      <c r="F1921">
        <v>45</v>
      </c>
      <c r="G1921">
        <v>3650</v>
      </c>
      <c r="H1921">
        <v>164250</v>
      </c>
      <c r="I1921" s="3">
        <v>45309.333333333336</v>
      </c>
      <c r="J1921">
        <v>120</v>
      </c>
      <c r="K1921" s="3">
        <v>45313.833333333336</v>
      </c>
      <c r="L1921" s="4">
        <f>ROUNDDOWN(Table1[[#This Row],[Ordered]],0)</f>
        <v>45309</v>
      </c>
      <c r="M1921" s="4">
        <f>Table1[[#This Row],[Date ]]</f>
        <v>45309</v>
      </c>
      <c r="N1921" s="5">
        <f>Table1[[#This Row],[Ordered]]-Table1[[#This Row],[Date ]]</f>
        <v>0.33333333333575865</v>
      </c>
      <c r="O1921">
        <f>Table1[[#This Row],[Company]]</f>
        <v>15</v>
      </c>
      <c r="P19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2" spans="1:16" x14ac:dyDescent="0.45">
      <c r="A1922" s="3">
        <v>45309.333333333336</v>
      </c>
      <c r="B1922" t="s">
        <v>0</v>
      </c>
      <c r="C1922">
        <v>9</v>
      </c>
      <c r="D1922">
        <v>2005</v>
      </c>
      <c r="E1922" t="s">
        <v>16</v>
      </c>
      <c r="F1922">
        <v>30</v>
      </c>
      <c r="G1922">
        <v>3799</v>
      </c>
      <c r="H1922">
        <v>113970</v>
      </c>
      <c r="I1922" s="3">
        <v>45309.333333333336</v>
      </c>
      <c r="J1922">
        <v>112</v>
      </c>
      <c r="K1922" s="3">
        <v>45313.833333333336</v>
      </c>
      <c r="L1922" s="4">
        <f>ROUNDDOWN(Table1[[#This Row],[Ordered]],0)</f>
        <v>45309</v>
      </c>
      <c r="M1922" s="4">
        <f>Table1[[#This Row],[Date ]]</f>
        <v>45309</v>
      </c>
      <c r="N1922" s="5">
        <f>Table1[[#This Row],[Ordered]]-Table1[[#This Row],[Date ]]</f>
        <v>0.33333333333575865</v>
      </c>
      <c r="O1922">
        <f>Table1[[#This Row],[Company]]</f>
        <v>9</v>
      </c>
      <c r="P19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3" spans="1:16" x14ac:dyDescent="0.45">
      <c r="A1923" s="3">
        <v>45309.333333333336</v>
      </c>
      <c r="B1923" t="s">
        <v>0</v>
      </c>
      <c r="C1923">
        <v>10</v>
      </c>
      <c r="D1923">
        <v>2005</v>
      </c>
      <c r="E1923" t="s">
        <v>16</v>
      </c>
      <c r="F1923">
        <v>50</v>
      </c>
      <c r="G1923">
        <v>4200</v>
      </c>
      <c r="H1923">
        <v>210000</v>
      </c>
      <c r="I1923" s="3">
        <v>45309.333333333336</v>
      </c>
      <c r="J1923">
        <v>78</v>
      </c>
      <c r="K1923" s="3">
        <v>45312.333333333336</v>
      </c>
      <c r="L1923" s="4">
        <f>ROUNDDOWN(Table1[[#This Row],[Ordered]],0)</f>
        <v>45309</v>
      </c>
      <c r="M1923" s="4">
        <f>Table1[[#This Row],[Date ]]</f>
        <v>45309</v>
      </c>
      <c r="N1923" s="5">
        <f>Table1[[#This Row],[Ordered]]-Table1[[#This Row],[Date ]]</f>
        <v>0.33333333333575865</v>
      </c>
      <c r="O1923">
        <f>Table1[[#This Row],[Company]]</f>
        <v>10</v>
      </c>
      <c r="P19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4" spans="1:16" x14ac:dyDescent="0.45">
      <c r="A1924" s="3">
        <v>45309.333333333336</v>
      </c>
      <c r="B1924" t="s">
        <v>0</v>
      </c>
      <c r="C1924">
        <v>14</v>
      </c>
      <c r="D1924">
        <v>2005</v>
      </c>
      <c r="E1924" t="s">
        <v>16</v>
      </c>
      <c r="F1924">
        <v>36</v>
      </c>
      <c r="G1924">
        <v>3750</v>
      </c>
      <c r="H1924">
        <v>135000</v>
      </c>
      <c r="I1924" s="3">
        <v>45309.333333333336</v>
      </c>
      <c r="J1924">
        <v>120</v>
      </c>
      <c r="K1924" s="3">
        <v>45313.833333333336</v>
      </c>
      <c r="L1924" s="4">
        <f>ROUNDDOWN(Table1[[#This Row],[Ordered]],0)</f>
        <v>45309</v>
      </c>
      <c r="M1924" s="4">
        <f>Table1[[#This Row],[Date ]]</f>
        <v>45309</v>
      </c>
      <c r="N1924" s="5">
        <f>Table1[[#This Row],[Ordered]]-Table1[[#This Row],[Date ]]</f>
        <v>0.33333333333575865</v>
      </c>
      <c r="O1924">
        <f>Table1[[#This Row],[Company]]</f>
        <v>14</v>
      </c>
      <c r="P19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5" spans="1:16" hidden="1" x14ac:dyDescent="0.45">
      <c r="A1925" s="3">
        <v>45309.333333333336</v>
      </c>
      <c r="B1925" t="s">
        <v>12</v>
      </c>
      <c r="C1925">
        <v>1</v>
      </c>
      <c r="D1925">
        <v>14</v>
      </c>
      <c r="E1925" t="s">
        <v>17</v>
      </c>
      <c r="F1925">
        <v>400</v>
      </c>
      <c r="G1925">
        <v>1350</v>
      </c>
      <c r="H1925">
        <v>540000</v>
      </c>
      <c r="I1925" s="3">
        <v>45309.333333333336</v>
      </c>
      <c r="J1925">
        <v>24</v>
      </c>
      <c r="K1925" s="3">
        <v>45310.333333333336</v>
      </c>
      <c r="L1925" s="4">
        <f>ROUNDDOWN(Table1[[#This Row],[Ordered]],0)</f>
        <v>45309</v>
      </c>
      <c r="M1925" s="4">
        <f>Table1[[#This Row],[Date ]]</f>
        <v>45309</v>
      </c>
      <c r="N1925" s="5">
        <f>Table1[[#This Row],[Ordered]]-Table1[[#This Row],[Date ]]</f>
        <v>0.33333333333575865</v>
      </c>
      <c r="O1925">
        <f>Table1[[#This Row],[Company]]</f>
        <v>1</v>
      </c>
      <c r="P19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6" spans="1:16" x14ac:dyDescent="0.45">
      <c r="A1926" s="3">
        <v>45309.333333333336</v>
      </c>
      <c r="B1926" t="s">
        <v>0</v>
      </c>
      <c r="C1926">
        <v>14</v>
      </c>
      <c r="D1926">
        <v>2005</v>
      </c>
      <c r="E1926" t="s">
        <v>15</v>
      </c>
      <c r="F1926">
        <v>30</v>
      </c>
      <c r="G1926">
        <v>6650</v>
      </c>
      <c r="H1926">
        <v>199500</v>
      </c>
      <c r="I1926" s="3">
        <v>45309.333333333336</v>
      </c>
      <c r="J1926">
        <v>120</v>
      </c>
      <c r="K1926" s="3">
        <v>45313.833333333336</v>
      </c>
      <c r="L1926" s="4">
        <f>ROUNDDOWN(Table1[[#This Row],[Ordered]],0)</f>
        <v>45309</v>
      </c>
      <c r="M1926" s="4">
        <f>Table1[[#This Row],[Date ]]</f>
        <v>45309</v>
      </c>
      <c r="N1926" s="5">
        <f>Table1[[#This Row],[Ordered]]-Table1[[#This Row],[Date ]]</f>
        <v>0.33333333333575865</v>
      </c>
      <c r="O1926">
        <f>Table1[[#This Row],[Company]]</f>
        <v>14</v>
      </c>
      <c r="P19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7" spans="1:16" hidden="1" x14ac:dyDescent="0.45">
      <c r="A1927" s="3">
        <v>45309.333333333336</v>
      </c>
      <c r="B1927" t="s">
        <v>12</v>
      </c>
      <c r="C1927">
        <v>12</v>
      </c>
      <c r="D1927">
        <v>3</v>
      </c>
      <c r="E1927" t="s">
        <v>20</v>
      </c>
      <c r="F1927">
        <v>90</v>
      </c>
      <c r="G1927">
        <v>7</v>
      </c>
      <c r="H1927">
        <v>630</v>
      </c>
      <c r="I1927" s="3">
        <v>45309.333333333336</v>
      </c>
      <c r="J1927">
        <v>72</v>
      </c>
      <c r="K1927" s="3">
        <v>45312.333333333336</v>
      </c>
      <c r="L1927" s="4">
        <f>ROUNDDOWN(Table1[[#This Row],[Ordered]],0)</f>
        <v>45309</v>
      </c>
      <c r="M1927" s="4">
        <f>Table1[[#This Row],[Date ]]</f>
        <v>45309</v>
      </c>
      <c r="N1927" s="5">
        <f>Table1[[#This Row],[Ordered]]-Table1[[#This Row],[Date ]]</f>
        <v>0.33333333333575865</v>
      </c>
      <c r="O1927">
        <f>Table1[[#This Row],[Company]]</f>
        <v>12</v>
      </c>
      <c r="P19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8" spans="1:16" hidden="1" x14ac:dyDescent="0.45">
      <c r="A1928" s="3">
        <v>45309.333333333336</v>
      </c>
      <c r="B1928" t="s">
        <v>12</v>
      </c>
      <c r="C1928">
        <v>3</v>
      </c>
      <c r="D1928">
        <v>11</v>
      </c>
      <c r="E1928" t="s">
        <v>17</v>
      </c>
      <c r="F1928">
        <v>200</v>
      </c>
      <c r="G1928">
        <v>1350</v>
      </c>
      <c r="H1928">
        <v>270000</v>
      </c>
      <c r="I1928" s="3">
        <v>45309.333333333336</v>
      </c>
      <c r="J1928">
        <v>72</v>
      </c>
      <c r="K1928" s="3">
        <v>45312.333333333336</v>
      </c>
      <c r="L1928" s="4">
        <f>ROUNDDOWN(Table1[[#This Row],[Ordered]],0)</f>
        <v>45309</v>
      </c>
      <c r="M1928" s="4">
        <f>Table1[[#This Row],[Date ]]</f>
        <v>45309</v>
      </c>
      <c r="N1928" s="5">
        <f>Table1[[#This Row],[Ordered]]-Table1[[#This Row],[Date ]]</f>
        <v>0.33333333333575865</v>
      </c>
      <c r="O1928">
        <f>Table1[[#This Row],[Company]]</f>
        <v>3</v>
      </c>
      <c r="P19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9" spans="1:16" x14ac:dyDescent="0.45">
      <c r="A1929" s="3">
        <v>45309.333333333336</v>
      </c>
      <c r="B1929" t="s">
        <v>0</v>
      </c>
      <c r="C1929">
        <v>16</v>
      </c>
      <c r="D1929">
        <v>2005</v>
      </c>
      <c r="E1929" t="s">
        <v>16</v>
      </c>
      <c r="F1929">
        <v>30</v>
      </c>
      <c r="G1929">
        <v>3750</v>
      </c>
      <c r="H1929">
        <v>112500</v>
      </c>
      <c r="I1929" s="3">
        <v>45309.583333333336</v>
      </c>
      <c r="J1929">
        <v>132</v>
      </c>
      <c r="K1929" s="3">
        <v>45314.125</v>
      </c>
      <c r="L1929" s="4">
        <f>ROUNDDOWN(Table1[[#This Row],[Ordered]],0)</f>
        <v>45309</v>
      </c>
      <c r="M1929" s="4">
        <f>Table1[[#This Row],[Date ]]</f>
        <v>45309</v>
      </c>
      <c r="N1929" s="5">
        <f>Table1[[#This Row],[Ordered]]-Table1[[#This Row],[Date ]]</f>
        <v>0.33333333333575865</v>
      </c>
      <c r="O1929">
        <f>Table1[[#This Row],[Company]]</f>
        <v>16</v>
      </c>
      <c r="P19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0" spans="1:16" x14ac:dyDescent="0.45">
      <c r="A1930" s="3">
        <v>45309.333333333336</v>
      </c>
      <c r="B1930" t="s">
        <v>0</v>
      </c>
      <c r="C1930">
        <v>12</v>
      </c>
      <c r="D1930">
        <v>2005</v>
      </c>
      <c r="E1930" t="s">
        <v>15</v>
      </c>
      <c r="F1930">
        <v>30</v>
      </c>
      <c r="G1930">
        <v>6750</v>
      </c>
      <c r="H1930">
        <v>202500</v>
      </c>
      <c r="I1930" s="3">
        <v>45309.541666666664</v>
      </c>
      <c r="J1930">
        <v>120</v>
      </c>
      <c r="K1930" s="3">
        <v>45314.083333333336</v>
      </c>
      <c r="L1930" s="4">
        <f>ROUNDDOWN(Table1[[#This Row],[Ordered]],0)</f>
        <v>45309</v>
      </c>
      <c r="M1930" s="4">
        <f>Table1[[#This Row],[Date ]]</f>
        <v>45309</v>
      </c>
      <c r="N1930" s="5">
        <f>Table1[[#This Row],[Ordered]]-Table1[[#This Row],[Date ]]</f>
        <v>0.33333333333575865</v>
      </c>
      <c r="O1930">
        <f>Table1[[#This Row],[Company]]</f>
        <v>12</v>
      </c>
      <c r="P19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1" spans="1:16" x14ac:dyDescent="0.45">
      <c r="A1931" s="3">
        <v>45309.333333333336</v>
      </c>
      <c r="B1931" t="s">
        <v>0</v>
      </c>
      <c r="C1931">
        <v>11</v>
      </c>
      <c r="D1931">
        <v>2005</v>
      </c>
      <c r="E1931" t="s">
        <v>16</v>
      </c>
      <c r="F1931">
        <v>40</v>
      </c>
      <c r="G1931">
        <v>4000</v>
      </c>
      <c r="H1931">
        <v>160000</v>
      </c>
      <c r="I1931" s="3">
        <v>45309.541666666664</v>
      </c>
      <c r="J1931">
        <v>132</v>
      </c>
      <c r="K1931" s="3">
        <v>45314.041666666664</v>
      </c>
      <c r="L1931" s="4">
        <f>ROUNDDOWN(Table1[[#This Row],[Ordered]],0)</f>
        <v>45309</v>
      </c>
      <c r="M1931" s="4">
        <f>Table1[[#This Row],[Date ]]</f>
        <v>45309</v>
      </c>
      <c r="N1931" s="5">
        <f>Table1[[#This Row],[Ordered]]-Table1[[#This Row],[Date ]]</f>
        <v>0.33333333333575865</v>
      </c>
      <c r="O1931">
        <f>Table1[[#This Row],[Company]]</f>
        <v>11</v>
      </c>
      <c r="P19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2" spans="1:16" x14ac:dyDescent="0.45">
      <c r="A1932" s="3">
        <v>45309.333333333336</v>
      </c>
      <c r="B1932" t="s">
        <v>0</v>
      </c>
      <c r="C1932">
        <v>16</v>
      </c>
      <c r="D1932">
        <v>2005</v>
      </c>
      <c r="E1932" t="s">
        <v>15</v>
      </c>
      <c r="F1932">
        <v>30</v>
      </c>
      <c r="G1932">
        <v>6650</v>
      </c>
      <c r="H1932">
        <v>199500</v>
      </c>
      <c r="I1932" s="3">
        <v>45309.583333333336</v>
      </c>
      <c r="J1932">
        <v>132</v>
      </c>
      <c r="K1932" s="3">
        <v>45314.083333333336</v>
      </c>
      <c r="L1932" s="4">
        <f>ROUNDDOWN(Table1[[#This Row],[Ordered]],0)</f>
        <v>45309</v>
      </c>
      <c r="M1932" s="4">
        <f>Table1[[#This Row],[Date ]]</f>
        <v>45309</v>
      </c>
      <c r="N1932" s="5">
        <f>Table1[[#This Row],[Ordered]]-Table1[[#This Row],[Date ]]</f>
        <v>0.33333333333575865</v>
      </c>
      <c r="O1932">
        <f>Table1[[#This Row],[Company]]</f>
        <v>16</v>
      </c>
      <c r="P19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3" spans="1:16" x14ac:dyDescent="0.45">
      <c r="A1933" s="3">
        <v>45309.333333333336</v>
      </c>
      <c r="B1933" t="s">
        <v>0</v>
      </c>
      <c r="C1933">
        <v>12</v>
      </c>
      <c r="D1933">
        <v>2005</v>
      </c>
      <c r="E1933" t="s">
        <v>16</v>
      </c>
      <c r="F1933">
        <v>30</v>
      </c>
      <c r="G1933">
        <v>3800</v>
      </c>
      <c r="H1933">
        <v>114000</v>
      </c>
      <c r="I1933" s="3">
        <v>45309.583333333336</v>
      </c>
      <c r="J1933">
        <v>120</v>
      </c>
      <c r="K1933" s="3">
        <v>45314.083333333336</v>
      </c>
      <c r="L1933" s="4">
        <f>ROUNDDOWN(Table1[[#This Row],[Ordered]],0)</f>
        <v>45309</v>
      </c>
      <c r="M1933" s="4">
        <f>Table1[[#This Row],[Date ]]</f>
        <v>45309</v>
      </c>
      <c r="N1933" s="5">
        <f>Table1[[#This Row],[Ordered]]-Table1[[#This Row],[Date ]]</f>
        <v>0.33333333333575865</v>
      </c>
      <c r="O1933">
        <f>Table1[[#This Row],[Company]]</f>
        <v>12</v>
      </c>
      <c r="P19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4" spans="1:16" x14ac:dyDescent="0.45">
      <c r="A1934" s="3">
        <v>45309.333333333336</v>
      </c>
      <c r="B1934" t="s">
        <v>0</v>
      </c>
      <c r="C1934">
        <v>13</v>
      </c>
      <c r="D1934">
        <v>2005</v>
      </c>
      <c r="E1934" t="s">
        <v>15</v>
      </c>
      <c r="F1934">
        <v>30</v>
      </c>
      <c r="G1934">
        <v>6300</v>
      </c>
      <c r="H1934">
        <v>189000</v>
      </c>
      <c r="I1934" s="3">
        <v>45310.291666666664</v>
      </c>
      <c r="J1934">
        <v>132</v>
      </c>
      <c r="K1934" s="3">
        <v>45314.791666666664</v>
      </c>
      <c r="L1934" s="4">
        <f>ROUNDDOWN(Table1[[#This Row],[Ordered]],0)</f>
        <v>45309</v>
      </c>
      <c r="M1934" s="4">
        <f>Table1[[#This Row],[Date ]]</f>
        <v>45309</v>
      </c>
      <c r="N1934" s="5">
        <f>Table1[[#This Row],[Ordered]]-Table1[[#This Row],[Date ]]</f>
        <v>0.33333333333575865</v>
      </c>
      <c r="O1934">
        <f>Table1[[#This Row],[Company]]</f>
        <v>13</v>
      </c>
      <c r="P19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5" spans="1:16" x14ac:dyDescent="0.45">
      <c r="A1935" s="3">
        <v>45309.333333333336</v>
      </c>
      <c r="B1935" t="s">
        <v>0</v>
      </c>
      <c r="C1935">
        <v>11</v>
      </c>
      <c r="D1935">
        <v>2005</v>
      </c>
      <c r="E1935" t="s">
        <v>15</v>
      </c>
      <c r="F1935">
        <v>50</v>
      </c>
      <c r="G1935">
        <v>6550</v>
      </c>
      <c r="H1935">
        <v>327500</v>
      </c>
      <c r="I1935" s="3">
        <v>45311.083333333336</v>
      </c>
      <c r="J1935">
        <v>132</v>
      </c>
      <c r="K1935" s="3">
        <v>45314.083333333336</v>
      </c>
      <c r="L1935" s="4">
        <f>ROUNDDOWN(Table1[[#This Row],[Ordered]],0)</f>
        <v>45309</v>
      </c>
      <c r="M1935" s="4">
        <f>Table1[[#This Row],[Date ]]</f>
        <v>45309</v>
      </c>
      <c r="N1935" s="5">
        <f>Table1[[#This Row],[Ordered]]-Table1[[#This Row],[Date ]]</f>
        <v>0.33333333333575865</v>
      </c>
      <c r="O1935">
        <f>Table1[[#This Row],[Company]]</f>
        <v>11</v>
      </c>
      <c r="P19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6" spans="1:16" x14ac:dyDescent="0.45">
      <c r="A1936" s="3">
        <v>45309.333333333336</v>
      </c>
      <c r="B1936" t="s">
        <v>0</v>
      </c>
      <c r="C1936">
        <v>8</v>
      </c>
      <c r="D1936">
        <v>2005</v>
      </c>
      <c r="E1936" t="s">
        <v>16</v>
      </c>
      <c r="F1936">
        <v>30</v>
      </c>
      <c r="G1936">
        <v>3889</v>
      </c>
      <c r="H1936">
        <v>116670</v>
      </c>
      <c r="I1936" s="3">
        <v>45311.125</v>
      </c>
      <c r="J1936">
        <v>156</v>
      </c>
      <c r="K1936" s="3">
        <v>45315.625</v>
      </c>
      <c r="L1936" s="4">
        <f>ROUNDDOWN(Table1[[#This Row],[Ordered]],0)</f>
        <v>45309</v>
      </c>
      <c r="M1936" s="4">
        <f>Table1[[#This Row],[Date ]]</f>
        <v>45309</v>
      </c>
      <c r="N1936" s="5">
        <f>Table1[[#This Row],[Ordered]]-Table1[[#This Row],[Date ]]</f>
        <v>0.33333333333575865</v>
      </c>
      <c r="O1936">
        <f>Table1[[#This Row],[Company]]</f>
        <v>8</v>
      </c>
      <c r="P19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7" spans="1:16" x14ac:dyDescent="0.45">
      <c r="A1937" s="3">
        <v>45309.333333333336</v>
      </c>
      <c r="B1937" t="s">
        <v>0</v>
      </c>
      <c r="C1937">
        <v>8</v>
      </c>
      <c r="D1937">
        <v>2005</v>
      </c>
      <c r="E1937" t="s">
        <v>15</v>
      </c>
      <c r="F1937">
        <v>50</v>
      </c>
      <c r="G1937">
        <v>6000</v>
      </c>
      <c r="H1937">
        <v>300000</v>
      </c>
      <c r="I1937" s="3">
        <v>45311.166666666664</v>
      </c>
      <c r="J1937">
        <v>156</v>
      </c>
      <c r="K1937" s="3">
        <v>45315.666666666664</v>
      </c>
      <c r="L1937" s="4">
        <f>ROUNDDOWN(Table1[[#This Row],[Ordered]],0)</f>
        <v>45309</v>
      </c>
      <c r="M1937" s="4">
        <f>Table1[[#This Row],[Date ]]</f>
        <v>45309</v>
      </c>
      <c r="N1937" s="5">
        <f>Table1[[#This Row],[Ordered]]-Table1[[#This Row],[Date ]]</f>
        <v>0.33333333333575865</v>
      </c>
      <c r="O1937">
        <f>Table1[[#This Row],[Company]]</f>
        <v>8</v>
      </c>
      <c r="P19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8" spans="1:16" x14ac:dyDescent="0.45">
      <c r="A1938" s="3">
        <v>45309.333333333336</v>
      </c>
      <c r="B1938" t="s">
        <v>0</v>
      </c>
      <c r="C1938">
        <v>7</v>
      </c>
      <c r="D1938">
        <v>2005</v>
      </c>
      <c r="E1938" t="s">
        <v>15</v>
      </c>
      <c r="F1938">
        <v>37</v>
      </c>
      <c r="G1938">
        <v>7000</v>
      </c>
      <c r="H1938">
        <v>259000</v>
      </c>
      <c r="I1938" s="3">
        <v>45311.25</v>
      </c>
      <c r="J1938">
        <v>132</v>
      </c>
      <c r="K1938" s="3">
        <v>45314.25</v>
      </c>
      <c r="L1938" s="4">
        <f>ROUNDDOWN(Table1[[#This Row],[Ordered]],0)</f>
        <v>45309</v>
      </c>
      <c r="M1938" s="4">
        <f>Table1[[#This Row],[Date ]]</f>
        <v>45309</v>
      </c>
      <c r="N1938" s="5">
        <f>Table1[[#This Row],[Ordered]]-Table1[[#This Row],[Date ]]</f>
        <v>0.33333333333575865</v>
      </c>
      <c r="O1938">
        <f>Table1[[#This Row],[Company]]</f>
        <v>7</v>
      </c>
      <c r="P19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9" spans="1:16" x14ac:dyDescent="0.45">
      <c r="A1939" s="3">
        <v>45309.333333333336</v>
      </c>
      <c r="B1939" t="s">
        <v>0</v>
      </c>
      <c r="C1939">
        <v>7</v>
      </c>
      <c r="D1939">
        <v>2005</v>
      </c>
      <c r="E1939" t="s">
        <v>16</v>
      </c>
      <c r="F1939">
        <v>75</v>
      </c>
      <c r="G1939">
        <v>3800</v>
      </c>
      <c r="H1939">
        <v>285000</v>
      </c>
      <c r="I1939" s="3">
        <v>45311.666666666664</v>
      </c>
      <c r="J1939">
        <v>132</v>
      </c>
      <c r="K1939" s="3">
        <v>45314.666666666664</v>
      </c>
      <c r="L1939" s="4">
        <f>ROUNDDOWN(Table1[[#This Row],[Ordered]],0)</f>
        <v>45309</v>
      </c>
      <c r="M1939" s="4">
        <f>Table1[[#This Row],[Date ]]</f>
        <v>45309</v>
      </c>
      <c r="N1939" s="5">
        <f>Table1[[#This Row],[Ordered]]-Table1[[#This Row],[Date ]]</f>
        <v>0.33333333333575865</v>
      </c>
      <c r="O1939">
        <f>Table1[[#This Row],[Company]]</f>
        <v>7</v>
      </c>
      <c r="P19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0" spans="1:16" x14ac:dyDescent="0.45">
      <c r="A1940" s="3">
        <v>45309.333333333336</v>
      </c>
      <c r="B1940" t="s">
        <v>0</v>
      </c>
      <c r="C1940">
        <v>13</v>
      </c>
      <c r="D1940">
        <v>2005</v>
      </c>
      <c r="E1940" t="s">
        <v>16</v>
      </c>
      <c r="F1940">
        <v>30</v>
      </c>
      <c r="G1940">
        <v>3300</v>
      </c>
      <c r="H1940">
        <v>99000</v>
      </c>
      <c r="I1940" s="3">
        <v>45313</v>
      </c>
      <c r="J1940">
        <v>132</v>
      </c>
      <c r="K1940" s="3">
        <v>45314.5</v>
      </c>
      <c r="L1940" s="4">
        <f>ROUNDDOWN(Table1[[#This Row],[Ordered]],0)</f>
        <v>45309</v>
      </c>
      <c r="M1940" s="4">
        <f>Table1[[#This Row],[Date ]]</f>
        <v>45309</v>
      </c>
      <c r="N1940" s="5">
        <f>Table1[[#This Row],[Ordered]]-Table1[[#This Row],[Date ]]</f>
        <v>0.33333333333575865</v>
      </c>
      <c r="O1940">
        <f>Table1[[#This Row],[Company]]</f>
        <v>13</v>
      </c>
      <c r="P19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1" spans="1:16" hidden="1" x14ac:dyDescent="0.45">
      <c r="A1941" s="3">
        <v>45309.375</v>
      </c>
      <c r="B1941" t="s">
        <v>12</v>
      </c>
      <c r="C1941">
        <v>16</v>
      </c>
      <c r="D1941">
        <v>5</v>
      </c>
      <c r="E1941" t="s">
        <v>20</v>
      </c>
      <c r="F1941">
        <v>387</v>
      </c>
      <c r="G1941">
        <v>10</v>
      </c>
      <c r="H1941">
        <v>3870</v>
      </c>
      <c r="I1941" s="3">
        <v>45309.958333333336</v>
      </c>
      <c r="J1941">
        <v>72</v>
      </c>
      <c r="K1941" s="3">
        <v>45312.958333333336</v>
      </c>
      <c r="L1941" s="4">
        <f>ROUNDDOWN(Table1[[#This Row],[Ordered]],0)</f>
        <v>45309</v>
      </c>
      <c r="M1941" s="4">
        <f>Table1[[#This Row],[Date ]]</f>
        <v>45309</v>
      </c>
      <c r="N1941" s="5">
        <f>Table1[[#This Row],[Ordered]]-Table1[[#This Row],[Date ]]</f>
        <v>0.375</v>
      </c>
      <c r="O1941">
        <f>Table1[[#This Row],[Company]]</f>
        <v>16</v>
      </c>
      <c r="P19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2" spans="1:16" x14ac:dyDescent="0.45">
      <c r="A1942" s="3">
        <v>45309.416666666664</v>
      </c>
      <c r="B1942" t="s">
        <v>19</v>
      </c>
      <c r="C1942">
        <v>14</v>
      </c>
      <c r="D1942">
        <v>3003</v>
      </c>
      <c r="E1942" t="s">
        <v>16</v>
      </c>
      <c r="F1942">
        <v>12</v>
      </c>
      <c r="G1942">
        <v>4200</v>
      </c>
      <c r="H1942">
        <v>50400</v>
      </c>
      <c r="I1942" s="3">
        <v>45310.583333333336</v>
      </c>
      <c r="J1942">
        <v>288</v>
      </c>
      <c r="K1942" s="3">
        <v>45320.583333333336</v>
      </c>
      <c r="L1942" s="4">
        <f>ROUNDDOWN(Table1[[#This Row],[Ordered]],0)</f>
        <v>45309</v>
      </c>
      <c r="M1942" s="4">
        <f>Table1[[#This Row],[Date ]]</f>
        <v>45309</v>
      </c>
      <c r="N1942" s="5">
        <f>Table1[[#This Row],[Ordered]]-Table1[[#This Row],[Date ]]</f>
        <v>0.41666666666424135</v>
      </c>
      <c r="O1942">
        <f>Table1[[#This Row],[Company]]</f>
        <v>14</v>
      </c>
      <c r="P19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3" spans="1:16" x14ac:dyDescent="0.45">
      <c r="A1943" s="3">
        <v>45309.416666666664</v>
      </c>
      <c r="B1943" t="s">
        <v>19</v>
      </c>
      <c r="C1943">
        <v>7</v>
      </c>
      <c r="D1943">
        <v>3003</v>
      </c>
      <c r="E1943" t="s">
        <v>16</v>
      </c>
      <c r="F1943">
        <v>8</v>
      </c>
      <c r="G1943">
        <v>4650</v>
      </c>
      <c r="H1943">
        <v>37200</v>
      </c>
      <c r="I1943" s="3">
        <v>45316.291666666664</v>
      </c>
      <c r="J1943">
        <v>288</v>
      </c>
      <c r="K1943" s="3">
        <v>45321.5</v>
      </c>
      <c r="L1943" s="4">
        <f>ROUNDDOWN(Table1[[#This Row],[Ordered]],0)</f>
        <v>45309</v>
      </c>
      <c r="M1943" s="4">
        <f>Table1[[#This Row],[Date ]]</f>
        <v>45309</v>
      </c>
      <c r="N1943" s="5">
        <f>Table1[[#This Row],[Ordered]]-Table1[[#This Row],[Date ]]</f>
        <v>0.41666666666424135</v>
      </c>
      <c r="O1943">
        <f>Table1[[#This Row],[Company]]</f>
        <v>7</v>
      </c>
      <c r="P19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4" spans="1:16" x14ac:dyDescent="0.45">
      <c r="A1944" s="3">
        <v>45309.416666666664</v>
      </c>
      <c r="B1944" t="s">
        <v>19</v>
      </c>
      <c r="C1944">
        <v>7</v>
      </c>
      <c r="D1944">
        <v>3007</v>
      </c>
      <c r="E1944" t="s">
        <v>16</v>
      </c>
      <c r="F1944">
        <v>4</v>
      </c>
      <c r="G1944">
        <v>4650</v>
      </c>
      <c r="H1944">
        <v>18600</v>
      </c>
      <c r="I1944" s="3">
        <v>45316.25</v>
      </c>
      <c r="J1944">
        <v>288</v>
      </c>
      <c r="K1944" s="3">
        <v>45321.25</v>
      </c>
      <c r="L1944" s="4">
        <f>ROUNDDOWN(Table1[[#This Row],[Ordered]],0)</f>
        <v>45309</v>
      </c>
      <c r="M1944" s="4">
        <f>Table1[[#This Row],[Date ]]</f>
        <v>45309</v>
      </c>
      <c r="N1944" s="5">
        <f>Table1[[#This Row],[Ordered]]-Table1[[#This Row],[Date ]]</f>
        <v>0.41666666666424135</v>
      </c>
      <c r="O1944">
        <f>Table1[[#This Row],[Company]]</f>
        <v>7</v>
      </c>
      <c r="P19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5" spans="1:16" x14ac:dyDescent="0.45">
      <c r="A1945" s="3">
        <v>45309.416666666664</v>
      </c>
      <c r="B1945" t="s">
        <v>19</v>
      </c>
      <c r="C1945">
        <v>15</v>
      </c>
      <c r="D1945">
        <v>3003</v>
      </c>
      <c r="E1945" t="s">
        <v>16</v>
      </c>
      <c r="F1945">
        <v>7</v>
      </c>
      <c r="G1945">
        <v>4150</v>
      </c>
      <c r="H1945">
        <v>29050</v>
      </c>
      <c r="I1945" s="3">
        <v>45309.541666666664</v>
      </c>
      <c r="J1945">
        <v>260</v>
      </c>
      <c r="K1945" s="3">
        <v>45319.541666666664</v>
      </c>
      <c r="L1945" s="4">
        <f>ROUNDDOWN(Table1[[#This Row],[Ordered]],0)</f>
        <v>45309</v>
      </c>
      <c r="M1945" s="4">
        <f>Table1[[#This Row],[Date ]]</f>
        <v>45309</v>
      </c>
      <c r="N1945" s="5">
        <f>Table1[[#This Row],[Ordered]]-Table1[[#This Row],[Date ]]</f>
        <v>0.41666666666424135</v>
      </c>
      <c r="O1945">
        <f>Table1[[#This Row],[Company]]</f>
        <v>15</v>
      </c>
      <c r="P19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6" spans="1:16" x14ac:dyDescent="0.45">
      <c r="A1946" s="3">
        <v>45309.416666666664</v>
      </c>
      <c r="B1946" t="s">
        <v>19</v>
      </c>
      <c r="C1946">
        <v>7</v>
      </c>
      <c r="D1946">
        <v>3004</v>
      </c>
      <c r="E1946" t="s">
        <v>16</v>
      </c>
      <c r="F1946">
        <v>4</v>
      </c>
      <c r="G1946">
        <v>4650</v>
      </c>
      <c r="H1946">
        <v>18600</v>
      </c>
      <c r="I1946" s="3">
        <v>45316.291666666664</v>
      </c>
      <c r="J1946">
        <v>288</v>
      </c>
      <c r="K1946" s="3">
        <v>45321.291666666664</v>
      </c>
      <c r="L1946" s="4">
        <f>ROUNDDOWN(Table1[[#This Row],[Ordered]],0)</f>
        <v>45309</v>
      </c>
      <c r="M1946" s="4">
        <f>Table1[[#This Row],[Date ]]</f>
        <v>45309</v>
      </c>
      <c r="N1946" s="5">
        <f>Table1[[#This Row],[Ordered]]-Table1[[#This Row],[Date ]]</f>
        <v>0.41666666666424135</v>
      </c>
      <c r="O1946">
        <f>Table1[[#This Row],[Company]]</f>
        <v>7</v>
      </c>
      <c r="P19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7" spans="1:16" x14ac:dyDescent="0.45">
      <c r="A1947" s="3">
        <v>45309.416666666664</v>
      </c>
      <c r="B1947" t="s">
        <v>19</v>
      </c>
      <c r="C1947">
        <v>15</v>
      </c>
      <c r="D1947">
        <v>3005</v>
      </c>
      <c r="E1947" t="s">
        <v>16</v>
      </c>
      <c r="F1947">
        <v>7</v>
      </c>
      <c r="G1947">
        <v>4150</v>
      </c>
      <c r="H1947">
        <v>29050</v>
      </c>
      <c r="I1947" s="3">
        <v>45309.5</v>
      </c>
      <c r="J1947">
        <v>260</v>
      </c>
      <c r="K1947" s="3">
        <v>45319.5</v>
      </c>
      <c r="L1947" s="4">
        <f>ROUNDDOWN(Table1[[#This Row],[Ordered]],0)</f>
        <v>45309</v>
      </c>
      <c r="M1947" s="4">
        <f>Table1[[#This Row],[Date ]]</f>
        <v>45309</v>
      </c>
      <c r="N1947" s="5">
        <f>Table1[[#This Row],[Ordered]]-Table1[[#This Row],[Date ]]</f>
        <v>0.41666666666424135</v>
      </c>
      <c r="O1947">
        <f>Table1[[#This Row],[Company]]</f>
        <v>15</v>
      </c>
      <c r="P19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8" spans="1:16" x14ac:dyDescent="0.45">
      <c r="A1948" s="3">
        <v>45309.416666666664</v>
      </c>
      <c r="B1948" t="s">
        <v>19</v>
      </c>
      <c r="C1948">
        <v>7</v>
      </c>
      <c r="D1948">
        <v>3001</v>
      </c>
      <c r="E1948" t="s">
        <v>16</v>
      </c>
      <c r="F1948">
        <v>4</v>
      </c>
      <c r="G1948">
        <v>4650</v>
      </c>
      <c r="H1948">
        <v>18600</v>
      </c>
      <c r="I1948" s="3">
        <v>45316.333333333336</v>
      </c>
      <c r="J1948">
        <v>288</v>
      </c>
      <c r="K1948" s="3">
        <v>45321.333333333336</v>
      </c>
      <c r="L1948" s="4">
        <f>ROUNDDOWN(Table1[[#This Row],[Ordered]],0)</f>
        <v>45309</v>
      </c>
      <c r="M1948" s="4">
        <f>Table1[[#This Row],[Date ]]</f>
        <v>45309</v>
      </c>
      <c r="N1948" s="5">
        <f>Table1[[#This Row],[Ordered]]-Table1[[#This Row],[Date ]]</f>
        <v>0.41666666666424135</v>
      </c>
      <c r="O1948">
        <f>Table1[[#This Row],[Company]]</f>
        <v>7</v>
      </c>
      <c r="P19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9" spans="1:16" x14ac:dyDescent="0.45">
      <c r="A1949" s="3">
        <v>45309.416666666664</v>
      </c>
      <c r="B1949" t="s">
        <v>19</v>
      </c>
      <c r="C1949">
        <v>7</v>
      </c>
      <c r="D1949">
        <v>3009</v>
      </c>
      <c r="E1949" t="s">
        <v>16</v>
      </c>
      <c r="F1949">
        <v>4</v>
      </c>
      <c r="G1949">
        <v>4650</v>
      </c>
      <c r="H1949">
        <v>18600</v>
      </c>
      <c r="I1949" s="3">
        <v>45316.375</v>
      </c>
      <c r="J1949">
        <v>288</v>
      </c>
      <c r="K1949" s="3">
        <v>45321.375</v>
      </c>
      <c r="L1949" s="4">
        <f>ROUNDDOWN(Table1[[#This Row],[Ordered]],0)</f>
        <v>45309</v>
      </c>
      <c r="M1949" s="4">
        <f>Table1[[#This Row],[Date ]]</f>
        <v>45309</v>
      </c>
      <c r="N1949" s="5">
        <f>Table1[[#This Row],[Ordered]]-Table1[[#This Row],[Date ]]</f>
        <v>0.41666666666424135</v>
      </c>
      <c r="O1949">
        <f>Table1[[#This Row],[Company]]</f>
        <v>7</v>
      </c>
      <c r="P19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0" spans="1:16" x14ac:dyDescent="0.45">
      <c r="A1950" s="3">
        <v>45309.416666666664</v>
      </c>
      <c r="B1950" t="s">
        <v>19</v>
      </c>
      <c r="C1950">
        <v>15</v>
      </c>
      <c r="D1950">
        <v>3009</v>
      </c>
      <c r="E1950" t="s">
        <v>16</v>
      </c>
      <c r="F1950">
        <v>5</v>
      </c>
      <c r="G1950">
        <v>4150</v>
      </c>
      <c r="H1950">
        <v>20750</v>
      </c>
      <c r="I1950" s="3">
        <v>45309.541666666664</v>
      </c>
      <c r="J1950">
        <v>260</v>
      </c>
      <c r="K1950" s="3">
        <v>45319.541666666664</v>
      </c>
      <c r="L1950" s="4">
        <f>ROUNDDOWN(Table1[[#This Row],[Ordered]],0)</f>
        <v>45309</v>
      </c>
      <c r="M1950" s="4">
        <f>Table1[[#This Row],[Date ]]</f>
        <v>45309</v>
      </c>
      <c r="N1950" s="5">
        <f>Table1[[#This Row],[Ordered]]-Table1[[#This Row],[Date ]]</f>
        <v>0.41666666666424135</v>
      </c>
      <c r="O1950">
        <f>Table1[[#This Row],[Company]]</f>
        <v>15</v>
      </c>
      <c r="P19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1" spans="1:16" x14ac:dyDescent="0.45">
      <c r="A1951" s="3">
        <v>45309.416666666664</v>
      </c>
      <c r="B1951" t="s">
        <v>19</v>
      </c>
      <c r="C1951">
        <v>7</v>
      </c>
      <c r="D1951">
        <v>3010</v>
      </c>
      <c r="E1951" t="s">
        <v>16</v>
      </c>
      <c r="F1951">
        <v>4</v>
      </c>
      <c r="G1951">
        <v>4650</v>
      </c>
      <c r="H1951">
        <v>18600</v>
      </c>
      <c r="I1951" s="3">
        <v>45316.375</v>
      </c>
      <c r="J1951">
        <v>288</v>
      </c>
      <c r="K1951" s="3">
        <v>45321.375</v>
      </c>
      <c r="L1951" s="4">
        <f>ROUNDDOWN(Table1[[#This Row],[Ordered]],0)</f>
        <v>45309</v>
      </c>
      <c r="M1951" s="4">
        <f>Table1[[#This Row],[Date ]]</f>
        <v>45309</v>
      </c>
      <c r="N1951" s="5">
        <f>Table1[[#This Row],[Ordered]]-Table1[[#This Row],[Date ]]</f>
        <v>0.41666666666424135</v>
      </c>
      <c r="O1951">
        <f>Table1[[#This Row],[Company]]</f>
        <v>7</v>
      </c>
      <c r="P19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2" spans="1:16" x14ac:dyDescent="0.45">
      <c r="A1952" s="3">
        <v>45309.416666666664</v>
      </c>
      <c r="B1952" t="s">
        <v>19</v>
      </c>
      <c r="C1952">
        <v>7</v>
      </c>
      <c r="D1952">
        <v>3008</v>
      </c>
      <c r="E1952" t="s">
        <v>16</v>
      </c>
      <c r="F1952">
        <v>8</v>
      </c>
      <c r="G1952">
        <v>4650</v>
      </c>
      <c r="H1952">
        <v>37200</v>
      </c>
      <c r="I1952" s="3">
        <v>45316.166666666664</v>
      </c>
      <c r="J1952">
        <v>288</v>
      </c>
      <c r="K1952" s="3">
        <v>45321.166666666664</v>
      </c>
      <c r="L1952" s="4">
        <f>ROUNDDOWN(Table1[[#This Row],[Ordered]],0)</f>
        <v>45309</v>
      </c>
      <c r="M1952" s="4">
        <f>Table1[[#This Row],[Date ]]</f>
        <v>45309</v>
      </c>
      <c r="N1952" s="5">
        <f>Table1[[#This Row],[Ordered]]-Table1[[#This Row],[Date ]]</f>
        <v>0.41666666666424135</v>
      </c>
      <c r="O1952">
        <f>Table1[[#This Row],[Company]]</f>
        <v>7</v>
      </c>
      <c r="P19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3" spans="1:16" x14ac:dyDescent="0.45">
      <c r="A1953" s="3">
        <v>45309.416666666664</v>
      </c>
      <c r="B1953" t="s">
        <v>19</v>
      </c>
      <c r="C1953">
        <v>15</v>
      </c>
      <c r="D1953">
        <v>3001</v>
      </c>
      <c r="E1953" t="s">
        <v>16</v>
      </c>
      <c r="F1953">
        <v>3</v>
      </c>
      <c r="G1953">
        <v>4150</v>
      </c>
      <c r="H1953">
        <v>12450</v>
      </c>
      <c r="I1953" s="3">
        <v>45309.541666666664</v>
      </c>
      <c r="J1953">
        <v>260</v>
      </c>
      <c r="K1953" s="3">
        <v>45319.541666666664</v>
      </c>
      <c r="L1953" s="4">
        <f>ROUNDDOWN(Table1[[#This Row],[Ordered]],0)</f>
        <v>45309</v>
      </c>
      <c r="M1953" s="4">
        <f>Table1[[#This Row],[Date ]]</f>
        <v>45309</v>
      </c>
      <c r="N1953" s="5">
        <f>Table1[[#This Row],[Ordered]]-Table1[[#This Row],[Date ]]</f>
        <v>0.41666666666424135</v>
      </c>
      <c r="O1953">
        <f>Table1[[#This Row],[Company]]</f>
        <v>15</v>
      </c>
      <c r="P19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4" spans="1:16" x14ac:dyDescent="0.45">
      <c r="A1954" s="3">
        <v>45309.416666666664</v>
      </c>
      <c r="B1954" t="s">
        <v>19</v>
      </c>
      <c r="C1954">
        <v>14</v>
      </c>
      <c r="D1954">
        <v>3005</v>
      </c>
      <c r="E1954" t="s">
        <v>16</v>
      </c>
      <c r="F1954">
        <v>12</v>
      </c>
      <c r="G1954">
        <v>4200</v>
      </c>
      <c r="H1954">
        <v>50400</v>
      </c>
      <c r="I1954" s="3">
        <v>45310.541666666664</v>
      </c>
      <c r="J1954">
        <v>288</v>
      </c>
      <c r="K1954" s="3">
        <v>45320.541666666664</v>
      </c>
      <c r="L1954" s="4">
        <f>ROUNDDOWN(Table1[[#This Row],[Ordered]],0)</f>
        <v>45309</v>
      </c>
      <c r="M1954" s="4">
        <f>Table1[[#This Row],[Date ]]</f>
        <v>45309</v>
      </c>
      <c r="N1954" s="5">
        <f>Table1[[#This Row],[Ordered]]-Table1[[#This Row],[Date ]]</f>
        <v>0.41666666666424135</v>
      </c>
      <c r="O1954">
        <f>Table1[[#This Row],[Company]]</f>
        <v>14</v>
      </c>
      <c r="P19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5" spans="1:16" x14ac:dyDescent="0.45">
      <c r="A1955" s="3">
        <v>45309.416666666664</v>
      </c>
      <c r="B1955" t="s">
        <v>19</v>
      </c>
      <c r="C1955">
        <v>7</v>
      </c>
      <c r="D1955">
        <v>3005</v>
      </c>
      <c r="E1955" t="s">
        <v>16</v>
      </c>
      <c r="F1955">
        <v>9</v>
      </c>
      <c r="G1955">
        <v>4650</v>
      </c>
      <c r="H1955">
        <v>41850</v>
      </c>
      <c r="I1955" s="3">
        <v>45316.291666666664</v>
      </c>
      <c r="J1955">
        <v>288</v>
      </c>
      <c r="K1955" s="3">
        <v>45321.291666666664</v>
      </c>
      <c r="L1955" s="4">
        <f>ROUNDDOWN(Table1[[#This Row],[Ordered]],0)</f>
        <v>45309</v>
      </c>
      <c r="M1955" s="4">
        <f>Table1[[#This Row],[Date ]]</f>
        <v>45309</v>
      </c>
      <c r="N1955" s="5">
        <f>Table1[[#This Row],[Ordered]]-Table1[[#This Row],[Date ]]</f>
        <v>0.41666666666424135</v>
      </c>
      <c r="O1955">
        <f>Table1[[#This Row],[Company]]</f>
        <v>7</v>
      </c>
      <c r="P19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6" spans="1:16" hidden="1" x14ac:dyDescent="0.45">
      <c r="A1956" s="3">
        <v>45309.458333333336</v>
      </c>
      <c r="B1956" t="s">
        <v>12</v>
      </c>
      <c r="C1956">
        <v>4</v>
      </c>
      <c r="D1956">
        <v>8</v>
      </c>
      <c r="E1956" t="s">
        <v>17</v>
      </c>
      <c r="F1956">
        <v>200</v>
      </c>
      <c r="G1956">
        <v>1350</v>
      </c>
      <c r="H1956">
        <v>270000</v>
      </c>
      <c r="I1956" s="3">
        <v>45309.625</v>
      </c>
      <c r="J1956">
        <v>24</v>
      </c>
      <c r="K1956" s="3">
        <v>45310.625</v>
      </c>
      <c r="L1956" s="4">
        <f>ROUNDDOWN(Table1[[#This Row],[Ordered]],0)</f>
        <v>45309</v>
      </c>
      <c r="M1956" s="4">
        <f>Table1[[#This Row],[Date ]]</f>
        <v>45309</v>
      </c>
      <c r="N1956" s="5">
        <f>Table1[[#This Row],[Ordered]]-Table1[[#This Row],[Date ]]</f>
        <v>0.45833333333575865</v>
      </c>
      <c r="O1956">
        <f>Table1[[#This Row],[Company]]</f>
        <v>4</v>
      </c>
      <c r="P19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7" spans="1:16" x14ac:dyDescent="0.45">
      <c r="A1957" s="3">
        <v>45309.541666666664</v>
      </c>
      <c r="B1957" t="s">
        <v>14</v>
      </c>
      <c r="C1957">
        <v>13</v>
      </c>
      <c r="D1957">
        <v>1004</v>
      </c>
      <c r="E1957" t="s">
        <v>16</v>
      </c>
      <c r="F1957">
        <v>30</v>
      </c>
      <c r="G1957">
        <v>3400</v>
      </c>
      <c r="H1957">
        <v>102000</v>
      </c>
      <c r="I1957" s="3">
        <v>45310.375</v>
      </c>
      <c r="J1957">
        <v>96</v>
      </c>
      <c r="K1957" s="3">
        <v>45313.375</v>
      </c>
      <c r="L1957" s="4">
        <f>ROUNDDOWN(Table1[[#This Row],[Ordered]],0)</f>
        <v>45309</v>
      </c>
      <c r="M1957" s="4">
        <f>Table1[[#This Row],[Date ]]</f>
        <v>45309</v>
      </c>
      <c r="N1957" s="5">
        <f>Table1[[#This Row],[Ordered]]-Table1[[#This Row],[Date ]]</f>
        <v>0.54166666666424135</v>
      </c>
      <c r="O1957">
        <f>Table1[[#This Row],[Company]]</f>
        <v>13</v>
      </c>
      <c r="P19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8" spans="1:16" x14ac:dyDescent="0.45">
      <c r="A1958" s="3">
        <v>45309.541666666664</v>
      </c>
      <c r="B1958" t="s">
        <v>14</v>
      </c>
      <c r="C1958">
        <v>14</v>
      </c>
      <c r="D1958">
        <v>1004</v>
      </c>
      <c r="E1958" t="s">
        <v>16</v>
      </c>
      <c r="F1958">
        <v>39</v>
      </c>
      <c r="G1958">
        <v>3750</v>
      </c>
      <c r="H1958">
        <v>146250</v>
      </c>
      <c r="I1958" s="3">
        <v>45309.541666666664</v>
      </c>
      <c r="J1958">
        <v>84</v>
      </c>
      <c r="K1958" s="3">
        <v>45312.541666666664</v>
      </c>
      <c r="L1958" s="4">
        <f>ROUNDDOWN(Table1[[#This Row],[Ordered]],0)</f>
        <v>45309</v>
      </c>
      <c r="M1958" s="4">
        <f>Table1[[#This Row],[Date ]]</f>
        <v>45309</v>
      </c>
      <c r="N1958" s="5">
        <f>Table1[[#This Row],[Ordered]]-Table1[[#This Row],[Date ]]</f>
        <v>0.54166666666424135</v>
      </c>
      <c r="O1958">
        <f>Table1[[#This Row],[Company]]</f>
        <v>14</v>
      </c>
      <c r="P19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9" spans="1:16" x14ac:dyDescent="0.45">
      <c r="A1959" s="3">
        <v>45309.541666666664</v>
      </c>
      <c r="B1959" t="s">
        <v>14</v>
      </c>
      <c r="C1959">
        <v>8</v>
      </c>
      <c r="D1959">
        <v>1004</v>
      </c>
      <c r="E1959" t="s">
        <v>16</v>
      </c>
      <c r="F1959">
        <v>43</v>
      </c>
      <c r="G1959">
        <v>3900</v>
      </c>
      <c r="H1959">
        <v>167700</v>
      </c>
      <c r="I1959" s="3">
        <v>45312.708333333336</v>
      </c>
      <c r="J1959">
        <v>156</v>
      </c>
      <c r="K1959" s="3">
        <v>45315.708333333336</v>
      </c>
      <c r="L1959" s="4">
        <f>ROUNDDOWN(Table1[[#This Row],[Ordered]],0)</f>
        <v>45309</v>
      </c>
      <c r="M1959" s="4">
        <f>Table1[[#This Row],[Date ]]</f>
        <v>45309</v>
      </c>
      <c r="N1959" s="5">
        <f>Table1[[#This Row],[Ordered]]-Table1[[#This Row],[Date ]]</f>
        <v>0.54166666666424135</v>
      </c>
      <c r="O1959">
        <f>Table1[[#This Row],[Company]]</f>
        <v>8</v>
      </c>
      <c r="P19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0" spans="1:16" x14ac:dyDescent="0.45">
      <c r="A1960" s="3">
        <v>45309.541666666664</v>
      </c>
      <c r="B1960" t="s">
        <v>14</v>
      </c>
      <c r="C1960">
        <v>12</v>
      </c>
      <c r="D1960">
        <v>1004</v>
      </c>
      <c r="E1960" t="s">
        <v>16</v>
      </c>
      <c r="F1960">
        <v>29</v>
      </c>
      <c r="G1960">
        <v>3700</v>
      </c>
      <c r="H1960">
        <v>107300</v>
      </c>
      <c r="I1960" s="3">
        <v>45317.583333333336</v>
      </c>
      <c r="J1960">
        <v>120</v>
      </c>
      <c r="K1960" s="3">
        <v>45318.583333333336</v>
      </c>
      <c r="L1960" s="4">
        <f>ROUNDDOWN(Table1[[#This Row],[Ordered]],0)</f>
        <v>45309</v>
      </c>
      <c r="M1960" s="4">
        <f>Table1[[#This Row],[Date ]]</f>
        <v>45309</v>
      </c>
      <c r="N1960" s="5">
        <f>Table1[[#This Row],[Ordered]]-Table1[[#This Row],[Date ]]</f>
        <v>0.54166666666424135</v>
      </c>
      <c r="O1960">
        <f>Table1[[#This Row],[Company]]</f>
        <v>12</v>
      </c>
      <c r="P19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1" spans="1:16" x14ac:dyDescent="0.45">
      <c r="A1961" s="3">
        <v>45309.541666666664</v>
      </c>
      <c r="B1961" t="s">
        <v>14</v>
      </c>
      <c r="C1961">
        <v>15</v>
      </c>
      <c r="D1961">
        <v>1004</v>
      </c>
      <c r="E1961" t="s">
        <v>16</v>
      </c>
      <c r="F1961">
        <v>30</v>
      </c>
      <c r="G1961">
        <v>3450</v>
      </c>
      <c r="H1961">
        <v>103500</v>
      </c>
      <c r="I1961" s="3">
        <v>45309.625</v>
      </c>
      <c r="J1961">
        <v>88</v>
      </c>
      <c r="K1961" s="3">
        <v>45312.625</v>
      </c>
      <c r="L1961" s="4">
        <f>ROUNDDOWN(Table1[[#This Row],[Ordered]],0)</f>
        <v>45309</v>
      </c>
      <c r="M1961" s="4">
        <f>Table1[[#This Row],[Date ]]</f>
        <v>45309</v>
      </c>
      <c r="N1961" s="5">
        <f>Table1[[#This Row],[Ordered]]-Table1[[#This Row],[Date ]]</f>
        <v>0.54166666666424135</v>
      </c>
      <c r="O1961">
        <f>Table1[[#This Row],[Company]]</f>
        <v>15</v>
      </c>
      <c r="P19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2" spans="1:16" x14ac:dyDescent="0.45">
      <c r="A1962" s="3">
        <v>45309.541666666664</v>
      </c>
      <c r="B1962" t="s">
        <v>14</v>
      </c>
      <c r="C1962">
        <v>10</v>
      </c>
      <c r="D1962">
        <v>1004</v>
      </c>
      <c r="E1962" t="s">
        <v>16</v>
      </c>
      <c r="F1962">
        <v>30</v>
      </c>
      <c r="G1962">
        <v>4100</v>
      </c>
      <c r="H1962">
        <v>123000</v>
      </c>
      <c r="I1962" s="3">
        <v>45309.625</v>
      </c>
      <c r="J1962">
        <v>84</v>
      </c>
      <c r="K1962" s="3">
        <v>45312.625</v>
      </c>
      <c r="L1962" s="4">
        <f>ROUNDDOWN(Table1[[#This Row],[Ordered]],0)</f>
        <v>45309</v>
      </c>
      <c r="M1962" s="4">
        <f>Table1[[#This Row],[Date ]]</f>
        <v>45309</v>
      </c>
      <c r="N1962" s="5">
        <f>Table1[[#This Row],[Ordered]]-Table1[[#This Row],[Date ]]</f>
        <v>0.54166666666424135</v>
      </c>
      <c r="O1962">
        <f>Table1[[#This Row],[Company]]</f>
        <v>10</v>
      </c>
      <c r="P19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3" spans="1:16" x14ac:dyDescent="0.45">
      <c r="A1963" s="3">
        <v>45309.541666666664</v>
      </c>
      <c r="B1963" t="s">
        <v>14</v>
      </c>
      <c r="C1963">
        <v>11</v>
      </c>
      <c r="D1963">
        <v>1004</v>
      </c>
      <c r="E1963" t="s">
        <v>16</v>
      </c>
      <c r="F1963">
        <v>30</v>
      </c>
      <c r="G1963">
        <v>4000</v>
      </c>
      <c r="H1963">
        <v>120000</v>
      </c>
      <c r="I1963" s="3">
        <v>45309.791666666664</v>
      </c>
      <c r="J1963">
        <v>96</v>
      </c>
      <c r="K1963" s="3">
        <v>45312.791666666664</v>
      </c>
      <c r="L1963" s="4">
        <f>ROUNDDOWN(Table1[[#This Row],[Ordered]],0)</f>
        <v>45309</v>
      </c>
      <c r="M1963" s="4">
        <f>Table1[[#This Row],[Date ]]</f>
        <v>45309</v>
      </c>
      <c r="N1963" s="5">
        <f>Table1[[#This Row],[Ordered]]-Table1[[#This Row],[Date ]]</f>
        <v>0.54166666666424135</v>
      </c>
      <c r="O1963">
        <f>Table1[[#This Row],[Company]]</f>
        <v>11</v>
      </c>
      <c r="P19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4" spans="1:16" x14ac:dyDescent="0.45">
      <c r="A1964" s="3">
        <v>45309.541666666664</v>
      </c>
      <c r="B1964" t="s">
        <v>14</v>
      </c>
      <c r="C1964">
        <v>7</v>
      </c>
      <c r="D1964">
        <v>1004</v>
      </c>
      <c r="E1964" t="s">
        <v>16</v>
      </c>
      <c r="F1964">
        <v>22</v>
      </c>
      <c r="G1964">
        <v>3950</v>
      </c>
      <c r="H1964">
        <v>86900</v>
      </c>
      <c r="I1964" s="3">
        <v>45311</v>
      </c>
      <c r="J1964">
        <v>96</v>
      </c>
      <c r="K1964" s="3">
        <v>45313</v>
      </c>
      <c r="L1964" s="4">
        <f>ROUNDDOWN(Table1[[#This Row],[Ordered]],0)</f>
        <v>45309</v>
      </c>
      <c r="M1964" s="4">
        <f>Table1[[#This Row],[Date ]]</f>
        <v>45309</v>
      </c>
      <c r="N1964" s="5">
        <f>Table1[[#This Row],[Ordered]]-Table1[[#This Row],[Date ]]</f>
        <v>0.54166666666424135</v>
      </c>
      <c r="O1964">
        <f>Table1[[#This Row],[Company]]</f>
        <v>7</v>
      </c>
      <c r="P19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5" spans="1:16" x14ac:dyDescent="0.45">
      <c r="A1965" s="3">
        <v>45309.541666666664</v>
      </c>
      <c r="B1965" t="s">
        <v>14</v>
      </c>
      <c r="C1965">
        <v>16</v>
      </c>
      <c r="D1965">
        <v>1004</v>
      </c>
      <c r="E1965" t="s">
        <v>16</v>
      </c>
      <c r="F1965">
        <v>25</v>
      </c>
      <c r="G1965">
        <v>3750</v>
      </c>
      <c r="H1965">
        <v>93750</v>
      </c>
      <c r="I1965" s="3">
        <v>45309.75</v>
      </c>
      <c r="J1965">
        <v>96</v>
      </c>
      <c r="K1965" s="3">
        <v>45312.75</v>
      </c>
      <c r="L1965" s="4">
        <f>ROUNDDOWN(Table1[[#This Row],[Ordered]],0)</f>
        <v>45309</v>
      </c>
      <c r="M1965" s="4">
        <f>Table1[[#This Row],[Date ]]</f>
        <v>45309</v>
      </c>
      <c r="N1965" s="5">
        <f>Table1[[#This Row],[Ordered]]-Table1[[#This Row],[Date ]]</f>
        <v>0.54166666666424135</v>
      </c>
      <c r="O1965">
        <f>Table1[[#This Row],[Company]]</f>
        <v>16</v>
      </c>
      <c r="P19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6" spans="1:16" x14ac:dyDescent="0.45">
      <c r="A1966" s="3">
        <v>45309.541666666664</v>
      </c>
      <c r="B1966" t="s">
        <v>14</v>
      </c>
      <c r="C1966">
        <v>12</v>
      </c>
      <c r="D1966">
        <v>1004</v>
      </c>
      <c r="E1966" t="s">
        <v>16</v>
      </c>
      <c r="F1966">
        <v>4</v>
      </c>
      <c r="G1966">
        <v>3700</v>
      </c>
      <c r="H1966">
        <v>122100</v>
      </c>
      <c r="I1966" s="3">
        <v>45315.416666666664</v>
      </c>
      <c r="J1966">
        <v>120</v>
      </c>
      <c r="K1966" s="3">
        <v>45318.416666666664</v>
      </c>
      <c r="L1966" s="4">
        <f>ROUNDDOWN(Table1[[#This Row],[Ordered]],0)</f>
        <v>45309</v>
      </c>
      <c r="M1966" s="4">
        <f>Table1[[#This Row],[Date ]]</f>
        <v>45309</v>
      </c>
      <c r="N1966" s="5">
        <f>Table1[[#This Row],[Ordered]]-Table1[[#This Row],[Date ]]</f>
        <v>0.54166666666424135</v>
      </c>
      <c r="O1966">
        <f>Table1[[#This Row],[Company]]</f>
        <v>12</v>
      </c>
      <c r="P19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7" spans="1:16" hidden="1" x14ac:dyDescent="0.45">
      <c r="A1967" s="3">
        <v>45309.541666666664</v>
      </c>
      <c r="B1967" t="s">
        <v>12</v>
      </c>
      <c r="C1967">
        <v>5</v>
      </c>
      <c r="D1967">
        <v>16</v>
      </c>
      <c r="E1967" t="s">
        <v>17</v>
      </c>
      <c r="F1967">
        <v>400</v>
      </c>
      <c r="G1967">
        <v>1350</v>
      </c>
      <c r="H1967">
        <v>540000</v>
      </c>
      <c r="I1967" s="3">
        <v>45310.25</v>
      </c>
      <c r="J1967">
        <v>24</v>
      </c>
      <c r="K1967" s="3">
        <v>45311.25</v>
      </c>
      <c r="L1967" s="4">
        <f>ROUNDDOWN(Table1[[#This Row],[Ordered]],0)</f>
        <v>45309</v>
      </c>
      <c r="M1967" s="4">
        <f>Table1[[#This Row],[Date ]]</f>
        <v>45309</v>
      </c>
      <c r="N1967" s="5">
        <f>Table1[[#This Row],[Ordered]]-Table1[[#This Row],[Date ]]</f>
        <v>0.54166666666424135</v>
      </c>
      <c r="O1967">
        <f>Table1[[#This Row],[Company]]</f>
        <v>5</v>
      </c>
      <c r="P19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8" spans="1:16" hidden="1" x14ac:dyDescent="0.45">
      <c r="A1968" s="3">
        <v>45309.583333333336</v>
      </c>
      <c r="B1968" t="s">
        <v>12</v>
      </c>
      <c r="C1968">
        <v>3</v>
      </c>
      <c r="D1968">
        <v>10</v>
      </c>
      <c r="E1968" t="s">
        <v>13</v>
      </c>
      <c r="F1968">
        <v>4000</v>
      </c>
      <c r="G1968">
        <v>125</v>
      </c>
      <c r="H1968">
        <v>500000</v>
      </c>
      <c r="I1968" s="3">
        <v>45309.666666666664</v>
      </c>
      <c r="J1968">
        <v>72</v>
      </c>
      <c r="K1968" s="3">
        <v>45312.666666666664</v>
      </c>
      <c r="L1968" s="4">
        <f>ROUNDDOWN(Table1[[#This Row],[Ordered]],0)</f>
        <v>45309</v>
      </c>
      <c r="M1968" s="4">
        <f>Table1[[#This Row],[Date ]]</f>
        <v>45309</v>
      </c>
      <c r="N1968" s="5">
        <f>Table1[[#This Row],[Ordered]]-Table1[[#This Row],[Date ]]</f>
        <v>0.58333333333575865</v>
      </c>
      <c r="O1968">
        <f>Table1[[#This Row],[Company]]</f>
        <v>3</v>
      </c>
      <c r="P19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9" spans="1:16" hidden="1" x14ac:dyDescent="0.45">
      <c r="A1969" s="3">
        <v>45309.625</v>
      </c>
      <c r="B1969" t="s">
        <v>12</v>
      </c>
      <c r="C1969">
        <v>4</v>
      </c>
      <c r="D1969">
        <v>9</v>
      </c>
      <c r="E1969" t="s">
        <v>17</v>
      </c>
      <c r="F1969">
        <v>200</v>
      </c>
      <c r="G1969">
        <v>1350</v>
      </c>
      <c r="H1969">
        <v>270000</v>
      </c>
      <c r="I1969" s="3">
        <v>45309.666666666664</v>
      </c>
      <c r="J1969">
        <v>24</v>
      </c>
      <c r="K1969" s="3">
        <v>45310.666666666664</v>
      </c>
      <c r="L1969" s="4">
        <f>ROUNDDOWN(Table1[[#This Row],[Ordered]],0)</f>
        <v>45309</v>
      </c>
      <c r="M1969" s="4">
        <f>Table1[[#This Row],[Date ]]</f>
        <v>45309</v>
      </c>
      <c r="N1969" s="5">
        <f>Table1[[#This Row],[Ordered]]-Table1[[#This Row],[Date ]]</f>
        <v>0.625</v>
      </c>
      <c r="O1969">
        <f>Table1[[#This Row],[Company]]</f>
        <v>4</v>
      </c>
      <c r="P19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0" spans="1:16" hidden="1" x14ac:dyDescent="0.45">
      <c r="A1970" s="3">
        <v>45309.666666666664</v>
      </c>
      <c r="B1970" t="s">
        <v>12</v>
      </c>
      <c r="C1970">
        <v>4</v>
      </c>
      <c r="D1970">
        <v>11</v>
      </c>
      <c r="E1970" t="s">
        <v>13</v>
      </c>
      <c r="F1970">
        <v>2000</v>
      </c>
      <c r="G1970">
        <v>110</v>
      </c>
      <c r="H1970">
        <v>220000</v>
      </c>
      <c r="I1970" s="3">
        <v>45309.708333333336</v>
      </c>
      <c r="J1970">
        <v>72</v>
      </c>
      <c r="K1970" s="3">
        <v>45312.708333333336</v>
      </c>
      <c r="L1970" s="4">
        <f>ROUNDDOWN(Table1[[#This Row],[Ordered]],0)</f>
        <v>45309</v>
      </c>
      <c r="M1970" s="4">
        <f>Table1[[#This Row],[Date ]]</f>
        <v>45309</v>
      </c>
      <c r="N1970" s="5">
        <f>Table1[[#This Row],[Ordered]]-Table1[[#This Row],[Date ]]</f>
        <v>0.66666666666424135</v>
      </c>
      <c r="O1970">
        <f>Table1[[#This Row],[Company]]</f>
        <v>4</v>
      </c>
      <c r="P19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1" spans="1:16" x14ac:dyDescent="0.45">
      <c r="A1971" s="3">
        <v>45309.75</v>
      </c>
      <c r="B1971" t="s">
        <v>0</v>
      </c>
      <c r="C1971">
        <v>8</v>
      </c>
      <c r="D1971">
        <v>2006</v>
      </c>
      <c r="E1971" t="s">
        <v>16</v>
      </c>
      <c r="F1971">
        <v>30</v>
      </c>
      <c r="G1971">
        <v>3889</v>
      </c>
      <c r="H1971">
        <v>116670</v>
      </c>
      <c r="I1971" s="3">
        <v>45311.5</v>
      </c>
      <c r="J1971">
        <v>156</v>
      </c>
      <c r="K1971" s="3">
        <v>45316</v>
      </c>
      <c r="L1971" s="4">
        <f>ROUNDDOWN(Table1[[#This Row],[Ordered]],0)</f>
        <v>45309</v>
      </c>
      <c r="M1971" s="4">
        <f>Table1[[#This Row],[Date ]]</f>
        <v>45309</v>
      </c>
      <c r="N1971" s="5">
        <f>Table1[[#This Row],[Ordered]]-Table1[[#This Row],[Date ]]</f>
        <v>0.75</v>
      </c>
      <c r="O1971">
        <f>Table1[[#This Row],[Company]]</f>
        <v>8</v>
      </c>
      <c r="P19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2" spans="1:16" x14ac:dyDescent="0.45">
      <c r="A1972" s="3">
        <v>45309.75</v>
      </c>
      <c r="B1972" t="s">
        <v>0</v>
      </c>
      <c r="C1972">
        <v>13</v>
      </c>
      <c r="D1972">
        <v>2006</v>
      </c>
      <c r="E1972" t="s">
        <v>16</v>
      </c>
      <c r="F1972">
        <v>30</v>
      </c>
      <c r="G1972">
        <v>3300</v>
      </c>
      <c r="H1972">
        <v>99000</v>
      </c>
      <c r="I1972" s="3">
        <v>45310.541666666664</v>
      </c>
      <c r="J1972">
        <v>132</v>
      </c>
      <c r="K1972" s="3">
        <v>45315.041666666664</v>
      </c>
      <c r="L1972" s="4">
        <f>ROUNDDOWN(Table1[[#This Row],[Ordered]],0)</f>
        <v>45309</v>
      </c>
      <c r="M1972" s="4">
        <f>Table1[[#This Row],[Date ]]</f>
        <v>45309</v>
      </c>
      <c r="N1972" s="5">
        <f>Table1[[#This Row],[Ordered]]-Table1[[#This Row],[Date ]]</f>
        <v>0.75</v>
      </c>
      <c r="O1972">
        <f>Table1[[#This Row],[Company]]</f>
        <v>13</v>
      </c>
      <c r="P19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3" spans="1:16" x14ac:dyDescent="0.45">
      <c r="A1973" s="3">
        <v>45309.75</v>
      </c>
      <c r="B1973" t="s">
        <v>0</v>
      </c>
      <c r="C1973">
        <v>11</v>
      </c>
      <c r="D1973">
        <v>2006</v>
      </c>
      <c r="E1973" t="s">
        <v>15</v>
      </c>
      <c r="F1973">
        <v>50</v>
      </c>
      <c r="G1973">
        <v>6550</v>
      </c>
      <c r="H1973">
        <v>327500</v>
      </c>
      <c r="I1973" s="3">
        <v>45310.5</v>
      </c>
      <c r="J1973">
        <v>132</v>
      </c>
      <c r="K1973" s="3">
        <v>45315</v>
      </c>
      <c r="L1973" s="4">
        <f>ROUNDDOWN(Table1[[#This Row],[Ordered]],0)</f>
        <v>45309</v>
      </c>
      <c r="M1973" s="4">
        <f>Table1[[#This Row],[Date ]]</f>
        <v>45309</v>
      </c>
      <c r="N1973" s="5">
        <f>Table1[[#This Row],[Ordered]]-Table1[[#This Row],[Date ]]</f>
        <v>0.75</v>
      </c>
      <c r="O1973">
        <f>Table1[[#This Row],[Company]]</f>
        <v>11</v>
      </c>
      <c r="P19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4" spans="1:16" x14ac:dyDescent="0.45">
      <c r="A1974" s="3">
        <v>45309.75</v>
      </c>
      <c r="B1974" t="s">
        <v>0</v>
      </c>
      <c r="C1974">
        <v>9</v>
      </c>
      <c r="D1974">
        <v>2006</v>
      </c>
      <c r="E1974" t="s">
        <v>15</v>
      </c>
      <c r="F1974">
        <v>75</v>
      </c>
      <c r="G1974">
        <v>6489</v>
      </c>
      <c r="H1974">
        <v>486675</v>
      </c>
      <c r="I1974" s="3">
        <v>45309.958333333336</v>
      </c>
      <c r="J1974">
        <v>120</v>
      </c>
      <c r="K1974" s="3">
        <v>45314.458333333336</v>
      </c>
      <c r="L1974" s="4">
        <f>ROUNDDOWN(Table1[[#This Row],[Ordered]],0)</f>
        <v>45309</v>
      </c>
      <c r="M1974" s="4">
        <f>Table1[[#This Row],[Date ]]</f>
        <v>45309</v>
      </c>
      <c r="N1974" s="5">
        <f>Table1[[#This Row],[Ordered]]-Table1[[#This Row],[Date ]]</f>
        <v>0.75</v>
      </c>
      <c r="O1974">
        <f>Table1[[#This Row],[Company]]</f>
        <v>9</v>
      </c>
      <c r="P19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5" spans="1:16" x14ac:dyDescent="0.45">
      <c r="A1975" s="3">
        <v>45309.75</v>
      </c>
      <c r="B1975" t="s">
        <v>14</v>
      </c>
      <c r="C1975">
        <v>16</v>
      </c>
      <c r="D1975">
        <v>1009</v>
      </c>
      <c r="E1975" t="s">
        <v>16</v>
      </c>
      <c r="F1975">
        <v>21</v>
      </c>
      <c r="G1975">
        <v>3750</v>
      </c>
      <c r="H1975">
        <v>78750</v>
      </c>
      <c r="I1975" s="3">
        <v>45309.833333333336</v>
      </c>
      <c r="J1975">
        <v>96</v>
      </c>
      <c r="K1975" s="3">
        <v>45312.833333333336</v>
      </c>
      <c r="L1975" s="4">
        <f>ROUNDDOWN(Table1[[#This Row],[Ordered]],0)</f>
        <v>45309</v>
      </c>
      <c r="M1975" s="4">
        <f>Table1[[#This Row],[Date ]]</f>
        <v>45309</v>
      </c>
      <c r="N1975" s="5">
        <f>Table1[[#This Row],[Ordered]]-Table1[[#This Row],[Date ]]</f>
        <v>0.75</v>
      </c>
      <c r="O1975">
        <f>Table1[[#This Row],[Company]]</f>
        <v>16</v>
      </c>
      <c r="P19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6" spans="1:16" x14ac:dyDescent="0.45">
      <c r="A1976" s="3">
        <v>45309.75</v>
      </c>
      <c r="B1976" t="s">
        <v>14</v>
      </c>
      <c r="C1976">
        <v>15</v>
      </c>
      <c r="D1976">
        <v>1009</v>
      </c>
      <c r="E1976" t="s">
        <v>16</v>
      </c>
      <c r="F1976">
        <v>37</v>
      </c>
      <c r="G1976">
        <v>3350</v>
      </c>
      <c r="H1976">
        <v>123950</v>
      </c>
      <c r="I1976" s="3">
        <v>45309.833333333336</v>
      </c>
      <c r="J1976">
        <v>88</v>
      </c>
      <c r="K1976" s="3">
        <v>45312.833333333336</v>
      </c>
      <c r="L1976" s="4">
        <f>ROUNDDOWN(Table1[[#This Row],[Ordered]],0)</f>
        <v>45309</v>
      </c>
      <c r="M1976" s="4">
        <f>Table1[[#This Row],[Date ]]</f>
        <v>45309</v>
      </c>
      <c r="N1976" s="5">
        <f>Table1[[#This Row],[Ordered]]-Table1[[#This Row],[Date ]]</f>
        <v>0.75</v>
      </c>
      <c r="O1976">
        <f>Table1[[#This Row],[Company]]</f>
        <v>15</v>
      </c>
      <c r="P19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7" spans="1:16" x14ac:dyDescent="0.45">
      <c r="A1977" s="3">
        <v>45309.75</v>
      </c>
      <c r="B1977" t="s">
        <v>14</v>
      </c>
      <c r="C1977">
        <v>10</v>
      </c>
      <c r="D1977">
        <v>1009</v>
      </c>
      <c r="E1977" t="s">
        <v>16</v>
      </c>
      <c r="F1977">
        <v>14</v>
      </c>
      <c r="G1977">
        <v>4200</v>
      </c>
      <c r="H1977">
        <v>58800</v>
      </c>
      <c r="I1977" s="3">
        <v>45309.791666666664</v>
      </c>
      <c r="J1977">
        <v>60</v>
      </c>
      <c r="K1977" s="3">
        <v>45311.791666666664</v>
      </c>
      <c r="L1977" s="4">
        <f>ROUNDDOWN(Table1[[#This Row],[Ordered]],0)</f>
        <v>45309</v>
      </c>
      <c r="M1977" s="4">
        <f>Table1[[#This Row],[Date ]]</f>
        <v>45309</v>
      </c>
      <c r="N1977" s="5">
        <f>Table1[[#This Row],[Ordered]]-Table1[[#This Row],[Date ]]</f>
        <v>0.75</v>
      </c>
      <c r="O1977">
        <f>Table1[[#This Row],[Company]]</f>
        <v>10</v>
      </c>
      <c r="P19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8" spans="1:16" x14ac:dyDescent="0.45">
      <c r="A1978" s="3">
        <v>45309.75</v>
      </c>
      <c r="B1978" t="s">
        <v>0</v>
      </c>
      <c r="C1978">
        <v>15</v>
      </c>
      <c r="D1978">
        <v>2006</v>
      </c>
      <c r="E1978" t="s">
        <v>16</v>
      </c>
      <c r="F1978">
        <v>45</v>
      </c>
      <c r="G1978">
        <v>3650</v>
      </c>
      <c r="H1978">
        <v>164250</v>
      </c>
      <c r="I1978" s="3">
        <v>45309.75</v>
      </c>
      <c r="J1978">
        <v>120</v>
      </c>
      <c r="K1978" s="3">
        <v>45314.25</v>
      </c>
      <c r="L1978" s="4">
        <f>ROUNDDOWN(Table1[[#This Row],[Ordered]],0)</f>
        <v>45309</v>
      </c>
      <c r="M1978" s="4">
        <f>Table1[[#This Row],[Date ]]</f>
        <v>45309</v>
      </c>
      <c r="N1978" s="5">
        <f>Table1[[#This Row],[Ordered]]-Table1[[#This Row],[Date ]]</f>
        <v>0.75</v>
      </c>
      <c r="O1978">
        <f>Table1[[#This Row],[Company]]</f>
        <v>15</v>
      </c>
      <c r="P19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9" spans="1:16" x14ac:dyDescent="0.45">
      <c r="A1979" s="3">
        <v>45309.75</v>
      </c>
      <c r="B1979" t="s">
        <v>0</v>
      </c>
      <c r="C1979">
        <v>15</v>
      </c>
      <c r="D1979">
        <v>2006</v>
      </c>
      <c r="E1979" t="s">
        <v>15</v>
      </c>
      <c r="F1979">
        <v>50</v>
      </c>
      <c r="G1979">
        <v>6300</v>
      </c>
      <c r="H1979">
        <v>315000</v>
      </c>
      <c r="I1979" s="3">
        <v>45309.75</v>
      </c>
      <c r="J1979">
        <v>48</v>
      </c>
      <c r="K1979" s="3">
        <v>45311.25</v>
      </c>
      <c r="L1979" s="4">
        <f>ROUNDDOWN(Table1[[#This Row],[Ordered]],0)</f>
        <v>45309</v>
      </c>
      <c r="M1979" s="4">
        <f>Table1[[#This Row],[Date ]]</f>
        <v>45309</v>
      </c>
      <c r="N1979" s="5">
        <f>Table1[[#This Row],[Ordered]]-Table1[[#This Row],[Date ]]</f>
        <v>0.75</v>
      </c>
      <c r="O1979">
        <f>Table1[[#This Row],[Company]]</f>
        <v>15</v>
      </c>
      <c r="P19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0" spans="1:16" x14ac:dyDescent="0.45">
      <c r="A1980" s="3">
        <v>45309.75</v>
      </c>
      <c r="B1980" t="s">
        <v>0</v>
      </c>
      <c r="C1980">
        <v>16</v>
      </c>
      <c r="D1980">
        <v>2006</v>
      </c>
      <c r="E1980" t="s">
        <v>15</v>
      </c>
      <c r="F1980">
        <v>30</v>
      </c>
      <c r="G1980">
        <v>6050</v>
      </c>
      <c r="H1980">
        <v>181500</v>
      </c>
      <c r="I1980" s="3">
        <v>45309.916666666664</v>
      </c>
      <c r="J1980">
        <v>132</v>
      </c>
      <c r="K1980" s="3">
        <v>45314.416666666664</v>
      </c>
      <c r="L1980" s="4">
        <f>ROUNDDOWN(Table1[[#This Row],[Ordered]],0)</f>
        <v>45309</v>
      </c>
      <c r="M1980" s="4">
        <f>Table1[[#This Row],[Date ]]</f>
        <v>45309</v>
      </c>
      <c r="N1980" s="5">
        <f>Table1[[#This Row],[Ordered]]-Table1[[#This Row],[Date ]]</f>
        <v>0.75</v>
      </c>
      <c r="O1980">
        <f>Table1[[#This Row],[Company]]</f>
        <v>16</v>
      </c>
      <c r="P19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1" spans="1:16" x14ac:dyDescent="0.45">
      <c r="A1981" s="3">
        <v>45309.75</v>
      </c>
      <c r="B1981" t="s">
        <v>14</v>
      </c>
      <c r="C1981">
        <v>14</v>
      </c>
      <c r="D1981">
        <v>1009</v>
      </c>
      <c r="E1981" t="s">
        <v>16</v>
      </c>
      <c r="F1981">
        <v>28</v>
      </c>
      <c r="G1981">
        <v>3650</v>
      </c>
      <c r="H1981">
        <v>102200</v>
      </c>
      <c r="I1981" s="3">
        <v>45309.875</v>
      </c>
      <c r="J1981">
        <v>96</v>
      </c>
      <c r="K1981" s="3">
        <v>45312.875</v>
      </c>
      <c r="L1981" s="4">
        <f>ROUNDDOWN(Table1[[#This Row],[Ordered]],0)</f>
        <v>45309</v>
      </c>
      <c r="M1981" s="4">
        <f>Table1[[#This Row],[Date ]]</f>
        <v>45309</v>
      </c>
      <c r="N1981" s="5">
        <f>Table1[[#This Row],[Ordered]]-Table1[[#This Row],[Date ]]</f>
        <v>0.75</v>
      </c>
      <c r="O1981">
        <f>Table1[[#This Row],[Company]]</f>
        <v>14</v>
      </c>
      <c r="P19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2" spans="1:16" x14ac:dyDescent="0.45">
      <c r="A1982" s="3">
        <v>45309.75</v>
      </c>
      <c r="B1982" t="s">
        <v>0</v>
      </c>
      <c r="C1982">
        <v>9</v>
      </c>
      <c r="D1982">
        <v>2006</v>
      </c>
      <c r="E1982" t="s">
        <v>16</v>
      </c>
      <c r="F1982">
        <v>30</v>
      </c>
      <c r="G1982">
        <v>3799</v>
      </c>
      <c r="H1982">
        <v>113970</v>
      </c>
      <c r="I1982" s="3">
        <v>45309.75</v>
      </c>
      <c r="J1982">
        <v>112</v>
      </c>
      <c r="K1982" s="3">
        <v>45314.375</v>
      </c>
      <c r="L1982" s="4">
        <f>ROUNDDOWN(Table1[[#This Row],[Ordered]],0)</f>
        <v>45309</v>
      </c>
      <c r="M1982" s="4">
        <f>Table1[[#This Row],[Date ]]</f>
        <v>45309</v>
      </c>
      <c r="N1982" s="5">
        <f>Table1[[#This Row],[Ordered]]-Table1[[#This Row],[Date ]]</f>
        <v>0.75</v>
      </c>
      <c r="O1982">
        <f>Table1[[#This Row],[Company]]</f>
        <v>9</v>
      </c>
      <c r="P19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3" spans="1:16" x14ac:dyDescent="0.45">
      <c r="A1983" s="3">
        <v>45309.75</v>
      </c>
      <c r="B1983" t="s">
        <v>0</v>
      </c>
      <c r="C1983">
        <v>16</v>
      </c>
      <c r="D1983">
        <v>2006</v>
      </c>
      <c r="E1983" t="s">
        <v>16</v>
      </c>
      <c r="F1983">
        <v>30</v>
      </c>
      <c r="G1983">
        <v>3750</v>
      </c>
      <c r="H1983">
        <v>112500</v>
      </c>
      <c r="I1983" s="3">
        <v>45309.833333333336</v>
      </c>
      <c r="J1983">
        <v>132</v>
      </c>
      <c r="K1983" s="3">
        <v>45314.5</v>
      </c>
      <c r="L1983" s="4">
        <f>ROUNDDOWN(Table1[[#This Row],[Ordered]],0)</f>
        <v>45309</v>
      </c>
      <c r="M1983" s="4">
        <f>Table1[[#This Row],[Date ]]</f>
        <v>45309</v>
      </c>
      <c r="N1983" s="5">
        <f>Table1[[#This Row],[Ordered]]-Table1[[#This Row],[Date ]]</f>
        <v>0.75</v>
      </c>
      <c r="O1983">
        <f>Table1[[#This Row],[Company]]</f>
        <v>16</v>
      </c>
      <c r="P19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4" spans="1:16" x14ac:dyDescent="0.45">
      <c r="A1984" s="3">
        <v>45309.75</v>
      </c>
      <c r="B1984" t="s">
        <v>0</v>
      </c>
      <c r="C1984">
        <v>10</v>
      </c>
      <c r="D1984">
        <v>2006</v>
      </c>
      <c r="E1984" t="s">
        <v>16</v>
      </c>
      <c r="F1984">
        <v>50</v>
      </c>
      <c r="G1984">
        <v>4200</v>
      </c>
      <c r="H1984">
        <v>210000</v>
      </c>
      <c r="I1984" s="3">
        <v>45309.791666666664</v>
      </c>
      <c r="J1984">
        <v>78</v>
      </c>
      <c r="K1984" s="3">
        <v>45312.791666666664</v>
      </c>
      <c r="L1984" s="4">
        <f>ROUNDDOWN(Table1[[#This Row],[Ordered]],0)</f>
        <v>45309</v>
      </c>
      <c r="M1984" s="4">
        <f>Table1[[#This Row],[Date ]]</f>
        <v>45309</v>
      </c>
      <c r="N1984" s="5">
        <f>Table1[[#This Row],[Ordered]]-Table1[[#This Row],[Date ]]</f>
        <v>0.75</v>
      </c>
      <c r="O1984">
        <f>Table1[[#This Row],[Company]]</f>
        <v>10</v>
      </c>
      <c r="P19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5" spans="1:16" x14ac:dyDescent="0.45">
      <c r="A1985" s="3">
        <v>45309.75</v>
      </c>
      <c r="B1985" t="s">
        <v>0</v>
      </c>
      <c r="C1985">
        <v>7</v>
      </c>
      <c r="D1985">
        <v>2006</v>
      </c>
      <c r="E1985" t="s">
        <v>16</v>
      </c>
      <c r="F1985">
        <v>75</v>
      </c>
      <c r="G1985">
        <v>3800</v>
      </c>
      <c r="H1985">
        <v>285000</v>
      </c>
      <c r="I1985" s="3">
        <v>45311.75</v>
      </c>
      <c r="J1985">
        <v>132</v>
      </c>
      <c r="K1985" s="3">
        <v>45314.75</v>
      </c>
      <c r="L1985" s="4">
        <f>ROUNDDOWN(Table1[[#This Row],[Ordered]],0)</f>
        <v>45309</v>
      </c>
      <c r="M1985" s="4">
        <f>Table1[[#This Row],[Date ]]</f>
        <v>45309</v>
      </c>
      <c r="N1985" s="5">
        <f>Table1[[#This Row],[Ordered]]-Table1[[#This Row],[Date ]]</f>
        <v>0.75</v>
      </c>
      <c r="O1985">
        <f>Table1[[#This Row],[Company]]</f>
        <v>7</v>
      </c>
      <c r="P19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6" spans="1:16" x14ac:dyDescent="0.45">
      <c r="A1986" s="3">
        <v>45309.75</v>
      </c>
      <c r="B1986" t="s">
        <v>0</v>
      </c>
      <c r="C1986">
        <v>13</v>
      </c>
      <c r="D1986">
        <v>2006</v>
      </c>
      <c r="E1986" t="s">
        <v>15</v>
      </c>
      <c r="F1986">
        <v>30</v>
      </c>
      <c r="G1986">
        <v>6300</v>
      </c>
      <c r="H1986">
        <v>189000</v>
      </c>
      <c r="I1986" s="3">
        <v>45311.875</v>
      </c>
      <c r="J1986">
        <v>132</v>
      </c>
      <c r="K1986" s="3">
        <v>45314.875</v>
      </c>
      <c r="L1986" s="4">
        <f>ROUNDDOWN(Table1[[#This Row],[Ordered]],0)</f>
        <v>45309</v>
      </c>
      <c r="M1986" s="4">
        <f>Table1[[#This Row],[Date ]]</f>
        <v>45309</v>
      </c>
      <c r="N1986" s="5">
        <f>Table1[[#This Row],[Ordered]]-Table1[[#This Row],[Date ]]</f>
        <v>0.75</v>
      </c>
      <c r="O1986">
        <f>Table1[[#This Row],[Company]]</f>
        <v>13</v>
      </c>
      <c r="P19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7" spans="1:16" x14ac:dyDescent="0.45">
      <c r="A1987" s="3">
        <v>45309.75</v>
      </c>
      <c r="B1987" t="s">
        <v>14</v>
      </c>
      <c r="C1987">
        <v>13</v>
      </c>
      <c r="D1987">
        <v>1009</v>
      </c>
      <c r="E1987" t="s">
        <v>16</v>
      </c>
      <c r="F1987">
        <v>30</v>
      </c>
      <c r="G1987">
        <v>3400</v>
      </c>
      <c r="H1987">
        <v>102000</v>
      </c>
      <c r="I1987" s="3">
        <v>45310.458333333336</v>
      </c>
      <c r="J1987">
        <v>96</v>
      </c>
      <c r="K1987" s="3">
        <v>45313.458333333336</v>
      </c>
      <c r="L1987" s="4">
        <f>ROUNDDOWN(Table1[[#This Row],[Ordered]],0)</f>
        <v>45309</v>
      </c>
      <c r="M1987" s="4">
        <f>Table1[[#This Row],[Date ]]</f>
        <v>45309</v>
      </c>
      <c r="N1987" s="5">
        <f>Table1[[#This Row],[Ordered]]-Table1[[#This Row],[Date ]]</f>
        <v>0.75</v>
      </c>
      <c r="O1987">
        <f>Table1[[#This Row],[Company]]</f>
        <v>13</v>
      </c>
      <c r="P19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8" spans="1:16" x14ac:dyDescent="0.45">
      <c r="A1988" s="3">
        <v>45309.75</v>
      </c>
      <c r="B1988" t="s">
        <v>0</v>
      </c>
      <c r="C1988">
        <v>12</v>
      </c>
      <c r="D1988">
        <v>2006</v>
      </c>
      <c r="E1988" t="s">
        <v>15</v>
      </c>
      <c r="F1988">
        <v>30</v>
      </c>
      <c r="G1988">
        <v>6750</v>
      </c>
      <c r="H1988">
        <v>202500</v>
      </c>
      <c r="I1988" s="3">
        <v>45310.166666666664</v>
      </c>
      <c r="J1988">
        <v>120</v>
      </c>
      <c r="K1988" s="3">
        <v>45314.666666666664</v>
      </c>
      <c r="L1988" s="4">
        <f>ROUNDDOWN(Table1[[#This Row],[Ordered]],0)</f>
        <v>45309</v>
      </c>
      <c r="M1988" s="4">
        <f>Table1[[#This Row],[Date ]]</f>
        <v>45309</v>
      </c>
      <c r="N1988" s="5">
        <f>Table1[[#This Row],[Ordered]]-Table1[[#This Row],[Date ]]</f>
        <v>0.75</v>
      </c>
      <c r="O1988">
        <f>Table1[[#This Row],[Company]]</f>
        <v>12</v>
      </c>
      <c r="P19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9" spans="1:16" x14ac:dyDescent="0.45">
      <c r="A1989" s="3">
        <v>45309.75</v>
      </c>
      <c r="B1989" t="s">
        <v>0</v>
      </c>
      <c r="C1989">
        <v>11</v>
      </c>
      <c r="D1989">
        <v>2006</v>
      </c>
      <c r="E1989" t="s">
        <v>16</v>
      </c>
      <c r="F1989">
        <v>40</v>
      </c>
      <c r="G1989">
        <v>4000</v>
      </c>
      <c r="H1989">
        <v>160000</v>
      </c>
      <c r="I1989" s="3">
        <v>45311.541666666664</v>
      </c>
      <c r="J1989">
        <v>132</v>
      </c>
      <c r="K1989" s="3">
        <v>45314.541666666664</v>
      </c>
      <c r="L1989" s="4">
        <f>ROUNDDOWN(Table1[[#This Row],[Ordered]],0)</f>
        <v>45309</v>
      </c>
      <c r="M1989" s="4">
        <f>Table1[[#This Row],[Date ]]</f>
        <v>45309</v>
      </c>
      <c r="N1989" s="5">
        <f>Table1[[#This Row],[Ordered]]-Table1[[#This Row],[Date ]]</f>
        <v>0.75</v>
      </c>
      <c r="O1989">
        <f>Table1[[#This Row],[Company]]</f>
        <v>11</v>
      </c>
      <c r="P19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0" spans="1:16" x14ac:dyDescent="0.45">
      <c r="A1990" s="3">
        <v>45309.75</v>
      </c>
      <c r="B1990" t="s">
        <v>0</v>
      </c>
      <c r="C1990">
        <v>12</v>
      </c>
      <c r="D1990">
        <v>2006</v>
      </c>
      <c r="E1990" t="s">
        <v>16</v>
      </c>
      <c r="F1990">
        <v>50</v>
      </c>
      <c r="G1990">
        <v>3700</v>
      </c>
      <c r="H1990">
        <v>185000</v>
      </c>
      <c r="I1990" s="3">
        <v>45311.541666666664</v>
      </c>
      <c r="J1990">
        <v>144</v>
      </c>
      <c r="K1990" s="3">
        <v>45316.041666666664</v>
      </c>
      <c r="L1990" s="4">
        <f>ROUNDDOWN(Table1[[#This Row],[Ordered]],0)</f>
        <v>45309</v>
      </c>
      <c r="M1990" s="4">
        <f>Table1[[#This Row],[Date ]]</f>
        <v>45309</v>
      </c>
      <c r="N1990" s="5">
        <f>Table1[[#This Row],[Ordered]]-Table1[[#This Row],[Date ]]</f>
        <v>0.75</v>
      </c>
      <c r="O1990">
        <f>Table1[[#This Row],[Company]]</f>
        <v>12</v>
      </c>
      <c r="P19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1" spans="1:16" x14ac:dyDescent="0.45">
      <c r="A1991" s="3">
        <v>45309.75</v>
      </c>
      <c r="B1991" t="s">
        <v>14</v>
      </c>
      <c r="C1991">
        <v>12</v>
      </c>
      <c r="D1991">
        <v>1009</v>
      </c>
      <c r="E1991" t="s">
        <v>16</v>
      </c>
      <c r="F1991">
        <v>19</v>
      </c>
      <c r="G1991">
        <v>3800</v>
      </c>
      <c r="H1991">
        <v>72200</v>
      </c>
      <c r="I1991" s="3">
        <v>45311.541666666664</v>
      </c>
      <c r="J1991">
        <v>96</v>
      </c>
      <c r="K1991" s="3">
        <v>45313.541666666664</v>
      </c>
      <c r="L1991" s="4">
        <f>ROUNDDOWN(Table1[[#This Row],[Ordered]],0)</f>
        <v>45309</v>
      </c>
      <c r="M1991" s="4">
        <f>Table1[[#This Row],[Date ]]</f>
        <v>45309</v>
      </c>
      <c r="N1991" s="5">
        <f>Table1[[#This Row],[Ordered]]-Table1[[#This Row],[Date ]]</f>
        <v>0.75</v>
      </c>
      <c r="O1991">
        <f>Table1[[#This Row],[Company]]</f>
        <v>12</v>
      </c>
      <c r="P19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2" spans="1:16" x14ac:dyDescent="0.45">
      <c r="A1992" s="3">
        <v>45309.75</v>
      </c>
      <c r="B1992" t="s">
        <v>0</v>
      </c>
      <c r="C1992">
        <v>14</v>
      </c>
      <c r="D1992">
        <v>2006</v>
      </c>
      <c r="E1992" t="s">
        <v>16</v>
      </c>
      <c r="F1992">
        <v>36</v>
      </c>
      <c r="G1992">
        <v>3750</v>
      </c>
      <c r="H1992">
        <v>135000</v>
      </c>
      <c r="I1992" s="3">
        <v>45309.75</v>
      </c>
      <c r="J1992">
        <v>120</v>
      </c>
      <c r="K1992" s="3">
        <v>45314.25</v>
      </c>
      <c r="L1992" s="4">
        <f>ROUNDDOWN(Table1[[#This Row],[Ordered]],0)</f>
        <v>45309</v>
      </c>
      <c r="M1992" s="4">
        <f>Table1[[#This Row],[Date ]]</f>
        <v>45309</v>
      </c>
      <c r="N1992" s="5">
        <f>Table1[[#This Row],[Ordered]]-Table1[[#This Row],[Date ]]</f>
        <v>0.75</v>
      </c>
      <c r="O1992">
        <f>Table1[[#This Row],[Company]]</f>
        <v>14</v>
      </c>
      <c r="P19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3" spans="1:16" hidden="1" x14ac:dyDescent="0.45">
      <c r="A1993" s="3">
        <v>45309.75</v>
      </c>
      <c r="B1993" t="s">
        <v>12</v>
      </c>
      <c r="C1993">
        <v>6</v>
      </c>
      <c r="D1993">
        <v>15</v>
      </c>
      <c r="E1993" t="s">
        <v>17</v>
      </c>
      <c r="F1993">
        <v>321</v>
      </c>
      <c r="G1993">
        <v>1450</v>
      </c>
      <c r="H1993">
        <v>465450</v>
      </c>
      <c r="I1993" s="3">
        <v>45309.833333333336</v>
      </c>
      <c r="J1993">
        <v>72</v>
      </c>
      <c r="K1993" s="3">
        <v>45312.833333333336</v>
      </c>
      <c r="L1993" s="4">
        <f>ROUNDDOWN(Table1[[#This Row],[Ordered]],0)</f>
        <v>45309</v>
      </c>
      <c r="M1993" s="4">
        <f>Table1[[#This Row],[Date ]]</f>
        <v>45309</v>
      </c>
      <c r="N1993" s="5">
        <f>Table1[[#This Row],[Ordered]]-Table1[[#This Row],[Date ]]</f>
        <v>0.75</v>
      </c>
      <c r="O1993">
        <f>Table1[[#This Row],[Company]]</f>
        <v>6</v>
      </c>
      <c r="P19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4" spans="1:16" x14ac:dyDescent="0.45">
      <c r="A1994" s="3">
        <v>45309.75</v>
      </c>
      <c r="B1994" t="s">
        <v>0</v>
      </c>
      <c r="C1994">
        <v>14</v>
      </c>
      <c r="D1994">
        <v>2006</v>
      </c>
      <c r="E1994" t="s">
        <v>15</v>
      </c>
      <c r="F1994">
        <v>30</v>
      </c>
      <c r="G1994">
        <v>6650</v>
      </c>
      <c r="H1994">
        <v>199500</v>
      </c>
      <c r="I1994" s="3">
        <v>45309.75</v>
      </c>
      <c r="J1994">
        <v>120</v>
      </c>
      <c r="K1994" s="3">
        <v>45314.25</v>
      </c>
      <c r="L1994" s="4">
        <f>ROUNDDOWN(Table1[[#This Row],[Ordered]],0)</f>
        <v>45309</v>
      </c>
      <c r="M1994" s="4">
        <f>Table1[[#This Row],[Date ]]</f>
        <v>45309</v>
      </c>
      <c r="N1994" s="5">
        <f>Table1[[#This Row],[Ordered]]-Table1[[#This Row],[Date ]]</f>
        <v>0.75</v>
      </c>
      <c r="O1994">
        <f>Table1[[#This Row],[Company]]</f>
        <v>14</v>
      </c>
      <c r="P19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5" spans="1:16" x14ac:dyDescent="0.45">
      <c r="A1995" s="3">
        <v>45309.75</v>
      </c>
      <c r="B1995" t="s">
        <v>0</v>
      </c>
      <c r="C1995">
        <v>8</v>
      </c>
      <c r="D1995">
        <v>2006</v>
      </c>
      <c r="E1995" t="s">
        <v>15</v>
      </c>
      <c r="F1995">
        <v>50</v>
      </c>
      <c r="G1995">
        <v>6000</v>
      </c>
      <c r="H1995">
        <v>300000</v>
      </c>
      <c r="I1995" s="3">
        <v>45311.458333333336</v>
      </c>
      <c r="J1995">
        <v>156</v>
      </c>
      <c r="K1995" s="3">
        <v>45315.958333333336</v>
      </c>
      <c r="L1995" s="4">
        <f>ROUNDDOWN(Table1[[#This Row],[Ordered]],0)</f>
        <v>45309</v>
      </c>
      <c r="M1995" s="4">
        <f>Table1[[#This Row],[Date ]]</f>
        <v>45309</v>
      </c>
      <c r="N1995" s="5">
        <f>Table1[[#This Row],[Ordered]]-Table1[[#This Row],[Date ]]</f>
        <v>0.75</v>
      </c>
      <c r="O1995">
        <f>Table1[[#This Row],[Company]]</f>
        <v>8</v>
      </c>
      <c r="P19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6" spans="1:16" x14ac:dyDescent="0.45">
      <c r="A1996" s="3">
        <v>45309.75</v>
      </c>
      <c r="B1996" t="s">
        <v>0</v>
      </c>
      <c r="C1996">
        <v>7</v>
      </c>
      <c r="D1996">
        <v>2006</v>
      </c>
      <c r="E1996" t="s">
        <v>15</v>
      </c>
      <c r="F1996">
        <v>40</v>
      </c>
      <c r="G1996">
        <v>7000</v>
      </c>
      <c r="H1996">
        <v>280000</v>
      </c>
      <c r="I1996" s="3">
        <v>45311.375</v>
      </c>
      <c r="J1996">
        <v>132</v>
      </c>
      <c r="K1996" s="3">
        <v>45314.375</v>
      </c>
      <c r="L1996" s="4">
        <f>ROUNDDOWN(Table1[[#This Row],[Ordered]],0)</f>
        <v>45309</v>
      </c>
      <c r="M1996" s="4">
        <f>Table1[[#This Row],[Date ]]</f>
        <v>45309</v>
      </c>
      <c r="N1996" s="5">
        <f>Table1[[#This Row],[Ordered]]-Table1[[#This Row],[Date ]]</f>
        <v>0.75</v>
      </c>
      <c r="O1996">
        <f>Table1[[#This Row],[Company]]</f>
        <v>7</v>
      </c>
      <c r="P19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7" spans="1:16" x14ac:dyDescent="0.45">
      <c r="A1997" s="3">
        <v>45309.75</v>
      </c>
      <c r="B1997" t="s">
        <v>14</v>
      </c>
      <c r="C1997">
        <v>7</v>
      </c>
      <c r="D1997">
        <v>1009</v>
      </c>
      <c r="E1997" t="s">
        <v>16</v>
      </c>
      <c r="F1997">
        <v>11</v>
      </c>
      <c r="G1997">
        <v>3950</v>
      </c>
      <c r="H1997">
        <v>43450</v>
      </c>
      <c r="I1997" s="3">
        <v>45311.125</v>
      </c>
      <c r="J1997">
        <v>96</v>
      </c>
      <c r="K1997" s="3">
        <v>45313.125</v>
      </c>
      <c r="L1997" s="4">
        <f>ROUNDDOWN(Table1[[#This Row],[Ordered]],0)</f>
        <v>45309</v>
      </c>
      <c r="M1997" s="4">
        <f>Table1[[#This Row],[Date ]]</f>
        <v>45309</v>
      </c>
      <c r="N1997" s="5">
        <f>Table1[[#This Row],[Ordered]]-Table1[[#This Row],[Date ]]</f>
        <v>0.75</v>
      </c>
      <c r="O1997">
        <f>Table1[[#This Row],[Company]]</f>
        <v>7</v>
      </c>
      <c r="P19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8" spans="1:16" x14ac:dyDescent="0.45">
      <c r="A1998" s="3">
        <v>45309.75</v>
      </c>
      <c r="B1998" t="s">
        <v>14</v>
      </c>
      <c r="C1998">
        <v>9</v>
      </c>
      <c r="D1998">
        <v>1009</v>
      </c>
      <c r="E1998" t="s">
        <v>16</v>
      </c>
      <c r="F1998">
        <v>15</v>
      </c>
      <c r="G1998">
        <v>3799</v>
      </c>
      <c r="H1998">
        <v>56985</v>
      </c>
      <c r="I1998" s="3">
        <v>45309.75</v>
      </c>
      <c r="J1998">
        <v>76</v>
      </c>
      <c r="K1998" s="3">
        <v>45312.75</v>
      </c>
      <c r="L1998" s="4">
        <f>ROUNDDOWN(Table1[[#This Row],[Ordered]],0)</f>
        <v>45309</v>
      </c>
      <c r="M1998" s="4">
        <f>Table1[[#This Row],[Date ]]</f>
        <v>45309</v>
      </c>
      <c r="N1998" s="5">
        <f>Table1[[#This Row],[Ordered]]-Table1[[#This Row],[Date ]]</f>
        <v>0.75</v>
      </c>
      <c r="O1998">
        <f>Table1[[#This Row],[Company]]</f>
        <v>9</v>
      </c>
      <c r="P19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9" spans="1:16" x14ac:dyDescent="0.45">
      <c r="A1999" s="3">
        <v>45309.75</v>
      </c>
      <c r="B1999" t="s">
        <v>14</v>
      </c>
      <c r="C1999">
        <v>8</v>
      </c>
      <c r="D1999">
        <v>1009</v>
      </c>
      <c r="E1999" t="s">
        <v>16</v>
      </c>
      <c r="F1999">
        <v>12</v>
      </c>
      <c r="G1999">
        <v>3836</v>
      </c>
      <c r="H1999">
        <v>46032</v>
      </c>
      <c r="I1999" s="3">
        <v>45312.416666666664</v>
      </c>
      <c r="J1999">
        <v>144</v>
      </c>
      <c r="K1999" s="3">
        <v>45315.416666666664</v>
      </c>
      <c r="L1999" s="4">
        <f>ROUNDDOWN(Table1[[#This Row],[Ordered]],0)</f>
        <v>45309</v>
      </c>
      <c r="M1999" s="4">
        <f>Table1[[#This Row],[Date ]]</f>
        <v>45309</v>
      </c>
      <c r="N1999" s="5">
        <f>Table1[[#This Row],[Ordered]]-Table1[[#This Row],[Date ]]</f>
        <v>0.75</v>
      </c>
      <c r="O1999">
        <f>Table1[[#This Row],[Company]]</f>
        <v>8</v>
      </c>
      <c r="P19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0" spans="1:16" x14ac:dyDescent="0.45">
      <c r="A2000" s="3">
        <v>45309.833333333336</v>
      </c>
      <c r="B2000" t="s">
        <v>14</v>
      </c>
      <c r="C2000">
        <v>14</v>
      </c>
      <c r="D2000">
        <v>1007</v>
      </c>
      <c r="E2000" t="s">
        <v>16</v>
      </c>
      <c r="F2000">
        <v>39</v>
      </c>
      <c r="G2000">
        <v>3750</v>
      </c>
      <c r="H2000">
        <v>146250</v>
      </c>
      <c r="I2000" s="3">
        <v>45309.833333333336</v>
      </c>
      <c r="J2000">
        <v>84</v>
      </c>
      <c r="K2000" s="3">
        <v>45312.833333333336</v>
      </c>
      <c r="L2000" s="4">
        <f>ROUNDDOWN(Table1[[#This Row],[Ordered]],0)</f>
        <v>45309</v>
      </c>
      <c r="M2000" s="4">
        <f>Table1[[#This Row],[Date ]]</f>
        <v>45309</v>
      </c>
      <c r="N2000" s="5">
        <f>Table1[[#This Row],[Ordered]]-Table1[[#This Row],[Date ]]</f>
        <v>0.83333333333575865</v>
      </c>
      <c r="O2000">
        <f>Table1[[#This Row],[Company]]</f>
        <v>14</v>
      </c>
      <c r="P20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1" spans="1:16" x14ac:dyDescent="0.45">
      <c r="A2001" s="3">
        <v>45309.833333333336</v>
      </c>
      <c r="B2001" t="s">
        <v>14</v>
      </c>
      <c r="C2001">
        <v>10</v>
      </c>
      <c r="D2001">
        <v>1007</v>
      </c>
      <c r="E2001" t="s">
        <v>16</v>
      </c>
      <c r="F2001">
        <v>50</v>
      </c>
      <c r="G2001">
        <v>4200</v>
      </c>
      <c r="H2001">
        <v>210000</v>
      </c>
      <c r="I2001" s="3">
        <v>45309.875</v>
      </c>
      <c r="J2001">
        <v>60</v>
      </c>
      <c r="K2001" s="3">
        <v>45311.875</v>
      </c>
      <c r="L2001" s="4">
        <f>ROUNDDOWN(Table1[[#This Row],[Ordered]],0)</f>
        <v>45309</v>
      </c>
      <c r="M2001" s="4">
        <f>Table1[[#This Row],[Date ]]</f>
        <v>45309</v>
      </c>
      <c r="N2001" s="5">
        <f>Table1[[#This Row],[Ordered]]-Table1[[#This Row],[Date ]]</f>
        <v>0.83333333333575865</v>
      </c>
      <c r="O2001">
        <f>Table1[[#This Row],[Company]]</f>
        <v>10</v>
      </c>
      <c r="P20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2" spans="1:16" x14ac:dyDescent="0.45">
      <c r="A2002" s="3">
        <v>45309.833333333336</v>
      </c>
      <c r="B2002" t="s">
        <v>14</v>
      </c>
      <c r="C2002">
        <v>7</v>
      </c>
      <c r="D2002">
        <v>1007</v>
      </c>
      <c r="E2002" t="s">
        <v>16</v>
      </c>
      <c r="F2002">
        <v>41</v>
      </c>
      <c r="G2002">
        <v>3950</v>
      </c>
      <c r="H2002">
        <v>161950</v>
      </c>
      <c r="I2002" s="3">
        <v>45311.166666666664</v>
      </c>
      <c r="J2002">
        <v>96</v>
      </c>
      <c r="K2002" s="3">
        <v>45313.166666666664</v>
      </c>
      <c r="L2002" s="4">
        <f>ROUNDDOWN(Table1[[#This Row],[Ordered]],0)</f>
        <v>45309</v>
      </c>
      <c r="M2002" s="4">
        <f>Table1[[#This Row],[Date ]]</f>
        <v>45309</v>
      </c>
      <c r="N2002" s="5">
        <f>Table1[[#This Row],[Ordered]]-Table1[[#This Row],[Date ]]</f>
        <v>0.83333333333575865</v>
      </c>
      <c r="O2002">
        <f>Table1[[#This Row],[Company]]</f>
        <v>7</v>
      </c>
      <c r="P20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3" spans="1:16" x14ac:dyDescent="0.45">
      <c r="A2003" s="3">
        <v>45309.833333333336</v>
      </c>
      <c r="B2003" t="s">
        <v>14</v>
      </c>
      <c r="C2003">
        <v>11</v>
      </c>
      <c r="D2003">
        <v>1007</v>
      </c>
      <c r="E2003" t="s">
        <v>16</v>
      </c>
      <c r="F2003">
        <v>30</v>
      </c>
      <c r="G2003">
        <v>4000</v>
      </c>
      <c r="H2003">
        <v>120000</v>
      </c>
      <c r="I2003" s="3">
        <v>45311.5</v>
      </c>
      <c r="J2003">
        <v>96</v>
      </c>
      <c r="K2003" s="3">
        <v>45313.5</v>
      </c>
      <c r="L2003" s="4">
        <f>ROUNDDOWN(Table1[[#This Row],[Ordered]],0)</f>
        <v>45309</v>
      </c>
      <c r="M2003" s="4">
        <f>Table1[[#This Row],[Date ]]</f>
        <v>45309</v>
      </c>
      <c r="N2003" s="5">
        <f>Table1[[#This Row],[Ordered]]-Table1[[#This Row],[Date ]]</f>
        <v>0.83333333333575865</v>
      </c>
      <c r="O2003">
        <f>Table1[[#This Row],[Company]]</f>
        <v>11</v>
      </c>
      <c r="P20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4" spans="1:16" x14ac:dyDescent="0.45">
      <c r="A2004" s="3">
        <v>45309.833333333336</v>
      </c>
      <c r="B2004" t="s">
        <v>14</v>
      </c>
      <c r="C2004">
        <v>13</v>
      </c>
      <c r="D2004">
        <v>1007</v>
      </c>
      <c r="E2004" t="s">
        <v>16</v>
      </c>
      <c r="F2004">
        <v>30</v>
      </c>
      <c r="G2004">
        <v>3400</v>
      </c>
      <c r="H2004">
        <v>102000</v>
      </c>
      <c r="I2004" s="3">
        <v>45310.583333333336</v>
      </c>
      <c r="J2004">
        <v>96</v>
      </c>
      <c r="K2004" s="3">
        <v>45313.583333333336</v>
      </c>
      <c r="L2004" s="4">
        <f>ROUNDDOWN(Table1[[#This Row],[Ordered]],0)</f>
        <v>45309</v>
      </c>
      <c r="M2004" s="4">
        <f>Table1[[#This Row],[Date ]]</f>
        <v>45309</v>
      </c>
      <c r="N2004" s="5">
        <f>Table1[[#This Row],[Ordered]]-Table1[[#This Row],[Date ]]</f>
        <v>0.83333333333575865</v>
      </c>
      <c r="O2004">
        <f>Table1[[#This Row],[Company]]</f>
        <v>13</v>
      </c>
      <c r="P20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5" spans="1:16" x14ac:dyDescent="0.45">
      <c r="A2005" s="3">
        <v>45309.833333333336</v>
      </c>
      <c r="B2005" t="s">
        <v>14</v>
      </c>
      <c r="C2005">
        <v>16</v>
      </c>
      <c r="D2005">
        <v>1007</v>
      </c>
      <c r="E2005" t="s">
        <v>16</v>
      </c>
      <c r="F2005">
        <v>30</v>
      </c>
      <c r="G2005">
        <v>3750</v>
      </c>
      <c r="H2005">
        <v>112500</v>
      </c>
      <c r="I2005" s="3">
        <v>45309.958333333336</v>
      </c>
      <c r="J2005">
        <v>96</v>
      </c>
      <c r="K2005" s="3">
        <v>45312.958333333336</v>
      </c>
      <c r="L2005" s="4">
        <f>ROUNDDOWN(Table1[[#This Row],[Ordered]],0)</f>
        <v>45309</v>
      </c>
      <c r="M2005" s="4">
        <f>Table1[[#This Row],[Date ]]</f>
        <v>45309</v>
      </c>
      <c r="N2005" s="5">
        <f>Table1[[#This Row],[Ordered]]-Table1[[#This Row],[Date ]]</f>
        <v>0.83333333333575865</v>
      </c>
      <c r="O2005">
        <f>Table1[[#This Row],[Company]]</f>
        <v>16</v>
      </c>
      <c r="P20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6" spans="1:16" x14ac:dyDescent="0.45">
      <c r="A2006" s="3">
        <v>45309.833333333336</v>
      </c>
      <c r="B2006" t="s">
        <v>14</v>
      </c>
      <c r="C2006">
        <v>9</v>
      </c>
      <c r="D2006">
        <v>1007</v>
      </c>
      <c r="E2006" t="s">
        <v>16</v>
      </c>
      <c r="F2006">
        <v>15</v>
      </c>
      <c r="G2006">
        <v>3799</v>
      </c>
      <c r="H2006">
        <v>56985</v>
      </c>
      <c r="I2006" s="3">
        <v>45309.875</v>
      </c>
      <c r="J2006">
        <v>76</v>
      </c>
      <c r="K2006" s="3">
        <v>45312.916666666664</v>
      </c>
      <c r="L2006" s="4">
        <f>ROUNDDOWN(Table1[[#This Row],[Ordered]],0)</f>
        <v>45309</v>
      </c>
      <c r="M2006" s="4">
        <f>Table1[[#This Row],[Date ]]</f>
        <v>45309</v>
      </c>
      <c r="N2006" s="5">
        <f>Table1[[#This Row],[Ordered]]-Table1[[#This Row],[Date ]]</f>
        <v>0.83333333333575865</v>
      </c>
      <c r="O2006">
        <f>Table1[[#This Row],[Company]]</f>
        <v>9</v>
      </c>
      <c r="P20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7" spans="1:16" x14ac:dyDescent="0.45">
      <c r="A2007" s="3">
        <v>45309.833333333336</v>
      </c>
      <c r="B2007" t="s">
        <v>14</v>
      </c>
      <c r="C2007">
        <v>12</v>
      </c>
      <c r="D2007">
        <v>1007</v>
      </c>
      <c r="E2007" t="s">
        <v>16</v>
      </c>
      <c r="F2007">
        <v>30</v>
      </c>
      <c r="G2007">
        <v>3800</v>
      </c>
      <c r="H2007">
        <v>114000</v>
      </c>
      <c r="I2007" s="3">
        <v>45311.541666666664</v>
      </c>
      <c r="J2007">
        <v>96</v>
      </c>
      <c r="K2007" s="3">
        <v>45313.541666666664</v>
      </c>
      <c r="L2007" s="4">
        <f>ROUNDDOWN(Table1[[#This Row],[Ordered]],0)</f>
        <v>45309</v>
      </c>
      <c r="M2007" s="4">
        <f>Table1[[#This Row],[Date ]]</f>
        <v>45309</v>
      </c>
      <c r="N2007" s="5">
        <f>Table1[[#This Row],[Ordered]]-Table1[[#This Row],[Date ]]</f>
        <v>0.83333333333575865</v>
      </c>
      <c r="O2007">
        <f>Table1[[#This Row],[Company]]</f>
        <v>12</v>
      </c>
      <c r="P20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8" spans="1:16" hidden="1" x14ac:dyDescent="0.45">
      <c r="A2008" s="3">
        <v>45309.833333333336</v>
      </c>
      <c r="B2008" t="s">
        <v>12</v>
      </c>
      <c r="C2008">
        <v>4</v>
      </c>
      <c r="D2008">
        <v>13</v>
      </c>
      <c r="E2008" t="s">
        <v>13</v>
      </c>
      <c r="F2008">
        <v>2000</v>
      </c>
      <c r="G2008">
        <v>110</v>
      </c>
      <c r="H2008">
        <v>220000</v>
      </c>
      <c r="I2008" s="3">
        <v>45310.166666666664</v>
      </c>
      <c r="J2008">
        <v>72</v>
      </c>
      <c r="K2008" s="3">
        <v>45313.166666666664</v>
      </c>
      <c r="L2008" s="4">
        <f>ROUNDDOWN(Table1[[#This Row],[Ordered]],0)</f>
        <v>45309</v>
      </c>
      <c r="M2008" s="4">
        <f>Table1[[#This Row],[Date ]]</f>
        <v>45309</v>
      </c>
      <c r="N2008" s="5">
        <f>Table1[[#This Row],[Ordered]]-Table1[[#This Row],[Date ]]</f>
        <v>0.83333333333575865</v>
      </c>
      <c r="O2008">
        <f>Table1[[#This Row],[Company]]</f>
        <v>4</v>
      </c>
      <c r="P20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9" spans="1:16" x14ac:dyDescent="0.45">
      <c r="A2009" s="3">
        <v>45309.833333333336</v>
      </c>
      <c r="B2009" t="s">
        <v>14</v>
      </c>
      <c r="C2009">
        <v>15</v>
      </c>
      <c r="D2009">
        <v>1007</v>
      </c>
      <c r="E2009" t="s">
        <v>16</v>
      </c>
      <c r="F2009">
        <v>50</v>
      </c>
      <c r="G2009">
        <v>3350</v>
      </c>
      <c r="H2009">
        <v>167500</v>
      </c>
      <c r="I2009" s="3">
        <v>45309.916666666664</v>
      </c>
      <c r="J2009">
        <v>88</v>
      </c>
      <c r="K2009" s="3">
        <v>45312.916666666664</v>
      </c>
      <c r="L2009" s="4">
        <f>ROUNDDOWN(Table1[[#This Row],[Ordered]],0)</f>
        <v>45309</v>
      </c>
      <c r="M2009" s="4">
        <f>Table1[[#This Row],[Date ]]</f>
        <v>45309</v>
      </c>
      <c r="N2009" s="5">
        <f>Table1[[#This Row],[Ordered]]-Table1[[#This Row],[Date ]]</f>
        <v>0.83333333333575865</v>
      </c>
      <c r="O2009">
        <f>Table1[[#This Row],[Company]]</f>
        <v>15</v>
      </c>
      <c r="P20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0" spans="1:16" x14ac:dyDescent="0.45">
      <c r="A2010" s="3">
        <v>45309.833333333336</v>
      </c>
      <c r="B2010" t="s">
        <v>14</v>
      </c>
      <c r="C2010">
        <v>8</v>
      </c>
      <c r="D2010">
        <v>1007</v>
      </c>
      <c r="E2010" t="s">
        <v>16</v>
      </c>
      <c r="F2010">
        <v>31</v>
      </c>
      <c r="G2010">
        <v>3900</v>
      </c>
      <c r="H2010">
        <v>120900</v>
      </c>
      <c r="I2010" s="3">
        <v>45312.833333333336</v>
      </c>
      <c r="J2010">
        <v>156</v>
      </c>
      <c r="K2010" s="3">
        <v>45315.833333333336</v>
      </c>
      <c r="L2010" s="4">
        <f>ROUNDDOWN(Table1[[#This Row],[Ordered]],0)</f>
        <v>45309</v>
      </c>
      <c r="M2010" s="4">
        <f>Table1[[#This Row],[Date ]]</f>
        <v>45309</v>
      </c>
      <c r="N2010" s="5">
        <f>Table1[[#This Row],[Ordered]]-Table1[[#This Row],[Date ]]</f>
        <v>0.83333333333575865</v>
      </c>
      <c r="O2010">
        <f>Table1[[#This Row],[Company]]</f>
        <v>8</v>
      </c>
      <c r="P20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1" spans="1:16" hidden="1" x14ac:dyDescent="0.45">
      <c r="A2011" s="3">
        <v>45309.916666666664</v>
      </c>
      <c r="B2011" t="s">
        <v>12</v>
      </c>
      <c r="C2011">
        <v>4</v>
      </c>
      <c r="D2011">
        <v>11</v>
      </c>
      <c r="E2011" t="s">
        <v>17</v>
      </c>
      <c r="F2011">
        <v>200</v>
      </c>
      <c r="G2011">
        <v>1350</v>
      </c>
      <c r="H2011">
        <v>270000</v>
      </c>
      <c r="I2011" s="3">
        <v>45309.958333333336</v>
      </c>
      <c r="J2011">
        <v>24</v>
      </c>
      <c r="K2011" s="3">
        <v>45310.958333333336</v>
      </c>
      <c r="L2011" s="4">
        <f>ROUNDDOWN(Table1[[#This Row],[Ordered]],0)</f>
        <v>45309</v>
      </c>
      <c r="M2011" s="4">
        <f>Table1[[#This Row],[Date ]]</f>
        <v>45309</v>
      </c>
      <c r="N2011" s="5">
        <f>Table1[[#This Row],[Ordered]]-Table1[[#This Row],[Date ]]</f>
        <v>0.91666666666424135</v>
      </c>
      <c r="O2011">
        <f>Table1[[#This Row],[Company]]</f>
        <v>4</v>
      </c>
      <c r="P20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2" spans="1:16" x14ac:dyDescent="0.45">
      <c r="A2012" s="3">
        <v>45310</v>
      </c>
      <c r="B2012" t="s">
        <v>14</v>
      </c>
      <c r="C2012">
        <v>9</v>
      </c>
      <c r="D2012">
        <v>1010</v>
      </c>
      <c r="E2012" t="s">
        <v>15</v>
      </c>
      <c r="F2012">
        <v>8</v>
      </c>
      <c r="G2012">
        <v>6699</v>
      </c>
      <c r="H2012">
        <v>53592</v>
      </c>
      <c r="I2012" s="3">
        <v>45310</v>
      </c>
      <c r="J2012">
        <v>75</v>
      </c>
      <c r="K2012" s="3">
        <v>45313</v>
      </c>
      <c r="L2012" s="4">
        <f>ROUNDDOWN(Table1[[#This Row],[Ordered]],0)</f>
        <v>45310</v>
      </c>
      <c r="M2012" s="4">
        <f>Table1[[#This Row],[Date ]]</f>
        <v>45310</v>
      </c>
      <c r="N2012" s="5">
        <f>Table1[[#This Row],[Ordered]]-Table1[[#This Row],[Date ]]</f>
        <v>0</v>
      </c>
      <c r="O2012">
        <f>Table1[[#This Row],[Company]]</f>
        <v>9</v>
      </c>
      <c r="P20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3" spans="1:16" hidden="1" x14ac:dyDescent="0.45">
      <c r="A2013" s="3">
        <v>45310</v>
      </c>
      <c r="B2013" t="s">
        <v>12</v>
      </c>
      <c r="C2013">
        <v>2</v>
      </c>
      <c r="D2013">
        <v>10</v>
      </c>
      <c r="E2013" t="s">
        <v>13</v>
      </c>
      <c r="F2013">
        <v>2000</v>
      </c>
      <c r="G2013">
        <v>130</v>
      </c>
      <c r="H2013">
        <v>260000</v>
      </c>
      <c r="I2013" s="3">
        <v>45310.041666666664</v>
      </c>
      <c r="J2013">
        <v>24</v>
      </c>
      <c r="K2013" s="3">
        <v>45311.041666666664</v>
      </c>
      <c r="L2013" s="4">
        <f>ROUNDDOWN(Table1[[#This Row],[Ordered]],0)</f>
        <v>45310</v>
      </c>
      <c r="M2013" s="4">
        <f>Table1[[#This Row],[Date ]]</f>
        <v>45310</v>
      </c>
      <c r="N2013" s="5">
        <f>Table1[[#This Row],[Ordered]]-Table1[[#This Row],[Date ]]</f>
        <v>0</v>
      </c>
      <c r="O2013">
        <f>Table1[[#This Row],[Company]]</f>
        <v>2</v>
      </c>
      <c r="P20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4" spans="1:16" x14ac:dyDescent="0.45">
      <c r="A2014" s="3">
        <v>45310</v>
      </c>
      <c r="B2014" t="s">
        <v>14</v>
      </c>
      <c r="C2014">
        <v>14</v>
      </c>
      <c r="D2014">
        <v>1010</v>
      </c>
      <c r="E2014" t="s">
        <v>15</v>
      </c>
      <c r="F2014">
        <v>6</v>
      </c>
      <c r="G2014">
        <v>6650</v>
      </c>
      <c r="H2014">
        <v>39900</v>
      </c>
      <c r="I2014" s="3">
        <v>45310</v>
      </c>
      <c r="J2014">
        <v>84</v>
      </c>
      <c r="K2014" s="3">
        <v>45313</v>
      </c>
      <c r="L2014" s="4">
        <f>ROUNDDOWN(Table1[[#This Row],[Ordered]],0)</f>
        <v>45310</v>
      </c>
      <c r="M2014" s="4">
        <f>Table1[[#This Row],[Date ]]</f>
        <v>45310</v>
      </c>
      <c r="N2014" s="5">
        <f>Table1[[#This Row],[Ordered]]-Table1[[#This Row],[Date ]]</f>
        <v>0</v>
      </c>
      <c r="O2014">
        <f>Table1[[#This Row],[Company]]</f>
        <v>14</v>
      </c>
      <c r="P20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5" spans="1:16" x14ac:dyDescent="0.45">
      <c r="A2015" s="3">
        <v>45310</v>
      </c>
      <c r="B2015" t="s">
        <v>14</v>
      </c>
      <c r="C2015">
        <v>16</v>
      </c>
      <c r="D2015">
        <v>1010</v>
      </c>
      <c r="E2015" t="s">
        <v>15</v>
      </c>
      <c r="F2015">
        <v>11</v>
      </c>
      <c r="G2015">
        <v>6050</v>
      </c>
      <c r="H2015">
        <v>66550</v>
      </c>
      <c r="I2015" s="3">
        <v>45310.375</v>
      </c>
      <c r="J2015">
        <v>96</v>
      </c>
      <c r="K2015" s="3">
        <v>45313.375</v>
      </c>
      <c r="L2015" s="4">
        <f>ROUNDDOWN(Table1[[#This Row],[Ordered]],0)</f>
        <v>45310</v>
      </c>
      <c r="M2015" s="4">
        <f>Table1[[#This Row],[Date ]]</f>
        <v>45310</v>
      </c>
      <c r="N2015" s="5">
        <f>Table1[[#This Row],[Ordered]]-Table1[[#This Row],[Date ]]</f>
        <v>0</v>
      </c>
      <c r="O2015">
        <f>Table1[[#This Row],[Company]]</f>
        <v>16</v>
      </c>
      <c r="P20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6" spans="1:16" x14ac:dyDescent="0.45">
      <c r="A2016" s="3">
        <v>45310</v>
      </c>
      <c r="B2016" t="s">
        <v>14</v>
      </c>
      <c r="C2016">
        <v>15</v>
      </c>
      <c r="D2016">
        <v>1010</v>
      </c>
      <c r="E2016" t="s">
        <v>15</v>
      </c>
      <c r="F2016">
        <v>14</v>
      </c>
      <c r="G2016">
        <v>6350</v>
      </c>
      <c r="H2016">
        <v>88900</v>
      </c>
      <c r="I2016" s="3">
        <v>45310.083333333336</v>
      </c>
      <c r="J2016">
        <v>64</v>
      </c>
      <c r="K2016" s="3">
        <v>45312.083333333336</v>
      </c>
      <c r="L2016" s="4">
        <f>ROUNDDOWN(Table1[[#This Row],[Ordered]],0)</f>
        <v>45310</v>
      </c>
      <c r="M2016" s="4">
        <f>Table1[[#This Row],[Date ]]</f>
        <v>45310</v>
      </c>
      <c r="N2016" s="5">
        <f>Table1[[#This Row],[Ordered]]-Table1[[#This Row],[Date ]]</f>
        <v>0</v>
      </c>
      <c r="O2016">
        <f>Table1[[#This Row],[Company]]</f>
        <v>15</v>
      </c>
      <c r="P20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7" spans="1:16" hidden="1" x14ac:dyDescent="0.45">
      <c r="A2017" s="3">
        <v>45310</v>
      </c>
      <c r="B2017" t="s">
        <v>12</v>
      </c>
      <c r="C2017">
        <v>1</v>
      </c>
      <c r="D2017">
        <v>10</v>
      </c>
      <c r="E2017" t="s">
        <v>17</v>
      </c>
      <c r="F2017">
        <v>300</v>
      </c>
      <c r="G2017">
        <v>1500</v>
      </c>
      <c r="H2017">
        <v>450000</v>
      </c>
      <c r="I2017" s="3">
        <v>45310.208333333336</v>
      </c>
      <c r="J2017">
        <v>24</v>
      </c>
      <c r="K2017" s="3">
        <v>45311.208333333336</v>
      </c>
      <c r="L2017" s="4">
        <f>ROUNDDOWN(Table1[[#This Row],[Ordered]],0)</f>
        <v>45310</v>
      </c>
      <c r="M2017" s="4">
        <f>Table1[[#This Row],[Date ]]</f>
        <v>45310</v>
      </c>
      <c r="N2017" s="5">
        <f>Table1[[#This Row],[Ordered]]-Table1[[#This Row],[Date ]]</f>
        <v>0</v>
      </c>
      <c r="O2017">
        <f>Table1[[#This Row],[Company]]</f>
        <v>1</v>
      </c>
      <c r="P20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8" spans="1:16" x14ac:dyDescent="0.45">
      <c r="A2018" s="3">
        <v>45310</v>
      </c>
      <c r="B2018" t="s">
        <v>14</v>
      </c>
      <c r="C2018">
        <v>12</v>
      </c>
      <c r="D2018">
        <v>1010</v>
      </c>
      <c r="E2018" t="s">
        <v>15</v>
      </c>
      <c r="F2018">
        <v>9</v>
      </c>
      <c r="G2018">
        <v>6700</v>
      </c>
      <c r="H2018">
        <v>60300</v>
      </c>
      <c r="I2018" s="3">
        <v>45310.583333333336</v>
      </c>
      <c r="J2018">
        <v>96</v>
      </c>
      <c r="K2018" s="3">
        <v>45313.583333333336</v>
      </c>
      <c r="L2018" s="4">
        <f>ROUNDDOWN(Table1[[#This Row],[Ordered]],0)</f>
        <v>45310</v>
      </c>
      <c r="M2018" s="4">
        <f>Table1[[#This Row],[Date ]]</f>
        <v>45310</v>
      </c>
      <c r="N2018" s="5">
        <f>Table1[[#This Row],[Ordered]]-Table1[[#This Row],[Date ]]</f>
        <v>0</v>
      </c>
      <c r="O2018">
        <f>Table1[[#This Row],[Company]]</f>
        <v>12</v>
      </c>
      <c r="P20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9" spans="1:16" x14ac:dyDescent="0.45">
      <c r="A2019" s="3">
        <v>45310</v>
      </c>
      <c r="B2019" t="s">
        <v>14</v>
      </c>
      <c r="C2019">
        <v>7</v>
      </c>
      <c r="D2019">
        <v>1010</v>
      </c>
      <c r="E2019" t="s">
        <v>15</v>
      </c>
      <c r="F2019">
        <v>5</v>
      </c>
      <c r="G2019">
        <v>7050</v>
      </c>
      <c r="H2019">
        <v>35250</v>
      </c>
      <c r="I2019" s="3">
        <v>45311.208333333336</v>
      </c>
      <c r="J2019">
        <v>96</v>
      </c>
      <c r="K2019" s="3">
        <v>45313.208333333336</v>
      </c>
      <c r="L2019" s="4">
        <f>ROUNDDOWN(Table1[[#This Row],[Ordered]],0)</f>
        <v>45310</v>
      </c>
      <c r="M2019" s="4">
        <f>Table1[[#This Row],[Date ]]</f>
        <v>45310</v>
      </c>
      <c r="N2019" s="5">
        <f>Table1[[#This Row],[Ordered]]-Table1[[#This Row],[Date ]]</f>
        <v>0</v>
      </c>
      <c r="O2019">
        <f>Table1[[#This Row],[Company]]</f>
        <v>7</v>
      </c>
      <c r="P20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0" spans="1:16" x14ac:dyDescent="0.45">
      <c r="A2020" s="3">
        <v>45310</v>
      </c>
      <c r="B2020" t="s">
        <v>14</v>
      </c>
      <c r="C2020">
        <v>13</v>
      </c>
      <c r="D2020">
        <v>1010</v>
      </c>
      <c r="E2020" t="s">
        <v>15</v>
      </c>
      <c r="F2020">
        <v>12</v>
      </c>
      <c r="G2020">
        <v>6300</v>
      </c>
      <c r="H2020">
        <v>75600</v>
      </c>
      <c r="I2020" s="3">
        <v>45311.666666666664</v>
      </c>
      <c r="J2020">
        <v>96</v>
      </c>
      <c r="K2020" s="3">
        <v>45313.666666666664</v>
      </c>
      <c r="L2020" s="4">
        <f>ROUNDDOWN(Table1[[#This Row],[Ordered]],0)</f>
        <v>45310</v>
      </c>
      <c r="M2020" s="4">
        <f>Table1[[#This Row],[Date ]]</f>
        <v>45310</v>
      </c>
      <c r="N2020" s="5">
        <f>Table1[[#This Row],[Ordered]]-Table1[[#This Row],[Date ]]</f>
        <v>0</v>
      </c>
      <c r="O2020">
        <f>Table1[[#This Row],[Company]]</f>
        <v>13</v>
      </c>
      <c r="P20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1" spans="1:16" hidden="1" x14ac:dyDescent="0.45">
      <c r="A2021" s="3">
        <v>45310.041666666664</v>
      </c>
      <c r="B2021" t="s">
        <v>12</v>
      </c>
      <c r="C2021">
        <v>4</v>
      </c>
      <c r="D2021">
        <v>13</v>
      </c>
      <c r="E2021" t="s">
        <v>17</v>
      </c>
      <c r="F2021">
        <v>203</v>
      </c>
      <c r="G2021">
        <v>1350</v>
      </c>
      <c r="H2021">
        <v>274050</v>
      </c>
      <c r="I2021" s="3">
        <v>45310.125</v>
      </c>
      <c r="J2021">
        <v>24</v>
      </c>
      <c r="K2021" s="3">
        <v>45311.125</v>
      </c>
      <c r="L2021" s="4">
        <f>ROUNDDOWN(Table1[[#This Row],[Ordered]],0)</f>
        <v>45310</v>
      </c>
      <c r="M2021" s="4">
        <f>Table1[[#This Row],[Date ]]</f>
        <v>45310</v>
      </c>
      <c r="N2021" s="5">
        <f>Table1[[#This Row],[Ordered]]-Table1[[#This Row],[Date ]]</f>
        <v>4.1666666664241347E-2</v>
      </c>
      <c r="O2021">
        <f>Table1[[#This Row],[Company]]</f>
        <v>4</v>
      </c>
      <c r="P20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2" spans="1:16" hidden="1" x14ac:dyDescent="0.45">
      <c r="A2022" s="3">
        <v>45310.041666666664</v>
      </c>
      <c r="B2022" t="s">
        <v>12</v>
      </c>
      <c r="C2022">
        <v>2</v>
      </c>
      <c r="D2022">
        <v>8</v>
      </c>
      <c r="E2022" t="s">
        <v>17</v>
      </c>
      <c r="F2022">
        <v>400</v>
      </c>
      <c r="G2022">
        <v>1700</v>
      </c>
      <c r="H2022">
        <v>680000</v>
      </c>
      <c r="I2022" s="3">
        <v>45310.041666666664</v>
      </c>
      <c r="J2022">
        <v>48</v>
      </c>
      <c r="K2022" s="3">
        <v>45312.041666666664</v>
      </c>
      <c r="L2022" s="4">
        <f>ROUNDDOWN(Table1[[#This Row],[Ordered]],0)</f>
        <v>45310</v>
      </c>
      <c r="M2022" s="4">
        <f>Table1[[#This Row],[Date ]]</f>
        <v>45310</v>
      </c>
      <c r="N2022" s="5">
        <f>Table1[[#This Row],[Ordered]]-Table1[[#This Row],[Date ]]</f>
        <v>4.1666666664241347E-2</v>
      </c>
      <c r="O2022">
        <f>Table1[[#This Row],[Company]]</f>
        <v>2</v>
      </c>
      <c r="P20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3" spans="1:16" x14ac:dyDescent="0.45">
      <c r="A2023" s="3">
        <v>45310.166666666664</v>
      </c>
      <c r="B2023" t="s">
        <v>0</v>
      </c>
      <c r="C2023">
        <v>13</v>
      </c>
      <c r="D2023">
        <v>2007</v>
      </c>
      <c r="E2023" t="s">
        <v>16</v>
      </c>
      <c r="F2023">
        <v>30</v>
      </c>
      <c r="G2023">
        <v>3300</v>
      </c>
      <c r="H2023">
        <v>99000</v>
      </c>
      <c r="I2023" s="3">
        <v>45310.958333333336</v>
      </c>
      <c r="J2023">
        <v>132</v>
      </c>
      <c r="K2023" s="3">
        <v>45315.458333333336</v>
      </c>
      <c r="L2023" s="4">
        <f>ROUNDDOWN(Table1[[#This Row],[Ordered]],0)</f>
        <v>45310</v>
      </c>
      <c r="M2023" s="4">
        <f>Table1[[#This Row],[Date ]]</f>
        <v>45310</v>
      </c>
      <c r="N2023" s="5">
        <f>Table1[[#This Row],[Ordered]]-Table1[[#This Row],[Date ]]</f>
        <v>0.16666666666424135</v>
      </c>
      <c r="O2023">
        <f>Table1[[#This Row],[Company]]</f>
        <v>13</v>
      </c>
      <c r="P20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4" spans="1:16" x14ac:dyDescent="0.45">
      <c r="A2024" s="3">
        <v>45310.166666666664</v>
      </c>
      <c r="B2024" t="s">
        <v>0</v>
      </c>
      <c r="C2024">
        <v>7</v>
      </c>
      <c r="D2024">
        <v>2007</v>
      </c>
      <c r="E2024" t="s">
        <v>16</v>
      </c>
      <c r="F2024">
        <v>36</v>
      </c>
      <c r="G2024">
        <v>3800</v>
      </c>
      <c r="H2024">
        <v>136800</v>
      </c>
      <c r="I2024" s="3">
        <v>45311.875</v>
      </c>
      <c r="J2024">
        <v>132</v>
      </c>
      <c r="K2024" s="3">
        <v>45314.875</v>
      </c>
      <c r="L2024" s="4">
        <f>ROUNDDOWN(Table1[[#This Row],[Ordered]],0)</f>
        <v>45310</v>
      </c>
      <c r="M2024" s="4">
        <f>Table1[[#This Row],[Date ]]</f>
        <v>45310</v>
      </c>
      <c r="N2024" s="5">
        <f>Table1[[#This Row],[Ordered]]-Table1[[#This Row],[Date ]]</f>
        <v>0.16666666666424135</v>
      </c>
      <c r="O2024">
        <f>Table1[[#This Row],[Company]]</f>
        <v>7</v>
      </c>
      <c r="P20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5" spans="1:16" x14ac:dyDescent="0.45">
      <c r="A2025" s="3">
        <v>45310.166666666664</v>
      </c>
      <c r="B2025" t="s">
        <v>0</v>
      </c>
      <c r="C2025">
        <v>7</v>
      </c>
      <c r="D2025">
        <v>2007</v>
      </c>
      <c r="E2025" t="s">
        <v>15</v>
      </c>
      <c r="F2025">
        <v>10</v>
      </c>
      <c r="G2025">
        <v>7000</v>
      </c>
      <c r="H2025">
        <v>70000</v>
      </c>
      <c r="I2025" s="3">
        <v>45311.75</v>
      </c>
      <c r="J2025">
        <v>132</v>
      </c>
      <c r="K2025" s="3">
        <v>45314.75</v>
      </c>
      <c r="L2025" s="4">
        <f>ROUNDDOWN(Table1[[#This Row],[Ordered]],0)</f>
        <v>45310</v>
      </c>
      <c r="M2025" s="4">
        <f>Table1[[#This Row],[Date ]]</f>
        <v>45310</v>
      </c>
      <c r="N2025" s="5">
        <f>Table1[[#This Row],[Ordered]]-Table1[[#This Row],[Date ]]</f>
        <v>0.16666666666424135</v>
      </c>
      <c r="O2025">
        <f>Table1[[#This Row],[Company]]</f>
        <v>7</v>
      </c>
      <c r="P20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6" spans="1:16" x14ac:dyDescent="0.45">
      <c r="A2026" s="3">
        <v>45310.166666666664</v>
      </c>
      <c r="B2026" t="s">
        <v>0</v>
      </c>
      <c r="C2026">
        <v>11</v>
      </c>
      <c r="D2026">
        <v>2007</v>
      </c>
      <c r="E2026" t="s">
        <v>16</v>
      </c>
      <c r="F2026">
        <v>40</v>
      </c>
      <c r="G2026">
        <v>4000</v>
      </c>
      <c r="H2026">
        <v>160000</v>
      </c>
      <c r="I2026" s="3">
        <v>45312.375</v>
      </c>
      <c r="J2026">
        <v>132</v>
      </c>
      <c r="K2026" s="3">
        <v>45315.458333333336</v>
      </c>
      <c r="L2026" s="4">
        <f>ROUNDDOWN(Table1[[#This Row],[Ordered]],0)</f>
        <v>45310</v>
      </c>
      <c r="M2026" s="4">
        <f>Table1[[#This Row],[Date ]]</f>
        <v>45310</v>
      </c>
      <c r="N2026" s="5">
        <f>Table1[[#This Row],[Ordered]]-Table1[[#This Row],[Date ]]</f>
        <v>0.16666666666424135</v>
      </c>
      <c r="O2026">
        <f>Table1[[#This Row],[Company]]</f>
        <v>11</v>
      </c>
      <c r="P20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7" spans="1:16" x14ac:dyDescent="0.45">
      <c r="A2027" s="3">
        <v>45310.166666666664</v>
      </c>
      <c r="B2027" t="s">
        <v>0</v>
      </c>
      <c r="C2027">
        <v>14</v>
      </c>
      <c r="D2027">
        <v>2007</v>
      </c>
      <c r="E2027" t="s">
        <v>15</v>
      </c>
      <c r="F2027">
        <v>11</v>
      </c>
      <c r="G2027">
        <v>6650</v>
      </c>
      <c r="H2027">
        <v>73150</v>
      </c>
      <c r="I2027" s="3">
        <v>45310.166666666664</v>
      </c>
      <c r="J2027">
        <v>120</v>
      </c>
      <c r="K2027" s="3">
        <v>45314.666666666664</v>
      </c>
      <c r="L2027" s="4">
        <f>ROUNDDOWN(Table1[[#This Row],[Ordered]],0)</f>
        <v>45310</v>
      </c>
      <c r="M2027" s="4">
        <f>Table1[[#This Row],[Date ]]</f>
        <v>45310</v>
      </c>
      <c r="N2027" s="5">
        <f>Table1[[#This Row],[Ordered]]-Table1[[#This Row],[Date ]]</f>
        <v>0.16666666666424135</v>
      </c>
      <c r="O2027">
        <f>Table1[[#This Row],[Company]]</f>
        <v>14</v>
      </c>
      <c r="P20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8" spans="1:16" x14ac:dyDescent="0.45">
      <c r="A2028" s="3">
        <v>45310.166666666664</v>
      </c>
      <c r="B2028" t="s">
        <v>0</v>
      </c>
      <c r="C2028">
        <v>11</v>
      </c>
      <c r="D2028">
        <v>2007</v>
      </c>
      <c r="E2028" t="s">
        <v>15</v>
      </c>
      <c r="F2028">
        <v>10</v>
      </c>
      <c r="G2028">
        <v>6800</v>
      </c>
      <c r="H2028">
        <v>68000</v>
      </c>
      <c r="I2028" s="3">
        <v>45310.25</v>
      </c>
      <c r="J2028">
        <v>84</v>
      </c>
      <c r="K2028" s="3">
        <v>45313.25</v>
      </c>
      <c r="L2028" s="4">
        <f>ROUNDDOWN(Table1[[#This Row],[Ordered]],0)</f>
        <v>45310</v>
      </c>
      <c r="M2028" s="4">
        <f>Table1[[#This Row],[Date ]]</f>
        <v>45310</v>
      </c>
      <c r="N2028" s="5">
        <f>Table1[[#This Row],[Ordered]]-Table1[[#This Row],[Date ]]</f>
        <v>0.16666666666424135</v>
      </c>
      <c r="O2028">
        <f>Table1[[#This Row],[Company]]</f>
        <v>11</v>
      </c>
      <c r="P20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9" spans="1:16" x14ac:dyDescent="0.45">
      <c r="A2029" s="3">
        <v>45310.166666666664</v>
      </c>
      <c r="B2029" t="s">
        <v>0</v>
      </c>
      <c r="C2029">
        <v>16</v>
      </c>
      <c r="D2029">
        <v>2007</v>
      </c>
      <c r="E2029" t="s">
        <v>15</v>
      </c>
      <c r="F2029">
        <v>25</v>
      </c>
      <c r="G2029">
        <v>6050</v>
      </c>
      <c r="H2029">
        <v>151250</v>
      </c>
      <c r="I2029" s="3">
        <v>45310.416666666664</v>
      </c>
      <c r="J2029">
        <v>132</v>
      </c>
      <c r="K2029" s="3">
        <v>45314.916666666664</v>
      </c>
      <c r="L2029" s="4">
        <f>ROUNDDOWN(Table1[[#This Row],[Ordered]],0)</f>
        <v>45310</v>
      </c>
      <c r="M2029" s="4">
        <f>Table1[[#This Row],[Date ]]</f>
        <v>45310</v>
      </c>
      <c r="N2029" s="5">
        <f>Table1[[#This Row],[Ordered]]-Table1[[#This Row],[Date ]]</f>
        <v>0.16666666666424135</v>
      </c>
      <c r="O2029">
        <f>Table1[[#This Row],[Company]]</f>
        <v>16</v>
      </c>
      <c r="P20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0" spans="1:16" x14ac:dyDescent="0.45">
      <c r="A2030" s="3">
        <v>45310.166666666664</v>
      </c>
      <c r="B2030" t="s">
        <v>0</v>
      </c>
      <c r="C2030">
        <v>14</v>
      </c>
      <c r="D2030">
        <v>2007</v>
      </c>
      <c r="E2030" t="s">
        <v>16</v>
      </c>
      <c r="F2030">
        <v>36</v>
      </c>
      <c r="G2030">
        <v>3750</v>
      </c>
      <c r="H2030">
        <v>135000</v>
      </c>
      <c r="I2030" s="3">
        <v>45310.166666666664</v>
      </c>
      <c r="J2030">
        <v>120</v>
      </c>
      <c r="K2030" s="3">
        <v>45314.666666666664</v>
      </c>
      <c r="L2030" s="4">
        <f>ROUNDDOWN(Table1[[#This Row],[Ordered]],0)</f>
        <v>45310</v>
      </c>
      <c r="M2030" s="4">
        <f>Table1[[#This Row],[Date ]]</f>
        <v>45310</v>
      </c>
      <c r="N2030" s="5">
        <f>Table1[[#This Row],[Ordered]]-Table1[[#This Row],[Date ]]</f>
        <v>0.16666666666424135</v>
      </c>
      <c r="O2030">
        <f>Table1[[#This Row],[Company]]</f>
        <v>14</v>
      </c>
      <c r="P20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1" spans="1:16" x14ac:dyDescent="0.45">
      <c r="A2031" s="3">
        <v>45310.166666666664</v>
      </c>
      <c r="B2031" t="s">
        <v>0</v>
      </c>
      <c r="C2031">
        <v>13</v>
      </c>
      <c r="D2031">
        <v>2007</v>
      </c>
      <c r="E2031" t="s">
        <v>15</v>
      </c>
      <c r="F2031">
        <v>22</v>
      </c>
      <c r="G2031">
        <v>6300</v>
      </c>
      <c r="H2031">
        <v>138600</v>
      </c>
      <c r="I2031" s="3">
        <v>45312.333333333336</v>
      </c>
      <c r="J2031">
        <v>132</v>
      </c>
      <c r="K2031" s="3">
        <v>45315.333333333336</v>
      </c>
      <c r="L2031" s="4">
        <f>ROUNDDOWN(Table1[[#This Row],[Ordered]],0)</f>
        <v>45310</v>
      </c>
      <c r="M2031" s="4">
        <f>Table1[[#This Row],[Date ]]</f>
        <v>45310</v>
      </c>
      <c r="N2031" s="5">
        <f>Table1[[#This Row],[Ordered]]-Table1[[#This Row],[Date ]]</f>
        <v>0.16666666666424135</v>
      </c>
      <c r="O2031">
        <f>Table1[[#This Row],[Company]]</f>
        <v>13</v>
      </c>
      <c r="P20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2" spans="1:16" x14ac:dyDescent="0.45">
      <c r="A2032" s="3">
        <v>45310.166666666664</v>
      </c>
      <c r="B2032" t="s">
        <v>0</v>
      </c>
      <c r="C2032">
        <v>9</v>
      </c>
      <c r="D2032">
        <v>2007</v>
      </c>
      <c r="E2032" t="s">
        <v>16</v>
      </c>
      <c r="F2032">
        <v>30</v>
      </c>
      <c r="G2032">
        <v>3799</v>
      </c>
      <c r="H2032">
        <v>113970</v>
      </c>
      <c r="I2032" s="3">
        <v>45310.166666666664</v>
      </c>
      <c r="J2032">
        <v>112</v>
      </c>
      <c r="K2032" s="3">
        <v>45314.666666666664</v>
      </c>
      <c r="L2032" s="4">
        <f>ROUNDDOWN(Table1[[#This Row],[Ordered]],0)</f>
        <v>45310</v>
      </c>
      <c r="M2032" s="4">
        <f>Table1[[#This Row],[Date ]]</f>
        <v>45310</v>
      </c>
      <c r="N2032" s="5">
        <f>Table1[[#This Row],[Ordered]]-Table1[[#This Row],[Date ]]</f>
        <v>0.16666666666424135</v>
      </c>
      <c r="O2032">
        <f>Table1[[#This Row],[Company]]</f>
        <v>9</v>
      </c>
      <c r="P20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3" spans="1:16" x14ac:dyDescent="0.45">
      <c r="A2033" s="3">
        <v>45310.166666666664</v>
      </c>
      <c r="B2033" t="s">
        <v>0</v>
      </c>
      <c r="C2033">
        <v>8</v>
      </c>
      <c r="D2033">
        <v>2007</v>
      </c>
      <c r="E2033" t="s">
        <v>16</v>
      </c>
      <c r="F2033">
        <v>30</v>
      </c>
      <c r="G2033">
        <v>3889</v>
      </c>
      <c r="H2033">
        <v>116670</v>
      </c>
      <c r="I2033" s="3">
        <v>45311.958333333336</v>
      </c>
      <c r="J2033">
        <v>156</v>
      </c>
      <c r="K2033" s="3">
        <v>45316.458333333336</v>
      </c>
      <c r="L2033" s="4">
        <f>ROUNDDOWN(Table1[[#This Row],[Ordered]],0)</f>
        <v>45310</v>
      </c>
      <c r="M2033" s="4">
        <f>Table1[[#This Row],[Date ]]</f>
        <v>45310</v>
      </c>
      <c r="N2033" s="5">
        <f>Table1[[#This Row],[Ordered]]-Table1[[#This Row],[Date ]]</f>
        <v>0.16666666666424135</v>
      </c>
      <c r="O2033">
        <f>Table1[[#This Row],[Company]]</f>
        <v>8</v>
      </c>
      <c r="P20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4" spans="1:16" x14ac:dyDescent="0.45">
      <c r="A2034" s="3">
        <v>45310.166666666664</v>
      </c>
      <c r="B2034" t="s">
        <v>0</v>
      </c>
      <c r="C2034">
        <v>10</v>
      </c>
      <c r="D2034">
        <v>2007</v>
      </c>
      <c r="E2034" t="s">
        <v>16</v>
      </c>
      <c r="F2034">
        <v>47</v>
      </c>
      <c r="G2034">
        <v>4200</v>
      </c>
      <c r="H2034">
        <v>197400</v>
      </c>
      <c r="I2034" s="3">
        <v>45310.166666666664</v>
      </c>
      <c r="J2034">
        <v>114</v>
      </c>
      <c r="K2034" s="3">
        <v>45314.666666666664</v>
      </c>
      <c r="L2034" s="4">
        <f>ROUNDDOWN(Table1[[#This Row],[Ordered]],0)</f>
        <v>45310</v>
      </c>
      <c r="M2034" s="4">
        <f>Table1[[#This Row],[Date ]]</f>
        <v>45310</v>
      </c>
      <c r="N2034" s="5">
        <f>Table1[[#This Row],[Ordered]]-Table1[[#This Row],[Date ]]</f>
        <v>0.16666666666424135</v>
      </c>
      <c r="O2034">
        <f>Table1[[#This Row],[Company]]</f>
        <v>10</v>
      </c>
      <c r="P20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5" spans="1:16" x14ac:dyDescent="0.45">
      <c r="A2035" s="3">
        <v>45310.166666666664</v>
      </c>
      <c r="B2035" t="s">
        <v>0</v>
      </c>
      <c r="C2035">
        <v>15</v>
      </c>
      <c r="D2035">
        <v>2007</v>
      </c>
      <c r="E2035" t="s">
        <v>16</v>
      </c>
      <c r="F2035">
        <v>45</v>
      </c>
      <c r="G2035">
        <v>4050</v>
      </c>
      <c r="H2035">
        <v>182250</v>
      </c>
      <c r="I2035" s="3">
        <v>45310.166666666664</v>
      </c>
      <c r="J2035">
        <v>48</v>
      </c>
      <c r="K2035" s="3">
        <v>45311.666666666664</v>
      </c>
      <c r="L2035" s="4">
        <f>ROUNDDOWN(Table1[[#This Row],[Ordered]],0)</f>
        <v>45310</v>
      </c>
      <c r="M2035" s="4">
        <f>Table1[[#This Row],[Date ]]</f>
        <v>45310</v>
      </c>
      <c r="N2035" s="5">
        <f>Table1[[#This Row],[Ordered]]-Table1[[#This Row],[Date ]]</f>
        <v>0.16666666666424135</v>
      </c>
      <c r="O2035">
        <f>Table1[[#This Row],[Company]]</f>
        <v>15</v>
      </c>
      <c r="P20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6" spans="1:16" x14ac:dyDescent="0.45">
      <c r="A2036" s="3">
        <v>45310.166666666664</v>
      </c>
      <c r="B2036" t="s">
        <v>0</v>
      </c>
      <c r="C2036">
        <v>9</v>
      </c>
      <c r="D2036">
        <v>2007</v>
      </c>
      <c r="E2036" t="s">
        <v>15</v>
      </c>
      <c r="F2036">
        <v>15</v>
      </c>
      <c r="G2036">
        <v>6699</v>
      </c>
      <c r="H2036">
        <v>100485</v>
      </c>
      <c r="I2036" s="3">
        <v>45310.291666666664</v>
      </c>
      <c r="J2036">
        <v>119</v>
      </c>
      <c r="K2036" s="3">
        <v>45314.791666666664</v>
      </c>
      <c r="L2036" s="4">
        <f>ROUNDDOWN(Table1[[#This Row],[Ordered]],0)</f>
        <v>45310</v>
      </c>
      <c r="M2036" s="4">
        <f>Table1[[#This Row],[Date ]]</f>
        <v>45310</v>
      </c>
      <c r="N2036" s="5">
        <f>Table1[[#This Row],[Ordered]]-Table1[[#This Row],[Date ]]</f>
        <v>0.16666666666424135</v>
      </c>
      <c r="O2036">
        <f>Table1[[#This Row],[Company]]</f>
        <v>9</v>
      </c>
      <c r="P20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7" spans="1:16" x14ac:dyDescent="0.45">
      <c r="A2037" s="3">
        <v>45310.166666666664</v>
      </c>
      <c r="B2037" t="s">
        <v>0</v>
      </c>
      <c r="C2037">
        <v>15</v>
      </c>
      <c r="D2037">
        <v>2007</v>
      </c>
      <c r="E2037" t="s">
        <v>15</v>
      </c>
      <c r="F2037">
        <v>29</v>
      </c>
      <c r="G2037">
        <v>6300</v>
      </c>
      <c r="H2037">
        <v>182700</v>
      </c>
      <c r="I2037" s="3">
        <v>45310.166666666664</v>
      </c>
      <c r="J2037">
        <v>48</v>
      </c>
      <c r="K2037" s="3">
        <v>45311.666666666664</v>
      </c>
      <c r="L2037" s="4">
        <f>ROUNDDOWN(Table1[[#This Row],[Ordered]],0)</f>
        <v>45310</v>
      </c>
      <c r="M2037" s="4">
        <f>Table1[[#This Row],[Date ]]</f>
        <v>45310</v>
      </c>
      <c r="N2037" s="5">
        <f>Table1[[#This Row],[Ordered]]-Table1[[#This Row],[Date ]]</f>
        <v>0.16666666666424135</v>
      </c>
      <c r="O2037">
        <f>Table1[[#This Row],[Company]]</f>
        <v>15</v>
      </c>
      <c r="P20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8" spans="1:16" x14ac:dyDescent="0.45">
      <c r="A2038" s="3">
        <v>45310.166666666664</v>
      </c>
      <c r="B2038" t="s">
        <v>0</v>
      </c>
      <c r="C2038">
        <v>12</v>
      </c>
      <c r="D2038">
        <v>2007</v>
      </c>
      <c r="E2038" t="s">
        <v>15</v>
      </c>
      <c r="F2038">
        <v>14</v>
      </c>
      <c r="G2038">
        <v>6750</v>
      </c>
      <c r="H2038">
        <v>94500</v>
      </c>
      <c r="I2038" s="3">
        <v>45310.75</v>
      </c>
      <c r="J2038">
        <v>120</v>
      </c>
      <c r="K2038" s="3">
        <v>45315.25</v>
      </c>
      <c r="L2038" s="4">
        <f>ROUNDDOWN(Table1[[#This Row],[Ordered]],0)</f>
        <v>45310</v>
      </c>
      <c r="M2038" s="4">
        <f>Table1[[#This Row],[Date ]]</f>
        <v>45310</v>
      </c>
      <c r="N2038" s="5">
        <f>Table1[[#This Row],[Ordered]]-Table1[[#This Row],[Date ]]</f>
        <v>0.16666666666424135</v>
      </c>
      <c r="O2038">
        <f>Table1[[#This Row],[Company]]</f>
        <v>12</v>
      </c>
      <c r="P20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9" spans="1:16" x14ac:dyDescent="0.45">
      <c r="A2039" s="3">
        <v>45310.166666666664</v>
      </c>
      <c r="B2039" t="s">
        <v>0</v>
      </c>
      <c r="C2039">
        <v>16</v>
      </c>
      <c r="D2039">
        <v>2007</v>
      </c>
      <c r="E2039" t="s">
        <v>16</v>
      </c>
      <c r="F2039">
        <v>30</v>
      </c>
      <c r="G2039">
        <v>3750</v>
      </c>
      <c r="H2039">
        <v>112500</v>
      </c>
      <c r="I2039" s="3">
        <v>45310.416666666664</v>
      </c>
      <c r="J2039">
        <v>132</v>
      </c>
      <c r="K2039" s="3">
        <v>45314.916666666664</v>
      </c>
      <c r="L2039" s="4">
        <f>ROUNDDOWN(Table1[[#This Row],[Ordered]],0)</f>
        <v>45310</v>
      </c>
      <c r="M2039" s="4">
        <f>Table1[[#This Row],[Date ]]</f>
        <v>45310</v>
      </c>
      <c r="N2039" s="5">
        <f>Table1[[#This Row],[Ordered]]-Table1[[#This Row],[Date ]]</f>
        <v>0.16666666666424135</v>
      </c>
      <c r="O2039">
        <f>Table1[[#This Row],[Company]]</f>
        <v>16</v>
      </c>
      <c r="P20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0" spans="1:16" x14ac:dyDescent="0.45">
      <c r="A2040" s="3">
        <v>45310.166666666664</v>
      </c>
      <c r="B2040" t="s">
        <v>0</v>
      </c>
      <c r="C2040">
        <v>12</v>
      </c>
      <c r="D2040">
        <v>2007</v>
      </c>
      <c r="E2040" t="s">
        <v>16</v>
      </c>
      <c r="F2040">
        <v>30</v>
      </c>
      <c r="G2040">
        <v>3800</v>
      </c>
      <c r="H2040">
        <v>114000</v>
      </c>
      <c r="I2040" s="3">
        <v>45311.541666666664</v>
      </c>
      <c r="J2040">
        <v>120</v>
      </c>
      <c r="K2040" s="3">
        <v>45314.583333333336</v>
      </c>
      <c r="L2040" s="4">
        <f>ROUNDDOWN(Table1[[#This Row],[Ordered]],0)</f>
        <v>45310</v>
      </c>
      <c r="M2040" s="4">
        <f>Table1[[#This Row],[Date ]]</f>
        <v>45310</v>
      </c>
      <c r="N2040" s="5">
        <f>Table1[[#This Row],[Ordered]]-Table1[[#This Row],[Date ]]</f>
        <v>0.16666666666424135</v>
      </c>
      <c r="O2040">
        <f>Table1[[#This Row],[Company]]</f>
        <v>12</v>
      </c>
      <c r="P20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1" spans="1:16" hidden="1" x14ac:dyDescent="0.45">
      <c r="A2041" s="3">
        <v>45310.208333333336</v>
      </c>
      <c r="B2041" t="s">
        <v>12</v>
      </c>
      <c r="C2041">
        <v>2</v>
      </c>
      <c r="D2041">
        <v>8</v>
      </c>
      <c r="E2041" t="s">
        <v>13</v>
      </c>
      <c r="F2041">
        <v>2000</v>
      </c>
      <c r="G2041">
        <v>115</v>
      </c>
      <c r="H2041">
        <v>230000</v>
      </c>
      <c r="I2041" s="3">
        <v>45310.208333333336</v>
      </c>
      <c r="J2041">
        <v>72</v>
      </c>
      <c r="K2041" s="3">
        <v>45313.208333333336</v>
      </c>
      <c r="L2041" s="4">
        <f>ROUNDDOWN(Table1[[#This Row],[Ordered]],0)</f>
        <v>45310</v>
      </c>
      <c r="M2041" s="4">
        <f>Table1[[#This Row],[Date ]]</f>
        <v>45310</v>
      </c>
      <c r="N2041" s="5">
        <f>Table1[[#This Row],[Ordered]]-Table1[[#This Row],[Date ]]</f>
        <v>0.20833333333575865</v>
      </c>
      <c r="O2041">
        <f>Table1[[#This Row],[Company]]</f>
        <v>2</v>
      </c>
      <c r="P20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2" spans="1:16" hidden="1" x14ac:dyDescent="0.45">
      <c r="A2042" s="3">
        <v>45310.208333333336</v>
      </c>
      <c r="B2042" t="s">
        <v>12</v>
      </c>
      <c r="C2042">
        <v>13</v>
      </c>
      <c r="D2042">
        <v>4</v>
      </c>
      <c r="E2042" t="s">
        <v>20</v>
      </c>
      <c r="F2042">
        <v>217</v>
      </c>
      <c r="G2042">
        <v>5</v>
      </c>
      <c r="H2042">
        <v>1085</v>
      </c>
      <c r="I2042" s="3">
        <v>45310.5</v>
      </c>
      <c r="J2042">
        <v>72</v>
      </c>
      <c r="K2042" s="3">
        <v>45313.5</v>
      </c>
      <c r="L2042" s="4">
        <f>ROUNDDOWN(Table1[[#This Row],[Ordered]],0)</f>
        <v>45310</v>
      </c>
      <c r="M2042" s="4">
        <f>Table1[[#This Row],[Date ]]</f>
        <v>45310</v>
      </c>
      <c r="N2042" s="5">
        <f>Table1[[#This Row],[Ordered]]-Table1[[#This Row],[Date ]]</f>
        <v>0.20833333333575865</v>
      </c>
      <c r="O2042">
        <f>Table1[[#This Row],[Company]]</f>
        <v>13</v>
      </c>
      <c r="P20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3" spans="1:16" x14ac:dyDescent="0.45">
      <c r="A2043" s="3">
        <v>45310.25</v>
      </c>
      <c r="B2043" t="s">
        <v>14</v>
      </c>
      <c r="C2043">
        <v>13</v>
      </c>
      <c r="D2043">
        <v>1010</v>
      </c>
      <c r="E2043" t="s">
        <v>16</v>
      </c>
      <c r="F2043">
        <v>30</v>
      </c>
      <c r="G2043">
        <v>3400</v>
      </c>
      <c r="H2043">
        <v>102000</v>
      </c>
      <c r="I2043" s="3">
        <v>45310.958333333336</v>
      </c>
      <c r="J2043">
        <v>96</v>
      </c>
      <c r="K2043" s="3">
        <v>45314.041666666664</v>
      </c>
      <c r="L2043" s="4">
        <f>ROUNDDOWN(Table1[[#This Row],[Ordered]],0)</f>
        <v>45310</v>
      </c>
      <c r="M2043" s="4">
        <f>Table1[[#This Row],[Date ]]</f>
        <v>45310</v>
      </c>
      <c r="N2043" s="5">
        <f>Table1[[#This Row],[Ordered]]-Table1[[#This Row],[Date ]]</f>
        <v>0.25</v>
      </c>
      <c r="O2043">
        <f>Table1[[#This Row],[Company]]</f>
        <v>13</v>
      </c>
      <c r="P20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4" spans="1:16" x14ac:dyDescent="0.45">
      <c r="A2044" s="3">
        <v>45310.25</v>
      </c>
      <c r="B2044" t="s">
        <v>14</v>
      </c>
      <c r="C2044">
        <v>15</v>
      </c>
      <c r="D2044">
        <v>1010</v>
      </c>
      <c r="E2044" t="s">
        <v>16</v>
      </c>
      <c r="F2044">
        <v>49</v>
      </c>
      <c r="G2044">
        <v>3350</v>
      </c>
      <c r="H2044">
        <v>164150</v>
      </c>
      <c r="I2044" s="3">
        <v>45310.333333333336</v>
      </c>
      <c r="J2044">
        <v>88</v>
      </c>
      <c r="K2044" s="3">
        <v>45313.333333333336</v>
      </c>
      <c r="L2044" s="4">
        <f>ROUNDDOWN(Table1[[#This Row],[Ordered]],0)</f>
        <v>45310</v>
      </c>
      <c r="M2044" s="4">
        <f>Table1[[#This Row],[Date ]]</f>
        <v>45310</v>
      </c>
      <c r="N2044" s="5">
        <f>Table1[[#This Row],[Ordered]]-Table1[[#This Row],[Date ]]</f>
        <v>0.25</v>
      </c>
      <c r="O2044">
        <f>Table1[[#This Row],[Company]]</f>
        <v>15</v>
      </c>
      <c r="P20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5" spans="1:16" x14ac:dyDescent="0.45">
      <c r="A2045" s="3">
        <v>45310.25</v>
      </c>
      <c r="B2045" t="s">
        <v>14</v>
      </c>
      <c r="C2045">
        <v>12</v>
      </c>
      <c r="D2045">
        <v>1010</v>
      </c>
      <c r="E2045" t="s">
        <v>16</v>
      </c>
      <c r="F2045">
        <v>19</v>
      </c>
      <c r="G2045">
        <v>3800</v>
      </c>
      <c r="H2045">
        <v>72200</v>
      </c>
      <c r="I2045" s="3">
        <v>45317.583333333336</v>
      </c>
      <c r="J2045">
        <v>96</v>
      </c>
      <c r="K2045" s="3">
        <v>45318.583333333336</v>
      </c>
      <c r="L2045" s="4">
        <f>ROUNDDOWN(Table1[[#This Row],[Ordered]],0)</f>
        <v>45310</v>
      </c>
      <c r="M2045" s="4">
        <f>Table1[[#This Row],[Date ]]</f>
        <v>45310</v>
      </c>
      <c r="N2045" s="5">
        <f>Table1[[#This Row],[Ordered]]-Table1[[#This Row],[Date ]]</f>
        <v>0.25</v>
      </c>
      <c r="O2045">
        <f>Table1[[#This Row],[Company]]</f>
        <v>12</v>
      </c>
      <c r="P20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6" spans="1:16" hidden="1" x14ac:dyDescent="0.45">
      <c r="A2046" s="3">
        <v>45310.25</v>
      </c>
      <c r="B2046" t="s">
        <v>12</v>
      </c>
      <c r="C2046">
        <v>11</v>
      </c>
      <c r="D2046">
        <v>4</v>
      </c>
      <c r="E2046" t="s">
        <v>20</v>
      </c>
      <c r="F2046">
        <v>189</v>
      </c>
      <c r="G2046">
        <v>20</v>
      </c>
      <c r="H2046">
        <v>3780</v>
      </c>
      <c r="I2046" s="3">
        <v>45310.5</v>
      </c>
      <c r="J2046">
        <v>72</v>
      </c>
      <c r="K2046" s="3">
        <v>45313.5</v>
      </c>
      <c r="L2046" s="4">
        <f>ROUNDDOWN(Table1[[#This Row],[Ordered]],0)</f>
        <v>45310</v>
      </c>
      <c r="M2046" s="4">
        <f>Table1[[#This Row],[Date ]]</f>
        <v>45310</v>
      </c>
      <c r="N2046" s="5">
        <f>Table1[[#This Row],[Ordered]]-Table1[[#This Row],[Date ]]</f>
        <v>0.25</v>
      </c>
      <c r="O2046">
        <f>Table1[[#This Row],[Company]]</f>
        <v>11</v>
      </c>
      <c r="P20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7" spans="1:16" x14ac:dyDescent="0.45">
      <c r="A2047" s="3">
        <v>45310.25</v>
      </c>
      <c r="B2047" t="s">
        <v>14</v>
      </c>
      <c r="C2047">
        <v>14</v>
      </c>
      <c r="D2047">
        <v>1010</v>
      </c>
      <c r="E2047" t="s">
        <v>16</v>
      </c>
      <c r="F2047">
        <v>37</v>
      </c>
      <c r="G2047">
        <v>3750</v>
      </c>
      <c r="H2047">
        <v>138750</v>
      </c>
      <c r="I2047" s="3">
        <v>45310.25</v>
      </c>
      <c r="J2047">
        <v>84</v>
      </c>
      <c r="K2047" s="3">
        <v>45313.25</v>
      </c>
      <c r="L2047" s="4">
        <f>ROUNDDOWN(Table1[[#This Row],[Ordered]],0)</f>
        <v>45310</v>
      </c>
      <c r="M2047" s="4">
        <f>Table1[[#This Row],[Date ]]</f>
        <v>45310</v>
      </c>
      <c r="N2047" s="5">
        <f>Table1[[#This Row],[Ordered]]-Table1[[#This Row],[Date ]]</f>
        <v>0.25</v>
      </c>
      <c r="O2047">
        <f>Table1[[#This Row],[Company]]</f>
        <v>14</v>
      </c>
      <c r="P20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8" spans="1:16" hidden="1" x14ac:dyDescent="0.45">
      <c r="A2048" s="3">
        <v>45310.25</v>
      </c>
      <c r="B2048" t="s">
        <v>12</v>
      </c>
      <c r="C2048">
        <v>5</v>
      </c>
      <c r="D2048">
        <v>16</v>
      </c>
      <c r="E2048" t="s">
        <v>17</v>
      </c>
      <c r="F2048">
        <v>400</v>
      </c>
      <c r="G2048">
        <v>1350</v>
      </c>
      <c r="H2048">
        <v>540000</v>
      </c>
      <c r="I2048" s="3">
        <v>45310.25</v>
      </c>
      <c r="J2048">
        <v>24</v>
      </c>
      <c r="K2048" s="3">
        <v>45311.25</v>
      </c>
      <c r="L2048" s="4">
        <f>ROUNDDOWN(Table1[[#This Row],[Ordered]],0)</f>
        <v>45310</v>
      </c>
      <c r="M2048" s="4">
        <f>Table1[[#This Row],[Date ]]</f>
        <v>45310</v>
      </c>
      <c r="N2048" s="5">
        <f>Table1[[#This Row],[Ordered]]-Table1[[#This Row],[Date ]]</f>
        <v>0.25</v>
      </c>
      <c r="O2048">
        <f>Table1[[#This Row],[Company]]</f>
        <v>5</v>
      </c>
      <c r="P20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9" spans="1:16" x14ac:dyDescent="0.45">
      <c r="A2049" s="3">
        <v>45310.25</v>
      </c>
      <c r="B2049" t="s">
        <v>14</v>
      </c>
      <c r="C2049">
        <v>16</v>
      </c>
      <c r="D2049">
        <v>1010</v>
      </c>
      <c r="E2049" t="s">
        <v>16</v>
      </c>
      <c r="F2049">
        <v>22</v>
      </c>
      <c r="G2049">
        <v>3750</v>
      </c>
      <c r="H2049">
        <v>82500</v>
      </c>
      <c r="I2049" s="3">
        <v>45310.416666666664</v>
      </c>
      <c r="J2049">
        <v>96</v>
      </c>
      <c r="K2049" s="3">
        <v>45313.416666666664</v>
      </c>
      <c r="L2049" s="4">
        <f>ROUNDDOWN(Table1[[#This Row],[Ordered]],0)</f>
        <v>45310</v>
      </c>
      <c r="M2049" s="4">
        <f>Table1[[#This Row],[Date ]]</f>
        <v>45310</v>
      </c>
      <c r="N2049" s="5">
        <f>Table1[[#This Row],[Ordered]]-Table1[[#This Row],[Date ]]</f>
        <v>0.25</v>
      </c>
      <c r="O2049">
        <f>Table1[[#This Row],[Company]]</f>
        <v>16</v>
      </c>
      <c r="P20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0" spans="1:16" x14ac:dyDescent="0.45">
      <c r="A2050" s="3">
        <v>45310.25</v>
      </c>
      <c r="B2050" t="s">
        <v>14</v>
      </c>
      <c r="C2050">
        <v>7</v>
      </c>
      <c r="D2050">
        <v>1010</v>
      </c>
      <c r="E2050" t="s">
        <v>16</v>
      </c>
      <c r="F2050">
        <v>16</v>
      </c>
      <c r="G2050">
        <v>3950</v>
      </c>
      <c r="H2050">
        <v>63200</v>
      </c>
      <c r="I2050" s="3">
        <v>45311.291666666664</v>
      </c>
      <c r="J2050">
        <v>96</v>
      </c>
      <c r="K2050" s="3">
        <v>45313.291666666664</v>
      </c>
      <c r="L2050" s="4">
        <f>ROUNDDOWN(Table1[[#This Row],[Ordered]],0)</f>
        <v>45310</v>
      </c>
      <c r="M2050" s="4">
        <f>Table1[[#This Row],[Date ]]</f>
        <v>45310</v>
      </c>
      <c r="N2050" s="5">
        <f>Table1[[#This Row],[Ordered]]-Table1[[#This Row],[Date ]]</f>
        <v>0.25</v>
      </c>
      <c r="O2050">
        <f>Table1[[#This Row],[Company]]</f>
        <v>7</v>
      </c>
      <c r="P20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1" spans="1:16" x14ac:dyDescent="0.45">
      <c r="A2051" s="3">
        <v>45310.25</v>
      </c>
      <c r="B2051" t="s">
        <v>14</v>
      </c>
      <c r="C2051">
        <v>10</v>
      </c>
      <c r="D2051">
        <v>1010</v>
      </c>
      <c r="E2051" t="s">
        <v>16</v>
      </c>
      <c r="F2051">
        <v>25</v>
      </c>
      <c r="G2051">
        <v>4200</v>
      </c>
      <c r="H2051">
        <v>105000</v>
      </c>
      <c r="I2051" s="3">
        <v>45310.375</v>
      </c>
      <c r="J2051">
        <v>84</v>
      </c>
      <c r="K2051" s="3">
        <v>45313.375</v>
      </c>
      <c r="L2051" s="4">
        <f>ROUNDDOWN(Table1[[#This Row],[Ordered]],0)</f>
        <v>45310</v>
      </c>
      <c r="M2051" s="4">
        <f>Table1[[#This Row],[Date ]]</f>
        <v>45310</v>
      </c>
      <c r="N2051" s="5">
        <f>Table1[[#This Row],[Ordered]]-Table1[[#This Row],[Date ]]</f>
        <v>0.25</v>
      </c>
      <c r="O2051">
        <f>Table1[[#This Row],[Company]]</f>
        <v>10</v>
      </c>
      <c r="P20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2" spans="1:16" x14ac:dyDescent="0.45">
      <c r="A2052" s="3">
        <v>45310.25</v>
      </c>
      <c r="B2052" t="s">
        <v>14</v>
      </c>
      <c r="C2052">
        <v>9</v>
      </c>
      <c r="D2052">
        <v>1010</v>
      </c>
      <c r="E2052" t="s">
        <v>16</v>
      </c>
      <c r="F2052">
        <v>15</v>
      </c>
      <c r="G2052">
        <v>3799</v>
      </c>
      <c r="H2052">
        <v>56985</v>
      </c>
      <c r="I2052" s="3">
        <v>45310.25</v>
      </c>
      <c r="J2052">
        <v>76</v>
      </c>
      <c r="K2052" s="3">
        <v>45313.25</v>
      </c>
      <c r="L2052" s="4">
        <f>ROUNDDOWN(Table1[[#This Row],[Ordered]],0)</f>
        <v>45310</v>
      </c>
      <c r="M2052" s="4">
        <f>Table1[[#This Row],[Date ]]</f>
        <v>45310</v>
      </c>
      <c r="N2052" s="5">
        <f>Table1[[#This Row],[Ordered]]-Table1[[#This Row],[Date ]]</f>
        <v>0.25</v>
      </c>
      <c r="O2052">
        <f>Table1[[#This Row],[Company]]</f>
        <v>9</v>
      </c>
      <c r="P20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3" spans="1:16" x14ac:dyDescent="0.45">
      <c r="A2053" s="3">
        <v>45310.25</v>
      </c>
      <c r="B2053" t="s">
        <v>14</v>
      </c>
      <c r="C2053">
        <v>11</v>
      </c>
      <c r="D2053">
        <v>1010</v>
      </c>
      <c r="E2053" t="s">
        <v>16</v>
      </c>
      <c r="F2053">
        <v>28</v>
      </c>
      <c r="G2053">
        <v>4000</v>
      </c>
      <c r="H2053">
        <v>112000</v>
      </c>
      <c r="I2053" s="3">
        <v>45312.5</v>
      </c>
      <c r="J2053">
        <v>96</v>
      </c>
      <c r="K2053" s="3">
        <v>45313.5</v>
      </c>
      <c r="L2053" s="4">
        <f>ROUNDDOWN(Table1[[#This Row],[Ordered]],0)</f>
        <v>45310</v>
      </c>
      <c r="M2053" s="4">
        <f>Table1[[#This Row],[Date ]]</f>
        <v>45310</v>
      </c>
      <c r="N2053" s="5">
        <f>Table1[[#This Row],[Ordered]]-Table1[[#This Row],[Date ]]</f>
        <v>0.25</v>
      </c>
      <c r="O2053">
        <f>Table1[[#This Row],[Company]]</f>
        <v>11</v>
      </c>
      <c r="P20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4" spans="1:16" x14ac:dyDescent="0.45">
      <c r="A2054" s="3">
        <v>45310.291666666664</v>
      </c>
      <c r="B2054" t="s">
        <v>14</v>
      </c>
      <c r="C2054">
        <v>15</v>
      </c>
      <c r="D2054">
        <v>1004</v>
      </c>
      <c r="E2054" t="s">
        <v>15</v>
      </c>
      <c r="F2054">
        <v>17</v>
      </c>
      <c r="G2054">
        <v>6350</v>
      </c>
      <c r="H2054">
        <v>107950</v>
      </c>
      <c r="I2054" s="3">
        <v>45310.333333333336</v>
      </c>
      <c r="J2054">
        <v>64</v>
      </c>
      <c r="K2054" s="3">
        <v>45312.333333333336</v>
      </c>
      <c r="L2054" s="4">
        <f>ROUNDDOWN(Table1[[#This Row],[Ordered]],0)</f>
        <v>45310</v>
      </c>
      <c r="M2054" s="4">
        <f>Table1[[#This Row],[Date ]]</f>
        <v>45310</v>
      </c>
      <c r="N2054" s="5">
        <f>Table1[[#This Row],[Ordered]]-Table1[[#This Row],[Date ]]</f>
        <v>0.29166666666424135</v>
      </c>
      <c r="O2054">
        <f>Table1[[#This Row],[Company]]</f>
        <v>15</v>
      </c>
      <c r="P20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5" spans="1:16" x14ac:dyDescent="0.45">
      <c r="A2055" s="3">
        <v>45310.291666666664</v>
      </c>
      <c r="B2055" t="s">
        <v>14</v>
      </c>
      <c r="C2055">
        <v>7</v>
      </c>
      <c r="D2055">
        <v>1004</v>
      </c>
      <c r="E2055" t="s">
        <v>15</v>
      </c>
      <c r="F2055">
        <v>5</v>
      </c>
      <c r="G2055">
        <v>7050</v>
      </c>
      <c r="H2055">
        <v>35250</v>
      </c>
      <c r="I2055" s="3">
        <v>45311.25</v>
      </c>
      <c r="J2055">
        <v>96</v>
      </c>
      <c r="K2055" s="3">
        <v>45314.25</v>
      </c>
      <c r="L2055" s="4">
        <f>ROUNDDOWN(Table1[[#This Row],[Ordered]],0)</f>
        <v>45310</v>
      </c>
      <c r="M2055" s="4">
        <f>Table1[[#This Row],[Date ]]</f>
        <v>45310</v>
      </c>
      <c r="N2055" s="5">
        <f>Table1[[#This Row],[Ordered]]-Table1[[#This Row],[Date ]]</f>
        <v>0.29166666666424135</v>
      </c>
      <c r="O2055">
        <f>Table1[[#This Row],[Company]]</f>
        <v>7</v>
      </c>
      <c r="P20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6" spans="1:16" x14ac:dyDescent="0.45">
      <c r="A2056" s="3">
        <v>45310.291666666664</v>
      </c>
      <c r="B2056" t="s">
        <v>14</v>
      </c>
      <c r="C2056">
        <v>14</v>
      </c>
      <c r="D2056">
        <v>1004</v>
      </c>
      <c r="E2056" t="s">
        <v>15</v>
      </c>
      <c r="F2056">
        <v>7</v>
      </c>
      <c r="G2056">
        <v>6650</v>
      </c>
      <c r="H2056">
        <v>46550</v>
      </c>
      <c r="I2056" s="3">
        <v>45310.291666666664</v>
      </c>
      <c r="J2056">
        <v>84</v>
      </c>
      <c r="K2056" s="3">
        <v>45313.291666666664</v>
      </c>
      <c r="L2056" s="4">
        <f>ROUNDDOWN(Table1[[#This Row],[Ordered]],0)</f>
        <v>45310</v>
      </c>
      <c r="M2056" s="4">
        <f>Table1[[#This Row],[Date ]]</f>
        <v>45310</v>
      </c>
      <c r="N2056" s="5">
        <f>Table1[[#This Row],[Ordered]]-Table1[[#This Row],[Date ]]</f>
        <v>0.29166666666424135</v>
      </c>
      <c r="O2056">
        <f>Table1[[#This Row],[Company]]</f>
        <v>14</v>
      </c>
      <c r="P20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7" spans="1:16" x14ac:dyDescent="0.45">
      <c r="A2057" s="3">
        <v>45310.291666666664</v>
      </c>
      <c r="B2057" t="s">
        <v>14</v>
      </c>
      <c r="C2057">
        <v>13</v>
      </c>
      <c r="D2057">
        <v>1004</v>
      </c>
      <c r="E2057" t="s">
        <v>15</v>
      </c>
      <c r="F2057">
        <v>15</v>
      </c>
      <c r="G2057">
        <v>6300</v>
      </c>
      <c r="H2057">
        <v>94500</v>
      </c>
      <c r="I2057" s="3">
        <v>45311.958333333336</v>
      </c>
      <c r="J2057">
        <v>96</v>
      </c>
      <c r="K2057" s="3">
        <v>45313.958333333336</v>
      </c>
      <c r="L2057" s="4">
        <f>ROUNDDOWN(Table1[[#This Row],[Ordered]],0)</f>
        <v>45310</v>
      </c>
      <c r="M2057" s="4">
        <f>Table1[[#This Row],[Date ]]</f>
        <v>45310</v>
      </c>
      <c r="N2057" s="5">
        <f>Table1[[#This Row],[Ordered]]-Table1[[#This Row],[Date ]]</f>
        <v>0.29166666666424135</v>
      </c>
      <c r="O2057">
        <f>Table1[[#This Row],[Company]]</f>
        <v>13</v>
      </c>
      <c r="P20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8" spans="1:16" x14ac:dyDescent="0.45">
      <c r="A2058" s="3">
        <v>45310.333333333336</v>
      </c>
      <c r="B2058" t="s">
        <v>14</v>
      </c>
      <c r="C2058">
        <v>12</v>
      </c>
      <c r="D2058">
        <v>1007</v>
      </c>
      <c r="E2058" t="s">
        <v>15</v>
      </c>
      <c r="F2058">
        <v>16</v>
      </c>
      <c r="G2058">
        <v>6700</v>
      </c>
      <c r="H2058">
        <v>107200</v>
      </c>
      <c r="I2058" s="3">
        <v>45315.041666666664</v>
      </c>
      <c r="J2058">
        <v>96</v>
      </c>
      <c r="K2058" s="3">
        <v>45316.041666666664</v>
      </c>
      <c r="L2058" s="4">
        <f>ROUNDDOWN(Table1[[#This Row],[Ordered]],0)</f>
        <v>45310</v>
      </c>
      <c r="M2058" s="4">
        <f>Table1[[#This Row],[Date ]]</f>
        <v>45310</v>
      </c>
      <c r="N2058" s="5">
        <f>Table1[[#This Row],[Ordered]]-Table1[[#This Row],[Date ]]</f>
        <v>0.33333333333575865</v>
      </c>
      <c r="O2058">
        <f>Table1[[#This Row],[Company]]</f>
        <v>12</v>
      </c>
      <c r="P20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9" spans="1:16" x14ac:dyDescent="0.45">
      <c r="A2059" s="3">
        <v>45310.333333333336</v>
      </c>
      <c r="B2059" t="s">
        <v>14</v>
      </c>
      <c r="C2059">
        <v>15</v>
      </c>
      <c r="D2059">
        <v>1007</v>
      </c>
      <c r="E2059" t="s">
        <v>15</v>
      </c>
      <c r="F2059">
        <v>18</v>
      </c>
      <c r="G2059">
        <v>6350</v>
      </c>
      <c r="H2059">
        <v>114300</v>
      </c>
      <c r="I2059" s="3">
        <v>45310.375</v>
      </c>
      <c r="J2059">
        <v>64</v>
      </c>
      <c r="K2059" s="3">
        <v>45312.375</v>
      </c>
      <c r="L2059" s="4">
        <f>ROUNDDOWN(Table1[[#This Row],[Ordered]],0)</f>
        <v>45310</v>
      </c>
      <c r="M2059" s="4">
        <f>Table1[[#This Row],[Date ]]</f>
        <v>45310</v>
      </c>
      <c r="N2059" s="5">
        <f>Table1[[#This Row],[Ordered]]-Table1[[#This Row],[Date ]]</f>
        <v>0.33333333333575865</v>
      </c>
      <c r="O2059">
        <f>Table1[[#This Row],[Company]]</f>
        <v>15</v>
      </c>
      <c r="P20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0" spans="1:16" hidden="1" x14ac:dyDescent="0.45">
      <c r="A2060" s="3">
        <v>45310.333333333336</v>
      </c>
      <c r="B2060" t="s">
        <v>12</v>
      </c>
      <c r="C2060">
        <v>9</v>
      </c>
      <c r="D2060">
        <v>4</v>
      </c>
      <c r="E2060" t="s">
        <v>20</v>
      </c>
      <c r="F2060">
        <v>91</v>
      </c>
      <c r="G2060">
        <v>20</v>
      </c>
      <c r="H2060">
        <v>1820</v>
      </c>
      <c r="I2060" s="3">
        <v>45310.5</v>
      </c>
      <c r="J2060">
        <v>72</v>
      </c>
      <c r="K2060" s="3">
        <v>45313.5</v>
      </c>
      <c r="L2060" s="4">
        <f>ROUNDDOWN(Table1[[#This Row],[Ordered]],0)</f>
        <v>45310</v>
      </c>
      <c r="M2060" s="4">
        <f>Table1[[#This Row],[Date ]]</f>
        <v>45310</v>
      </c>
      <c r="N2060" s="5">
        <f>Table1[[#This Row],[Ordered]]-Table1[[#This Row],[Date ]]</f>
        <v>0.33333333333575865</v>
      </c>
      <c r="O2060">
        <f>Table1[[#This Row],[Company]]</f>
        <v>9</v>
      </c>
      <c r="P20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1" spans="1:16" x14ac:dyDescent="0.45">
      <c r="A2061" s="3">
        <v>45310.333333333336</v>
      </c>
      <c r="B2061" t="s">
        <v>14</v>
      </c>
      <c r="C2061">
        <v>16</v>
      </c>
      <c r="D2061">
        <v>1007</v>
      </c>
      <c r="E2061" t="s">
        <v>15</v>
      </c>
      <c r="F2061">
        <v>28</v>
      </c>
      <c r="G2061">
        <v>6050</v>
      </c>
      <c r="H2061">
        <v>169400</v>
      </c>
      <c r="I2061" s="3">
        <v>45310.583333333336</v>
      </c>
      <c r="J2061">
        <v>96</v>
      </c>
      <c r="K2061" s="3">
        <v>45313.583333333336</v>
      </c>
      <c r="L2061" s="4">
        <f>ROUNDDOWN(Table1[[#This Row],[Ordered]],0)</f>
        <v>45310</v>
      </c>
      <c r="M2061" s="4">
        <f>Table1[[#This Row],[Date ]]</f>
        <v>45310</v>
      </c>
      <c r="N2061" s="5">
        <f>Table1[[#This Row],[Ordered]]-Table1[[#This Row],[Date ]]</f>
        <v>0.33333333333575865</v>
      </c>
      <c r="O2061">
        <f>Table1[[#This Row],[Company]]</f>
        <v>16</v>
      </c>
      <c r="P20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2" spans="1:16" x14ac:dyDescent="0.45">
      <c r="A2062" s="3">
        <v>45310.333333333336</v>
      </c>
      <c r="B2062" t="s">
        <v>14</v>
      </c>
      <c r="C2062">
        <v>9</v>
      </c>
      <c r="D2062">
        <v>1007</v>
      </c>
      <c r="E2062" t="s">
        <v>15</v>
      </c>
      <c r="F2062">
        <v>21</v>
      </c>
      <c r="G2062">
        <v>6499</v>
      </c>
      <c r="H2062">
        <v>136479</v>
      </c>
      <c r="I2062" s="3">
        <v>45310.625</v>
      </c>
      <c r="J2062">
        <v>84</v>
      </c>
      <c r="K2062" s="3">
        <v>45313.625</v>
      </c>
      <c r="L2062" s="4">
        <f>ROUNDDOWN(Table1[[#This Row],[Ordered]],0)</f>
        <v>45310</v>
      </c>
      <c r="M2062" s="4">
        <f>Table1[[#This Row],[Date ]]</f>
        <v>45310</v>
      </c>
      <c r="N2062" s="5">
        <f>Table1[[#This Row],[Ordered]]-Table1[[#This Row],[Date ]]</f>
        <v>0.33333333333575865</v>
      </c>
      <c r="O2062">
        <f>Table1[[#This Row],[Company]]</f>
        <v>9</v>
      </c>
      <c r="P20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3" spans="1:16" x14ac:dyDescent="0.45">
      <c r="A2063" s="3">
        <v>45310.333333333336</v>
      </c>
      <c r="B2063" t="s">
        <v>14</v>
      </c>
      <c r="C2063">
        <v>11</v>
      </c>
      <c r="D2063">
        <v>1007</v>
      </c>
      <c r="E2063" t="s">
        <v>15</v>
      </c>
      <c r="F2063">
        <v>20</v>
      </c>
      <c r="G2063">
        <v>6400</v>
      </c>
      <c r="H2063">
        <v>128000</v>
      </c>
      <c r="I2063" s="3">
        <v>45310.708333333336</v>
      </c>
      <c r="J2063">
        <v>72</v>
      </c>
      <c r="K2063" s="3">
        <v>45312.708333333336</v>
      </c>
      <c r="L2063" s="4">
        <f>ROUNDDOWN(Table1[[#This Row],[Ordered]],0)</f>
        <v>45310</v>
      </c>
      <c r="M2063" s="4">
        <f>Table1[[#This Row],[Date ]]</f>
        <v>45310</v>
      </c>
      <c r="N2063" s="5">
        <f>Table1[[#This Row],[Ordered]]-Table1[[#This Row],[Date ]]</f>
        <v>0.33333333333575865</v>
      </c>
      <c r="O2063">
        <f>Table1[[#This Row],[Company]]</f>
        <v>11</v>
      </c>
      <c r="P20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4" spans="1:16" x14ac:dyDescent="0.45">
      <c r="A2064" s="3">
        <v>45310.333333333336</v>
      </c>
      <c r="B2064" t="s">
        <v>14</v>
      </c>
      <c r="C2064">
        <v>14</v>
      </c>
      <c r="D2064">
        <v>1007</v>
      </c>
      <c r="E2064" t="s">
        <v>15</v>
      </c>
      <c r="F2064">
        <v>11</v>
      </c>
      <c r="G2064">
        <v>6650</v>
      </c>
      <c r="H2064">
        <v>73150</v>
      </c>
      <c r="I2064" s="3">
        <v>45310.333333333336</v>
      </c>
      <c r="J2064">
        <v>84</v>
      </c>
      <c r="K2064" s="3">
        <v>45313.333333333336</v>
      </c>
      <c r="L2064" s="4">
        <f>ROUNDDOWN(Table1[[#This Row],[Ordered]],0)</f>
        <v>45310</v>
      </c>
      <c r="M2064" s="4">
        <f>Table1[[#This Row],[Date ]]</f>
        <v>45310</v>
      </c>
      <c r="N2064" s="5">
        <f>Table1[[#This Row],[Ordered]]-Table1[[#This Row],[Date ]]</f>
        <v>0.33333333333575865</v>
      </c>
      <c r="O2064">
        <f>Table1[[#This Row],[Company]]</f>
        <v>14</v>
      </c>
      <c r="P20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5" spans="1:16" x14ac:dyDescent="0.45">
      <c r="A2065" s="3">
        <v>45310.333333333336</v>
      </c>
      <c r="B2065" t="s">
        <v>14</v>
      </c>
      <c r="C2065">
        <v>13</v>
      </c>
      <c r="D2065">
        <v>1007</v>
      </c>
      <c r="E2065" t="s">
        <v>15</v>
      </c>
      <c r="F2065">
        <v>12</v>
      </c>
      <c r="G2065">
        <v>6300</v>
      </c>
      <c r="H2065">
        <v>75600</v>
      </c>
      <c r="I2065" s="3">
        <v>45312.041666666664</v>
      </c>
      <c r="J2065">
        <v>96</v>
      </c>
      <c r="K2065" s="3">
        <v>45314.041666666664</v>
      </c>
      <c r="L2065" s="4">
        <f>ROUNDDOWN(Table1[[#This Row],[Ordered]],0)</f>
        <v>45310</v>
      </c>
      <c r="M2065" s="4">
        <f>Table1[[#This Row],[Date ]]</f>
        <v>45310</v>
      </c>
      <c r="N2065" s="5">
        <f>Table1[[#This Row],[Ordered]]-Table1[[#This Row],[Date ]]</f>
        <v>0.33333333333575865</v>
      </c>
      <c r="O2065">
        <f>Table1[[#This Row],[Company]]</f>
        <v>13</v>
      </c>
      <c r="P20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6" spans="1:16" x14ac:dyDescent="0.45">
      <c r="A2066" s="3">
        <v>45310.375</v>
      </c>
      <c r="B2066" t="s">
        <v>14</v>
      </c>
      <c r="C2066">
        <v>11</v>
      </c>
      <c r="D2066">
        <v>1001</v>
      </c>
      <c r="E2066" t="s">
        <v>16</v>
      </c>
      <c r="F2066">
        <v>29</v>
      </c>
      <c r="G2066">
        <v>3900</v>
      </c>
      <c r="H2066">
        <v>113100</v>
      </c>
      <c r="I2066" s="3">
        <v>45311.666666666664</v>
      </c>
      <c r="J2066">
        <v>108</v>
      </c>
      <c r="K2066" s="3">
        <v>45314.666666666664</v>
      </c>
      <c r="L2066" s="4">
        <f>ROUNDDOWN(Table1[[#This Row],[Ordered]],0)</f>
        <v>45310</v>
      </c>
      <c r="M2066" s="4">
        <f>Table1[[#This Row],[Date ]]</f>
        <v>45310</v>
      </c>
      <c r="N2066" s="5">
        <f>Table1[[#This Row],[Ordered]]-Table1[[#This Row],[Date ]]</f>
        <v>0.375</v>
      </c>
      <c r="O2066">
        <f>Table1[[#This Row],[Company]]</f>
        <v>11</v>
      </c>
      <c r="P20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7" spans="1:16" x14ac:dyDescent="0.45">
      <c r="A2067" s="3">
        <v>45310.375</v>
      </c>
      <c r="B2067" t="s">
        <v>14</v>
      </c>
      <c r="C2067">
        <v>7</v>
      </c>
      <c r="D2067">
        <v>1001</v>
      </c>
      <c r="E2067" t="s">
        <v>16</v>
      </c>
      <c r="F2067">
        <v>19</v>
      </c>
      <c r="G2067">
        <v>3950</v>
      </c>
      <c r="H2067">
        <v>75050</v>
      </c>
      <c r="I2067" s="3">
        <v>45311.333333333336</v>
      </c>
      <c r="J2067">
        <v>96</v>
      </c>
      <c r="K2067" s="3">
        <v>45314.333333333336</v>
      </c>
      <c r="L2067" s="4">
        <f>ROUNDDOWN(Table1[[#This Row],[Ordered]],0)</f>
        <v>45310</v>
      </c>
      <c r="M2067" s="4">
        <f>Table1[[#This Row],[Date ]]</f>
        <v>45310</v>
      </c>
      <c r="N2067" s="5">
        <f>Table1[[#This Row],[Ordered]]-Table1[[#This Row],[Date ]]</f>
        <v>0.375</v>
      </c>
      <c r="O2067">
        <f>Table1[[#This Row],[Company]]</f>
        <v>7</v>
      </c>
      <c r="P20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8" spans="1:16" hidden="1" x14ac:dyDescent="0.45">
      <c r="A2068" s="3">
        <v>45310.375</v>
      </c>
      <c r="B2068" t="s">
        <v>12</v>
      </c>
      <c r="C2068">
        <v>1</v>
      </c>
      <c r="D2068">
        <v>14</v>
      </c>
      <c r="E2068" t="s">
        <v>17</v>
      </c>
      <c r="F2068">
        <v>400</v>
      </c>
      <c r="G2068">
        <v>1350</v>
      </c>
      <c r="H2068">
        <v>540000</v>
      </c>
      <c r="I2068" s="3">
        <v>45310.375</v>
      </c>
      <c r="J2068">
        <v>24</v>
      </c>
      <c r="K2068" s="3">
        <v>45311.375</v>
      </c>
      <c r="L2068" s="4">
        <f>ROUNDDOWN(Table1[[#This Row],[Ordered]],0)</f>
        <v>45310</v>
      </c>
      <c r="M2068" s="4">
        <f>Table1[[#This Row],[Date ]]</f>
        <v>45310</v>
      </c>
      <c r="N2068" s="5">
        <f>Table1[[#This Row],[Ordered]]-Table1[[#This Row],[Date ]]</f>
        <v>0.375</v>
      </c>
      <c r="O2068">
        <f>Table1[[#This Row],[Company]]</f>
        <v>1</v>
      </c>
      <c r="P20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9" spans="1:16" x14ac:dyDescent="0.45">
      <c r="A2069" s="3">
        <v>45310.375</v>
      </c>
      <c r="B2069" t="s">
        <v>14</v>
      </c>
      <c r="C2069">
        <v>12</v>
      </c>
      <c r="D2069">
        <v>1001</v>
      </c>
      <c r="E2069" t="s">
        <v>16</v>
      </c>
      <c r="F2069">
        <v>30</v>
      </c>
      <c r="G2069">
        <v>3800</v>
      </c>
      <c r="H2069">
        <v>114000</v>
      </c>
      <c r="I2069" s="3">
        <v>45311.708333333336</v>
      </c>
      <c r="J2069">
        <v>96</v>
      </c>
      <c r="K2069" s="3">
        <v>45313.708333333336</v>
      </c>
      <c r="L2069" s="4">
        <f>ROUNDDOWN(Table1[[#This Row],[Ordered]],0)</f>
        <v>45310</v>
      </c>
      <c r="M2069" s="4">
        <f>Table1[[#This Row],[Date ]]</f>
        <v>45310</v>
      </c>
      <c r="N2069" s="5">
        <f>Table1[[#This Row],[Ordered]]-Table1[[#This Row],[Date ]]</f>
        <v>0.375</v>
      </c>
      <c r="O2069">
        <f>Table1[[#This Row],[Company]]</f>
        <v>12</v>
      </c>
      <c r="P20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0" spans="1:16" x14ac:dyDescent="0.45">
      <c r="A2070" s="3">
        <v>45310.375</v>
      </c>
      <c r="B2070" t="s">
        <v>14</v>
      </c>
      <c r="C2070">
        <v>9</v>
      </c>
      <c r="D2070">
        <v>1001</v>
      </c>
      <c r="E2070" t="s">
        <v>16</v>
      </c>
      <c r="F2070">
        <v>15</v>
      </c>
      <c r="G2070">
        <v>3799</v>
      </c>
      <c r="H2070">
        <v>56985</v>
      </c>
      <c r="I2070" s="3">
        <v>45310.375</v>
      </c>
      <c r="J2070">
        <v>76</v>
      </c>
      <c r="K2070" s="3">
        <v>45313.375</v>
      </c>
      <c r="L2070" s="4">
        <f>ROUNDDOWN(Table1[[#This Row],[Ordered]],0)</f>
        <v>45310</v>
      </c>
      <c r="M2070" s="4">
        <f>Table1[[#This Row],[Date ]]</f>
        <v>45310</v>
      </c>
      <c r="N2070" s="5">
        <f>Table1[[#This Row],[Ordered]]-Table1[[#This Row],[Date ]]</f>
        <v>0.375</v>
      </c>
      <c r="O2070">
        <f>Table1[[#This Row],[Company]]</f>
        <v>9</v>
      </c>
      <c r="P20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1" spans="1:16" x14ac:dyDescent="0.45">
      <c r="A2071" s="3">
        <v>45310.375</v>
      </c>
      <c r="B2071" t="s">
        <v>14</v>
      </c>
      <c r="C2071">
        <v>10</v>
      </c>
      <c r="D2071">
        <v>1001</v>
      </c>
      <c r="E2071" t="s">
        <v>16</v>
      </c>
      <c r="F2071">
        <v>25</v>
      </c>
      <c r="G2071">
        <v>4200</v>
      </c>
      <c r="H2071">
        <v>105000</v>
      </c>
      <c r="I2071" s="3">
        <v>45310.416666666664</v>
      </c>
      <c r="J2071">
        <v>84</v>
      </c>
      <c r="K2071" s="3">
        <v>45313.416666666664</v>
      </c>
      <c r="L2071" s="4">
        <f>ROUNDDOWN(Table1[[#This Row],[Ordered]],0)</f>
        <v>45310</v>
      </c>
      <c r="M2071" s="4">
        <f>Table1[[#This Row],[Date ]]</f>
        <v>45310</v>
      </c>
      <c r="N2071" s="5">
        <f>Table1[[#This Row],[Ordered]]-Table1[[#This Row],[Date ]]</f>
        <v>0.375</v>
      </c>
      <c r="O2071">
        <f>Table1[[#This Row],[Company]]</f>
        <v>10</v>
      </c>
      <c r="P20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2" spans="1:16" x14ac:dyDescent="0.45">
      <c r="A2072" s="3">
        <v>45310.375</v>
      </c>
      <c r="B2072" t="s">
        <v>14</v>
      </c>
      <c r="C2072">
        <v>16</v>
      </c>
      <c r="D2072">
        <v>1001</v>
      </c>
      <c r="E2072" t="s">
        <v>16</v>
      </c>
      <c r="F2072">
        <v>30</v>
      </c>
      <c r="G2072">
        <v>3750</v>
      </c>
      <c r="H2072">
        <v>112500</v>
      </c>
      <c r="I2072" s="3">
        <v>45310.583333333336</v>
      </c>
      <c r="J2072">
        <v>96</v>
      </c>
      <c r="K2072" s="3">
        <v>45313.583333333336</v>
      </c>
      <c r="L2072" s="4">
        <f>ROUNDDOWN(Table1[[#This Row],[Ordered]],0)</f>
        <v>45310</v>
      </c>
      <c r="M2072" s="4">
        <f>Table1[[#This Row],[Date ]]</f>
        <v>45310</v>
      </c>
      <c r="N2072" s="5">
        <f>Table1[[#This Row],[Ordered]]-Table1[[#This Row],[Date ]]</f>
        <v>0.375</v>
      </c>
      <c r="O2072">
        <f>Table1[[#This Row],[Company]]</f>
        <v>16</v>
      </c>
      <c r="P20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3" spans="1:16" x14ac:dyDescent="0.45">
      <c r="A2073" s="3">
        <v>45310.375</v>
      </c>
      <c r="B2073" t="s">
        <v>14</v>
      </c>
      <c r="C2073">
        <v>13</v>
      </c>
      <c r="D2073">
        <v>1001</v>
      </c>
      <c r="E2073" t="s">
        <v>16</v>
      </c>
      <c r="F2073">
        <v>30</v>
      </c>
      <c r="G2073">
        <v>3400</v>
      </c>
      <c r="H2073">
        <v>102000</v>
      </c>
      <c r="I2073" s="3">
        <v>45311.083333333336</v>
      </c>
      <c r="J2073">
        <v>96</v>
      </c>
      <c r="K2073" s="3">
        <v>45314.083333333336</v>
      </c>
      <c r="L2073" s="4">
        <f>ROUNDDOWN(Table1[[#This Row],[Ordered]],0)</f>
        <v>45310</v>
      </c>
      <c r="M2073" s="4">
        <f>Table1[[#This Row],[Date ]]</f>
        <v>45310</v>
      </c>
      <c r="N2073" s="5">
        <f>Table1[[#This Row],[Ordered]]-Table1[[#This Row],[Date ]]</f>
        <v>0.375</v>
      </c>
      <c r="O2073">
        <f>Table1[[#This Row],[Company]]</f>
        <v>13</v>
      </c>
      <c r="P20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4" spans="1:16" x14ac:dyDescent="0.45">
      <c r="A2074" s="3">
        <v>45310.375</v>
      </c>
      <c r="B2074" t="s">
        <v>14</v>
      </c>
      <c r="C2074">
        <v>15</v>
      </c>
      <c r="D2074">
        <v>1001</v>
      </c>
      <c r="E2074" t="s">
        <v>16</v>
      </c>
      <c r="F2074">
        <v>50</v>
      </c>
      <c r="G2074">
        <v>3350</v>
      </c>
      <c r="H2074">
        <v>167500</v>
      </c>
      <c r="I2074" s="3">
        <v>45310.416666666664</v>
      </c>
      <c r="J2074">
        <v>88</v>
      </c>
      <c r="K2074" s="3">
        <v>45313.416666666664</v>
      </c>
      <c r="L2074" s="4">
        <f>ROUNDDOWN(Table1[[#This Row],[Ordered]],0)</f>
        <v>45310</v>
      </c>
      <c r="M2074" s="4">
        <f>Table1[[#This Row],[Date ]]</f>
        <v>45310</v>
      </c>
      <c r="N2074" s="5">
        <f>Table1[[#This Row],[Ordered]]-Table1[[#This Row],[Date ]]</f>
        <v>0.375</v>
      </c>
      <c r="O2074">
        <f>Table1[[#This Row],[Company]]</f>
        <v>15</v>
      </c>
      <c r="P20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5" spans="1:16" x14ac:dyDescent="0.45">
      <c r="A2075" s="3">
        <v>45310.375</v>
      </c>
      <c r="B2075" t="s">
        <v>14</v>
      </c>
      <c r="C2075">
        <v>14</v>
      </c>
      <c r="D2075">
        <v>1001</v>
      </c>
      <c r="E2075" t="s">
        <v>16</v>
      </c>
      <c r="F2075">
        <v>40</v>
      </c>
      <c r="G2075">
        <v>3650</v>
      </c>
      <c r="H2075">
        <v>146000</v>
      </c>
      <c r="I2075" s="3">
        <v>45310.875</v>
      </c>
      <c r="J2075">
        <v>96</v>
      </c>
      <c r="K2075" s="3">
        <v>45313.875</v>
      </c>
      <c r="L2075" s="4">
        <f>ROUNDDOWN(Table1[[#This Row],[Ordered]],0)</f>
        <v>45310</v>
      </c>
      <c r="M2075" s="4">
        <f>Table1[[#This Row],[Date ]]</f>
        <v>45310</v>
      </c>
      <c r="N2075" s="5">
        <f>Table1[[#This Row],[Ordered]]-Table1[[#This Row],[Date ]]</f>
        <v>0.375</v>
      </c>
      <c r="O2075">
        <f>Table1[[#This Row],[Company]]</f>
        <v>14</v>
      </c>
      <c r="P20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6" spans="1:16" hidden="1" x14ac:dyDescent="0.45">
      <c r="A2076" s="3">
        <v>45310.416666666664</v>
      </c>
      <c r="B2076" t="s">
        <v>12</v>
      </c>
      <c r="C2076">
        <v>1</v>
      </c>
      <c r="D2076">
        <v>13</v>
      </c>
      <c r="E2076" t="s">
        <v>13</v>
      </c>
      <c r="F2076">
        <v>1500</v>
      </c>
      <c r="G2076">
        <v>130</v>
      </c>
      <c r="H2076">
        <v>195000</v>
      </c>
      <c r="I2076" s="3">
        <v>45310.458333333336</v>
      </c>
      <c r="J2076">
        <v>72</v>
      </c>
      <c r="K2076" s="3">
        <v>45313.458333333336</v>
      </c>
      <c r="L2076" s="4">
        <f>ROUNDDOWN(Table1[[#This Row],[Ordered]],0)</f>
        <v>45310</v>
      </c>
      <c r="M2076" s="4">
        <f>Table1[[#This Row],[Date ]]</f>
        <v>45310</v>
      </c>
      <c r="N2076" s="5">
        <f>Table1[[#This Row],[Ordered]]-Table1[[#This Row],[Date ]]</f>
        <v>0.41666666666424135</v>
      </c>
      <c r="O2076">
        <f>Table1[[#This Row],[Company]]</f>
        <v>1</v>
      </c>
      <c r="P20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7" spans="1:16" x14ac:dyDescent="0.45">
      <c r="A2077" s="3">
        <v>45310.416666666664</v>
      </c>
      <c r="B2077" t="s">
        <v>14</v>
      </c>
      <c r="C2077">
        <v>13</v>
      </c>
      <c r="D2077">
        <v>1002</v>
      </c>
      <c r="E2077" t="s">
        <v>16</v>
      </c>
      <c r="F2077">
        <v>30</v>
      </c>
      <c r="G2077">
        <v>3400</v>
      </c>
      <c r="H2077">
        <v>102000</v>
      </c>
      <c r="I2077" s="3">
        <v>45311.375</v>
      </c>
      <c r="J2077">
        <v>96</v>
      </c>
      <c r="K2077" s="3">
        <v>45314.375</v>
      </c>
      <c r="L2077" s="4">
        <f>ROUNDDOWN(Table1[[#This Row],[Ordered]],0)</f>
        <v>45310</v>
      </c>
      <c r="M2077" s="4">
        <f>Table1[[#This Row],[Date ]]</f>
        <v>45310</v>
      </c>
      <c r="N2077" s="5">
        <f>Table1[[#This Row],[Ordered]]-Table1[[#This Row],[Date ]]</f>
        <v>0.41666666666424135</v>
      </c>
      <c r="O2077">
        <f>Table1[[#This Row],[Company]]</f>
        <v>13</v>
      </c>
      <c r="P20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8" spans="1:16" x14ac:dyDescent="0.45">
      <c r="A2078" s="3">
        <v>45310.416666666664</v>
      </c>
      <c r="B2078" t="s">
        <v>14</v>
      </c>
      <c r="C2078">
        <v>14</v>
      </c>
      <c r="D2078">
        <v>1002</v>
      </c>
      <c r="E2078" t="s">
        <v>16</v>
      </c>
      <c r="F2078">
        <v>35</v>
      </c>
      <c r="G2078">
        <v>3750</v>
      </c>
      <c r="H2078">
        <v>131250</v>
      </c>
      <c r="I2078" s="3">
        <v>45310.583333333336</v>
      </c>
      <c r="J2078">
        <v>84</v>
      </c>
      <c r="K2078" s="3">
        <v>45313.583333333336</v>
      </c>
      <c r="L2078" s="4">
        <f>ROUNDDOWN(Table1[[#This Row],[Ordered]],0)</f>
        <v>45310</v>
      </c>
      <c r="M2078" s="4">
        <f>Table1[[#This Row],[Date ]]</f>
        <v>45310</v>
      </c>
      <c r="N2078" s="5">
        <f>Table1[[#This Row],[Ordered]]-Table1[[#This Row],[Date ]]</f>
        <v>0.41666666666424135</v>
      </c>
      <c r="O2078">
        <f>Table1[[#This Row],[Company]]</f>
        <v>14</v>
      </c>
      <c r="P20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9" spans="1:16" x14ac:dyDescent="0.45">
      <c r="A2079" s="3">
        <v>45310.416666666664</v>
      </c>
      <c r="B2079" t="s">
        <v>14</v>
      </c>
      <c r="C2079">
        <v>10</v>
      </c>
      <c r="D2079">
        <v>1002</v>
      </c>
      <c r="E2079" t="s">
        <v>16</v>
      </c>
      <c r="F2079">
        <v>30</v>
      </c>
      <c r="G2079">
        <v>4200</v>
      </c>
      <c r="H2079">
        <v>126000</v>
      </c>
      <c r="I2079" s="3">
        <v>45310.541666666664</v>
      </c>
      <c r="J2079">
        <v>84</v>
      </c>
      <c r="K2079" s="3">
        <v>45313.541666666664</v>
      </c>
      <c r="L2079" s="4">
        <f>ROUNDDOWN(Table1[[#This Row],[Ordered]],0)</f>
        <v>45310</v>
      </c>
      <c r="M2079" s="4">
        <f>Table1[[#This Row],[Date ]]</f>
        <v>45310</v>
      </c>
      <c r="N2079" s="5">
        <f>Table1[[#This Row],[Ordered]]-Table1[[#This Row],[Date ]]</f>
        <v>0.41666666666424135</v>
      </c>
      <c r="O2079">
        <f>Table1[[#This Row],[Company]]</f>
        <v>10</v>
      </c>
      <c r="P20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0" spans="1:16" x14ac:dyDescent="0.45">
      <c r="A2080" s="3">
        <v>45310.416666666664</v>
      </c>
      <c r="B2080" t="s">
        <v>14</v>
      </c>
      <c r="C2080">
        <v>12</v>
      </c>
      <c r="D2080">
        <v>1002</v>
      </c>
      <c r="E2080" t="s">
        <v>16</v>
      </c>
      <c r="F2080">
        <v>20</v>
      </c>
      <c r="G2080">
        <v>3800</v>
      </c>
      <c r="H2080">
        <v>76000</v>
      </c>
      <c r="I2080" s="3">
        <v>45311.708333333336</v>
      </c>
      <c r="J2080">
        <v>96</v>
      </c>
      <c r="K2080" s="3">
        <v>45313.708333333336</v>
      </c>
      <c r="L2080" s="4">
        <f>ROUNDDOWN(Table1[[#This Row],[Ordered]],0)</f>
        <v>45310</v>
      </c>
      <c r="M2080" s="4">
        <f>Table1[[#This Row],[Date ]]</f>
        <v>45310</v>
      </c>
      <c r="N2080" s="5">
        <f>Table1[[#This Row],[Ordered]]-Table1[[#This Row],[Date ]]</f>
        <v>0.41666666666424135</v>
      </c>
      <c r="O2080">
        <f>Table1[[#This Row],[Company]]</f>
        <v>12</v>
      </c>
      <c r="P20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1" spans="1:16" x14ac:dyDescent="0.45">
      <c r="A2081" s="3">
        <v>45310.416666666664</v>
      </c>
      <c r="B2081" t="s">
        <v>14</v>
      </c>
      <c r="C2081">
        <v>15</v>
      </c>
      <c r="D2081">
        <v>1002</v>
      </c>
      <c r="E2081" t="s">
        <v>16</v>
      </c>
      <c r="F2081">
        <v>30</v>
      </c>
      <c r="G2081">
        <v>3450</v>
      </c>
      <c r="H2081">
        <v>103500</v>
      </c>
      <c r="I2081" s="3">
        <v>45310.458333333336</v>
      </c>
      <c r="J2081">
        <v>88</v>
      </c>
      <c r="K2081" s="3">
        <v>45313.458333333336</v>
      </c>
      <c r="L2081" s="4">
        <f>ROUNDDOWN(Table1[[#This Row],[Ordered]],0)</f>
        <v>45310</v>
      </c>
      <c r="M2081" s="4">
        <f>Table1[[#This Row],[Date ]]</f>
        <v>45310</v>
      </c>
      <c r="N2081" s="5">
        <f>Table1[[#This Row],[Ordered]]-Table1[[#This Row],[Date ]]</f>
        <v>0.41666666666424135</v>
      </c>
      <c r="O2081">
        <f>Table1[[#This Row],[Company]]</f>
        <v>15</v>
      </c>
      <c r="P20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2" spans="1:16" x14ac:dyDescent="0.45">
      <c r="A2082" s="3">
        <v>45310.416666666664</v>
      </c>
      <c r="B2082" t="s">
        <v>14</v>
      </c>
      <c r="C2082">
        <v>16</v>
      </c>
      <c r="D2082">
        <v>1002</v>
      </c>
      <c r="E2082" t="s">
        <v>16</v>
      </c>
      <c r="F2082">
        <v>30</v>
      </c>
      <c r="G2082">
        <v>3750</v>
      </c>
      <c r="H2082">
        <v>112500</v>
      </c>
      <c r="I2082" s="3">
        <v>45310.583333333336</v>
      </c>
      <c r="J2082">
        <v>96</v>
      </c>
      <c r="K2082" s="3">
        <v>45313.583333333336</v>
      </c>
      <c r="L2082" s="4">
        <f>ROUNDDOWN(Table1[[#This Row],[Ordered]],0)</f>
        <v>45310</v>
      </c>
      <c r="M2082" s="4">
        <f>Table1[[#This Row],[Date ]]</f>
        <v>45310</v>
      </c>
      <c r="N2082" s="5">
        <f>Table1[[#This Row],[Ordered]]-Table1[[#This Row],[Date ]]</f>
        <v>0.41666666666424135</v>
      </c>
      <c r="O2082">
        <f>Table1[[#This Row],[Company]]</f>
        <v>16</v>
      </c>
      <c r="P20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3" spans="1:16" x14ac:dyDescent="0.45">
      <c r="A2083" s="3">
        <v>45310.416666666664</v>
      </c>
      <c r="B2083" t="s">
        <v>14</v>
      </c>
      <c r="C2083">
        <v>11</v>
      </c>
      <c r="D2083">
        <v>1002</v>
      </c>
      <c r="E2083" t="s">
        <v>16</v>
      </c>
      <c r="F2083">
        <v>23</v>
      </c>
      <c r="G2083">
        <v>4000</v>
      </c>
      <c r="H2083">
        <v>92000</v>
      </c>
      <c r="I2083" s="3">
        <v>45312.791666666664</v>
      </c>
      <c r="J2083">
        <v>96</v>
      </c>
      <c r="K2083" s="3">
        <v>45313.791666666664</v>
      </c>
      <c r="L2083" s="4">
        <f>ROUNDDOWN(Table1[[#This Row],[Ordered]],0)</f>
        <v>45310</v>
      </c>
      <c r="M2083" s="4">
        <f>Table1[[#This Row],[Date ]]</f>
        <v>45310</v>
      </c>
      <c r="N2083" s="5">
        <f>Table1[[#This Row],[Ordered]]-Table1[[#This Row],[Date ]]</f>
        <v>0.41666666666424135</v>
      </c>
      <c r="O2083">
        <f>Table1[[#This Row],[Company]]</f>
        <v>11</v>
      </c>
      <c r="P20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4" spans="1:16" x14ac:dyDescent="0.45">
      <c r="A2084" s="3">
        <v>45310.416666666664</v>
      </c>
      <c r="B2084" t="s">
        <v>14</v>
      </c>
      <c r="C2084">
        <v>9</v>
      </c>
      <c r="D2084">
        <v>1002</v>
      </c>
      <c r="E2084" t="s">
        <v>16</v>
      </c>
      <c r="F2084">
        <v>15</v>
      </c>
      <c r="G2084">
        <v>3799</v>
      </c>
      <c r="H2084">
        <v>56985</v>
      </c>
      <c r="I2084" s="3">
        <v>45310.416666666664</v>
      </c>
      <c r="J2084">
        <v>76</v>
      </c>
      <c r="K2084" s="3">
        <v>45313.416666666664</v>
      </c>
      <c r="L2084" s="4">
        <f>ROUNDDOWN(Table1[[#This Row],[Ordered]],0)</f>
        <v>45310</v>
      </c>
      <c r="M2084" s="4">
        <f>Table1[[#This Row],[Date ]]</f>
        <v>45310</v>
      </c>
      <c r="N2084" s="5">
        <f>Table1[[#This Row],[Ordered]]-Table1[[#This Row],[Date ]]</f>
        <v>0.41666666666424135</v>
      </c>
      <c r="O2084">
        <f>Table1[[#This Row],[Company]]</f>
        <v>9</v>
      </c>
      <c r="P20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5" spans="1:16" x14ac:dyDescent="0.45">
      <c r="A2085" s="3">
        <v>45310.416666666664</v>
      </c>
      <c r="B2085" t="s">
        <v>14</v>
      </c>
      <c r="C2085">
        <v>7</v>
      </c>
      <c r="D2085">
        <v>1002</v>
      </c>
      <c r="E2085" t="s">
        <v>16</v>
      </c>
      <c r="F2085">
        <v>15</v>
      </c>
      <c r="G2085">
        <v>3950</v>
      </c>
      <c r="H2085">
        <v>59250</v>
      </c>
      <c r="I2085" s="3">
        <v>45311.625</v>
      </c>
      <c r="J2085">
        <v>96</v>
      </c>
      <c r="K2085" s="3">
        <v>45313.625</v>
      </c>
      <c r="L2085" s="4">
        <f>ROUNDDOWN(Table1[[#This Row],[Ordered]],0)</f>
        <v>45310</v>
      </c>
      <c r="M2085" s="4">
        <f>Table1[[#This Row],[Date ]]</f>
        <v>45310</v>
      </c>
      <c r="N2085" s="5">
        <f>Table1[[#This Row],[Ordered]]-Table1[[#This Row],[Date ]]</f>
        <v>0.41666666666424135</v>
      </c>
      <c r="O2085">
        <f>Table1[[#This Row],[Company]]</f>
        <v>7</v>
      </c>
      <c r="P20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6" spans="1:16" hidden="1" x14ac:dyDescent="0.45">
      <c r="A2086" s="3">
        <v>45310.541666666664</v>
      </c>
      <c r="B2086" t="s">
        <v>12</v>
      </c>
      <c r="C2086">
        <v>6</v>
      </c>
      <c r="D2086">
        <v>15</v>
      </c>
      <c r="E2086" t="s">
        <v>17</v>
      </c>
      <c r="F2086">
        <v>200</v>
      </c>
      <c r="G2086">
        <v>1500</v>
      </c>
      <c r="H2086">
        <v>300000</v>
      </c>
      <c r="I2086" s="3">
        <v>45310.583333333336</v>
      </c>
      <c r="J2086">
        <v>72</v>
      </c>
      <c r="K2086" s="3">
        <v>45313.583333333336</v>
      </c>
      <c r="L2086" s="4">
        <f>ROUNDDOWN(Table1[[#This Row],[Ordered]],0)</f>
        <v>45310</v>
      </c>
      <c r="M2086" s="4">
        <f>Table1[[#This Row],[Date ]]</f>
        <v>45310</v>
      </c>
      <c r="N2086" s="5">
        <f>Table1[[#This Row],[Ordered]]-Table1[[#This Row],[Date ]]</f>
        <v>0.54166666666424135</v>
      </c>
      <c r="O2086">
        <f>Table1[[#This Row],[Company]]</f>
        <v>6</v>
      </c>
      <c r="P20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7" spans="1:16" hidden="1" x14ac:dyDescent="0.45">
      <c r="A2087" s="3">
        <v>45310.541666666664</v>
      </c>
      <c r="B2087" t="s">
        <v>12</v>
      </c>
      <c r="C2087">
        <v>15</v>
      </c>
      <c r="D2087">
        <v>2</v>
      </c>
      <c r="E2087" t="s">
        <v>20</v>
      </c>
      <c r="F2087">
        <v>326</v>
      </c>
      <c r="G2087">
        <v>10</v>
      </c>
      <c r="H2087">
        <v>3260</v>
      </c>
      <c r="I2087" s="3">
        <v>45310.583333333336</v>
      </c>
      <c r="J2087">
        <v>72</v>
      </c>
      <c r="K2087" s="3">
        <v>45313.583333333336</v>
      </c>
      <c r="L2087" s="4">
        <f>ROUNDDOWN(Table1[[#This Row],[Ordered]],0)</f>
        <v>45310</v>
      </c>
      <c r="M2087" s="4">
        <f>Table1[[#This Row],[Date ]]</f>
        <v>45310</v>
      </c>
      <c r="N2087" s="5">
        <f>Table1[[#This Row],[Ordered]]-Table1[[#This Row],[Date ]]</f>
        <v>0.54166666666424135</v>
      </c>
      <c r="O2087">
        <f>Table1[[#This Row],[Company]]</f>
        <v>15</v>
      </c>
      <c r="P20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8" spans="1:16" x14ac:dyDescent="0.45">
      <c r="A2088" s="3">
        <v>45310.583333333336</v>
      </c>
      <c r="B2088" t="s">
        <v>0</v>
      </c>
      <c r="C2088">
        <v>11</v>
      </c>
      <c r="D2088">
        <v>2008</v>
      </c>
      <c r="E2088" t="s">
        <v>15</v>
      </c>
      <c r="F2088">
        <v>10</v>
      </c>
      <c r="G2088">
        <v>6800</v>
      </c>
      <c r="H2088">
        <v>68000</v>
      </c>
      <c r="I2088" s="3">
        <v>45310.625</v>
      </c>
      <c r="J2088">
        <v>84</v>
      </c>
      <c r="K2088" s="3">
        <v>45313.625</v>
      </c>
      <c r="L2088" s="4">
        <f>ROUNDDOWN(Table1[[#This Row],[Ordered]],0)</f>
        <v>45310</v>
      </c>
      <c r="M2088" s="4">
        <f>Table1[[#This Row],[Date ]]</f>
        <v>45310</v>
      </c>
      <c r="N2088" s="5">
        <f>Table1[[#This Row],[Ordered]]-Table1[[#This Row],[Date ]]</f>
        <v>0.58333333333575865</v>
      </c>
      <c r="O2088">
        <f>Table1[[#This Row],[Company]]</f>
        <v>11</v>
      </c>
      <c r="P20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9" spans="1:16" x14ac:dyDescent="0.45">
      <c r="A2089" s="3">
        <v>45310.583333333336</v>
      </c>
      <c r="B2089" t="s">
        <v>0</v>
      </c>
      <c r="C2089">
        <v>10</v>
      </c>
      <c r="D2089">
        <v>2008</v>
      </c>
      <c r="E2089" t="s">
        <v>16</v>
      </c>
      <c r="F2089">
        <v>80</v>
      </c>
      <c r="G2089">
        <v>4200</v>
      </c>
      <c r="H2089">
        <v>336000</v>
      </c>
      <c r="I2089" s="3">
        <v>45310.625</v>
      </c>
      <c r="J2089">
        <v>114</v>
      </c>
      <c r="K2089" s="3">
        <v>45315.125</v>
      </c>
      <c r="L2089" s="4">
        <f>ROUNDDOWN(Table1[[#This Row],[Ordered]],0)</f>
        <v>45310</v>
      </c>
      <c r="M2089" s="4">
        <f>Table1[[#This Row],[Date ]]</f>
        <v>45310</v>
      </c>
      <c r="N2089" s="5">
        <f>Table1[[#This Row],[Ordered]]-Table1[[#This Row],[Date ]]</f>
        <v>0.58333333333575865</v>
      </c>
      <c r="O2089">
        <f>Table1[[#This Row],[Company]]</f>
        <v>10</v>
      </c>
      <c r="P20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0" spans="1:16" x14ac:dyDescent="0.45">
      <c r="A2090" s="3">
        <v>45310.583333333336</v>
      </c>
      <c r="B2090" t="s">
        <v>0</v>
      </c>
      <c r="C2090">
        <v>13</v>
      </c>
      <c r="D2090">
        <v>2008</v>
      </c>
      <c r="E2090" t="s">
        <v>15</v>
      </c>
      <c r="F2090">
        <v>30</v>
      </c>
      <c r="G2090">
        <v>6300</v>
      </c>
      <c r="H2090">
        <v>189000</v>
      </c>
      <c r="I2090" s="3">
        <v>45312.666666666664</v>
      </c>
      <c r="J2090">
        <v>132</v>
      </c>
      <c r="K2090" s="3">
        <v>45315.666666666664</v>
      </c>
      <c r="L2090" s="4">
        <f>ROUNDDOWN(Table1[[#This Row],[Ordered]],0)</f>
        <v>45310</v>
      </c>
      <c r="M2090" s="4">
        <f>Table1[[#This Row],[Date ]]</f>
        <v>45310</v>
      </c>
      <c r="N2090" s="5">
        <f>Table1[[#This Row],[Ordered]]-Table1[[#This Row],[Date ]]</f>
        <v>0.58333333333575865</v>
      </c>
      <c r="O2090">
        <f>Table1[[#This Row],[Company]]</f>
        <v>13</v>
      </c>
      <c r="P20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1" spans="1:16" hidden="1" x14ac:dyDescent="0.45">
      <c r="A2091" s="3">
        <v>45310.583333333336</v>
      </c>
      <c r="B2091" t="s">
        <v>12</v>
      </c>
      <c r="C2091">
        <v>1</v>
      </c>
      <c r="D2091">
        <v>13</v>
      </c>
      <c r="E2091" t="s">
        <v>17</v>
      </c>
      <c r="F2091">
        <v>300</v>
      </c>
      <c r="G2091">
        <v>1400</v>
      </c>
      <c r="H2091">
        <v>420000</v>
      </c>
      <c r="I2091" s="3">
        <v>45310.625</v>
      </c>
      <c r="J2091">
        <v>72</v>
      </c>
      <c r="K2091" s="3">
        <v>45313.625</v>
      </c>
      <c r="L2091" s="4">
        <f>ROUNDDOWN(Table1[[#This Row],[Ordered]],0)</f>
        <v>45310</v>
      </c>
      <c r="M2091" s="4">
        <f>Table1[[#This Row],[Date ]]</f>
        <v>45310</v>
      </c>
      <c r="N2091" s="5">
        <f>Table1[[#This Row],[Ordered]]-Table1[[#This Row],[Date ]]</f>
        <v>0.58333333333575865</v>
      </c>
      <c r="O2091">
        <f>Table1[[#This Row],[Company]]</f>
        <v>1</v>
      </c>
      <c r="P20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2" spans="1:16" x14ac:dyDescent="0.45">
      <c r="A2092" s="3">
        <v>45310.583333333336</v>
      </c>
      <c r="B2092" t="s">
        <v>0</v>
      </c>
      <c r="C2092">
        <v>13</v>
      </c>
      <c r="D2092">
        <v>2008</v>
      </c>
      <c r="E2092" t="s">
        <v>16</v>
      </c>
      <c r="F2092">
        <v>30</v>
      </c>
      <c r="G2092">
        <v>3300</v>
      </c>
      <c r="H2092">
        <v>99000</v>
      </c>
      <c r="I2092" s="3">
        <v>45311.416666666664</v>
      </c>
      <c r="J2092">
        <v>132</v>
      </c>
      <c r="K2092" s="3">
        <v>45315.916666666664</v>
      </c>
      <c r="L2092" s="4">
        <f>ROUNDDOWN(Table1[[#This Row],[Ordered]],0)</f>
        <v>45310</v>
      </c>
      <c r="M2092" s="4">
        <f>Table1[[#This Row],[Date ]]</f>
        <v>45310</v>
      </c>
      <c r="N2092" s="5">
        <f>Table1[[#This Row],[Ordered]]-Table1[[#This Row],[Date ]]</f>
        <v>0.58333333333575865</v>
      </c>
      <c r="O2092">
        <f>Table1[[#This Row],[Company]]</f>
        <v>13</v>
      </c>
      <c r="P20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3" spans="1:16" x14ac:dyDescent="0.45">
      <c r="A2093" s="3">
        <v>45310.583333333336</v>
      </c>
      <c r="B2093" t="s">
        <v>0</v>
      </c>
      <c r="C2093">
        <v>14</v>
      </c>
      <c r="D2093">
        <v>2008</v>
      </c>
      <c r="E2093" t="s">
        <v>15</v>
      </c>
      <c r="F2093">
        <v>25</v>
      </c>
      <c r="G2093">
        <v>6650</v>
      </c>
      <c r="H2093">
        <v>166250</v>
      </c>
      <c r="I2093" s="3">
        <v>45310.583333333336</v>
      </c>
      <c r="J2093">
        <v>120</v>
      </c>
      <c r="K2093" s="3">
        <v>45315.083333333336</v>
      </c>
      <c r="L2093" s="4">
        <f>ROUNDDOWN(Table1[[#This Row],[Ordered]],0)</f>
        <v>45310</v>
      </c>
      <c r="M2093" s="4">
        <f>Table1[[#This Row],[Date ]]</f>
        <v>45310</v>
      </c>
      <c r="N2093" s="5">
        <f>Table1[[#This Row],[Ordered]]-Table1[[#This Row],[Date ]]</f>
        <v>0.58333333333575865</v>
      </c>
      <c r="O2093">
        <f>Table1[[#This Row],[Company]]</f>
        <v>14</v>
      </c>
      <c r="P20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4" spans="1:16" x14ac:dyDescent="0.45">
      <c r="A2094" s="3">
        <v>45310.583333333336</v>
      </c>
      <c r="B2094" t="s">
        <v>0</v>
      </c>
      <c r="C2094">
        <v>11</v>
      </c>
      <c r="D2094">
        <v>2008</v>
      </c>
      <c r="E2094" t="s">
        <v>16</v>
      </c>
      <c r="F2094">
        <v>40</v>
      </c>
      <c r="G2094">
        <v>4000</v>
      </c>
      <c r="H2094">
        <v>160000</v>
      </c>
      <c r="I2094" s="3">
        <v>45313.916666666664</v>
      </c>
      <c r="J2094">
        <v>132</v>
      </c>
      <c r="K2094" s="3">
        <v>45315.416666666664</v>
      </c>
      <c r="L2094" s="4">
        <f>ROUNDDOWN(Table1[[#This Row],[Ordered]],0)</f>
        <v>45310</v>
      </c>
      <c r="M2094" s="4">
        <f>Table1[[#This Row],[Date ]]</f>
        <v>45310</v>
      </c>
      <c r="N2094" s="5">
        <f>Table1[[#This Row],[Ordered]]-Table1[[#This Row],[Date ]]</f>
        <v>0.58333333333575865</v>
      </c>
      <c r="O2094">
        <f>Table1[[#This Row],[Company]]</f>
        <v>11</v>
      </c>
      <c r="P20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5" spans="1:16" x14ac:dyDescent="0.45">
      <c r="A2095" s="3">
        <v>45310.583333333336</v>
      </c>
      <c r="B2095" t="s">
        <v>0</v>
      </c>
      <c r="C2095">
        <v>9</v>
      </c>
      <c r="D2095">
        <v>2008</v>
      </c>
      <c r="E2095" t="s">
        <v>15</v>
      </c>
      <c r="F2095">
        <v>30</v>
      </c>
      <c r="G2095">
        <v>6585</v>
      </c>
      <c r="H2095">
        <v>197550</v>
      </c>
      <c r="I2095" s="3">
        <v>45311.125</v>
      </c>
      <c r="J2095">
        <v>132</v>
      </c>
      <c r="K2095" s="3">
        <v>45315.625</v>
      </c>
      <c r="L2095" s="4">
        <f>ROUNDDOWN(Table1[[#This Row],[Ordered]],0)</f>
        <v>45310</v>
      </c>
      <c r="M2095" s="4">
        <f>Table1[[#This Row],[Date ]]</f>
        <v>45310</v>
      </c>
      <c r="N2095" s="5">
        <f>Table1[[#This Row],[Ordered]]-Table1[[#This Row],[Date ]]</f>
        <v>0.58333333333575865</v>
      </c>
      <c r="O2095">
        <f>Table1[[#This Row],[Company]]</f>
        <v>9</v>
      </c>
      <c r="P20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6" spans="1:16" x14ac:dyDescent="0.45">
      <c r="A2096" s="3">
        <v>45310.583333333336</v>
      </c>
      <c r="B2096" t="s">
        <v>0</v>
      </c>
      <c r="C2096">
        <v>12</v>
      </c>
      <c r="D2096">
        <v>2008</v>
      </c>
      <c r="E2096" t="s">
        <v>16</v>
      </c>
      <c r="F2096">
        <v>30</v>
      </c>
      <c r="G2096">
        <v>3800</v>
      </c>
      <c r="H2096">
        <v>114000</v>
      </c>
      <c r="I2096" s="3">
        <v>45312.541666666664</v>
      </c>
      <c r="J2096">
        <v>120</v>
      </c>
      <c r="K2096" s="3">
        <v>45317.041666666664</v>
      </c>
      <c r="L2096" s="4">
        <f>ROUNDDOWN(Table1[[#This Row],[Ordered]],0)</f>
        <v>45310</v>
      </c>
      <c r="M2096" s="4">
        <f>Table1[[#This Row],[Date ]]</f>
        <v>45310</v>
      </c>
      <c r="N2096" s="5">
        <f>Table1[[#This Row],[Ordered]]-Table1[[#This Row],[Date ]]</f>
        <v>0.58333333333575865</v>
      </c>
      <c r="O2096">
        <f>Table1[[#This Row],[Company]]</f>
        <v>12</v>
      </c>
      <c r="P20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7" spans="1:16" x14ac:dyDescent="0.45">
      <c r="A2097" s="3">
        <v>45310.583333333336</v>
      </c>
      <c r="B2097" t="s">
        <v>0</v>
      </c>
      <c r="C2097">
        <v>7</v>
      </c>
      <c r="D2097">
        <v>2008</v>
      </c>
      <c r="E2097" t="s">
        <v>16</v>
      </c>
      <c r="F2097">
        <v>75</v>
      </c>
      <c r="G2097">
        <v>3800</v>
      </c>
      <c r="H2097">
        <v>285000</v>
      </c>
      <c r="I2097" s="3">
        <v>45312.166666666664</v>
      </c>
      <c r="J2097">
        <v>132</v>
      </c>
      <c r="K2097" s="3">
        <v>45315.166666666664</v>
      </c>
      <c r="L2097" s="4">
        <f>ROUNDDOWN(Table1[[#This Row],[Ordered]],0)</f>
        <v>45310</v>
      </c>
      <c r="M2097" s="4">
        <f>Table1[[#This Row],[Date ]]</f>
        <v>45310</v>
      </c>
      <c r="N2097" s="5">
        <f>Table1[[#This Row],[Ordered]]-Table1[[#This Row],[Date ]]</f>
        <v>0.58333333333575865</v>
      </c>
      <c r="O2097">
        <f>Table1[[#This Row],[Company]]</f>
        <v>7</v>
      </c>
      <c r="P20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8" spans="1:16" x14ac:dyDescent="0.45">
      <c r="A2098" s="3">
        <v>45310.583333333336</v>
      </c>
      <c r="B2098" t="s">
        <v>0</v>
      </c>
      <c r="C2098">
        <v>9</v>
      </c>
      <c r="D2098">
        <v>2008</v>
      </c>
      <c r="E2098" t="s">
        <v>16</v>
      </c>
      <c r="F2098">
        <v>30</v>
      </c>
      <c r="G2098">
        <v>3799</v>
      </c>
      <c r="H2098">
        <v>113970</v>
      </c>
      <c r="I2098" s="3">
        <v>45310.583333333336</v>
      </c>
      <c r="J2098">
        <v>112</v>
      </c>
      <c r="K2098" s="3">
        <v>45315.083333333336</v>
      </c>
      <c r="L2098" s="4">
        <f>ROUNDDOWN(Table1[[#This Row],[Ordered]],0)</f>
        <v>45310</v>
      </c>
      <c r="M2098" s="4">
        <f>Table1[[#This Row],[Date ]]</f>
        <v>45310</v>
      </c>
      <c r="N2098" s="5">
        <f>Table1[[#This Row],[Ordered]]-Table1[[#This Row],[Date ]]</f>
        <v>0.58333333333575865</v>
      </c>
      <c r="O2098">
        <f>Table1[[#This Row],[Company]]</f>
        <v>9</v>
      </c>
      <c r="P20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9" spans="1:16" x14ac:dyDescent="0.45">
      <c r="A2099" s="3">
        <v>45310.583333333336</v>
      </c>
      <c r="B2099" t="s">
        <v>0</v>
      </c>
      <c r="C2099">
        <v>14</v>
      </c>
      <c r="D2099">
        <v>2008</v>
      </c>
      <c r="E2099" t="s">
        <v>16</v>
      </c>
      <c r="F2099">
        <v>36</v>
      </c>
      <c r="G2099">
        <v>3750</v>
      </c>
      <c r="H2099">
        <v>135000</v>
      </c>
      <c r="I2099" s="3">
        <v>45310.708333333336</v>
      </c>
      <c r="J2099">
        <v>120</v>
      </c>
      <c r="K2099" s="3">
        <v>45315.208333333336</v>
      </c>
      <c r="L2099" s="4">
        <f>ROUNDDOWN(Table1[[#This Row],[Ordered]],0)</f>
        <v>45310</v>
      </c>
      <c r="M2099" s="4">
        <f>Table1[[#This Row],[Date ]]</f>
        <v>45310</v>
      </c>
      <c r="N2099" s="5">
        <f>Table1[[#This Row],[Ordered]]-Table1[[#This Row],[Date ]]</f>
        <v>0.58333333333575865</v>
      </c>
      <c r="O2099">
        <f>Table1[[#This Row],[Company]]</f>
        <v>14</v>
      </c>
      <c r="P20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0" spans="1:16" x14ac:dyDescent="0.45">
      <c r="A2100" s="3">
        <v>45310.583333333336</v>
      </c>
      <c r="B2100" t="s">
        <v>0</v>
      </c>
      <c r="C2100">
        <v>8</v>
      </c>
      <c r="D2100">
        <v>2008</v>
      </c>
      <c r="E2100" t="s">
        <v>16</v>
      </c>
      <c r="F2100">
        <v>50</v>
      </c>
      <c r="G2100">
        <v>4155</v>
      </c>
      <c r="H2100">
        <v>207750</v>
      </c>
      <c r="I2100" s="3">
        <v>45312.041666666664</v>
      </c>
      <c r="J2100">
        <v>120</v>
      </c>
      <c r="K2100" s="3">
        <v>45315.041666666664</v>
      </c>
      <c r="L2100" s="4">
        <f>ROUNDDOWN(Table1[[#This Row],[Ordered]],0)</f>
        <v>45310</v>
      </c>
      <c r="M2100" s="4">
        <f>Table1[[#This Row],[Date ]]</f>
        <v>45310</v>
      </c>
      <c r="N2100" s="5">
        <f>Table1[[#This Row],[Ordered]]-Table1[[#This Row],[Date ]]</f>
        <v>0.58333333333575865</v>
      </c>
      <c r="O2100">
        <f>Table1[[#This Row],[Company]]</f>
        <v>8</v>
      </c>
      <c r="P21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1" spans="1:16" x14ac:dyDescent="0.45">
      <c r="A2101" s="3">
        <v>45310.583333333336</v>
      </c>
      <c r="B2101" t="s">
        <v>0</v>
      </c>
      <c r="C2101">
        <v>16</v>
      </c>
      <c r="D2101">
        <v>2008</v>
      </c>
      <c r="E2101" t="s">
        <v>16</v>
      </c>
      <c r="F2101">
        <v>30</v>
      </c>
      <c r="G2101">
        <v>3750</v>
      </c>
      <c r="H2101">
        <v>112500</v>
      </c>
      <c r="I2101" s="3">
        <v>45310.875</v>
      </c>
      <c r="J2101">
        <v>132</v>
      </c>
      <c r="K2101" s="3">
        <v>45315.375</v>
      </c>
      <c r="L2101" s="4">
        <f>ROUNDDOWN(Table1[[#This Row],[Ordered]],0)</f>
        <v>45310</v>
      </c>
      <c r="M2101" s="4">
        <f>Table1[[#This Row],[Date ]]</f>
        <v>45310</v>
      </c>
      <c r="N2101" s="5">
        <f>Table1[[#This Row],[Ordered]]-Table1[[#This Row],[Date ]]</f>
        <v>0.58333333333575865</v>
      </c>
      <c r="O2101">
        <f>Table1[[#This Row],[Company]]</f>
        <v>16</v>
      </c>
      <c r="P21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2" spans="1:16" x14ac:dyDescent="0.45">
      <c r="A2102" s="3">
        <v>45310.583333333336</v>
      </c>
      <c r="B2102" t="s">
        <v>0</v>
      </c>
      <c r="C2102">
        <v>16</v>
      </c>
      <c r="D2102">
        <v>2008</v>
      </c>
      <c r="E2102" t="s">
        <v>15</v>
      </c>
      <c r="F2102">
        <v>30</v>
      </c>
      <c r="G2102">
        <v>6050</v>
      </c>
      <c r="H2102">
        <v>181500</v>
      </c>
      <c r="I2102" s="3">
        <v>45310.875</v>
      </c>
      <c r="J2102">
        <v>132</v>
      </c>
      <c r="K2102" s="3">
        <v>45315.375</v>
      </c>
      <c r="L2102" s="4">
        <f>ROUNDDOWN(Table1[[#This Row],[Ordered]],0)</f>
        <v>45310</v>
      </c>
      <c r="M2102" s="4">
        <f>Table1[[#This Row],[Date ]]</f>
        <v>45310</v>
      </c>
      <c r="N2102" s="5">
        <f>Table1[[#This Row],[Ordered]]-Table1[[#This Row],[Date ]]</f>
        <v>0.58333333333575865</v>
      </c>
      <c r="O2102">
        <f>Table1[[#This Row],[Company]]</f>
        <v>16</v>
      </c>
      <c r="P21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3" spans="1:16" x14ac:dyDescent="0.45">
      <c r="A2103" s="3">
        <v>45310.583333333336</v>
      </c>
      <c r="B2103" t="s">
        <v>0</v>
      </c>
      <c r="C2103">
        <v>12</v>
      </c>
      <c r="D2103">
        <v>2008</v>
      </c>
      <c r="E2103" t="s">
        <v>15</v>
      </c>
      <c r="F2103">
        <v>30</v>
      </c>
      <c r="G2103">
        <v>6750</v>
      </c>
      <c r="H2103">
        <v>202500</v>
      </c>
      <c r="I2103" s="3">
        <v>45315.125</v>
      </c>
      <c r="J2103">
        <v>120</v>
      </c>
      <c r="K2103" s="3">
        <v>45316.625</v>
      </c>
      <c r="L2103" s="4">
        <f>ROUNDDOWN(Table1[[#This Row],[Ordered]],0)</f>
        <v>45310</v>
      </c>
      <c r="M2103" s="4">
        <f>Table1[[#This Row],[Date ]]</f>
        <v>45310</v>
      </c>
      <c r="N2103" s="5">
        <f>Table1[[#This Row],[Ordered]]-Table1[[#This Row],[Date ]]</f>
        <v>0.58333333333575865</v>
      </c>
      <c r="O2103">
        <f>Table1[[#This Row],[Company]]</f>
        <v>12</v>
      </c>
      <c r="P21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4" spans="1:16" x14ac:dyDescent="0.45">
      <c r="A2104" s="3">
        <v>45310.583333333336</v>
      </c>
      <c r="B2104" t="s">
        <v>0</v>
      </c>
      <c r="C2104">
        <v>7</v>
      </c>
      <c r="D2104">
        <v>2008</v>
      </c>
      <c r="E2104" t="s">
        <v>15</v>
      </c>
      <c r="F2104">
        <v>22</v>
      </c>
      <c r="G2104">
        <v>7000</v>
      </c>
      <c r="H2104">
        <v>154000</v>
      </c>
      <c r="I2104" s="3">
        <v>45314.166666666664</v>
      </c>
      <c r="J2104">
        <v>132</v>
      </c>
      <c r="K2104" s="3">
        <v>45315.666666666664</v>
      </c>
      <c r="L2104" s="4">
        <f>ROUNDDOWN(Table1[[#This Row],[Ordered]],0)</f>
        <v>45310</v>
      </c>
      <c r="M2104" s="4">
        <f>Table1[[#This Row],[Date ]]</f>
        <v>45310</v>
      </c>
      <c r="N2104" s="5">
        <f>Table1[[#This Row],[Ordered]]-Table1[[#This Row],[Date ]]</f>
        <v>0.58333333333575865</v>
      </c>
      <c r="O2104">
        <f>Table1[[#This Row],[Company]]</f>
        <v>7</v>
      </c>
      <c r="P21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5" spans="1:16" x14ac:dyDescent="0.45">
      <c r="A2105" s="3">
        <v>45310.583333333336</v>
      </c>
      <c r="B2105" t="s">
        <v>0</v>
      </c>
      <c r="C2105">
        <v>15</v>
      </c>
      <c r="D2105">
        <v>2008</v>
      </c>
      <c r="E2105" t="s">
        <v>15</v>
      </c>
      <c r="F2105">
        <v>50</v>
      </c>
      <c r="G2105">
        <v>6350</v>
      </c>
      <c r="H2105">
        <v>317500</v>
      </c>
      <c r="I2105" s="3">
        <v>45310.583333333336</v>
      </c>
      <c r="J2105">
        <v>48</v>
      </c>
      <c r="K2105" s="3">
        <v>45312.083333333336</v>
      </c>
      <c r="L2105" s="4">
        <f>ROUNDDOWN(Table1[[#This Row],[Ordered]],0)</f>
        <v>45310</v>
      </c>
      <c r="M2105" s="4">
        <f>Table1[[#This Row],[Date ]]</f>
        <v>45310</v>
      </c>
      <c r="N2105" s="5">
        <f>Table1[[#This Row],[Ordered]]-Table1[[#This Row],[Date ]]</f>
        <v>0.58333333333575865</v>
      </c>
      <c r="O2105">
        <f>Table1[[#This Row],[Company]]</f>
        <v>15</v>
      </c>
      <c r="P21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6" spans="1:16" x14ac:dyDescent="0.45">
      <c r="A2106" s="3">
        <v>45310.583333333336</v>
      </c>
      <c r="B2106" t="s">
        <v>0</v>
      </c>
      <c r="C2106">
        <v>15</v>
      </c>
      <c r="D2106">
        <v>2008</v>
      </c>
      <c r="E2106" t="s">
        <v>16</v>
      </c>
      <c r="F2106">
        <v>45</v>
      </c>
      <c r="G2106">
        <v>4050</v>
      </c>
      <c r="H2106">
        <v>182250</v>
      </c>
      <c r="I2106" s="3">
        <v>45310.583333333336</v>
      </c>
      <c r="J2106">
        <v>48</v>
      </c>
      <c r="K2106" s="3">
        <v>45312.083333333336</v>
      </c>
      <c r="L2106" s="4">
        <f>ROUNDDOWN(Table1[[#This Row],[Ordered]],0)</f>
        <v>45310</v>
      </c>
      <c r="M2106" s="4">
        <f>Table1[[#This Row],[Date ]]</f>
        <v>45310</v>
      </c>
      <c r="N2106" s="5">
        <f>Table1[[#This Row],[Ordered]]-Table1[[#This Row],[Date ]]</f>
        <v>0.58333333333575865</v>
      </c>
      <c r="O2106">
        <f>Table1[[#This Row],[Company]]</f>
        <v>15</v>
      </c>
      <c r="P21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7" spans="1:16" hidden="1" x14ac:dyDescent="0.45">
      <c r="A2107" s="3">
        <v>45310.625</v>
      </c>
      <c r="B2107" t="s">
        <v>12</v>
      </c>
      <c r="C2107">
        <v>5</v>
      </c>
      <c r="D2107">
        <v>10</v>
      </c>
      <c r="E2107" t="s">
        <v>17</v>
      </c>
      <c r="F2107">
        <v>400</v>
      </c>
      <c r="G2107">
        <v>1400</v>
      </c>
      <c r="H2107">
        <v>560000</v>
      </c>
      <c r="I2107" s="3">
        <v>45310.666666666664</v>
      </c>
      <c r="J2107">
        <v>48</v>
      </c>
      <c r="K2107" s="3">
        <v>45312.666666666664</v>
      </c>
      <c r="L2107" s="4">
        <f>ROUNDDOWN(Table1[[#This Row],[Ordered]],0)</f>
        <v>45310</v>
      </c>
      <c r="M2107" s="4">
        <f>Table1[[#This Row],[Date ]]</f>
        <v>45310</v>
      </c>
      <c r="N2107" s="5">
        <f>Table1[[#This Row],[Ordered]]-Table1[[#This Row],[Date ]]</f>
        <v>0.625</v>
      </c>
      <c r="O2107">
        <f>Table1[[#This Row],[Company]]</f>
        <v>5</v>
      </c>
      <c r="P21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8" spans="1:16" x14ac:dyDescent="0.45">
      <c r="A2108" s="3">
        <v>45310.708333333336</v>
      </c>
      <c r="B2108" t="s">
        <v>14</v>
      </c>
      <c r="C2108">
        <v>11</v>
      </c>
      <c r="D2108">
        <v>1001</v>
      </c>
      <c r="E2108" t="s">
        <v>15</v>
      </c>
      <c r="F2108">
        <v>6</v>
      </c>
      <c r="G2108">
        <v>6400</v>
      </c>
      <c r="H2108">
        <v>38400</v>
      </c>
      <c r="I2108" s="3">
        <v>45310.958333333336</v>
      </c>
      <c r="J2108">
        <v>72</v>
      </c>
      <c r="K2108" s="3">
        <v>45312.958333333336</v>
      </c>
      <c r="L2108" s="4">
        <f>ROUNDDOWN(Table1[[#This Row],[Ordered]],0)</f>
        <v>45310</v>
      </c>
      <c r="M2108" s="4">
        <f>Table1[[#This Row],[Date ]]</f>
        <v>45310</v>
      </c>
      <c r="N2108" s="5">
        <f>Table1[[#This Row],[Ordered]]-Table1[[#This Row],[Date ]]</f>
        <v>0.70833333333575865</v>
      </c>
      <c r="O2108">
        <f>Table1[[#This Row],[Company]]</f>
        <v>11</v>
      </c>
      <c r="P21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9" spans="1:16" x14ac:dyDescent="0.45">
      <c r="A2109" s="3">
        <v>45310.708333333336</v>
      </c>
      <c r="B2109" t="s">
        <v>14</v>
      </c>
      <c r="C2109">
        <v>12</v>
      </c>
      <c r="D2109">
        <v>1001</v>
      </c>
      <c r="E2109" t="s">
        <v>15</v>
      </c>
      <c r="F2109">
        <v>5</v>
      </c>
      <c r="G2109">
        <v>6700</v>
      </c>
      <c r="H2109">
        <v>33500</v>
      </c>
      <c r="I2109" s="3">
        <v>45311.75</v>
      </c>
      <c r="J2109">
        <v>96</v>
      </c>
      <c r="K2109" s="3">
        <v>45314.75</v>
      </c>
      <c r="L2109" s="4">
        <f>ROUNDDOWN(Table1[[#This Row],[Ordered]],0)</f>
        <v>45310</v>
      </c>
      <c r="M2109" s="4">
        <f>Table1[[#This Row],[Date ]]</f>
        <v>45310</v>
      </c>
      <c r="N2109" s="5">
        <f>Table1[[#This Row],[Ordered]]-Table1[[#This Row],[Date ]]</f>
        <v>0.70833333333575865</v>
      </c>
      <c r="O2109">
        <f>Table1[[#This Row],[Company]]</f>
        <v>12</v>
      </c>
      <c r="P21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0" spans="1:16" x14ac:dyDescent="0.45">
      <c r="A2110" s="3">
        <v>45310.708333333336</v>
      </c>
      <c r="B2110" t="s">
        <v>14</v>
      </c>
      <c r="C2110">
        <v>15</v>
      </c>
      <c r="D2110">
        <v>1001</v>
      </c>
      <c r="E2110" t="s">
        <v>15</v>
      </c>
      <c r="F2110">
        <v>10</v>
      </c>
      <c r="G2110">
        <v>6400</v>
      </c>
      <c r="H2110">
        <v>64000</v>
      </c>
      <c r="I2110" s="3">
        <v>45310.75</v>
      </c>
      <c r="J2110">
        <v>64</v>
      </c>
      <c r="K2110" s="3">
        <v>45312.75</v>
      </c>
      <c r="L2110" s="4">
        <f>ROUNDDOWN(Table1[[#This Row],[Ordered]],0)</f>
        <v>45310</v>
      </c>
      <c r="M2110" s="4">
        <f>Table1[[#This Row],[Date ]]</f>
        <v>45310</v>
      </c>
      <c r="N2110" s="5">
        <f>Table1[[#This Row],[Ordered]]-Table1[[#This Row],[Date ]]</f>
        <v>0.70833333333575865</v>
      </c>
      <c r="O2110">
        <f>Table1[[#This Row],[Company]]</f>
        <v>15</v>
      </c>
      <c r="P21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1" spans="1:16" x14ac:dyDescent="0.45">
      <c r="A2111" s="3">
        <v>45310.708333333336</v>
      </c>
      <c r="B2111" t="s">
        <v>14</v>
      </c>
      <c r="C2111">
        <v>13</v>
      </c>
      <c r="D2111">
        <v>1001</v>
      </c>
      <c r="E2111" t="s">
        <v>15</v>
      </c>
      <c r="F2111">
        <v>9</v>
      </c>
      <c r="G2111">
        <v>6300</v>
      </c>
      <c r="H2111">
        <v>56700</v>
      </c>
      <c r="I2111" s="3">
        <v>45312.375</v>
      </c>
      <c r="J2111">
        <v>96</v>
      </c>
      <c r="K2111" s="3">
        <v>45314.375</v>
      </c>
      <c r="L2111" s="4">
        <f>ROUNDDOWN(Table1[[#This Row],[Ordered]],0)</f>
        <v>45310</v>
      </c>
      <c r="M2111" s="4">
        <f>Table1[[#This Row],[Date ]]</f>
        <v>45310</v>
      </c>
      <c r="N2111" s="5">
        <f>Table1[[#This Row],[Ordered]]-Table1[[#This Row],[Date ]]</f>
        <v>0.70833333333575865</v>
      </c>
      <c r="O2111">
        <f>Table1[[#This Row],[Company]]</f>
        <v>13</v>
      </c>
      <c r="P21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2" spans="1:16" x14ac:dyDescent="0.45">
      <c r="A2112" s="3">
        <v>45310.708333333336</v>
      </c>
      <c r="B2112" t="s">
        <v>14</v>
      </c>
      <c r="C2112">
        <v>16</v>
      </c>
      <c r="D2112">
        <v>1001</v>
      </c>
      <c r="E2112" t="s">
        <v>15</v>
      </c>
      <c r="F2112">
        <v>8</v>
      </c>
      <c r="G2112">
        <v>6050</v>
      </c>
      <c r="H2112">
        <v>48400</v>
      </c>
      <c r="I2112" s="3">
        <v>45310.875</v>
      </c>
      <c r="J2112">
        <v>96</v>
      </c>
      <c r="K2112" s="3">
        <v>45313.875</v>
      </c>
      <c r="L2112" s="4">
        <f>ROUNDDOWN(Table1[[#This Row],[Ordered]],0)</f>
        <v>45310</v>
      </c>
      <c r="M2112" s="4">
        <f>Table1[[#This Row],[Date ]]</f>
        <v>45310</v>
      </c>
      <c r="N2112" s="5">
        <f>Table1[[#This Row],[Ordered]]-Table1[[#This Row],[Date ]]</f>
        <v>0.70833333333575865</v>
      </c>
      <c r="O2112">
        <f>Table1[[#This Row],[Company]]</f>
        <v>16</v>
      </c>
      <c r="P21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3" spans="1:16" hidden="1" x14ac:dyDescent="0.45">
      <c r="A2113" s="3">
        <v>45310.75</v>
      </c>
      <c r="B2113" t="s">
        <v>12</v>
      </c>
      <c r="C2113">
        <v>2</v>
      </c>
      <c r="D2113">
        <v>7</v>
      </c>
      <c r="E2113" t="s">
        <v>17</v>
      </c>
      <c r="F2113">
        <v>300</v>
      </c>
      <c r="G2113">
        <v>1650</v>
      </c>
      <c r="H2113">
        <v>495000</v>
      </c>
      <c r="I2113" s="3">
        <v>45310.791666666664</v>
      </c>
      <c r="J2113">
        <v>24</v>
      </c>
      <c r="K2113" s="3">
        <v>45311.791666666664</v>
      </c>
      <c r="L2113" s="4">
        <f>ROUNDDOWN(Table1[[#This Row],[Ordered]],0)</f>
        <v>45310</v>
      </c>
      <c r="M2113" s="4">
        <f>Table1[[#This Row],[Date ]]</f>
        <v>45310</v>
      </c>
      <c r="N2113" s="5">
        <f>Table1[[#This Row],[Ordered]]-Table1[[#This Row],[Date ]]</f>
        <v>0.75</v>
      </c>
      <c r="O2113">
        <f>Table1[[#This Row],[Company]]</f>
        <v>2</v>
      </c>
      <c r="P21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4" spans="1:16" x14ac:dyDescent="0.45">
      <c r="A2114" s="3">
        <v>45310.791666666664</v>
      </c>
      <c r="B2114" t="s">
        <v>14</v>
      </c>
      <c r="C2114">
        <v>13</v>
      </c>
      <c r="D2114">
        <v>1005</v>
      </c>
      <c r="E2114" t="s">
        <v>16</v>
      </c>
      <c r="F2114">
        <v>30</v>
      </c>
      <c r="G2114">
        <v>3400</v>
      </c>
      <c r="H2114">
        <v>102000</v>
      </c>
      <c r="I2114" s="3">
        <v>45312.666666666664</v>
      </c>
      <c r="J2114">
        <v>96</v>
      </c>
      <c r="K2114" s="3">
        <v>45314.666666666664</v>
      </c>
      <c r="L2114" s="4">
        <f>ROUNDDOWN(Table1[[#This Row],[Ordered]],0)</f>
        <v>45310</v>
      </c>
      <c r="M2114" s="4">
        <f>Table1[[#This Row],[Date ]]</f>
        <v>45310</v>
      </c>
      <c r="N2114" s="5">
        <f>Table1[[#This Row],[Ordered]]-Table1[[#This Row],[Date ]]</f>
        <v>0.79166666666424135</v>
      </c>
      <c r="O2114">
        <f>Table1[[#This Row],[Company]]</f>
        <v>13</v>
      </c>
      <c r="P21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5" spans="1:16" x14ac:dyDescent="0.45">
      <c r="A2115" s="3">
        <v>45310.791666666664</v>
      </c>
      <c r="B2115" t="s">
        <v>14</v>
      </c>
      <c r="C2115">
        <v>8</v>
      </c>
      <c r="D2115">
        <v>1005</v>
      </c>
      <c r="E2115" t="s">
        <v>16</v>
      </c>
      <c r="F2115">
        <v>35</v>
      </c>
      <c r="G2115">
        <v>4100</v>
      </c>
      <c r="H2115">
        <v>143500</v>
      </c>
      <c r="I2115" s="3">
        <v>45313.75</v>
      </c>
      <c r="J2115">
        <v>156</v>
      </c>
      <c r="K2115" s="3">
        <v>45316.75</v>
      </c>
      <c r="L2115" s="4">
        <f>ROUNDDOWN(Table1[[#This Row],[Ordered]],0)</f>
        <v>45310</v>
      </c>
      <c r="M2115" s="4">
        <f>Table1[[#This Row],[Date ]]</f>
        <v>45310</v>
      </c>
      <c r="N2115" s="5">
        <f>Table1[[#This Row],[Ordered]]-Table1[[#This Row],[Date ]]</f>
        <v>0.79166666666424135</v>
      </c>
      <c r="O2115">
        <f>Table1[[#This Row],[Company]]</f>
        <v>8</v>
      </c>
      <c r="P21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6" spans="1:16" x14ac:dyDescent="0.45">
      <c r="A2116" s="3">
        <v>45310.791666666664</v>
      </c>
      <c r="B2116" t="s">
        <v>14</v>
      </c>
      <c r="C2116">
        <v>14</v>
      </c>
      <c r="D2116">
        <v>1005</v>
      </c>
      <c r="E2116" t="s">
        <v>16</v>
      </c>
      <c r="F2116">
        <v>39</v>
      </c>
      <c r="G2116">
        <v>3750</v>
      </c>
      <c r="H2116">
        <v>146250</v>
      </c>
      <c r="I2116" s="3">
        <v>45310.791666666664</v>
      </c>
      <c r="J2116">
        <v>84</v>
      </c>
      <c r="K2116" s="3">
        <v>45313.791666666664</v>
      </c>
      <c r="L2116" s="4">
        <f>ROUNDDOWN(Table1[[#This Row],[Ordered]],0)</f>
        <v>45310</v>
      </c>
      <c r="M2116" s="4">
        <f>Table1[[#This Row],[Date ]]</f>
        <v>45310</v>
      </c>
      <c r="N2116" s="5">
        <f>Table1[[#This Row],[Ordered]]-Table1[[#This Row],[Date ]]</f>
        <v>0.79166666666424135</v>
      </c>
      <c r="O2116">
        <f>Table1[[#This Row],[Company]]</f>
        <v>14</v>
      </c>
      <c r="P21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7" spans="1:16" x14ac:dyDescent="0.45">
      <c r="A2117" s="3">
        <v>45310.791666666664</v>
      </c>
      <c r="B2117" t="s">
        <v>14</v>
      </c>
      <c r="C2117">
        <v>12</v>
      </c>
      <c r="D2117">
        <v>1005</v>
      </c>
      <c r="E2117" t="s">
        <v>16</v>
      </c>
      <c r="F2117">
        <v>30</v>
      </c>
      <c r="G2117">
        <v>3800</v>
      </c>
      <c r="H2117">
        <v>114000</v>
      </c>
      <c r="I2117" s="3">
        <v>45312.416666666664</v>
      </c>
      <c r="J2117">
        <v>96</v>
      </c>
      <c r="K2117" s="3">
        <v>45314.416666666664</v>
      </c>
      <c r="L2117" s="4">
        <f>ROUNDDOWN(Table1[[#This Row],[Ordered]],0)</f>
        <v>45310</v>
      </c>
      <c r="M2117" s="4">
        <f>Table1[[#This Row],[Date ]]</f>
        <v>45310</v>
      </c>
      <c r="N2117" s="5">
        <f>Table1[[#This Row],[Ordered]]-Table1[[#This Row],[Date ]]</f>
        <v>0.79166666666424135</v>
      </c>
      <c r="O2117">
        <f>Table1[[#This Row],[Company]]</f>
        <v>12</v>
      </c>
      <c r="P21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8" spans="1:16" x14ac:dyDescent="0.45">
      <c r="A2118" s="3">
        <v>45310.791666666664</v>
      </c>
      <c r="B2118" t="s">
        <v>14</v>
      </c>
      <c r="C2118">
        <v>9</v>
      </c>
      <c r="D2118">
        <v>1005</v>
      </c>
      <c r="E2118" t="s">
        <v>16</v>
      </c>
      <c r="F2118">
        <v>15</v>
      </c>
      <c r="G2118">
        <v>3799</v>
      </c>
      <c r="H2118">
        <v>56985</v>
      </c>
      <c r="I2118" s="3">
        <v>45310.791666666664</v>
      </c>
      <c r="J2118">
        <v>76</v>
      </c>
      <c r="K2118" s="3">
        <v>45313.791666666664</v>
      </c>
      <c r="L2118" s="4">
        <f>ROUNDDOWN(Table1[[#This Row],[Ordered]],0)</f>
        <v>45310</v>
      </c>
      <c r="M2118" s="4">
        <f>Table1[[#This Row],[Date ]]</f>
        <v>45310</v>
      </c>
      <c r="N2118" s="5">
        <f>Table1[[#This Row],[Ordered]]-Table1[[#This Row],[Date ]]</f>
        <v>0.79166666666424135</v>
      </c>
      <c r="O2118">
        <f>Table1[[#This Row],[Company]]</f>
        <v>9</v>
      </c>
      <c r="P21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9" spans="1:16" x14ac:dyDescent="0.45">
      <c r="A2119" s="3">
        <v>45310.791666666664</v>
      </c>
      <c r="B2119" t="s">
        <v>14</v>
      </c>
      <c r="C2119">
        <v>10</v>
      </c>
      <c r="D2119">
        <v>1005</v>
      </c>
      <c r="E2119" t="s">
        <v>16</v>
      </c>
      <c r="F2119">
        <v>30</v>
      </c>
      <c r="G2119">
        <v>4200</v>
      </c>
      <c r="H2119">
        <v>126000</v>
      </c>
      <c r="I2119" s="3">
        <v>45311.791666666664</v>
      </c>
      <c r="J2119">
        <v>84</v>
      </c>
      <c r="K2119" s="3">
        <v>45313.791666666664</v>
      </c>
      <c r="L2119" s="4">
        <f>ROUNDDOWN(Table1[[#This Row],[Ordered]],0)</f>
        <v>45310</v>
      </c>
      <c r="M2119" s="4">
        <f>Table1[[#This Row],[Date ]]</f>
        <v>45310</v>
      </c>
      <c r="N2119" s="5">
        <f>Table1[[#This Row],[Ordered]]-Table1[[#This Row],[Date ]]</f>
        <v>0.79166666666424135</v>
      </c>
      <c r="O2119">
        <f>Table1[[#This Row],[Company]]</f>
        <v>10</v>
      </c>
      <c r="P21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0" spans="1:16" x14ac:dyDescent="0.45">
      <c r="A2120" s="3">
        <v>45310.791666666664</v>
      </c>
      <c r="B2120" t="s">
        <v>14</v>
      </c>
      <c r="C2120">
        <v>16</v>
      </c>
      <c r="D2120">
        <v>1005</v>
      </c>
      <c r="E2120" t="s">
        <v>16</v>
      </c>
      <c r="F2120">
        <v>30</v>
      </c>
      <c r="G2120">
        <v>3750</v>
      </c>
      <c r="H2120">
        <v>112500</v>
      </c>
      <c r="I2120" s="3">
        <v>45310.916666666664</v>
      </c>
      <c r="J2120">
        <v>96</v>
      </c>
      <c r="K2120" s="3">
        <v>45313.916666666664</v>
      </c>
      <c r="L2120" s="4">
        <f>ROUNDDOWN(Table1[[#This Row],[Ordered]],0)</f>
        <v>45310</v>
      </c>
      <c r="M2120" s="4">
        <f>Table1[[#This Row],[Date ]]</f>
        <v>45310</v>
      </c>
      <c r="N2120" s="5">
        <f>Table1[[#This Row],[Ordered]]-Table1[[#This Row],[Date ]]</f>
        <v>0.79166666666424135</v>
      </c>
      <c r="O2120">
        <f>Table1[[#This Row],[Company]]</f>
        <v>16</v>
      </c>
      <c r="P21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1" spans="1:16" x14ac:dyDescent="0.45">
      <c r="A2121" s="3">
        <v>45310.791666666664</v>
      </c>
      <c r="B2121" t="s">
        <v>14</v>
      </c>
      <c r="C2121">
        <v>11</v>
      </c>
      <c r="D2121">
        <v>1005</v>
      </c>
      <c r="E2121" t="s">
        <v>16</v>
      </c>
      <c r="F2121">
        <v>30</v>
      </c>
      <c r="G2121">
        <v>4000</v>
      </c>
      <c r="H2121">
        <v>120000</v>
      </c>
      <c r="I2121" s="3">
        <v>45312.583333333336</v>
      </c>
      <c r="J2121">
        <v>96</v>
      </c>
      <c r="K2121" s="3">
        <v>45314.583333333336</v>
      </c>
      <c r="L2121" s="4">
        <f>ROUNDDOWN(Table1[[#This Row],[Ordered]],0)</f>
        <v>45310</v>
      </c>
      <c r="M2121" s="4">
        <f>Table1[[#This Row],[Date ]]</f>
        <v>45310</v>
      </c>
      <c r="N2121" s="5">
        <f>Table1[[#This Row],[Ordered]]-Table1[[#This Row],[Date ]]</f>
        <v>0.79166666666424135</v>
      </c>
      <c r="O2121">
        <f>Table1[[#This Row],[Company]]</f>
        <v>11</v>
      </c>
      <c r="P21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2" spans="1:16" hidden="1" x14ac:dyDescent="0.45">
      <c r="A2122" s="3">
        <v>45310.791666666664</v>
      </c>
      <c r="B2122" t="s">
        <v>12</v>
      </c>
      <c r="C2122">
        <v>3</v>
      </c>
      <c r="D2122">
        <v>7</v>
      </c>
      <c r="E2122" t="s">
        <v>13</v>
      </c>
      <c r="F2122">
        <v>4000</v>
      </c>
      <c r="G2122">
        <v>135</v>
      </c>
      <c r="H2122">
        <v>540000</v>
      </c>
      <c r="I2122" s="3">
        <v>45310.833333333336</v>
      </c>
      <c r="J2122">
        <v>72</v>
      </c>
      <c r="K2122" s="3">
        <v>45313.833333333336</v>
      </c>
      <c r="L2122" s="4">
        <f>ROUNDDOWN(Table1[[#This Row],[Ordered]],0)</f>
        <v>45310</v>
      </c>
      <c r="M2122" s="4">
        <f>Table1[[#This Row],[Date ]]</f>
        <v>45310</v>
      </c>
      <c r="N2122" s="5">
        <f>Table1[[#This Row],[Ordered]]-Table1[[#This Row],[Date ]]</f>
        <v>0.79166666666424135</v>
      </c>
      <c r="O2122">
        <f>Table1[[#This Row],[Company]]</f>
        <v>3</v>
      </c>
      <c r="P21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3" spans="1:16" x14ac:dyDescent="0.45">
      <c r="A2123" s="3">
        <v>45310.791666666664</v>
      </c>
      <c r="B2123" t="s">
        <v>14</v>
      </c>
      <c r="C2123">
        <v>15</v>
      </c>
      <c r="D2123">
        <v>1005</v>
      </c>
      <c r="E2123" t="s">
        <v>16</v>
      </c>
      <c r="F2123">
        <v>50</v>
      </c>
      <c r="G2123">
        <v>3400</v>
      </c>
      <c r="H2123">
        <v>170000</v>
      </c>
      <c r="I2123" s="3">
        <v>45310.958333333336</v>
      </c>
      <c r="J2123">
        <v>88</v>
      </c>
      <c r="K2123" s="3">
        <v>45313.958333333336</v>
      </c>
      <c r="L2123" s="4">
        <f>ROUNDDOWN(Table1[[#This Row],[Ordered]],0)</f>
        <v>45310</v>
      </c>
      <c r="M2123" s="4">
        <f>Table1[[#This Row],[Date ]]</f>
        <v>45310</v>
      </c>
      <c r="N2123" s="5">
        <f>Table1[[#This Row],[Ordered]]-Table1[[#This Row],[Date ]]</f>
        <v>0.79166666666424135</v>
      </c>
      <c r="O2123">
        <f>Table1[[#This Row],[Company]]</f>
        <v>15</v>
      </c>
      <c r="P21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4" spans="1:16" x14ac:dyDescent="0.45">
      <c r="A2124" s="3">
        <v>45310.791666666664</v>
      </c>
      <c r="B2124" t="s">
        <v>14</v>
      </c>
      <c r="C2124">
        <v>7</v>
      </c>
      <c r="D2124">
        <v>1005</v>
      </c>
      <c r="E2124" t="s">
        <v>16</v>
      </c>
      <c r="F2124">
        <v>31</v>
      </c>
      <c r="G2124">
        <v>4150</v>
      </c>
      <c r="H2124">
        <v>128650</v>
      </c>
      <c r="I2124" s="3">
        <v>45311.666666666664</v>
      </c>
      <c r="J2124">
        <v>96</v>
      </c>
      <c r="K2124" s="3">
        <v>45314.666666666664</v>
      </c>
      <c r="L2124" s="4">
        <f>ROUNDDOWN(Table1[[#This Row],[Ordered]],0)</f>
        <v>45310</v>
      </c>
      <c r="M2124" s="4">
        <f>Table1[[#This Row],[Date ]]</f>
        <v>45310</v>
      </c>
      <c r="N2124" s="5">
        <f>Table1[[#This Row],[Ordered]]-Table1[[#This Row],[Date ]]</f>
        <v>0.79166666666424135</v>
      </c>
      <c r="O2124">
        <f>Table1[[#This Row],[Company]]</f>
        <v>7</v>
      </c>
      <c r="P21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5" spans="1:16" hidden="1" x14ac:dyDescent="0.45">
      <c r="A2125" s="3">
        <v>45310.791666666664</v>
      </c>
      <c r="B2125" t="s">
        <v>12</v>
      </c>
      <c r="C2125">
        <v>2</v>
      </c>
      <c r="D2125">
        <v>7</v>
      </c>
      <c r="E2125" t="s">
        <v>13</v>
      </c>
      <c r="F2125">
        <v>5000</v>
      </c>
      <c r="G2125">
        <v>120</v>
      </c>
      <c r="H2125">
        <v>600000</v>
      </c>
      <c r="I2125" s="3">
        <v>45311.083333333336</v>
      </c>
      <c r="J2125">
        <v>24</v>
      </c>
      <c r="K2125" s="3">
        <v>45312.083333333336</v>
      </c>
      <c r="L2125" s="4">
        <f>ROUNDDOWN(Table1[[#This Row],[Ordered]],0)</f>
        <v>45310</v>
      </c>
      <c r="M2125" s="4">
        <f>Table1[[#This Row],[Date ]]</f>
        <v>45310</v>
      </c>
      <c r="N2125" s="5">
        <f>Table1[[#This Row],[Ordered]]-Table1[[#This Row],[Date ]]</f>
        <v>0.79166666666424135</v>
      </c>
      <c r="O2125">
        <f>Table1[[#This Row],[Company]]</f>
        <v>2</v>
      </c>
      <c r="P21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6" spans="1:16" hidden="1" x14ac:dyDescent="0.45">
      <c r="A2126" s="3">
        <v>45310.875</v>
      </c>
      <c r="B2126" t="s">
        <v>12</v>
      </c>
      <c r="C2126">
        <v>3</v>
      </c>
      <c r="D2126">
        <v>7</v>
      </c>
      <c r="E2126" t="s">
        <v>17</v>
      </c>
      <c r="F2126">
        <v>400</v>
      </c>
      <c r="G2126">
        <v>1350</v>
      </c>
      <c r="H2126">
        <v>540000</v>
      </c>
      <c r="I2126" s="3">
        <v>45311.083333333336</v>
      </c>
      <c r="J2126">
        <v>72</v>
      </c>
      <c r="K2126" s="3">
        <v>45314.083333333336</v>
      </c>
      <c r="L2126" s="4">
        <f>ROUNDDOWN(Table1[[#This Row],[Ordered]],0)</f>
        <v>45310</v>
      </c>
      <c r="M2126" s="4">
        <f>Table1[[#This Row],[Date ]]</f>
        <v>45310</v>
      </c>
      <c r="N2126" s="5">
        <f>Table1[[#This Row],[Ordered]]-Table1[[#This Row],[Date ]]</f>
        <v>0.875</v>
      </c>
      <c r="O2126">
        <f>Table1[[#This Row],[Company]]</f>
        <v>3</v>
      </c>
      <c r="P21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7" spans="1:16" x14ac:dyDescent="0.45">
      <c r="A2127" s="3">
        <v>45310.916666666664</v>
      </c>
      <c r="B2127" t="s">
        <v>14</v>
      </c>
      <c r="C2127">
        <v>14</v>
      </c>
      <c r="D2127">
        <v>1011</v>
      </c>
      <c r="E2127" t="s">
        <v>15</v>
      </c>
      <c r="F2127">
        <v>5</v>
      </c>
      <c r="G2127">
        <v>6650</v>
      </c>
      <c r="H2127">
        <v>33250</v>
      </c>
      <c r="I2127" s="3">
        <v>45310.916666666664</v>
      </c>
      <c r="J2127">
        <v>84</v>
      </c>
      <c r="K2127" s="3">
        <v>45313.916666666664</v>
      </c>
      <c r="L2127" s="4">
        <f>ROUNDDOWN(Table1[[#This Row],[Ordered]],0)</f>
        <v>45310</v>
      </c>
      <c r="M2127" s="4">
        <f>Table1[[#This Row],[Date ]]</f>
        <v>45310</v>
      </c>
      <c r="N2127" s="5">
        <f>Table1[[#This Row],[Ordered]]-Table1[[#This Row],[Date ]]</f>
        <v>0.91666666666424135</v>
      </c>
      <c r="O2127">
        <f>Table1[[#This Row],[Company]]</f>
        <v>14</v>
      </c>
      <c r="P21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8" spans="1:16" x14ac:dyDescent="0.45">
      <c r="A2128" s="3">
        <v>45310.916666666664</v>
      </c>
      <c r="B2128" t="s">
        <v>14</v>
      </c>
      <c r="C2128">
        <v>13</v>
      </c>
      <c r="D2128">
        <v>1011</v>
      </c>
      <c r="E2128" t="s">
        <v>15</v>
      </c>
      <c r="F2128">
        <v>12</v>
      </c>
      <c r="G2128">
        <v>6300</v>
      </c>
      <c r="H2128">
        <v>75600</v>
      </c>
      <c r="I2128" s="3">
        <v>45311.75</v>
      </c>
      <c r="J2128">
        <v>96</v>
      </c>
      <c r="K2128" s="3">
        <v>45314.75</v>
      </c>
      <c r="L2128" s="4">
        <f>ROUNDDOWN(Table1[[#This Row],[Ordered]],0)</f>
        <v>45310</v>
      </c>
      <c r="M2128" s="4">
        <f>Table1[[#This Row],[Date ]]</f>
        <v>45310</v>
      </c>
      <c r="N2128" s="5">
        <f>Table1[[#This Row],[Ordered]]-Table1[[#This Row],[Date ]]</f>
        <v>0.91666666666424135</v>
      </c>
      <c r="O2128">
        <f>Table1[[#This Row],[Company]]</f>
        <v>13</v>
      </c>
      <c r="P21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9" spans="1:16" x14ac:dyDescent="0.45">
      <c r="A2129" s="3">
        <v>45310.916666666664</v>
      </c>
      <c r="B2129" t="s">
        <v>14</v>
      </c>
      <c r="C2129">
        <v>12</v>
      </c>
      <c r="D2129">
        <v>1011</v>
      </c>
      <c r="E2129" t="s">
        <v>15</v>
      </c>
      <c r="F2129">
        <v>7</v>
      </c>
      <c r="G2129">
        <v>6700</v>
      </c>
      <c r="H2129">
        <v>46900</v>
      </c>
      <c r="I2129" s="3">
        <v>45314.958333333336</v>
      </c>
      <c r="J2129">
        <v>96</v>
      </c>
      <c r="K2129" s="3">
        <v>45315.958333333336</v>
      </c>
      <c r="L2129" s="4">
        <f>ROUNDDOWN(Table1[[#This Row],[Ordered]],0)</f>
        <v>45310</v>
      </c>
      <c r="M2129" s="4">
        <f>Table1[[#This Row],[Date ]]</f>
        <v>45310</v>
      </c>
      <c r="N2129" s="5">
        <f>Table1[[#This Row],[Ordered]]-Table1[[#This Row],[Date ]]</f>
        <v>0.91666666666424135</v>
      </c>
      <c r="O2129">
        <f>Table1[[#This Row],[Company]]</f>
        <v>12</v>
      </c>
      <c r="P21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0" spans="1:16" x14ac:dyDescent="0.45">
      <c r="A2130" s="3">
        <v>45310.916666666664</v>
      </c>
      <c r="B2130" t="s">
        <v>14</v>
      </c>
      <c r="C2130">
        <v>11</v>
      </c>
      <c r="D2130">
        <v>1011</v>
      </c>
      <c r="E2130" t="s">
        <v>15</v>
      </c>
      <c r="F2130">
        <v>8</v>
      </c>
      <c r="G2130">
        <v>6400</v>
      </c>
      <c r="H2130">
        <v>51200</v>
      </c>
      <c r="I2130" s="3">
        <v>45311.166666666664</v>
      </c>
      <c r="J2130">
        <v>72</v>
      </c>
      <c r="K2130" s="3">
        <v>45313.166666666664</v>
      </c>
      <c r="L2130" s="4">
        <f>ROUNDDOWN(Table1[[#This Row],[Ordered]],0)</f>
        <v>45310</v>
      </c>
      <c r="M2130" s="4">
        <f>Table1[[#This Row],[Date ]]</f>
        <v>45310</v>
      </c>
      <c r="N2130" s="5">
        <f>Table1[[#This Row],[Ordered]]-Table1[[#This Row],[Date ]]</f>
        <v>0.91666666666424135</v>
      </c>
      <c r="O2130">
        <f>Table1[[#This Row],[Company]]</f>
        <v>11</v>
      </c>
      <c r="P21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1" spans="1:16" x14ac:dyDescent="0.45">
      <c r="A2131" s="3">
        <v>45310.916666666664</v>
      </c>
      <c r="B2131" t="s">
        <v>14</v>
      </c>
      <c r="C2131">
        <v>16</v>
      </c>
      <c r="D2131">
        <v>1011</v>
      </c>
      <c r="E2131" t="s">
        <v>15</v>
      </c>
      <c r="F2131">
        <v>10</v>
      </c>
      <c r="G2131">
        <v>6050</v>
      </c>
      <c r="H2131">
        <v>60500</v>
      </c>
      <c r="I2131" s="3">
        <v>45311.208333333336</v>
      </c>
      <c r="J2131">
        <v>96</v>
      </c>
      <c r="K2131" s="3">
        <v>45314.208333333336</v>
      </c>
      <c r="L2131" s="4">
        <f>ROUNDDOWN(Table1[[#This Row],[Ordered]],0)</f>
        <v>45310</v>
      </c>
      <c r="M2131" s="4">
        <f>Table1[[#This Row],[Date ]]</f>
        <v>45310</v>
      </c>
      <c r="N2131" s="5">
        <f>Table1[[#This Row],[Ordered]]-Table1[[#This Row],[Date ]]</f>
        <v>0.91666666666424135</v>
      </c>
      <c r="O2131">
        <f>Table1[[#This Row],[Company]]</f>
        <v>16</v>
      </c>
      <c r="P21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2" spans="1:16" x14ac:dyDescent="0.45">
      <c r="A2132" s="3">
        <v>45310.916666666664</v>
      </c>
      <c r="B2132" t="s">
        <v>14</v>
      </c>
      <c r="C2132">
        <v>15</v>
      </c>
      <c r="D2132">
        <v>1011</v>
      </c>
      <c r="E2132" t="s">
        <v>15</v>
      </c>
      <c r="F2132">
        <v>13</v>
      </c>
      <c r="G2132">
        <v>6400</v>
      </c>
      <c r="H2132">
        <v>83200</v>
      </c>
      <c r="I2132" s="3">
        <v>45310.958333333336</v>
      </c>
      <c r="J2132">
        <v>64</v>
      </c>
      <c r="K2132" s="3">
        <v>45312.958333333336</v>
      </c>
      <c r="L2132" s="4">
        <f>ROUNDDOWN(Table1[[#This Row],[Ordered]],0)</f>
        <v>45310</v>
      </c>
      <c r="M2132" s="4">
        <f>Table1[[#This Row],[Date ]]</f>
        <v>45310</v>
      </c>
      <c r="N2132" s="5">
        <f>Table1[[#This Row],[Ordered]]-Table1[[#This Row],[Date ]]</f>
        <v>0.91666666666424135</v>
      </c>
      <c r="O2132">
        <f>Table1[[#This Row],[Company]]</f>
        <v>15</v>
      </c>
      <c r="P21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3" spans="1:16" hidden="1" x14ac:dyDescent="0.45">
      <c r="A2133" s="3">
        <v>45310.958333333336</v>
      </c>
      <c r="B2133" t="s">
        <v>12</v>
      </c>
      <c r="C2133">
        <v>5</v>
      </c>
      <c r="D2133">
        <v>16</v>
      </c>
      <c r="E2133" t="s">
        <v>13</v>
      </c>
      <c r="F2133">
        <v>2000</v>
      </c>
      <c r="G2133">
        <v>120</v>
      </c>
      <c r="H2133">
        <v>240000</v>
      </c>
      <c r="I2133" s="3">
        <v>45311</v>
      </c>
      <c r="J2133">
        <v>48</v>
      </c>
      <c r="K2133" s="3">
        <v>45313</v>
      </c>
      <c r="L2133" s="4">
        <f>ROUNDDOWN(Table1[[#This Row],[Ordered]],0)</f>
        <v>45310</v>
      </c>
      <c r="M2133" s="4">
        <f>Table1[[#This Row],[Date ]]</f>
        <v>45310</v>
      </c>
      <c r="N2133" s="5">
        <f>Table1[[#This Row],[Ordered]]-Table1[[#This Row],[Date ]]</f>
        <v>0.95833333333575865</v>
      </c>
      <c r="O2133">
        <f>Table1[[#This Row],[Company]]</f>
        <v>5</v>
      </c>
      <c r="P21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4" spans="1:16" hidden="1" x14ac:dyDescent="0.45">
      <c r="A2134" s="3">
        <v>45310.958333333336</v>
      </c>
      <c r="B2134" t="s">
        <v>12</v>
      </c>
      <c r="C2134">
        <v>4</v>
      </c>
      <c r="D2134">
        <v>9</v>
      </c>
      <c r="E2134" t="s">
        <v>17</v>
      </c>
      <c r="F2134">
        <v>400</v>
      </c>
      <c r="G2134">
        <v>1350</v>
      </c>
      <c r="H2134">
        <v>540000</v>
      </c>
      <c r="I2134" s="3">
        <v>45310.958333333336</v>
      </c>
      <c r="J2134">
        <v>24</v>
      </c>
      <c r="K2134" s="3">
        <v>45311.958333333336</v>
      </c>
      <c r="L2134" s="4">
        <f>ROUNDDOWN(Table1[[#This Row],[Ordered]],0)</f>
        <v>45310</v>
      </c>
      <c r="M2134" s="4">
        <f>Table1[[#This Row],[Date ]]</f>
        <v>45310</v>
      </c>
      <c r="N2134" s="5">
        <f>Table1[[#This Row],[Ordered]]-Table1[[#This Row],[Date ]]</f>
        <v>0.95833333333575865</v>
      </c>
      <c r="O2134">
        <f>Table1[[#This Row],[Company]]</f>
        <v>4</v>
      </c>
      <c r="P21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5" spans="1:16" x14ac:dyDescent="0.45">
      <c r="A2135" s="3">
        <v>45311</v>
      </c>
      <c r="B2135" t="s">
        <v>14</v>
      </c>
      <c r="C2135">
        <v>8</v>
      </c>
      <c r="D2135">
        <v>1002</v>
      </c>
      <c r="E2135" t="s">
        <v>15</v>
      </c>
      <c r="F2135">
        <v>5</v>
      </c>
      <c r="G2135">
        <v>6911</v>
      </c>
      <c r="H2135">
        <v>34555</v>
      </c>
      <c r="I2135" s="3">
        <v>45311.75</v>
      </c>
      <c r="J2135">
        <v>96</v>
      </c>
      <c r="K2135" s="3">
        <v>45314.75</v>
      </c>
      <c r="L2135" s="4">
        <f>ROUNDDOWN(Table1[[#This Row],[Ordered]],0)</f>
        <v>45311</v>
      </c>
      <c r="M2135" s="4">
        <f>Table1[[#This Row],[Date ]]</f>
        <v>45311</v>
      </c>
      <c r="N2135" s="5">
        <f>Table1[[#This Row],[Ordered]]-Table1[[#This Row],[Date ]]</f>
        <v>0</v>
      </c>
      <c r="O2135">
        <f>Table1[[#This Row],[Company]]</f>
        <v>8</v>
      </c>
      <c r="P21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6" spans="1:16" x14ac:dyDescent="0.45">
      <c r="A2136" s="3">
        <v>45311</v>
      </c>
      <c r="B2136" t="s">
        <v>14</v>
      </c>
      <c r="C2136">
        <v>11</v>
      </c>
      <c r="D2136">
        <v>1002</v>
      </c>
      <c r="E2136" t="s">
        <v>15</v>
      </c>
      <c r="F2136">
        <v>8</v>
      </c>
      <c r="G2136">
        <v>6400</v>
      </c>
      <c r="H2136">
        <v>51200</v>
      </c>
      <c r="I2136" s="3">
        <v>45311.25</v>
      </c>
      <c r="J2136">
        <v>72</v>
      </c>
      <c r="K2136" s="3">
        <v>45313.25</v>
      </c>
      <c r="L2136" s="4">
        <f>ROUNDDOWN(Table1[[#This Row],[Ordered]],0)</f>
        <v>45311</v>
      </c>
      <c r="M2136" s="4">
        <f>Table1[[#This Row],[Date ]]</f>
        <v>45311</v>
      </c>
      <c r="N2136" s="5">
        <f>Table1[[#This Row],[Ordered]]-Table1[[#This Row],[Date ]]</f>
        <v>0</v>
      </c>
      <c r="O2136">
        <f>Table1[[#This Row],[Company]]</f>
        <v>11</v>
      </c>
      <c r="P21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7" spans="1:16" x14ac:dyDescent="0.45">
      <c r="A2137" s="3">
        <v>45311</v>
      </c>
      <c r="B2137" t="s">
        <v>14</v>
      </c>
      <c r="C2137">
        <v>16</v>
      </c>
      <c r="D2137">
        <v>1002</v>
      </c>
      <c r="E2137" t="s">
        <v>15</v>
      </c>
      <c r="F2137">
        <v>10</v>
      </c>
      <c r="G2137">
        <v>6050</v>
      </c>
      <c r="H2137">
        <v>60500</v>
      </c>
      <c r="I2137" s="3">
        <v>45311.208333333336</v>
      </c>
      <c r="J2137">
        <v>96</v>
      </c>
      <c r="K2137" s="3">
        <v>45314.291666666664</v>
      </c>
      <c r="L2137" s="4">
        <f>ROUNDDOWN(Table1[[#This Row],[Ordered]],0)</f>
        <v>45311</v>
      </c>
      <c r="M2137" s="4">
        <f>Table1[[#This Row],[Date ]]</f>
        <v>45311</v>
      </c>
      <c r="N2137" s="5">
        <f>Table1[[#This Row],[Ordered]]-Table1[[#This Row],[Date ]]</f>
        <v>0</v>
      </c>
      <c r="O2137">
        <f>Table1[[#This Row],[Company]]</f>
        <v>16</v>
      </c>
      <c r="P21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8" spans="1:16" hidden="1" x14ac:dyDescent="0.45">
      <c r="A2138" s="3">
        <v>45311</v>
      </c>
      <c r="B2138" t="s">
        <v>12</v>
      </c>
      <c r="C2138">
        <v>4</v>
      </c>
      <c r="D2138">
        <v>8</v>
      </c>
      <c r="E2138" t="s">
        <v>17</v>
      </c>
      <c r="F2138">
        <v>450</v>
      </c>
      <c r="G2138">
        <v>1350</v>
      </c>
      <c r="H2138">
        <v>607500</v>
      </c>
      <c r="I2138" s="3">
        <v>45311.125</v>
      </c>
      <c r="J2138">
        <v>24</v>
      </c>
      <c r="K2138" s="3">
        <v>45312.125</v>
      </c>
      <c r="L2138" s="4">
        <f>ROUNDDOWN(Table1[[#This Row],[Ordered]],0)</f>
        <v>45311</v>
      </c>
      <c r="M2138" s="4">
        <f>Table1[[#This Row],[Date ]]</f>
        <v>45311</v>
      </c>
      <c r="N2138" s="5">
        <f>Table1[[#This Row],[Ordered]]-Table1[[#This Row],[Date ]]</f>
        <v>0</v>
      </c>
      <c r="O2138">
        <f>Table1[[#This Row],[Company]]</f>
        <v>4</v>
      </c>
      <c r="P21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9" spans="1:16" x14ac:dyDescent="0.45">
      <c r="A2139" s="3">
        <v>45311</v>
      </c>
      <c r="B2139" t="s">
        <v>14</v>
      </c>
      <c r="C2139">
        <v>13</v>
      </c>
      <c r="D2139">
        <v>1002</v>
      </c>
      <c r="E2139" t="s">
        <v>15</v>
      </c>
      <c r="F2139">
        <v>12</v>
      </c>
      <c r="G2139">
        <v>6300</v>
      </c>
      <c r="H2139">
        <v>75600</v>
      </c>
      <c r="I2139" s="3">
        <v>45312.708333333336</v>
      </c>
      <c r="J2139">
        <v>96</v>
      </c>
      <c r="K2139" s="3">
        <v>45314.708333333336</v>
      </c>
      <c r="L2139" s="4">
        <f>ROUNDDOWN(Table1[[#This Row],[Ordered]],0)</f>
        <v>45311</v>
      </c>
      <c r="M2139" s="4">
        <f>Table1[[#This Row],[Date ]]</f>
        <v>45311</v>
      </c>
      <c r="N2139" s="5">
        <f>Table1[[#This Row],[Ordered]]-Table1[[#This Row],[Date ]]</f>
        <v>0</v>
      </c>
      <c r="O2139">
        <f>Table1[[#This Row],[Company]]</f>
        <v>13</v>
      </c>
      <c r="P21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0" spans="1:16" x14ac:dyDescent="0.45">
      <c r="A2140" s="3">
        <v>45311</v>
      </c>
      <c r="B2140" t="s">
        <v>14</v>
      </c>
      <c r="C2140">
        <v>14</v>
      </c>
      <c r="D2140">
        <v>1002</v>
      </c>
      <c r="E2140" t="s">
        <v>15</v>
      </c>
      <c r="F2140">
        <v>6</v>
      </c>
      <c r="G2140">
        <v>6650</v>
      </c>
      <c r="H2140">
        <v>39900</v>
      </c>
      <c r="I2140" s="3">
        <v>45311</v>
      </c>
      <c r="J2140">
        <v>84</v>
      </c>
      <c r="K2140" s="3">
        <v>45314</v>
      </c>
      <c r="L2140" s="4">
        <f>ROUNDDOWN(Table1[[#This Row],[Ordered]],0)</f>
        <v>45311</v>
      </c>
      <c r="M2140" s="4">
        <f>Table1[[#This Row],[Date ]]</f>
        <v>45311</v>
      </c>
      <c r="N2140" s="5">
        <f>Table1[[#This Row],[Ordered]]-Table1[[#This Row],[Date ]]</f>
        <v>0</v>
      </c>
      <c r="O2140">
        <f>Table1[[#This Row],[Company]]</f>
        <v>14</v>
      </c>
      <c r="P21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1" spans="1:16" x14ac:dyDescent="0.45">
      <c r="A2141" s="3">
        <v>45311</v>
      </c>
      <c r="B2141" t="s">
        <v>14</v>
      </c>
      <c r="C2141">
        <v>9</v>
      </c>
      <c r="D2141">
        <v>1002</v>
      </c>
      <c r="E2141" t="s">
        <v>15</v>
      </c>
      <c r="F2141">
        <v>7</v>
      </c>
      <c r="G2141">
        <v>6699</v>
      </c>
      <c r="H2141">
        <v>46893</v>
      </c>
      <c r="I2141" s="3">
        <v>45311</v>
      </c>
      <c r="J2141">
        <v>75</v>
      </c>
      <c r="K2141" s="3">
        <v>45314</v>
      </c>
      <c r="L2141" s="4">
        <f>ROUNDDOWN(Table1[[#This Row],[Ordered]],0)</f>
        <v>45311</v>
      </c>
      <c r="M2141" s="4">
        <f>Table1[[#This Row],[Date ]]</f>
        <v>45311</v>
      </c>
      <c r="N2141" s="5">
        <f>Table1[[#This Row],[Ordered]]-Table1[[#This Row],[Date ]]</f>
        <v>0</v>
      </c>
      <c r="O2141">
        <f>Table1[[#This Row],[Company]]</f>
        <v>9</v>
      </c>
      <c r="P21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2" spans="1:16" x14ac:dyDescent="0.45">
      <c r="A2142" s="3">
        <v>45311</v>
      </c>
      <c r="B2142" t="s">
        <v>14</v>
      </c>
      <c r="C2142">
        <v>12</v>
      </c>
      <c r="D2142">
        <v>1002</v>
      </c>
      <c r="E2142" t="s">
        <v>15</v>
      </c>
      <c r="F2142">
        <v>9</v>
      </c>
      <c r="G2142">
        <v>6750</v>
      </c>
      <c r="H2142">
        <v>60750</v>
      </c>
      <c r="I2142" s="3">
        <v>45315.125</v>
      </c>
      <c r="J2142">
        <v>96</v>
      </c>
      <c r="K2142" s="3">
        <v>45316.125</v>
      </c>
      <c r="L2142" s="4">
        <f>ROUNDDOWN(Table1[[#This Row],[Ordered]],0)</f>
        <v>45311</v>
      </c>
      <c r="M2142" s="4">
        <f>Table1[[#This Row],[Date ]]</f>
        <v>45311</v>
      </c>
      <c r="N2142" s="5">
        <f>Table1[[#This Row],[Ordered]]-Table1[[#This Row],[Date ]]</f>
        <v>0</v>
      </c>
      <c r="O2142">
        <f>Table1[[#This Row],[Company]]</f>
        <v>12</v>
      </c>
      <c r="P21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3" spans="1:16" x14ac:dyDescent="0.45">
      <c r="A2143" s="3">
        <v>45311</v>
      </c>
      <c r="B2143" t="s">
        <v>14</v>
      </c>
      <c r="C2143">
        <v>15</v>
      </c>
      <c r="D2143">
        <v>1002</v>
      </c>
      <c r="E2143" t="s">
        <v>15</v>
      </c>
      <c r="F2143">
        <v>13</v>
      </c>
      <c r="G2143">
        <v>6400</v>
      </c>
      <c r="H2143">
        <v>83200</v>
      </c>
      <c r="I2143" s="3">
        <v>45311.083333333336</v>
      </c>
      <c r="J2143">
        <v>64</v>
      </c>
      <c r="K2143" s="3">
        <v>45313.083333333336</v>
      </c>
      <c r="L2143" s="4">
        <f>ROUNDDOWN(Table1[[#This Row],[Ordered]],0)</f>
        <v>45311</v>
      </c>
      <c r="M2143" s="4">
        <f>Table1[[#This Row],[Date ]]</f>
        <v>45311</v>
      </c>
      <c r="N2143" s="5">
        <f>Table1[[#This Row],[Ordered]]-Table1[[#This Row],[Date ]]</f>
        <v>0</v>
      </c>
      <c r="O2143">
        <f>Table1[[#This Row],[Company]]</f>
        <v>15</v>
      </c>
      <c r="P21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4" spans="1:16" hidden="1" x14ac:dyDescent="0.45">
      <c r="A2144" s="3">
        <v>45311.041666666664</v>
      </c>
      <c r="B2144" t="s">
        <v>12</v>
      </c>
      <c r="C2144">
        <v>5</v>
      </c>
      <c r="D2144">
        <v>9</v>
      </c>
      <c r="E2144" t="s">
        <v>17</v>
      </c>
      <c r="F2144">
        <v>150</v>
      </c>
      <c r="G2144">
        <v>1400</v>
      </c>
      <c r="H2144">
        <v>210000</v>
      </c>
      <c r="I2144" s="3">
        <v>45311.041666666664</v>
      </c>
      <c r="J2144">
        <v>72</v>
      </c>
      <c r="K2144" s="3">
        <v>45314.041666666664</v>
      </c>
      <c r="L2144" s="4">
        <f>ROUNDDOWN(Table1[[#This Row],[Ordered]],0)</f>
        <v>45311</v>
      </c>
      <c r="M2144" s="4">
        <f>Table1[[#This Row],[Date ]]</f>
        <v>45311</v>
      </c>
      <c r="N2144" s="5">
        <f>Table1[[#This Row],[Ordered]]-Table1[[#This Row],[Date ]]</f>
        <v>4.1666666664241347E-2</v>
      </c>
      <c r="O2144">
        <f>Table1[[#This Row],[Company]]</f>
        <v>5</v>
      </c>
      <c r="P21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5" spans="1:16" hidden="1" x14ac:dyDescent="0.45">
      <c r="A2145" s="3">
        <v>45311.041666666664</v>
      </c>
      <c r="B2145" t="s">
        <v>12</v>
      </c>
      <c r="C2145">
        <v>3</v>
      </c>
      <c r="D2145">
        <v>12</v>
      </c>
      <c r="E2145" t="s">
        <v>17</v>
      </c>
      <c r="F2145">
        <v>720</v>
      </c>
      <c r="G2145">
        <v>1300</v>
      </c>
      <c r="H2145">
        <v>936000</v>
      </c>
      <c r="I2145" s="3">
        <v>45311.041666666664</v>
      </c>
      <c r="J2145">
        <v>72</v>
      </c>
      <c r="K2145" s="3">
        <v>45314.041666666664</v>
      </c>
      <c r="L2145" s="4">
        <f>ROUNDDOWN(Table1[[#This Row],[Ordered]],0)</f>
        <v>45311</v>
      </c>
      <c r="M2145" s="4">
        <f>Table1[[#This Row],[Date ]]</f>
        <v>45311</v>
      </c>
      <c r="N2145" s="5">
        <f>Table1[[#This Row],[Ordered]]-Table1[[#This Row],[Date ]]</f>
        <v>4.1666666664241347E-2</v>
      </c>
      <c r="O2145">
        <f>Table1[[#This Row],[Company]]</f>
        <v>3</v>
      </c>
      <c r="P21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6" spans="1:16" hidden="1" x14ac:dyDescent="0.45">
      <c r="A2146" s="3">
        <v>45311.083333333336</v>
      </c>
      <c r="B2146" t="s">
        <v>12</v>
      </c>
      <c r="C2146">
        <v>3</v>
      </c>
      <c r="D2146">
        <v>12</v>
      </c>
      <c r="E2146" t="s">
        <v>13</v>
      </c>
      <c r="F2146">
        <v>3000</v>
      </c>
      <c r="G2146">
        <v>120</v>
      </c>
      <c r="H2146">
        <v>360000</v>
      </c>
      <c r="I2146" s="3">
        <v>45311.083333333336</v>
      </c>
      <c r="J2146">
        <v>72</v>
      </c>
      <c r="K2146" s="3">
        <v>45314.083333333336</v>
      </c>
      <c r="L2146" s="4">
        <f>ROUNDDOWN(Table1[[#This Row],[Ordered]],0)</f>
        <v>45311</v>
      </c>
      <c r="M2146" s="4">
        <f>Table1[[#This Row],[Date ]]</f>
        <v>45311</v>
      </c>
      <c r="N2146" s="5">
        <f>Table1[[#This Row],[Ordered]]-Table1[[#This Row],[Date ]]</f>
        <v>8.3333333335758653E-2</v>
      </c>
      <c r="O2146">
        <f>Table1[[#This Row],[Company]]</f>
        <v>3</v>
      </c>
      <c r="P21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7" spans="1:16" hidden="1" x14ac:dyDescent="0.45">
      <c r="A2147" s="3">
        <v>45311.166666666664</v>
      </c>
      <c r="B2147" t="s">
        <v>12</v>
      </c>
      <c r="C2147">
        <v>3</v>
      </c>
      <c r="D2147">
        <v>13</v>
      </c>
      <c r="E2147" t="s">
        <v>13</v>
      </c>
      <c r="F2147">
        <v>2000</v>
      </c>
      <c r="G2147">
        <v>125</v>
      </c>
      <c r="H2147">
        <v>250000</v>
      </c>
      <c r="I2147" s="3">
        <v>45311.166666666664</v>
      </c>
      <c r="J2147">
        <v>72</v>
      </c>
      <c r="K2147" s="3">
        <v>45314.166666666664</v>
      </c>
      <c r="L2147" s="4">
        <f>ROUNDDOWN(Table1[[#This Row],[Ordered]],0)</f>
        <v>45311</v>
      </c>
      <c r="M2147" s="4">
        <f>Table1[[#This Row],[Date ]]</f>
        <v>45311</v>
      </c>
      <c r="N2147" s="5">
        <f>Table1[[#This Row],[Ordered]]-Table1[[#This Row],[Date ]]</f>
        <v>0.16666666666424135</v>
      </c>
      <c r="O2147">
        <f>Table1[[#This Row],[Company]]</f>
        <v>3</v>
      </c>
      <c r="P21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8" spans="1:16" hidden="1" x14ac:dyDescent="0.45">
      <c r="A2148" s="3">
        <v>45311.208333333336</v>
      </c>
      <c r="B2148" t="s">
        <v>12</v>
      </c>
      <c r="C2148">
        <v>6</v>
      </c>
      <c r="D2148">
        <v>7</v>
      </c>
      <c r="E2148" t="s">
        <v>13</v>
      </c>
      <c r="F2148">
        <v>1913</v>
      </c>
      <c r="G2148">
        <v>130</v>
      </c>
      <c r="H2148">
        <v>248690</v>
      </c>
      <c r="I2148" s="3">
        <v>45311.666666666664</v>
      </c>
      <c r="J2148">
        <v>72</v>
      </c>
      <c r="K2148" s="3">
        <v>45314.666666666664</v>
      </c>
      <c r="L2148" s="4">
        <f>ROUNDDOWN(Table1[[#This Row],[Ordered]],0)</f>
        <v>45311</v>
      </c>
      <c r="M2148" s="4">
        <f>Table1[[#This Row],[Date ]]</f>
        <v>45311</v>
      </c>
      <c r="N2148" s="5">
        <f>Table1[[#This Row],[Ordered]]-Table1[[#This Row],[Date ]]</f>
        <v>0.20833333333575865</v>
      </c>
      <c r="O2148">
        <f>Table1[[#This Row],[Company]]</f>
        <v>6</v>
      </c>
      <c r="P21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9" spans="1:16" hidden="1" x14ac:dyDescent="0.45">
      <c r="A2149" s="3">
        <v>45311.25</v>
      </c>
      <c r="B2149" t="s">
        <v>12</v>
      </c>
      <c r="C2149">
        <v>6</v>
      </c>
      <c r="D2149">
        <v>7</v>
      </c>
      <c r="E2149" t="s">
        <v>17</v>
      </c>
      <c r="F2149">
        <v>114</v>
      </c>
      <c r="G2149">
        <v>1500</v>
      </c>
      <c r="H2149">
        <v>171000</v>
      </c>
      <c r="I2149" s="3">
        <v>45311.416666666664</v>
      </c>
      <c r="J2149">
        <v>72</v>
      </c>
      <c r="K2149" s="3">
        <v>45314.416666666664</v>
      </c>
      <c r="L2149" s="4">
        <f>ROUNDDOWN(Table1[[#This Row],[Ordered]],0)</f>
        <v>45311</v>
      </c>
      <c r="M2149" s="4">
        <f>Table1[[#This Row],[Date ]]</f>
        <v>45311</v>
      </c>
      <c r="N2149" s="5">
        <f>Table1[[#This Row],[Ordered]]-Table1[[#This Row],[Date ]]</f>
        <v>0.25</v>
      </c>
      <c r="O2149">
        <f>Table1[[#This Row],[Company]]</f>
        <v>6</v>
      </c>
      <c r="P21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0" spans="1:16" x14ac:dyDescent="0.45">
      <c r="A2150" s="3">
        <v>45311.25</v>
      </c>
      <c r="B2150" t="s">
        <v>12</v>
      </c>
      <c r="C2150">
        <v>15</v>
      </c>
      <c r="D2150">
        <v>12</v>
      </c>
      <c r="E2150" t="s">
        <v>15</v>
      </c>
      <c r="F2150">
        <v>100</v>
      </c>
      <c r="G2150">
        <v>6100</v>
      </c>
      <c r="H2150">
        <v>610000</v>
      </c>
      <c r="I2150" s="3">
        <v>45311.25</v>
      </c>
      <c r="J2150">
        <v>72</v>
      </c>
      <c r="K2150" s="3">
        <v>45314.25</v>
      </c>
      <c r="L2150" s="4">
        <f>ROUNDDOWN(Table1[[#This Row],[Ordered]],0)</f>
        <v>45311</v>
      </c>
      <c r="M2150" s="4">
        <f>Table1[[#This Row],[Date ]]</f>
        <v>45311</v>
      </c>
      <c r="N2150" s="5">
        <f>Table1[[#This Row],[Ordered]]-Table1[[#This Row],[Date ]]</f>
        <v>0.25</v>
      </c>
      <c r="O2150">
        <f>Table1[[#This Row],[Company]]</f>
        <v>15</v>
      </c>
      <c r="P21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1" spans="1:16" x14ac:dyDescent="0.45">
      <c r="A2151" s="3">
        <v>45311.291666666664</v>
      </c>
      <c r="B2151" t="s">
        <v>14</v>
      </c>
      <c r="C2151">
        <v>12</v>
      </c>
      <c r="D2151">
        <v>1005</v>
      </c>
      <c r="E2151" t="s">
        <v>15</v>
      </c>
      <c r="F2151">
        <v>15</v>
      </c>
      <c r="G2151">
        <v>6750</v>
      </c>
      <c r="H2151">
        <v>101250</v>
      </c>
      <c r="I2151" s="3">
        <v>45314.291666666664</v>
      </c>
      <c r="J2151">
        <v>96</v>
      </c>
      <c r="K2151" s="3">
        <v>45315.291666666664</v>
      </c>
      <c r="L2151" s="4">
        <f>ROUNDDOWN(Table1[[#This Row],[Ordered]],0)</f>
        <v>45311</v>
      </c>
      <c r="M2151" s="4">
        <f>Table1[[#This Row],[Date ]]</f>
        <v>45311</v>
      </c>
      <c r="N2151" s="5">
        <f>Table1[[#This Row],[Ordered]]-Table1[[#This Row],[Date ]]</f>
        <v>0.29166666666424135</v>
      </c>
      <c r="O2151">
        <f>Table1[[#This Row],[Company]]</f>
        <v>12</v>
      </c>
      <c r="P21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2" spans="1:16" x14ac:dyDescent="0.45">
      <c r="A2152" s="3">
        <v>45311.291666666664</v>
      </c>
      <c r="B2152" t="s">
        <v>14</v>
      </c>
      <c r="C2152">
        <v>15</v>
      </c>
      <c r="D2152">
        <v>1005</v>
      </c>
      <c r="E2152" t="s">
        <v>15</v>
      </c>
      <c r="F2152">
        <v>23</v>
      </c>
      <c r="G2152">
        <v>6400</v>
      </c>
      <c r="H2152">
        <v>147200</v>
      </c>
      <c r="I2152" s="3">
        <v>45311.333333333336</v>
      </c>
      <c r="J2152">
        <v>64</v>
      </c>
      <c r="K2152" s="3">
        <v>45313.333333333336</v>
      </c>
      <c r="L2152" s="4">
        <f>ROUNDDOWN(Table1[[#This Row],[Ordered]],0)</f>
        <v>45311</v>
      </c>
      <c r="M2152" s="4">
        <f>Table1[[#This Row],[Date ]]</f>
        <v>45311</v>
      </c>
      <c r="N2152" s="5">
        <f>Table1[[#This Row],[Ordered]]-Table1[[#This Row],[Date ]]</f>
        <v>0.29166666666424135</v>
      </c>
      <c r="O2152">
        <f>Table1[[#This Row],[Company]]</f>
        <v>15</v>
      </c>
      <c r="P21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3" spans="1:16" x14ac:dyDescent="0.45">
      <c r="A2153" s="3">
        <v>45311.291666666664</v>
      </c>
      <c r="B2153" t="s">
        <v>14</v>
      </c>
      <c r="C2153">
        <v>11</v>
      </c>
      <c r="D2153">
        <v>1005</v>
      </c>
      <c r="E2153" t="s">
        <v>15</v>
      </c>
      <c r="F2153">
        <v>13</v>
      </c>
      <c r="G2153">
        <v>6400</v>
      </c>
      <c r="H2153">
        <v>83200</v>
      </c>
      <c r="I2153" s="3">
        <v>45311.541666666664</v>
      </c>
      <c r="J2153">
        <v>72</v>
      </c>
      <c r="K2153" s="3">
        <v>45313.541666666664</v>
      </c>
      <c r="L2153" s="4">
        <f>ROUNDDOWN(Table1[[#This Row],[Ordered]],0)</f>
        <v>45311</v>
      </c>
      <c r="M2153" s="4">
        <f>Table1[[#This Row],[Date ]]</f>
        <v>45311</v>
      </c>
      <c r="N2153" s="5">
        <f>Table1[[#This Row],[Ordered]]-Table1[[#This Row],[Date ]]</f>
        <v>0.29166666666424135</v>
      </c>
      <c r="O2153">
        <f>Table1[[#This Row],[Company]]</f>
        <v>11</v>
      </c>
      <c r="P21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4" spans="1:16" x14ac:dyDescent="0.45">
      <c r="A2154" s="3">
        <v>45311.291666666664</v>
      </c>
      <c r="B2154" t="s">
        <v>14</v>
      </c>
      <c r="C2154">
        <v>13</v>
      </c>
      <c r="D2154">
        <v>1005</v>
      </c>
      <c r="E2154" t="s">
        <v>15</v>
      </c>
      <c r="F2154">
        <v>20</v>
      </c>
      <c r="G2154">
        <v>6000</v>
      </c>
      <c r="H2154">
        <v>120000</v>
      </c>
      <c r="I2154" s="3">
        <v>45312.166666666664</v>
      </c>
      <c r="J2154">
        <v>96</v>
      </c>
      <c r="K2154" s="3">
        <v>45315.166666666664</v>
      </c>
      <c r="L2154" s="4">
        <f>ROUNDDOWN(Table1[[#This Row],[Ordered]],0)</f>
        <v>45311</v>
      </c>
      <c r="M2154" s="4">
        <f>Table1[[#This Row],[Date ]]</f>
        <v>45311</v>
      </c>
      <c r="N2154" s="5">
        <f>Table1[[#This Row],[Ordered]]-Table1[[#This Row],[Date ]]</f>
        <v>0.29166666666424135</v>
      </c>
      <c r="O2154">
        <f>Table1[[#This Row],[Company]]</f>
        <v>13</v>
      </c>
      <c r="P21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5" spans="1:16" x14ac:dyDescent="0.45">
      <c r="A2155" s="3">
        <v>45311.291666666664</v>
      </c>
      <c r="B2155" t="s">
        <v>14</v>
      </c>
      <c r="C2155">
        <v>14</v>
      </c>
      <c r="D2155">
        <v>1005</v>
      </c>
      <c r="E2155" t="s">
        <v>15</v>
      </c>
      <c r="F2155">
        <v>9</v>
      </c>
      <c r="G2155">
        <v>6650</v>
      </c>
      <c r="H2155">
        <v>59850</v>
      </c>
      <c r="I2155" s="3">
        <v>45311.333333333336</v>
      </c>
      <c r="J2155">
        <v>84</v>
      </c>
      <c r="K2155" s="3">
        <v>45314.333333333336</v>
      </c>
      <c r="L2155" s="4">
        <f>ROUNDDOWN(Table1[[#This Row],[Ordered]],0)</f>
        <v>45311</v>
      </c>
      <c r="M2155" s="4">
        <f>Table1[[#This Row],[Date ]]</f>
        <v>45311</v>
      </c>
      <c r="N2155" s="5">
        <f>Table1[[#This Row],[Ordered]]-Table1[[#This Row],[Date ]]</f>
        <v>0.29166666666424135</v>
      </c>
      <c r="O2155">
        <f>Table1[[#This Row],[Company]]</f>
        <v>14</v>
      </c>
      <c r="P21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6" spans="1:16" x14ac:dyDescent="0.45">
      <c r="A2156" s="3">
        <v>45311.291666666664</v>
      </c>
      <c r="B2156" t="s">
        <v>14</v>
      </c>
      <c r="C2156">
        <v>16</v>
      </c>
      <c r="D2156">
        <v>1005</v>
      </c>
      <c r="E2156" t="s">
        <v>15</v>
      </c>
      <c r="F2156">
        <v>18</v>
      </c>
      <c r="G2156">
        <v>6050</v>
      </c>
      <c r="H2156">
        <v>108900</v>
      </c>
      <c r="I2156" s="3">
        <v>45311.541666666664</v>
      </c>
      <c r="J2156">
        <v>96</v>
      </c>
      <c r="K2156" s="3">
        <v>45314.541666666664</v>
      </c>
      <c r="L2156" s="4">
        <f>ROUNDDOWN(Table1[[#This Row],[Ordered]],0)</f>
        <v>45311</v>
      </c>
      <c r="M2156" s="4">
        <f>Table1[[#This Row],[Date ]]</f>
        <v>45311</v>
      </c>
      <c r="N2156" s="5">
        <f>Table1[[#This Row],[Ordered]]-Table1[[#This Row],[Date ]]</f>
        <v>0.29166666666424135</v>
      </c>
      <c r="O2156">
        <f>Table1[[#This Row],[Company]]</f>
        <v>16</v>
      </c>
      <c r="P21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7" spans="1:16" hidden="1" x14ac:dyDescent="0.45">
      <c r="A2157" s="3">
        <v>45311.333333333336</v>
      </c>
      <c r="B2157" t="s">
        <v>12</v>
      </c>
      <c r="C2157">
        <v>4</v>
      </c>
      <c r="D2157">
        <v>8</v>
      </c>
      <c r="E2157" t="s">
        <v>13</v>
      </c>
      <c r="F2157">
        <v>650</v>
      </c>
      <c r="G2157">
        <v>130</v>
      </c>
      <c r="H2157">
        <v>84500</v>
      </c>
      <c r="I2157" s="3">
        <v>45311.375</v>
      </c>
      <c r="J2157">
        <v>24</v>
      </c>
      <c r="K2157" s="3">
        <v>45312.375</v>
      </c>
      <c r="L2157" s="4">
        <f>ROUNDDOWN(Table1[[#This Row],[Ordered]],0)</f>
        <v>45311</v>
      </c>
      <c r="M2157" s="4">
        <f>Table1[[#This Row],[Date ]]</f>
        <v>45311</v>
      </c>
      <c r="N2157" s="5">
        <f>Table1[[#This Row],[Ordered]]-Table1[[#This Row],[Date ]]</f>
        <v>0.33333333333575865</v>
      </c>
      <c r="O2157">
        <f>Table1[[#This Row],[Company]]</f>
        <v>4</v>
      </c>
      <c r="P21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8" spans="1:16" hidden="1" x14ac:dyDescent="0.45">
      <c r="A2158" s="3">
        <v>45311.333333333336</v>
      </c>
      <c r="B2158" t="s">
        <v>12</v>
      </c>
      <c r="C2158">
        <v>3</v>
      </c>
      <c r="D2158">
        <v>13</v>
      </c>
      <c r="E2158" t="s">
        <v>17</v>
      </c>
      <c r="F2158">
        <v>150</v>
      </c>
      <c r="G2158">
        <v>1300</v>
      </c>
      <c r="H2158">
        <v>195000</v>
      </c>
      <c r="I2158" s="3">
        <v>45311.416666666664</v>
      </c>
      <c r="J2158">
        <v>72</v>
      </c>
      <c r="K2158" s="3">
        <v>45314.416666666664</v>
      </c>
      <c r="L2158" s="4">
        <f>ROUNDDOWN(Table1[[#This Row],[Ordered]],0)</f>
        <v>45311</v>
      </c>
      <c r="M2158" s="4">
        <f>Table1[[#This Row],[Date ]]</f>
        <v>45311</v>
      </c>
      <c r="N2158" s="5">
        <f>Table1[[#This Row],[Ordered]]-Table1[[#This Row],[Date ]]</f>
        <v>0.33333333333575865</v>
      </c>
      <c r="O2158">
        <f>Table1[[#This Row],[Company]]</f>
        <v>3</v>
      </c>
      <c r="P21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9" spans="1:16" hidden="1" x14ac:dyDescent="0.45">
      <c r="A2159" s="3">
        <v>45311.333333333336</v>
      </c>
      <c r="B2159" t="s">
        <v>12</v>
      </c>
      <c r="C2159">
        <v>1</v>
      </c>
      <c r="D2159">
        <v>14</v>
      </c>
      <c r="E2159" t="s">
        <v>17</v>
      </c>
      <c r="F2159">
        <v>400</v>
      </c>
      <c r="G2159">
        <v>1350</v>
      </c>
      <c r="H2159">
        <v>540000</v>
      </c>
      <c r="I2159" s="3">
        <v>45311.333333333336</v>
      </c>
      <c r="J2159">
        <v>24</v>
      </c>
      <c r="K2159" s="3">
        <v>45312.333333333336</v>
      </c>
      <c r="L2159" s="4">
        <f>ROUNDDOWN(Table1[[#This Row],[Ordered]],0)</f>
        <v>45311</v>
      </c>
      <c r="M2159" s="4">
        <f>Table1[[#This Row],[Date ]]</f>
        <v>45311</v>
      </c>
      <c r="N2159" s="5">
        <f>Table1[[#This Row],[Ordered]]-Table1[[#This Row],[Date ]]</f>
        <v>0.33333333333575865</v>
      </c>
      <c r="O2159">
        <f>Table1[[#This Row],[Company]]</f>
        <v>1</v>
      </c>
      <c r="P21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0" spans="1:16" hidden="1" x14ac:dyDescent="0.45">
      <c r="A2160" s="3">
        <v>45311.375</v>
      </c>
      <c r="B2160" t="s">
        <v>12</v>
      </c>
      <c r="C2160">
        <v>8</v>
      </c>
      <c r="D2160">
        <v>4</v>
      </c>
      <c r="E2160" t="s">
        <v>20</v>
      </c>
      <c r="F2160">
        <v>144</v>
      </c>
      <c r="G2160">
        <v>15</v>
      </c>
      <c r="H2160">
        <v>2160</v>
      </c>
      <c r="I2160" s="3">
        <v>45311.416666666664</v>
      </c>
      <c r="J2160">
        <v>72</v>
      </c>
      <c r="K2160" s="3">
        <v>45314.416666666664</v>
      </c>
      <c r="L2160" s="4">
        <f>ROUNDDOWN(Table1[[#This Row],[Ordered]],0)</f>
        <v>45311</v>
      </c>
      <c r="M2160" s="4">
        <f>Table1[[#This Row],[Date ]]</f>
        <v>45311</v>
      </c>
      <c r="N2160" s="5">
        <f>Table1[[#This Row],[Ordered]]-Table1[[#This Row],[Date ]]</f>
        <v>0.375</v>
      </c>
      <c r="O2160">
        <f>Table1[[#This Row],[Company]]</f>
        <v>8</v>
      </c>
      <c r="P21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1" spans="1:16" x14ac:dyDescent="0.45">
      <c r="A2161" s="3">
        <v>45311.416666666664</v>
      </c>
      <c r="B2161" t="s">
        <v>0</v>
      </c>
      <c r="C2161">
        <v>8</v>
      </c>
      <c r="D2161">
        <v>2009</v>
      </c>
      <c r="E2161" t="s">
        <v>16</v>
      </c>
      <c r="F2161">
        <v>50</v>
      </c>
      <c r="G2161">
        <v>4155</v>
      </c>
      <c r="H2161">
        <v>207750</v>
      </c>
      <c r="I2161" s="3">
        <v>45312.708333333336</v>
      </c>
      <c r="J2161">
        <v>120</v>
      </c>
      <c r="K2161" s="3">
        <v>45315.708333333336</v>
      </c>
      <c r="L2161" s="4">
        <f>ROUNDDOWN(Table1[[#This Row],[Ordered]],0)</f>
        <v>45311</v>
      </c>
      <c r="M2161" s="4">
        <f>Table1[[#This Row],[Date ]]</f>
        <v>45311</v>
      </c>
      <c r="N2161" s="5">
        <f>Table1[[#This Row],[Ordered]]-Table1[[#This Row],[Date ]]</f>
        <v>0.41666666666424135</v>
      </c>
      <c r="O2161">
        <f>Table1[[#This Row],[Company]]</f>
        <v>8</v>
      </c>
      <c r="P21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2" spans="1:16" x14ac:dyDescent="0.45">
      <c r="A2162" s="3">
        <v>45311.416666666664</v>
      </c>
      <c r="B2162" t="s">
        <v>0</v>
      </c>
      <c r="C2162">
        <v>12</v>
      </c>
      <c r="D2162">
        <v>2009</v>
      </c>
      <c r="E2162" t="s">
        <v>15</v>
      </c>
      <c r="F2162">
        <v>30</v>
      </c>
      <c r="G2162">
        <v>6800</v>
      </c>
      <c r="H2162">
        <v>204000</v>
      </c>
      <c r="I2162" s="3">
        <v>45314.25</v>
      </c>
      <c r="J2162">
        <v>120</v>
      </c>
      <c r="K2162" s="3">
        <v>45315.75</v>
      </c>
      <c r="L2162" s="4">
        <f>ROUNDDOWN(Table1[[#This Row],[Ordered]],0)</f>
        <v>45311</v>
      </c>
      <c r="M2162" s="4">
        <f>Table1[[#This Row],[Date ]]</f>
        <v>45311</v>
      </c>
      <c r="N2162" s="5">
        <f>Table1[[#This Row],[Ordered]]-Table1[[#This Row],[Date ]]</f>
        <v>0.41666666666424135</v>
      </c>
      <c r="O2162">
        <f>Table1[[#This Row],[Company]]</f>
        <v>12</v>
      </c>
      <c r="P21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3" spans="1:16" x14ac:dyDescent="0.45">
      <c r="A2163" s="3">
        <v>45311.416666666664</v>
      </c>
      <c r="B2163" t="s">
        <v>14</v>
      </c>
      <c r="C2163">
        <v>16</v>
      </c>
      <c r="D2163">
        <v>1003</v>
      </c>
      <c r="E2163" t="s">
        <v>15</v>
      </c>
      <c r="F2163">
        <v>5</v>
      </c>
      <c r="G2163">
        <v>6050</v>
      </c>
      <c r="H2163">
        <v>30250</v>
      </c>
      <c r="I2163" s="3">
        <v>45311.583333333336</v>
      </c>
      <c r="J2163">
        <v>96</v>
      </c>
      <c r="K2163" s="3">
        <v>45314.583333333336</v>
      </c>
      <c r="L2163" s="4">
        <f>ROUNDDOWN(Table1[[#This Row],[Ordered]],0)</f>
        <v>45311</v>
      </c>
      <c r="M2163" s="4">
        <f>Table1[[#This Row],[Date ]]</f>
        <v>45311</v>
      </c>
      <c r="N2163" s="5">
        <f>Table1[[#This Row],[Ordered]]-Table1[[#This Row],[Date ]]</f>
        <v>0.41666666666424135</v>
      </c>
      <c r="O2163">
        <f>Table1[[#This Row],[Company]]</f>
        <v>16</v>
      </c>
      <c r="P21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4" spans="1:16" x14ac:dyDescent="0.45">
      <c r="A2164" s="3">
        <v>45311.416666666664</v>
      </c>
      <c r="B2164" t="s">
        <v>14</v>
      </c>
      <c r="C2164">
        <v>12</v>
      </c>
      <c r="D2164">
        <v>1003</v>
      </c>
      <c r="E2164" t="s">
        <v>15</v>
      </c>
      <c r="F2164">
        <v>3</v>
      </c>
      <c r="G2164">
        <v>6750</v>
      </c>
      <c r="H2164">
        <v>27000</v>
      </c>
      <c r="I2164" s="3">
        <v>45313.208333333336</v>
      </c>
      <c r="J2164">
        <v>96</v>
      </c>
      <c r="K2164" s="3">
        <v>45315.208333333336</v>
      </c>
      <c r="L2164" s="4">
        <f>ROUNDDOWN(Table1[[#This Row],[Ordered]],0)</f>
        <v>45311</v>
      </c>
      <c r="M2164" s="4">
        <f>Table1[[#This Row],[Date ]]</f>
        <v>45311</v>
      </c>
      <c r="N2164" s="5">
        <f>Table1[[#This Row],[Ordered]]-Table1[[#This Row],[Date ]]</f>
        <v>0.41666666666424135</v>
      </c>
      <c r="O2164">
        <f>Table1[[#This Row],[Company]]</f>
        <v>12</v>
      </c>
      <c r="P21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5" spans="1:16" x14ac:dyDescent="0.45">
      <c r="A2165" s="3">
        <v>45311.416666666664</v>
      </c>
      <c r="B2165" t="s">
        <v>0</v>
      </c>
      <c r="C2165">
        <v>11</v>
      </c>
      <c r="D2165">
        <v>2009</v>
      </c>
      <c r="E2165" t="s">
        <v>16</v>
      </c>
      <c r="F2165">
        <v>40</v>
      </c>
      <c r="G2165">
        <v>4000</v>
      </c>
      <c r="H2165">
        <v>160000</v>
      </c>
      <c r="I2165" s="3">
        <v>45313.541666666664</v>
      </c>
      <c r="J2165">
        <v>132</v>
      </c>
      <c r="K2165" s="3">
        <v>45316.541666666664</v>
      </c>
      <c r="L2165" s="4">
        <f>ROUNDDOWN(Table1[[#This Row],[Ordered]],0)</f>
        <v>45311</v>
      </c>
      <c r="M2165" s="4">
        <f>Table1[[#This Row],[Date ]]</f>
        <v>45311</v>
      </c>
      <c r="N2165" s="5">
        <f>Table1[[#This Row],[Ordered]]-Table1[[#This Row],[Date ]]</f>
        <v>0.41666666666424135</v>
      </c>
      <c r="O2165">
        <f>Table1[[#This Row],[Company]]</f>
        <v>11</v>
      </c>
      <c r="P21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6" spans="1:16" x14ac:dyDescent="0.45">
      <c r="A2166" s="3">
        <v>45311.416666666664</v>
      </c>
      <c r="B2166" t="s">
        <v>0</v>
      </c>
      <c r="C2166">
        <v>16</v>
      </c>
      <c r="D2166">
        <v>2009</v>
      </c>
      <c r="E2166" t="s">
        <v>16</v>
      </c>
      <c r="F2166">
        <v>30</v>
      </c>
      <c r="G2166">
        <v>3750</v>
      </c>
      <c r="H2166">
        <v>112500</v>
      </c>
      <c r="I2166" s="3">
        <v>45311.791666666664</v>
      </c>
      <c r="J2166">
        <v>132</v>
      </c>
      <c r="K2166" s="3">
        <v>45316.291666666664</v>
      </c>
      <c r="L2166" s="4">
        <f>ROUNDDOWN(Table1[[#This Row],[Ordered]],0)</f>
        <v>45311</v>
      </c>
      <c r="M2166" s="4">
        <f>Table1[[#This Row],[Date ]]</f>
        <v>45311</v>
      </c>
      <c r="N2166" s="5">
        <f>Table1[[#This Row],[Ordered]]-Table1[[#This Row],[Date ]]</f>
        <v>0.41666666666424135</v>
      </c>
      <c r="O2166">
        <f>Table1[[#This Row],[Company]]</f>
        <v>16</v>
      </c>
      <c r="P21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7" spans="1:16" x14ac:dyDescent="0.45">
      <c r="A2167" s="3">
        <v>45311.416666666664</v>
      </c>
      <c r="B2167" t="s">
        <v>14</v>
      </c>
      <c r="C2167">
        <v>12</v>
      </c>
      <c r="D2167">
        <v>1003</v>
      </c>
      <c r="E2167" t="s">
        <v>15</v>
      </c>
      <c r="F2167">
        <v>1</v>
      </c>
      <c r="G2167">
        <v>6750</v>
      </c>
      <c r="H2167">
        <v>6750</v>
      </c>
      <c r="I2167" s="3">
        <v>45314.25</v>
      </c>
      <c r="J2167">
        <v>96</v>
      </c>
      <c r="K2167" s="3">
        <v>45315.25</v>
      </c>
      <c r="L2167" s="4">
        <f>ROUNDDOWN(Table1[[#This Row],[Ordered]],0)</f>
        <v>45311</v>
      </c>
      <c r="M2167" s="4">
        <f>Table1[[#This Row],[Date ]]</f>
        <v>45311</v>
      </c>
      <c r="N2167" s="5">
        <f>Table1[[#This Row],[Ordered]]-Table1[[#This Row],[Date ]]</f>
        <v>0.41666666666424135</v>
      </c>
      <c r="O2167">
        <f>Table1[[#This Row],[Company]]</f>
        <v>12</v>
      </c>
      <c r="P21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8" spans="1:16" x14ac:dyDescent="0.45">
      <c r="A2168" s="3">
        <v>45311.416666666664</v>
      </c>
      <c r="B2168" t="s">
        <v>0</v>
      </c>
      <c r="C2168">
        <v>7</v>
      </c>
      <c r="D2168">
        <v>2009</v>
      </c>
      <c r="E2168" t="s">
        <v>15</v>
      </c>
      <c r="F2168">
        <v>31</v>
      </c>
      <c r="G2168">
        <v>7000</v>
      </c>
      <c r="H2168">
        <v>217000</v>
      </c>
      <c r="I2168" s="3">
        <v>45314.458333333336</v>
      </c>
      <c r="J2168">
        <v>132</v>
      </c>
      <c r="K2168" s="3">
        <v>45315.958333333336</v>
      </c>
      <c r="L2168" s="4">
        <f>ROUNDDOWN(Table1[[#This Row],[Ordered]],0)</f>
        <v>45311</v>
      </c>
      <c r="M2168" s="4">
        <f>Table1[[#This Row],[Date ]]</f>
        <v>45311</v>
      </c>
      <c r="N2168" s="5">
        <f>Table1[[#This Row],[Ordered]]-Table1[[#This Row],[Date ]]</f>
        <v>0.41666666666424135</v>
      </c>
      <c r="O2168">
        <f>Table1[[#This Row],[Company]]</f>
        <v>7</v>
      </c>
      <c r="P21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9" spans="1:16" x14ac:dyDescent="0.45">
      <c r="A2169" s="3">
        <v>45311.416666666664</v>
      </c>
      <c r="B2169" t="s">
        <v>14</v>
      </c>
      <c r="C2169">
        <v>11</v>
      </c>
      <c r="D2169">
        <v>1003</v>
      </c>
      <c r="E2169" t="s">
        <v>15</v>
      </c>
      <c r="F2169">
        <v>3</v>
      </c>
      <c r="G2169">
        <v>6400</v>
      </c>
      <c r="H2169">
        <v>19200</v>
      </c>
      <c r="I2169" s="3">
        <v>45311.666666666664</v>
      </c>
      <c r="J2169">
        <v>72</v>
      </c>
      <c r="K2169" s="3">
        <v>45313.666666666664</v>
      </c>
      <c r="L2169" s="4">
        <f>ROUNDDOWN(Table1[[#This Row],[Ordered]],0)</f>
        <v>45311</v>
      </c>
      <c r="M2169" s="4">
        <f>Table1[[#This Row],[Date ]]</f>
        <v>45311</v>
      </c>
      <c r="N2169" s="5">
        <f>Table1[[#This Row],[Ordered]]-Table1[[#This Row],[Date ]]</f>
        <v>0.41666666666424135</v>
      </c>
      <c r="O2169">
        <f>Table1[[#This Row],[Company]]</f>
        <v>11</v>
      </c>
      <c r="P21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0" spans="1:16" x14ac:dyDescent="0.45">
      <c r="A2170" s="3">
        <v>45311.416666666664</v>
      </c>
      <c r="B2170" t="s">
        <v>0</v>
      </c>
      <c r="C2170">
        <v>16</v>
      </c>
      <c r="D2170">
        <v>2009</v>
      </c>
      <c r="E2170" t="s">
        <v>15</v>
      </c>
      <c r="F2170">
        <v>30</v>
      </c>
      <c r="G2170">
        <v>6050</v>
      </c>
      <c r="H2170">
        <v>181500</v>
      </c>
      <c r="I2170" s="3">
        <v>45311.583333333336</v>
      </c>
      <c r="J2170">
        <v>132</v>
      </c>
      <c r="K2170" s="3">
        <v>45316.083333333336</v>
      </c>
      <c r="L2170" s="4">
        <f>ROUNDDOWN(Table1[[#This Row],[Ordered]],0)</f>
        <v>45311</v>
      </c>
      <c r="M2170" s="4">
        <f>Table1[[#This Row],[Date ]]</f>
        <v>45311</v>
      </c>
      <c r="N2170" s="5">
        <f>Table1[[#This Row],[Ordered]]-Table1[[#This Row],[Date ]]</f>
        <v>0.41666666666424135</v>
      </c>
      <c r="O2170">
        <f>Table1[[#This Row],[Company]]</f>
        <v>16</v>
      </c>
      <c r="P21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1" spans="1:16" x14ac:dyDescent="0.45">
      <c r="A2171" s="3">
        <v>45311.416666666664</v>
      </c>
      <c r="B2171" t="s">
        <v>0</v>
      </c>
      <c r="C2171">
        <v>10</v>
      </c>
      <c r="D2171">
        <v>2009</v>
      </c>
      <c r="E2171" t="s">
        <v>16</v>
      </c>
      <c r="F2171">
        <v>80</v>
      </c>
      <c r="G2171">
        <v>4200</v>
      </c>
      <c r="H2171">
        <v>336000</v>
      </c>
      <c r="I2171" s="3">
        <v>45311.458333333336</v>
      </c>
      <c r="J2171">
        <v>114</v>
      </c>
      <c r="K2171" s="3">
        <v>45316.041666666664</v>
      </c>
      <c r="L2171" s="4">
        <f>ROUNDDOWN(Table1[[#This Row],[Ordered]],0)</f>
        <v>45311</v>
      </c>
      <c r="M2171" s="4">
        <f>Table1[[#This Row],[Date ]]</f>
        <v>45311</v>
      </c>
      <c r="N2171" s="5">
        <f>Table1[[#This Row],[Ordered]]-Table1[[#This Row],[Date ]]</f>
        <v>0.41666666666424135</v>
      </c>
      <c r="O2171">
        <f>Table1[[#This Row],[Company]]</f>
        <v>10</v>
      </c>
      <c r="P21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2" spans="1:16" x14ac:dyDescent="0.45">
      <c r="A2172" s="3">
        <v>45311.416666666664</v>
      </c>
      <c r="B2172" t="s">
        <v>14</v>
      </c>
      <c r="C2172">
        <v>15</v>
      </c>
      <c r="D2172">
        <v>1003</v>
      </c>
      <c r="E2172" t="s">
        <v>15</v>
      </c>
      <c r="F2172">
        <v>6</v>
      </c>
      <c r="G2172">
        <v>6400</v>
      </c>
      <c r="H2172">
        <v>38400</v>
      </c>
      <c r="I2172" s="3">
        <v>45311.458333333336</v>
      </c>
      <c r="J2172">
        <v>64</v>
      </c>
      <c r="K2172" s="3">
        <v>45313.458333333336</v>
      </c>
      <c r="L2172" s="4">
        <f>ROUNDDOWN(Table1[[#This Row],[Ordered]],0)</f>
        <v>45311</v>
      </c>
      <c r="M2172" s="4">
        <f>Table1[[#This Row],[Date ]]</f>
        <v>45311</v>
      </c>
      <c r="N2172" s="5">
        <f>Table1[[#This Row],[Ordered]]-Table1[[#This Row],[Date ]]</f>
        <v>0.41666666666424135</v>
      </c>
      <c r="O2172">
        <f>Table1[[#This Row],[Company]]</f>
        <v>15</v>
      </c>
      <c r="P21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3" spans="1:16" x14ac:dyDescent="0.45">
      <c r="A2173" s="3">
        <v>45311.416666666664</v>
      </c>
      <c r="B2173" t="s">
        <v>0</v>
      </c>
      <c r="C2173">
        <v>14</v>
      </c>
      <c r="D2173">
        <v>2009</v>
      </c>
      <c r="E2173" t="s">
        <v>15</v>
      </c>
      <c r="F2173">
        <v>30</v>
      </c>
      <c r="G2173">
        <v>6650</v>
      </c>
      <c r="H2173">
        <v>199500</v>
      </c>
      <c r="I2173" s="3">
        <v>45311.416666666664</v>
      </c>
      <c r="J2173">
        <v>120</v>
      </c>
      <c r="K2173" s="3">
        <v>45315.916666666664</v>
      </c>
      <c r="L2173" s="4">
        <f>ROUNDDOWN(Table1[[#This Row],[Ordered]],0)</f>
        <v>45311</v>
      </c>
      <c r="M2173" s="4">
        <f>Table1[[#This Row],[Date ]]</f>
        <v>45311</v>
      </c>
      <c r="N2173" s="5">
        <f>Table1[[#This Row],[Ordered]]-Table1[[#This Row],[Date ]]</f>
        <v>0.41666666666424135</v>
      </c>
      <c r="O2173">
        <f>Table1[[#This Row],[Company]]</f>
        <v>14</v>
      </c>
      <c r="P21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4" spans="1:16" x14ac:dyDescent="0.45">
      <c r="A2174" s="3">
        <v>45311.416666666664</v>
      </c>
      <c r="B2174" t="s">
        <v>14</v>
      </c>
      <c r="C2174">
        <v>8</v>
      </c>
      <c r="D2174">
        <v>1003</v>
      </c>
      <c r="E2174" t="s">
        <v>15</v>
      </c>
      <c r="F2174">
        <v>30</v>
      </c>
      <c r="G2174">
        <v>5848</v>
      </c>
      <c r="H2174">
        <v>175440</v>
      </c>
      <c r="I2174" s="3">
        <v>45314.541666666664</v>
      </c>
      <c r="J2174">
        <v>120</v>
      </c>
      <c r="K2174" s="3">
        <v>45315.541666666664</v>
      </c>
      <c r="L2174" s="4">
        <f>ROUNDDOWN(Table1[[#This Row],[Ordered]],0)</f>
        <v>45311</v>
      </c>
      <c r="M2174" s="4">
        <f>Table1[[#This Row],[Date ]]</f>
        <v>45311</v>
      </c>
      <c r="N2174" s="5">
        <f>Table1[[#This Row],[Ordered]]-Table1[[#This Row],[Date ]]</f>
        <v>0.41666666666424135</v>
      </c>
      <c r="O2174">
        <f>Table1[[#This Row],[Company]]</f>
        <v>8</v>
      </c>
      <c r="P21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5" spans="1:16" x14ac:dyDescent="0.45">
      <c r="A2175" s="3">
        <v>45311.416666666664</v>
      </c>
      <c r="B2175" t="s">
        <v>0</v>
      </c>
      <c r="C2175">
        <v>8</v>
      </c>
      <c r="D2175">
        <v>2009</v>
      </c>
      <c r="E2175" t="s">
        <v>15</v>
      </c>
      <c r="F2175">
        <v>35</v>
      </c>
      <c r="G2175">
        <v>6400</v>
      </c>
      <c r="H2175">
        <v>224000</v>
      </c>
      <c r="I2175" s="3">
        <v>45314.583333333336</v>
      </c>
      <c r="J2175">
        <v>156</v>
      </c>
      <c r="K2175" s="3">
        <v>45317.583333333336</v>
      </c>
      <c r="L2175" s="4">
        <f>ROUNDDOWN(Table1[[#This Row],[Ordered]],0)</f>
        <v>45311</v>
      </c>
      <c r="M2175" s="4">
        <f>Table1[[#This Row],[Date ]]</f>
        <v>45311</v>
      </c>
      <c r="N2175" s="5">
        <f>Table1[[#This Row],[Ordered]]-Table1[[#This Row],[Date ]]</f>
        <v>0.41666666666424135</v>
      </c>
      <c r="O2175">
        <f>Table1[[#This Row],[Company]]</f>
        <v>8</v>
      </c>
      <c r="P21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6" spans="1:16" x14ac:dyDescent="0.45">
      <c r="A2176" s="3">
        <v>45311.416666666664</v>
      </c>
      <c r="B2176" t="s">
        <v>0</v>
      </c>
      <c r="C2176">
        <v>15</v>
      </c>
      <c r="D2176">
        <v>2009</v>
      </c>
      <c r="E2176" t="s">
        <v>15</v>
      </c>
      <c r="F2176">
        <v>50</v>
      </c>
      <c r="G2176">
        <v>6350</v>
      </c>
      <c r="H2176">
        <v>317500</v>
      </c>
      <c r="I2176" s="3">
        <v>45311.458333333336</v>
      </c>
      <c r="J2176">
        <v>48</v>
      </c>
      <c r="K2176" s="3">
        <v>45312.958333333336</v>
      </c>
      <c r="L2176" s="4">
        <f>ROUNDDOWN(Table1[[#This Row],[Ordered]],0)</f>
        <v>45311</v>
      </c>
      <c r="M2176" s="4">
        <f>Table1[[#This Row],[Date ]]</f>
        <v>45311</v>
      </c>
      <c r="N2176" s="5">
        <f>Table1[[#This Row],[Ordered]]-Table1[[#This Row],[Date ]]</f>
        <v>0.41666666666424135</v>
      </c>
      <c r="O2176">
        <f>Table1[[#This Row],[Company]]</f>
        <v>15</v>
      </c>
      <c r="P21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7" spans="1:16" x14ac:dyDescent="0.45">
      <c r="A2177" s="3">
        <v>45311.416666666664</v>
      </c>
      <c r="B2177" t="s">
        <v>0</v>
      </c>
      <c r="C2177">
        <v>11</v>
      </c>
      <c r="D2177">
        <v>2009</v>
      </c>
      <c r="E2177" t="s">
        <v>15</v>
      </c>
      <c r="F2177">
        <v>10</v>
      </c>
      <c r="G2177">
        <v>6800</v>
      </c>
      <c r="H2177">
        <v>68000</v>
      </c>
      <c r="I2177" s="3">
        <v>45311.416666666664</v>
      </c>
      <c r="J2177">
        <v>84</v>
      </c>
      <c r="K2177" s="3">
        <v>45314.416666666664</v>
      </c>
      <c r="L2177" s="4">
        <f>ROUNDDOWN(Table1[[#This Row],[Ordered]],0)</f>
        <v>45311</v>
      </c>
      <c r="M2177" s="4">
        <f>Table1[[#This Row],[Date ]]</f>
        <v>45311</v>
      </c>
      <c r="N2177" s="5">
        <f>Table1[[#This Row],[Ordered]]-Table1[[#This Row],[Date ]]</f>
        <v>0.41666666666424135</v>
      </c>
      <c r="O2177">
        <f>Table1[[#This Row],[Company]]</f>
        <v>11</v>
      </c>
      <c r="P21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8" spans="1:16" x14ac:dyDescent="0.45">
      <c r="A2178" s="3">
        <v>45311.416666666664</v>
      </c>
      <c r="B2178" t="s">
        <v>0</v>
      </c>
      <c r="C2178">
        <v>14</v>
      </c>
      <c r="D2178">
        <v>2009</v>
      </c>
      <c r="E2178" t="s">
        <v>16</v>
      </c>
      <c r="F2178">
        <v>36</v>
      </c>
      <c r="G2178">
        <v>3750</v>
      </c>
      <c r="H2178">
        <v>135000</v>
      </c>
      <c r="I2178" s="3">
        <v>45311.416666666664</v>
      </c>
      <c r="J2178">
        <v>120</v>
      </c>
      <c r="K2178" s="3">
        <v>45316.083333333336</v>
      </c>
      <c r="L2178" s="4">
        <f>ROUNDDOWN(Table1[[#This Row],[Ordered]],0)</f>
        <v>45311</v>
      </c>
      <c r="M2178" s="4">
        <f>Table1[[#This Row],[Date ]]</f>
        <v>45311</v>
      </c>
      <c r="N2178" s="5">
        <f>Table1[[#This Row],[Ordered]]-Table1[[#This Row],[Date ]]</f>
        <v>0.41666666666424135</v>
      </c>
      <c r="O2178">
        <f>Table1[[#This Row],[Company]]</f>
        <v>14</v>
      </c>
      <c r="P21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9" spans="1:16" x14ac:dyDescent="0.45">
      <c r="A2179" s="3">
        <v>45311.416666666664</v>
      </c>
      <c r="B2179" t="s">
        <v>0</v>
      </c>
      <c r="C2179">
        <v>9</v>
      </c>
      <c r="D2179">
        <v>2009</v>
      </c>
      <c r="E2179" t="s">
        <v>16</v>
      </c>
      <c r="F2179">
        <v>30</v>
      </c>
      <c r="G2179">
        <v>3799</v>
      </c>
      <c r="H2179">
        <v>113970</v>
      </c>
      <c r="I2179" s="3">
        <v>45311.416666666664</v>
      </c>
      <c r="J2179">
        <v>112</v>
      </c>
      <c r="K2179" s="3">
        <v>45315.916666666664</v>
      </c>
      <c r="L2179" s="4">
        <f>ROUNDDOWN(Table1[[#This Row],[Ordered]],0)</f>
        <v>45311</v>
      </c>
      <c r="M2179" s="4">
        <f>Table1[[#This Row],[Date ]]</f>
        <v>45311</v>
      </c>
      <c r="N2179" s="5">
        <f>Table1[[#This Row],[Ordered]]-Table1[[#This Row],[Date ]]</f>
        <v>0.41666666666424135</v>
      </c>
      <c r="O2179">
        <f>Table1[[#This Row],[Company]]</f>
        <v>9</v>
      </c>
      <c r="P21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0" spans="1:16" x14ac:dyDescent="0.45">
      <c r="A2180" s="3">
        <v>45311.416666666664</v>
      </c>
      <c r="B2180" t="s">
        <v>14</v>
      </c>
      <c r="C2180">
        <v>13</v>
      </c>
      <c r="D2180">
        <v>1003</v>
      </c>
      <c r="E2180" t="s">
        <v>15</v>
      </c>
      <c r="F2180">
        <v>5</v>
      </c>
      <c r="G2180">
        <v>6000</v>
      </c>
      <c r="H2180">
        <v>30000</v>
      </c>
      <c r="I2180" s="3">
        <v>45313.083333333336</v>
      </c>
      <c r="J2180">
        <v>96</v>
      </c>
      <c r="K2180" s="3">
        <v>45315.083333333336</v>
      </c>
      <c r="L2180" s="4">
        <f>ROUNDDOWN(Table1[[#This Row],[Ordered]],0)</f>
        <v>45311</v>
      </c>
      <c r="M2180" s="4">
        <f>Table1[[#This Row],[Date ]]</f>
        <v>45311</v>
      </c>
      <c r="N2180" s="5">
        <f>Table1[[#This Row],[Ordered]]-Table1[[#This Row],[Date ]]</f>
        <v>0.41666666666424135</v>
      </c>
      <c r="O2180">
        <f>Table1[[#This Row],[Company]]</f>
        <v>13</v>
      </c>
      <c r="P21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1" spans="1:16" x14ac:dyDescent="0.45">
      <c r="A2181" s="3">
        <v>45311.416666666664</v>
      </c>
      <c r="B2181" t="s">
        <v>0</v>
      </c>
      <c r="C2181">
        <v>13</v>
      </c>
      <c r="D2181">
        <v>2009</v>
      </c>
      <c r="E2181" t="s">
        <v>15</v>
      </c>
      <c r="F2181">
        <v>30</v>
      </c>
      <c r="G2181">
        <v>6000</v>
      </c>
      <c r="H2181">
        <v>180000</v>
      </c>
      <c r="I2181" s="3">
        <v>45312.333333333336</v>
      </c>
      <c r="J2181">
        <v>132</v>
      </c>
      <c r="K2181" s="3">
        <v>45316.833333333336</v>
      </c>
      <c r="L2181" s="4">
        <f>ROUNDDOWN(Table1[[#This Row],[Ordered]],0)</f>
        <v>45311</v>
      </c>
      <c r="M2181" s="4">
        <f>Table1[[#This Row],[Date ]]</f>
        <v>45311</v>
      </c>
      <c r="N2181" s="5">
        <f>Table1[[#This Row],[Ordered]]-Table1[[#This Row],[Date ]]</f>
        <v>0.41666666666424135</v>
      </c>
      <c r="O2181">
        <f>Table1[[#This Row],[Company]]</f>
        <v>13</v>
      </c>
      <c r="P21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2" spans="1:16" x14ac:dyDescent="0.45">
      <c r="A2182" s="3">
        <v>45311.416666666664</v>
      </c>
      <c r="B2182" t="s">
        <v>0</v>
      </c>
      <c r="C2182">
        <v>9</v>
      </c>
      <c r="D2182">
        <v>2009</v>
      </c>
      <c r="E2182" t="s">
        <v>15</v>
      </c>
      <c r="F2182">
        <v>15</v>
      </c>
      <c r="G2182">
        <v>6699</v>
      </c>
      <c r="H2182">
        <v>100485</v>
      </c>
      <c r="I2182" s="3">
        <v>45311.541666666664</v>
      </c>
      <c r="J2182">
        <v>119</v>
      </c>
      <c r="K2182" s="3">
        <v>45316.041666666664</v>
      </c>
      <c r="L2182" s="4">
        <f>ROUNDDOWN(Table1[[#This Row],[Ordered]],0)</f>
        <v>45311</v>
      </c>
      <c r="M2182" s="4">
        <f>Table1[[#This Row],[Date ]]</f>
        <v>45311</v>
      </c>
      <c r="N2182" s="5">
        <f>Table1[[#This Row],[Ordered]]-Table1[[#This Row],[Date ]]</f>
        <v>0.41666666666424135</v>
      </c>
      <c r="O2182">
        <f>Table1[[#This Row],[Company]]</f>
        <v>9</v>
      </c>
      <c r="P21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3" spans="1:16" x14ac:dyDescent="0.45">
      <c r="A2183" s="3">
        <v>45311.416666666664</v>
      </c>
      <c r="B2183" t="s">
        <v>0</v>
      </c>
      <c r="C2183">
        <v>15</v>
      </c>
      <c r="D2183">
        <v>2009</v>
      </c>
      <c r="E2183" t="s">
        <v>16</v>
      </c>
      <c r="F2183">
        <v>45</v>
      </c>
      <c r="G2183">
        <v>4100</v>
      </c>
      <c r="H2183">
        <v>184500</v>
      </c>
      <c r="I2183" s="3">
        <v>45311.458333333336</v>
      </c>
      <c r="J2183">
        <v>48</v>
      </c>
      <c r="K2183" s="3">
        <v>45312.958333333336</v>
      </c>
      <c r="L2183" s="4">
        <f>ROUNDDOWN(Table1[[#This Row],[Ordered]],0)</f>
        <v>45311</v>
      </c>
      <c r="M2183" s="4">
        <f>Table1[[#This Row],[Date ]]</f>
        <v>45311</v>
      </c>
      <c r="N2183" s="5">
        <f>Table1[[#This Row],[Ordered]]-Table1[[#This Row],[Date ]]</f>
        <v>0.41666666666424135</v>
      </c>
      <c r="O2183">
        <f>Table1[[#This Row],[Company]]</f>
        <v>15</v>
      </c>
      <c r="P21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4" spans="1:16" x14ac:dyDescent="0.45">
      <c r="A2184" s="3">
        <v>45311.416666666664</v>
      </c>
      <c r="B2184" t="s">
        <v>0</v>
      </c>
      <c r="C2184">
        <v>13</v>
      </c>
      <c r="D2184">
        <v>2009</v>
      </c>
      <c r="E2184" t="s">
        <v>16</v>
      </c>
      <c r="F2184">
        <v>30</v>
      </c>
      <c r="G2184">
        <v>3000</v>
      </c>
      <c r="H2184">
        <v>90000</v>
      </c>
      <c r="I2184" s="3">
        <v>45315.125</v>
      </c>
      <c r="J2184">
        <v>132</v>
      </c>
      <c r="K2184" s="3">
        <v>45316.625</v>
      </c>
      <c r="L2184" s="4">
        <f>ROUNDDOWN(Table1[[#This Row],[Ordered]],0)</f>
        <v>45311</v>
      </c>
      <c r="M2184" s="4">
        <f>Table1[[#This Row],[Date ]]</f>
        <v>45311</v>
      </c>
      <c r="N2184" s="5">
        <f>Table1[[#This Row],[Ordered]]-Table1[[#This Row],[Date ]]</f>
        <v>0.41666666666424135</v>
      </c>
      <c r="O2184">
        <f>Table1[[#This Row],[Company]]</f>
        <v>13</v>
      </c>
      <c r="P21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5" spans="1:16" x14ac:dyDescent="0.45">
      <c r="A2185" s="3">
        <v>45311.416666666664</v>
      </c>
      <c r="B2185" t="s">
        <v>0</v>
      </c>
      <c r="C2185">
        <v>12</v>
      </c>
      <c r="D2185">
        <v>2009</v>
      </c>
      <c r="E2185" t="s">
        <v>16</v>
      </c>
      <c r="F2185">
        <v>30</v>
      </c>
      <c r="G2185">
        <v>3800</v>
      </c>
      <c r="H2185">
        <v>114000</v>
      </c>
      <c r="I2185" s="3">
        <v>45312.625</v>
      </c>
      <c r="J2185">
        <v>120</v>
      </c>
      <c r="K2185" s="3">
        <v>45315.625</v>
      </c>
      <c r="L2185" s="4">
        <f>ROUNDDOWN(Table1[[#This Row],[Ordered]],0)</f>
        <v>45311</v>
      </c>
      <c r="M2185" s="4">
        <f>Table1[[#This Row],[Date ]]</f>
        <v>45311</v>
      </c>
      <c r="N2185" s="5">
        <f>Table1[[#This Row],[Ordered]]-Table1[[#This Row],[Date ]]</f>
        <v>0.41666666666424135</v>
      </c>
      <c r="O2185">
        <f>Table1[[#This Row],[Company]]</f>
        <v>12</v>
      </c>
      <c r="P21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6" spans="1:16" x14ac:dyDescent="0.45">
      <c r="A2186" s="3">
        <v>45311.416666666664</v>
      </c>
      <c r="B2186" t="s">
        <v>0</v>
      </c>
      <c r="C2186">
        <v>7</v>
      </c>
      <c r="D2186">
        <v>2009</v>
      </c>
      <c r="E2186" t="s">
        <v>16</v>
      </c>
      <c r="F2186">
        <v>72</v>
      </c>
      <c r="G2186">
        <v>3900</v>
      </c>
      <c r="H2186">
        <v>280800</v>
      </c>
      <c r="I2186" s="3">
        <v>45312.5</v>
      </c>
      <c r="J2186">
        <v>132</v>
      </c>
      <c r="K2186" s="3">
        <v>45317</v>
      </c>
      <c r="L2186" s="4">
        <f>ROUNDDOWN(Table1[[#This Row],[Ordered]],0)</f>
        <v>45311</v>
      </c>
      <c r="M2186" s="4">
        <f>Table1[[#This Row],[Date ]]</f>
        <v>45311</v>
      </c>
      <c r="N2186" s="5">
        <f>Table1[[#This Row],[Ordered]]-Table1[[#This Row],[Date ]]</f>
        <v>0.41666666666424135</v>
      </c>
      <c r="O2186">
        <f>Table1[[#This Row],[Company]]</f>
        <v>7</v>
      </c>
      <c r="P21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7" spans="1:16" x14ac:dyDescent="0.45">
      <c r="A2187" s="3">
        <v>45311.458333333336</v>
      </c>
      <c r="B2187" t="s">
        <v>19</v>
      </c>
      <c r="C2187">
        <v>15</v>
      </c>
      <c r="D2187">
        <v>3006</v>
      </c>
      <c r="E2187" t="s">
        <v>16</v>
      </c>
      <c r="F2187">
        <v>6</v>
      </c>
      <c r="G2187">
        <v>4150</v>
      </c>
      <c r="H2187">
        <v>24900</v>
      </c>
      <c r="I2187" s="3">
        <v>45311.5</v>
      </c>
      <c r="J2187">
        <v>260</v>
      </c>
      <c r="K2187" s="3">
        <v>45321.5</v>
      </c>
      <c r="L2187" s="4">
        <f>ROUNDDOWN(Table1[[#This Row],[Ordered]],0)</f>
        <v>45311</v>
      </c>
      <c r="M2187" s="4">
        <f>Table1[[#This Row],[Date ]]</f>
        <v>45311</v>
      </c>
      <c r="N2187" s="5">
        <f>Table1[[#This Row],[Ordered]]-Table1[[#This Row],[Date ]]</f>
        <v>0.45833333333575865</v>
      </c>
      <c r="O2187">
        <f>Table1[[#This Row],[Company]]</f>
        <v>15</v>
      </c>
      <c r="P21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8" spans="1:16" x14ac:dyDescent="0.45">
      <c r="A2188" s="3">
        <v>45311.458333333336</v>
      </c>
      <c r="B2188" t="s">
        <v>19</v>
      </c>
      <c r="C2188">
        <v>15</v>
      </c>
      <c r="D2188">
        <v>3002</v>
      </c>
      <c r="E2188" t="s">
        <v>16</v>
      </c>
      <c r="F2188">
        <v>4</v>
      </c>
      <c r="G2188">
        <v>4150</v>
      </c>
      <c r="H2188">
        <v>16600</v>
      </c>
      <c r="I2188" s="3">
        <v>45311.541666666664</v>
      </c>
      <c r="J2188">
        <v>260</v>
      </c>
      <c r="K2188" s="3">
        <v>45321.541666666664</v>
      </c>
      <c r="L2188" s="4">
        <f>ROUNDDOWN(Table1[[#This Row],[Ordered]],0)</f>
        <v>45311</v>
      </c>
      <c r="M2188" s="4">
        <f>Table1[[#This Row],[Date ]]</f>
        <v>45311</v>
      </c>
      <c r="N2188" s="5">
        <f>Table1[[#This Row],[Ordered]]-Table1[[#This Row],[Date ]]</f>
        <v>0.45833333333575865</v>
      </c>
      <c r="O2188">
        <f>Table1[[#This Row],[Company]]</f>
        <v>15</v>
      </c>
      <c r="P21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9" spans="1:16" x14ac:dyDescent="0.45">
      <c r="A2189" s="3">
        <v>45311.458333333336</v>
      </c>
      <c r="B2189" t="s">
        <v>19</v>
      </c>
      <c r="C2189">
        <v>14</v>
      </c>
      <c r="D2189">
        <v>3002</v>
      </c>
      <c r="E2189" t="s">
        <v>16</v>
      </c>
      <c r="F2189">
        <v>11</v>
      </c>
      <c r="G2189">
        <v>4200</v>
      </c>
      <c r="H2189">
        <v>46200</v>
      </c>
      <c r="I2189" s="3">
        <v>45311.458333333336</v>
      </c>
      <c r="J2189">
        <v>252</v>
      </c>
      <c r="K2189" s="3">
        <v>45321.458333333336</v>
      </c>
      <c r="L2189" s="4">
        <f>ROUNDDOWN(Table1[[#This Row],[Ordered]],0)</f>
        <v>45311</v>
      </c>
      <c r="M2189" s="4">
        <f>Table1[[#This Row],[Date ]]</f>
        <v>45311</v>
      </c>
      <c r="N2189" s="5">
        <f>Table1[[#This Row],[Ordered]]-Table1[[#This Row],[Date ]]</f>
        <v>0.45833333333575865</v>
      </c>
      <c r="O2189">
        <f>Table1[[#This Row],[Company]]</f>
        <v>14</v>
      </c>
      <c r="P21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0" spans="1:16" x14ac:dyDescent="0.45">
      <c r="A2190" s="3">
        <v>45311.458333333336</v>
      </c>
      <c r="B2190" t="s">
        <v>19</v>
      </c>
      <c r="C2190">
        <v>14</v>
      </c>
      <c r="D2190">
        <v>3006</v>
      </c>
      <c r="E2190" t="s">
        <v>16</v>
      </c>
      <c r="F2190">
        <v>15</v>
      </c>
      <c r="G2190">
        <v>4200</v>
      </c>
      <c r="H2190">
        <v>63000</v>
      </c>
      <c r="I2190" s="3">
        <v>45311.458333333336</v>
      </c>
      <c r="J2190">
        <v>252</v>
      </c>
      <c r="K2190" s="3">
        <v>45321.958333333336</v>
      </c>
      <c r="L2190" s="4">
        <f>ROUNDDOWN(Table1[[#This Row],[Ordered]],0)</f>
        <v>45311</v>
      </c>
      <c r="M2190" s="4">
        <f>Table1[[#This Row],[Date ]]</f>
        <v>45311</v>
      </c>
      <c r="N2190" s="5">
        <f>Table1[[#This Row],[Ordered]]-Table1[[#This Row],[Date ]]</f>
        <v>0.45833333333575865</v>
      </c>
      <c r="O2190">
        <f>Table1[[#This Row],[Company]]</f>
        <v>14</v>
      </c>
      <c r="P21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1" spans="1:16" hidden="1" x14ac:dyDescent="0.45">
      <c r="A2191" s="3">
        <v>45311.5</v>
      </c>
      <c r="B2191" t="s">
        <v>12</v>
      </c>
      <c r="C2191">
        <v>4</v>
      </c>
      <c r="D2191">
        <v>9</v>
      </c>
      <c r="E2191" t="s">
        <v>13</v>
      </c>
      <c r="F2191">
        <v>2000</v>
      </c>
      <c r="G2191">
        <v>110</v>
      </c>
      <c r="H2191">
        <v>220000</v>
      </c>
      <c r="I2191" s="3">
        <v>45311.5</v>
      </c>
      <c r="J2191">
        <v>48</v>
      </c>
      <c r="K2191" s="3">
        <v>45313.5</v>
      </c>
      <c r="L2191" s="4">
        <f>ROUNDDOWN(Table1[[#This Row],[Ordered]],0)</f>
        <v>45311</v>
      </c>
      <c r="M2191" s="4">
        <f>Table1[[#This Row],[Date ]]</f>
        <v>45311</v>
      </c>
      <c r="N2191" s="5">
        <f>Table1[[#This Row],[Ordered]]-Table1[[#This Row],[Date ]]</f>
        <v>0.5</v>
      </c>
      <c r="O2191">
        <f>Table1[[#This Row],[Company]]</f>
        <v>4</v>
      </c>
      <c r="P21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2" spans="1:16" hidden="1" x14ac:dyDescent="0.45">
      <c r="A2192" s="3">
        <v>45311.541666666664</v>
      </c>
      <c r="B2192" t="s">
        <v>12</v>
      </c>
      <c r="C2192">
        <v>6</v>
      </c>
      <c r="D2192">
        <v>15</v>
      </c>
      <c r="E2192" t="s">
        <v>17</v>
      </c>
      <c r="F2192">
        <v>200</v>
      </c>
      <c r="G2192">
        <v>1500</v>
      </c>
      <c r="H2192">
        <v>300000</v>
      </c>
      <c r="I2192" s="3">
        <v>45311.583333333336</v>
      </c>
      <c r="J2192">
        <v>72</v>
      </c>
      <c r="K2192" s="3">
        <v>45314.583333333336</v>
      </c>
      <c r="L2192" s="4">
        <f>ROUNDDOWN(Table1[[#This Row],[Ordered]],0)</f>
        <v>45311</v>
      </c>
      <c r="M2192" s="4">
        <f>Table1[[#This Row],[Date ]]</f>
        <v>45311</v>
      </c>
      <c r="N2192" s="5">
        <f>Table1[[#This Row],[Ordered]]-Table1[[#This Row],[Date ]]</f>
        <v>0.54166666666424135</v>
      </c>
      <c r="O2192">
        <f>Table1[[#This Row],[Company]]</f>
        <v>6</v>
      </c>
      <c r="P21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3" spans="1:16" hidden="1" x14ac:dyDescent="0.45">
      <c r="A2193" s="3">
        <v>45311.541666666664</v>
      </c>
      <c r="B2193" t="s">
        <v>12</v>
      </c>
      <c r="C2193">
        <v>9</v>
      </c>
      <c r="D2193">
        <v>4</v>
      </c>
      <c r="E2193" t="s">
        <v>20</v>
      </c>
      <c r="F2193">
        <v>64</v>
      </c>
      <c r="G2193">
        <v>15</v>
      </c>
      <c r="H2193">
        <v>960</v>
      </c>
      <c r="I2193" s="3">
        <v>45311.583333333336</v>
      </c>
      <c r="J2193">
        <v>72</v>
      </c>
      <c r="K2193" s="3">
        <v>45314.583333333336</v>
      </c>
      <c r="L2193" s="4">
        <f>ROUNDDOWN(Table1[[#This Row],[Ordered]],0)</f>
        <v>45311</v>
      </c>
      <c r="M2193" s="4">
        <f>Table1[[#This Row],[Date ]]</f>
        <v>45311</v>
      </c>
      <c r="N2193" s="5">
        <f>Table1[[#This Row],[Ordered]]-Table1[[#This Row],[Date ]]</f>
        <v>0.54166666666424135</v>
      </c>
      <c r="O2193">
        <f>Table1[[#This Row],[Company]]</f>
        <v>9</v>
      </c>
      <c r="P21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4" spans="1:16" hidden="1" x14ac:dyDescent="0.45">
      <c r="A2194" s="3">
        <v>45311.541666666664</v>
      </c>
      <c r="B2194" t="s">
        <v>12</v>
      </c>
      <c r="C2194">
        <v>4</v>
      </c>
      <c r="D2194">
        <v>11</v>
      </c>
      <c r="E2194" t="s">
        <v>17</v>
      </c>
      <c r="F2194">
        <v>500</v>
      </c>
      <c r="G2194">
        <v>1350</v>
      </c>
      <c r="H2194">
        <v>675000</v>
      </c>
      <c r="I2194" s="3">
        <v>45311.541666666664</v>
      </c>
      <c r="J2194">
        <v>24</v>
      </c>
      <c r="K2194" s="3">
        <v>45312.541666666664</v>
      </c>
      <c r="L2194" s="4">
        <f>ROUNDDOWN(Table1[[#This Row],[Ordered]],0)</f>
        <v>45311</v>
      </c>
      <c r="M2194" s="4">
        <f>Table1[[#This Row],[Date ]]</f>
        <v>45311</v>
      </c>
      <c r="N2194" s="5">
        <f>Table1[[#This Row],[Ordered]]-Table1[[#This Row],[Date ]]</f>
        <v>0.54166666666424135</v>
      </c>
      <c r="O2194">
        <f>Table1[[#This Row],[Company]]</f>
        <v>4</v>
      </c>
      <c r="P21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5" spans="1:16" hidden="1" x14ac:dyDescent="0.45">
      <c r="A2195" s="3">
        <v>45311.541666666664</v>
      </c>
      <c r="B2195" t="s">
        <v>12</v>
      </c>
      <c r="C2195">
        <v>2</v>
      </c>
      <c r="D2195">
        <v>15</v>
      </c>
      <c r="E2195" t="s">
        <v>13</v>
      </c>
      <c r="F2195">
        <v>2500</v>
      </c>
      <c r="G2195">
        <v>125</v>
      </c>
      <c r="H2195">
        <v>312500</v>
      </c>
      <c r="I2195" s="3">
        <v>45311.583333333336</v>
      </c>
      <c r="J2195">
        <v>48</v>
      </c>
      <c r="K2195" s="3">
        <v>45313.583333333336</v>
      </c>
      <c r="L2195" s="4">
        <f>ROUNDDOWN(Table1[[#This Row],[Ordered]],0)</f>
        <v>45311</v>
      </c>
      <c r="M2195" s="4">
        <f>Table1[[#This Row],[Date ]]</f>
        <v>45311</v>
      </c>
      <c r="N2195" s="5">
        <f>Table1[[#This Row],[Ordered]]-Table1[[#This Row],[Date ]]</f>
        <v>0.54166666666424135</v>
      </c>
      <c r="O2195">
        <f>Table1[[#This Row],[Company]]</f>
        <v>2</v>
      </c>
      <c r="P21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6" spans="1:16" hidden="1" x14ac:dyDescent="0.45">
      <c r="A2196" s="3">
        <v>45311.541666666664</v>
      </c>
      <c r="B2196" t="s">
        <v>12</v>
      </c>
      <c r="C2196">
        <v>6</v>
      </c>
      <c r="D2196">
        <v>15</v>
      </c>
      <c r="E2196" t="s">
        <v>17</v>
      </c>
      <c r="F2196">
        <v>200</v>
      </c>
      <c r="G2196">
        <v>1500</v>
      </c>
      <c r="H2196">
        <v>300000</v>
      </c>
      <c r="I2196" s="3">
        <v>45311.583333333336</v>
      </c>
      <c r="J2196">
        <v>72</v>
      </c>
      <c r="K2196" s="3">
        <v>45314.583333333336</v>
      </c>
      <c r="L2196" s="4">
        <f>ROUNDDOWN(Table1[[#This Row],[Ordered]],0)</f>
        <v>45311</v>
      </c>
      <c r="M2196" s="4">
        <f>Table1[[#This Row],[Date ]]</f>
        <v>45311</v>
      </c>
      <c r="N2196" s="5">
        <f>Table1[[#This Row],[Ordered]]-Table1[[#This Row],[Date ]]</f>
        <v>0.54166666666424135</v>
      </c>
      <c r="O2196">
        <f>Table1[[#This Row],[Company]]</f>
        <v>6</v>
      </c>
      <c r="P21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7" spans="1:16" x14ac:dyDescent="0.45">
      <c r="A2197" s="3">
        <v>45311.583333333336</v>
      </c>
      <c r="B2197" t="s">
        <v>14</v>
      </c>
      <c r="C2197">
        <v>12</v>
      </c>
      <c r="D2197">
        <v>1003</v>
      </c>
      <c r="E2197" t="s">
        <v>16</v>
      </c>
      <c r="F2197">
        <v>30</v>
      </c>
      <c r="G2197">
        <v>3800</v>
      </c>
      <c r="H2197">
        <v>114000</v>
      </c>
      <c r="I2197" s="3">
        <v>45312.458333333336</v>
      </c>
      <c r="J2197">
        <v>96</v>
      </c>
      <c r="K2197" s="3">
        <v>45315.458333333336</v>
      </c>
      <c r="L2197" s="4">
        <f>ROUNDDOWN(Table1[[#This Row],[Ordered]],0)</f>
        <v>45311</v>
      </c>
      <c r="M2197" s="4">
        <f>Table1[[#This Row],[Date ]]</f>
        <v>45311</v>
      </c>
      <c r="N2197" s="5">
        <f>Table1[[#This Row],[Ordered]]-Table1[[#This Row],[Date ]]</f>
        <v>0.58333333333575865</v>
      </c>
      <c r="O2197">
        <f>Table1[[#This Row],[Company]]</f>
        <v>12</v>
      </c>
      <c r="P21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8" spans="1:16" x14ac:dyDescent="0.45">
      <c r="A2198" s="3">
        <v>45311.583333333336</v>
      </c>
      <c r="B2198" t="s">
        <v>14</v>
      </c>
      <c r="C2198">
        <v>11</v>
      </c>
      <c r="D2198">
        <v>1003</v>
      </c>
      <c r="E2198" t="s">
        <v>16</v>
      </c>
      <c r="F2198">
        <v>30</v>
      </c>
      <c r="G2198">
        <v>4000</v>
      </c>
      <c r="H2198">
        <v>120000</v>
      </c>
      <c r="I2198" s="3">
        <v>45312.5</v>
      </c>
      <c r="J2198">
        <v>96</v>
      </c>
      <c r="K2198" s="3">
        <v>45315.5</v>
      </c>
      <c r="L2198" s="4">
        <f>ROUNDDOWN(Table1[[#This Row],[Ordered]],0)</f>
        <v>45311</v>
      </c>
      <c r="M2198" s="4">
        <f>Table1[[#This Row],[Date ]]</f>
        <v>45311</v>
      </c>
      <c r="N2198" s="5">
        <f>Table1[[#This Row],[Ordered]]-Table1[[#This Row],[Date ]]</f>
        <v>0.58333333333575865</v>
      </c>
      <c r="O2198">
        <f>Table1[[#This Row],[Company]]</f>
        <v>11</v>
      </c>
      <c r="P21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9" spans="1:16" x14ac:dyDescent="0.45">
      <c r="A2199" s="3">
        <v>45311.583333333336</v>
      </c>
      <c r="B2199" t="s">
        <v>14</v>
      </c>
      <c r="C2199">
        <v>9</v>
      </c>
      <c r="D2199">
        <v>1011</v>
      </c>
      <c r="E2199" t="s">
        <v>16</v>
      </c>
      <c r="F2199">
        <v>15</v>
      </c>
      <c r="G2199">
        <v>3799</v>
      </c>
      <c r="H2199">
        <v>56985</v>
      </c>
      <c r="I2199" s="3">
        <v>45311.583333333336</v>
      </c>
      <c r="J2199">
        <v>76</v>
      </c>
      <c r="K2199" s="3">
        <v>45314.583333333336</v>
      </c>
      <c r="L2199" s="4">
        <f>ROUNDDOWN(Table1[[#This Row],[Ordered]],0)</f>
        <v>45311</v>
      </c>
      <c r="M2199" s="4">
        <f>Table1[[#This Row],[Date ]]</f>
        <v>45311</v>
      </c>
      <c r="N2199" s="5">
        <f>Table1[[#This Row],[Ordered]]-Table1[[#This Row],[Date ]]</f>
        <v>0.58333333333575865</v>
      </c>
      <c r="O2199">
        <f>Table1[[#This Row],[Company]]</f>
        <v>9</v>
      </c>
      <c r="P21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0" spans="1:16" x14ac:dyDescent="0.45">
      <c r="A2200" s="3">
        <v>45311.583333333336</v>
      </c>
      <c r="B2200" t="s">
        <v>14</v>
      </c>
      <c r="C2200">
        <v>9</v>
      </c>
      <c r="D2200">
        <v>1003</v>
      </c>
      <c r="E2200" t="s">
        <v>16</v>
      </c>
      <c r="F2200">
        <v>15</v>
      </c>
      <c r="G2200">
        <v>3799</v>
      </c>
      <c r="H2200">
        <v>56985</v>
      </c>
      <c r="I2200" s="3">
        <v>45311.583333333336</v>
      </c>
      <c r="J2200">
        <v>76</v>
      </c>
      <c r="K2200" s="3">
        <v>45314.583333333336</v>
      </c>
      <c r="L2200" s="4">
        <f>ROUNDDOWN(Table1[[#This Row],[Ordered]],0)</f>
        <v>45311</v>
      </c>
      <c r="M2200" s="4">
        <f>Table1[[#This Row],[Date ]]</f>
        <v>45311</v>
      </c>
      <c r="N2200" s="5">
        <f>Table1[[#This Row],[Ordered]]-Table1[[#This Row],[Date ]]</f>
        <v>0.58333333333575865</v>
      </c>
      <c r="O2200">
        <f>Table1[[#This Row],[Company]]</f>
        <v>9</v>
      </c>
      <c r="P22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1" spans="1:16" x14ac:dyDescent="0.45">
      <c r="A2201" s="3">
        <v>45311.583333333336</v>
      </c>
      <c r="B2201" t="s">
        <v>14</v>
      </c>
      <c r="C2201">
        <v>11</v>
      </c>
      <c r="D2201">
        <v>1011</v>
      </c>
      <c r="E2201" t="s">
        <v>16</v>
      </c>
      <c r="F2201">
        <v>17</v>
      </c>
      <c r="G2201">
        <v>4000</v>
      </c>
      <c r="H2201">
        <v>68000</v>
      </c>
      <c r="I2201" s="3">
        <v>45312.166666666664</v>
      </c>
      <c r="J2201">
        <v>96</v>
      </c>
      <c r="K2201" s="3">
        <v>45315.166666666664</v>
      </c>
      <c r="L2201" s="4">
        <f>ROUNDDOWN(Table1[[#This Row],[Ordered]],0)</f>
        <v>45311</v>
      </c>
      <c r="M2201" s="4">
        <f>Table1[[#This Row],[Date ]]</f>
        <v>45311</v>
      </c>
      <c r="N2201" s="5">
        <f>Table1[[#This Row],[Ordered]]-Table1[[#This Row],[Date ]]</f>
        <v>0.58333333333575865</v>
      </c>
      <c r="O2201">
        <f>Table1[[#This Row],[Company]]</f>
        <v>11</v>
      </c>
      <c r="P22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2" spans="1:16" x14ac:dyDescent="0.45">
      <c r="A2202" s="3">
        <v>45311.583333333336</v>
      </c>
      <c r="B2202" t="s">
        <v>14</v>
      </c>
      <c r="C2202">
        <v>16</v>
      </c>
      <c r="D2202">
        <v>1003</v>
      </c>
      <c r="E2202" t="s">
        <v>16</v>
      </c>
      <c r="F2202">
        <v>30</v>
      </c>
      <c r="G2202">
        <v>3750</v>
      </c>
      <c r="H2202">
        <v>112500</v>
      </c>
      <c r="I2202" s="3">
        <v>45311.791666666664</v>
      </c>
      <c r="J2202">
        <v>96</v>
      </c>
      <c r="K2202" s="3">
        <v>45314.791666666664</v>
      </c>
      <c r="L2202" s="4">
        <f>ROUNDDOWN(Table1[[#This Row],[Ordered]],0)</f>
        <v>45311</v>
      </c>
      <c r="M2202" s="4">
        <f>Table1[[#This Row],[Date ]]</f>
        <v>45311</v>
      </c>
      <c r="N2202" s="5">
        <f>Table1[[#This Row],[Ordered]]-Table1[[#This Row],[Date ]]</f>
        <v>0.58333333333575865</v>
      </c>
      <c r="O2202">
        <f>Table1[[#This Row],[Company]]</f>
        <v>16</v>
      </c>
      <c r="P22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3" spans="1:16" x14ac:dyDescent="0.45">
      <c r="A2203" s="3">
        <v>45311.583333333336</v>
      </c>
      <c r="B2203" t="s">
        <v>14</v>
      </c>
      <c r="C2203">
        <v>14</v>
      </c>
      <c r="D2203">
        <v>1003</v>
      </c>
      <c r="E2203" t="s">
        <v>16</v>
      </c>
      <c r="F2203">
        <v>31</v>
      </c>
      <c r="G2203">
        <v>3750</v>
      </c>
      <c r="H2203">
        <v>116250</v>
      </c>
      <c r="I2203" s="3">
        <v>45311.583333333336</v>
      </c>
      <c r="J2203">
        <v>84</v>
      </c>
      <c r="K2203" s="3">
        <v>45314.583333333336</v>
      </c>
      <c r="L2203" s="4">
        <f>ROUNDDOWN(Table1[[#This Row],[Ordered]],0)</f>
        <v>45311</v>
      </c>
      <c r="M2203" s="4">
        <f>Table1[[#This Row],[Date ]]</f>
        <v>45311</v>
      </c>
      <c r="N2203" s="5">
        <f>Table1[[#This Row],[Ordered]]-Table1[[#This Row],[Date ]]</f>
        <v>0.58333333333575865</v>
      </c>
      <c r="O2203">
        <f>Table1[[#This Row],[Company]]</f>
        <v>14</v>
      </c>
      <c r="P22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4" spans="1:16" x14ac:dyDescent="0.45">
      <c r="A2204" s="3">
        <v>45311.583333333336</v>
      </c>
      <c r="B2204" t="s">
        <v>14</v>
      </c>
      <c r="C2204">
        <v>15</v>
      </c>
      <c r="D2204">
        <v>1011</v>
      </c>
      <c r="E2204" t="s">
        <v>16</v>
      </c>
      <c r="F2204">
        <v>33</v>
      </c>
      <c r="G2204">
        <v>3400</v>
      </c>
      <c r="H2204">
        <v>112200</v>
      </c>
      <c r="I2204" s="3">
        <v>45311.708333333336</v>
      </c>
      <c r="J2204">
        <v>88</v>
      </c>
      <c r="K2204" s="3">
        <v>45314.708333333336</v>
      </c>
      <c r="L2204" s="4">
        <f>ROUNDDOWN(Table1[[#This Row],[Ordered]],0)</f>
        <v>45311</v>
      </c>
      <c r="M2204" s="4">
        <f>Table1[[#This Row],[Date ]]</f>
        <v>45311</v>
      </c>
      <c r="N2204" s="5">
        <f>Table1[[#This Row],[Ordered]]-Table1[[#This Row],[Date ]]</f>
        <v>0.58333333333575865</v>
      </c>
      <c r="O2204">
        <f>Table1[[#This Row],[Company]]</f>
        <v>15</v>
      </c>
      <c r="P22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5" spans="1:16" x14ac:dyDescent="0.45">
      <c r="A2205" s="3">
        <v>45311.583333333336</v>
      </c>
      <c r="B2205" t="s">
        <v>14</v>
      </c>
      <c r="C2205">
        <v>14</v>
      </c>
      <c r="D2205">
        <v>1011</v>
      </c>
      <c r="E2205" t="s">
        <v>16</v>
      </c>
      <c r="F2205">
        <v>25</v>
      </c>
      <c r="G2205">
        <v>3750</v>
      </c>
      <c r="H2205">
        <v>93750</v>
      </c>
      <c r="I2205" s="3">
        <v>45311.583333333336</v>
      </c>
      <c r="J2205">
        <v>84</v>
      </c>
      <c r="K2205" s="3">
        <v>45314.583333333336</v>
      </c>
      <c r="L2205" s="4">
        <f>ROUNDDOWN(Table1[[#This Row],[Ordered]],0)</f>
        <v>45311</v>
      </c>
      <c r="M2205" s="4">
        <f>Table1[[#This Row],[Date ]]</f>
        <v>45311</v>
      </c>
      <c r="N2205" s="5">
        <f>Table1[[#This Row],[Ordered]]-Table1[[#This Row],[Date ]]</f>
        <v>0.58333333333575865</v>
      </c>
      <c r="O2205">
        <f>Table1[[#This Row],[Company]]</f>
        <v>14</v>
      </c>
      <c r="P22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6" spans="1:16" x14ac:dyDescent="0.45">
      <c r="A2206" s="3">
        <v>45311.583333333336</v>
      </c>
      <c r="B2206" t="s">
        <v>14</v>
      </c>
      <c r="C2206">
        <v>10</v>
      </c>
      <c r="D2206">
        <v>1003</v>
      </c>
      <c r="E2206" t="s">
        <v>16</v>
      </c>
      <c r="F2206">
        <v>21</v>
      </c>
      <c r="G2206">
        <v>4200</v>
      </c>
      <c r="H2206">
        <v>88200</v>
      </c>
      <c r="I2206" s="3">
        <v>45311.708333333336</v>
      </c>
      <c r="J2206">
        <v>84</v>
      </c>
      <c r="K2206" s="3">
        <v>45314.708333333336</v>
      </c>
      <c r="L2206" s="4">
        <f>ROUNDDOWN(Table1[[#This Row],[Ordered]],0)</f>
        <v>45311</v>
      </c>
      <c r="M2206" s="4">
        <f>Table1[[#This Row],[Date ]]</f>
        <v>45311</v>
      </c>
      <c r="N2206" s="5">
        <f>Table1[[#This Row],[Ordered]]-Table1[[#This Row],[Date ]]</f>
        <v>0.58333333333575865</v>
      </c>
      <c r="O2206">
        <f>Table1[[#This Row],[Company]]</f>
        <v>10</v>
      </c>
      <c r="P22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7" spans="1:16" x14ac:dyDescent="0.45">
      <c r="A2207" s="3">
        <v>45311.583333333336</v>
      </c>
      <c r="B2207" t="s">
        <v>14</v>
      </c>
      <c r="C2207">
        <v>16</v>
      </c>
      <c r="D2207">
        <v>1011</v>
      </c>
      <c r="E2207" t="s">
        <v>16</v>
      </c>
      <c r="F2207">
        <v>29</v>
      </c>
      <c r="G2207">
        <v>3750</v>
      </c>
      <c r="H2207">
        <v>108750</v>
      </c>
      <c r="I2207" s="3">
        <v>45311.791666666664</v>
      </c>
      <c r="J2207">
        <v>96</v>
      </c>
      <c r="K2207" s="3">
        <v>45314.791666666664</v>
      </c>
      <c r="L2207" s="4">
        <f>ROUNDDOWN(Table1[[#This Row],[Ordered]],0)</f>
        <v>45311</v>
      </c>
      <c r="M2207" s="4">
        <f>Table1[[#This Row],[Date ]]</f>
        <v>45311</v>
      </c>
      <c r="N2207" s="5">
        <f>Table1[[#This Row],[Ordered]]-Table1[[#This Row],[Date ]]</f>
        <v>0.58333333333575865</v>
      </c>
      <c r="O2207">
        <f>Table1[[#This Row],[Company]]</f>
        <v>16</v>
      </c>
      <c r="P22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8" spans="1:16" x14ac:dyDescent="0.45">
      <c r="A2208" s="3">
        <v>45311.583333333336</v>
      </c>
      <c r="B2208" t="s">
        <v>14</v>
      </c>
      <c r="C2208">
        <v>12</v>
      </c>
      <c r="D2208">
        <v>1011</v>
      </c>
      <c r="E2208" t="s">
        <v>16</v>
      </c>
      <c r="F2208">
        <v>19</v>
      </c>
      <c r="G2208">
        <v>3800</v>
      </c>
      <c r="H2208">
        <v>72200</v>
      </c>
      <c r="I2208" s="3">
        <v>45312.458333333336</v>
      </c>
      <c r="J2208">
        <v>96</v>
      </c>
      <c r="K2208" s="3">
        <v>45315.458333333336</v>
      </c>
      <c r="L2208" s="4">
        <f>ROUNDDOWN(Table1[[#This Row],[Ordered]],0)</f>
        <v>45311</v>
      </c>
      <c r="M2208" s="4">
        <f>Table1[[#This Row],[Date ]]</f>
        <v>45311</v>
      </c>
      <c r="N2208" s="5">
        <f>Table1[[#This Row],[Ordered]]-Table1[[#This Row],[Date ]]</f>
        <v>0.58333333333575865</v>
      </c>
      <c r="O2208">
        <f>Table1[[#This Row],[Company]]</f>
        <v>12</v>
      </c>
      <c r="P22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9" spans="1:16" x14ac:dyDescent="0.45">
      <c r="A2209" s="3">
        <v>45311.583333333336</v>
      </c>
      <c r="B2209" t="s">
        <v>14</v>
      </c>
      <c r="C2209">
        <v>13</v>
      </c>
      <c r="D2209">
        <v>1003</v>
      </c>
      <c r="E2209" t="s">
        <v>16</v>
      </c>
      <c r="F2209">
        <v>30</v>
      </c>
      <c r="G2209">
        <v>3100</v>
      </c>
      <c r="H2209">
        <v>93000</v>
      </c>
      <c r="I2209" s="3">
        <v>45313.25</v>
      </c>
      <c r="J2209">
        <v>96</v>
      </c>
      <c r="K2209" s="3">
        <v>45315.25</v>
      </c>
      <c r="L2209" s="4">
        <f>ROUNDDOWN(Table1[[#This Row],[Ordered]],0)</f>
        <v>45311</v>
      </c>
      <c r="M2209" s="4">
        <f>Table1[[#This Row],[Date ]]</f>
        <v>45311</v>
      </c>
      <c r="N2209" s="5">
        <f>Table1[[#This Row],[Ordered]]-Table1[[#This Row],[Date ]]</f>
        <v>0.58333333333575865</v>
      </c>
      <c r="O2209">
        <f>Table1[[#This Row],[Company]]</f>
        <v>13</v>
      </c>
      <c r="P22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0" spans="1:16" x14ac:dyDescent="0.45">
      <c r="A2210" s="3">
        <v>45311.583333333336</v>
      </c>
      <c r="B2210" t="s">
        <v>14</v>
      </c>
      <c r="C2210">
        <v>13</v>
      </c>
      <c r="D2210">
        <v>1011</v>
      </c>
      <c r="E2210" t="s">
        <v>16</v>
      </c>
      <c r="F2210">
        <v>30</v>
      </c>
      <c r="G2210">
        <v>3100</v>
      </c>
      <c r="H2210">
        <v>93000</v>
      </c>
      <c r="I2210" s="3">
        <v>45313.25</v>
      </c>
      <c r="J2210">
        <v>96</v>
      </c>
      <c r="K2210" s="3">
        <v>45315.25</v>
      </c>
      <c r="L2210" s="4">
        <f>ROUNDDOWN(Table1[[#This Row],[Ordered]],0)</f>
        <v>45311</v>
      </c>
      <c r="M2210" s="4">
        <f>Table1[[#This Row],[Date ]]</f>
        <v>45311</v>
      </c>
      <c r="N2210" s="5">
        <f>Table1[[#This Row],[Ordered]]-Table1[[#This Row],[Date ]]</f>
        <v>0.58333333333575865</v>
      </c>
      <c r="O2210">
        <f>Table1[[#This Row],[Company]]</f>
        <v>13</v>
      </c>
      <c r="P22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1" spans="1:16" x14ac:dyDescent="0.45">
      <c r="A2211" s="3">
        <v>45311.583333333336</v>
      </c>
      <c r="B2211" t="s">
        <v>14</v>
      </c>
      <c r="C2211">
        <v>10</v>
      </c>
      <c r="D2211">
        <v>1011</v>
      </c>
      <c r="E2211" t="s">
        <v>16</v>
      </c>
      <c r="F2211">
        <v>14</v>
      </c>
      <c r="G2211">
        <v>4200</v>
      </c>
      <c r="H2211">
        <v>58800</v>
      </c>
      <c r="I2211" s="3">
        <v>45311.708333333336</v>
      </c>
      <c r="J2211">
        <v>84</v>
      </c>
      <c r="K2211" s="3">
        <v>45314.708333333336</v>
      </c>
      <c r="L2211" s="4">
        <f>ROUNDDOWN(Table1[[#This Row],[Ordered]],0)</f>
        <v>45311</v>
      </c>
      <c r="M2211" s="4">
        <f>Table1[[#This Row],[Date ]]</f>
        <v>45311</v>
      </c>
      <c r="N2211" s="5">
        <f>Table1[[#This Row],[Ordered]]-Table1[[#This Row],[Date ]]</f>
        <v>0.58333333333575865</v>
      </c>
      <c r="O2211">
        <f>Table1[[#This Row],[Company]]</f>
        <v>10</v>
      </c>
      <c r="P22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2" spans="1:16" x14ac:dyDescent="0.45">
      <c r="A2212" s="3">
        <v>45311.583333333336</v>
      </c>
      <c r="B2212" t="s">
        <v>14</v>
      </c>
      <c r="C2212">
        <v>15</v>
      </c>
      <c r="D2212">
        <v>1003</v>
      </c>
      <c r="E2212" t="s">
        <v>16</v>
      </c>
      <c r="F2212">
        <v>50</v>
      </c>
      <c r="G2212">
        <v>3400</v>
      </c>
      <c r="H2212">
        <v>170000</v>
      </c>
      <c r="I2212" s="3">
        <v>45311.708333333336</v>
      </c>
      <c r="J2212">
        <v>88</v>
      </c>
      <c r="K2212" s="3">
        <v>45314.708333333336</v>
      </c>
      <c r="L2212" s="4">
        <f>ROUNDDOWN(Table1[[#This Row],[Ordered]],0)</f>
        <v>45311</v>
      </c>
      <c r="M2212" s="4">
        <f>Table1[[#This Row],[Date ]]</f>
        <v>45311</v>
      </c>
      <c r="N2212" s="5">
        <f>Table1[[#This Row],[Ordered]]-Table1[[#This Row],[Date ]]</f>
        <v>0.58333333333575865</v>
      </c>
      <c r="O2212">
        <f>Table1[[#This Row],[Company]]</f>
        <v>15</v>
      </c>
      <c r="P22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3" spans="1:16" hidden="1" x14ac:dyDescent="0.45">
      <c r="A2213" s="3">
        <v>45311.625</v>
      </c>
      <c r="B2213" t="s">
        <v>12</v>
      </c>
      <c r="C2213">
        <v>2</v>
      </c>
      <c r="D2213">
        <v>15</v>
      </c>
      <c r="E2213" t="s">
        <v>13</v>
      </c>
      <c r="F2213">
        <v>2800</v>
      </c>
      <c r="G2213">
        <v>125</v>
      </c>
      <c r="H2213">
        <v>350000</v>
      </c>
      <c r="I2213" s="3">
        <v>45311.666666666664</v>
      </c>
      <c r="J2213">
        <v>72</v>
      </c>
      <c r="K2213" s="3">
        <v>45314.666666666664</v>
      </c>
      <c r="L2213" s="4">
        <f>ROUNDDOWN(Table1[[#This Row],[Ordered]],0)</f>
        <v>45311</v>
      </c>
      <c r="M2213" s="4">
        <f>Table1[[#This Row],[Date ]]</f>
        <v>45311</v>
      </c>
      <c r="N2213" s="5">
        <f>Table1[[#This Row],[Ordered]]-Table1[[#This Row],[Date ]]</f>
        <v>0.625</v>
      </c>
      <c r="O2213">
        <f>Table1[[#This Row],[Company]]</f>
        <v>2</v>
      </c>
      <c r="P22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4" spans="1:16" hidden="1" x14ac:dyDescent="0.45">
      <c r="A2214" s="3">
        <v>45311.666666666664</v>
      </c>
      <c r="B2214" t="s">
        <v>12</v>
      </c>
      <c r="C2214">
        <v>4</v>
      </c>
      <c r="D2214">
        <v>8</v>
      </c>
      <c r="E2214" t="s">
        <v>13</v>
      </c>
      <c r="F2214">
        <v>1400</v>
      </c>
      <c r="G2214">
        <v>110</v>
      </c>
      <c r="H2214">
        <v>154000</v>
      </c>
      <c r="I2214" s="3">
        <v>45311.708333333336</v>
      </c>
      <c r="J2214">
        <v>48</v>
      </c>
      <c r="K2214" s="3">
        <v>45313.708333333336</v>
      </c>
      <c r="L2214" s="4">
        <f>ROUNDDOWN(Table1[[#This Row],[Ordered]],0)</f>
        <v>45311</v>
      </c>
      <c r="M2214" s="4">
        <f>Table1[[#This Row],[Date ]]</f>
        <v>45311</v>
      </c>
      <c r="N2214" s="5">
        <f>Table1[[#This Row],[Ordered]]-Table1[[#This Row],[Date ]]</f>
        <v>0.66666666666424135</v>
      </c>
      <c r="O2214">
        <f>Table1[[#This Row],[Company]]</f>
        <v>4</v>
      </c>
      <c r="P22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5" spans="1:16" hidden="1" x14ac:dyDescent="0.45">
      <c r="A2215" s="3">
        <v>45311.708333333336</v>
      </c>
      <c r="B2215" t="s">
        <v>12</v>
      </c>
      <c r="C2215">
        <v>6</v>
      </c>
      <c r="D2215">
        <v>10</v>
      </c>
      <c r="E2215" t="s">
        <v>17</v>
      </c>
      <c r="F2215">
        <v>118</v>
      </c>
      <c r="G2215">
        <v>1550</v>
      </c>
      <c r="H2215">
        <v>182900</v>
      </c>
      <c r="I2215" s="3">
        <v>45311.791666666664</v>
      </c>
      <c r="J2215">
        <v>24</v>
      </c>
      <c r="K2215" s="3">
        <v>45312.791666666664</v>
      </c>
      <c r="L2215" s="4">
        <f>ROUNDDOWN(Table1[[#This Row],[Ordered]],0)</f>
        <v>45311</v>
      </c>
      <c r="M2215" s="4">
        <f>Table1[[#This Row],[Date ]]</f>
        <v>45311</v>
      </c>
      <c r="N2215" s="5">
        <f>Table1[[#This Row],[Ordered]]-Table1[[#This Row],[Date ]]</f>
        <v>0.70833333333575865</v>
      </c>
      <c r="O2215">
        <f>Table1[[#This Row],[Company]]</f>
        <v>6</v>
      </c>
      <c r="P22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6" spans="1:16" hidden="1" x14ac:dyDescent="0.45">
      <c r="A2216" s="3">
        <v>45311.708333333336</v>
      </c>
      <c r="B2216" t="s">
        <v>12</v>
      </c>
      <c r="C2216">
        <v>2</v>
      </c>
      <c r="D2216">
        <v>8</v>
      </c>
      <c r="E2216" t="s">
        <v>17</v>
      </c>
      <c r="F2216">
        <v>400</v>
      </c>
      <c r="G2216">
        <v>1700</v>
      </c>
      <c r="H2216">
        <v>680000</v>
      </c>
      <c r="I2216" s="3">
        <v>45311.708333333336</v>
      </c>
      <c r="J2216">
        <v>48</v>
      </c>
      <c r="K2216" s="3">
        <v>45313.708333333336</v>
      </c>
      <c r="L2216" s="4">
        <f>ROUNDDOWN(Table1[[#This Row],[Ordered]],0)</f>
        <v>45311</v>
      </c>
      <c r="M2216" s="4">
        <f>Table1[[#This Row],[Date ]]</f>
        <v>45311</v>
      </c>
      <c r="N2216" s="5">
        <f>Table1[[#This Row],[Ordered]]-Table1[[#This Row],[Date ]]</f>
        <v>0.70833333333575865</v>
      </c>
      <c r="O2216">
        <f>Table1[[#This Row],[Company]]</f>
        <v>2</v>
      </c>
      <c r="P22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7" spans="1:16" x14ac:dyDescent="0.45">
      <c r="A2217" s="3">
        <v>45311.791666666664</v>
      </c>
      <c r="B2217" t="s">
        <v>14</v>
      </c>
      <c r="C2217">
        <v>10</v>
      </c>
      <c r="D2217">
        <v>1006</v>
      </c>
      <c r="E2217" t="s">
        <v>16</v>
      </c>
      <c r="F2217">
        <v>30</v>
      </c>
      <c r="G2217">
        <v>4200</v>
      </c>
      <c r="H2217">
        <v>126000</v>
      </c>
      <c r="I2217" s="3">
        <v>45311.833333333336</v>
      </c>
      <c r="J2217">
        <v>84</v>
      </c>
      <c r="K2217" s="3">
        <v>45314.833333333336</v>
      </c>
      <c r="L2217" s="4">
        <f>ROUNDDOWN(Table1[[#This Row],[Ordered]],0)</f>
        <v>45311</v>
      </c>
      <c r="M2217" s="4">
        <f>Table1[[#This Row],[Date ]]</f>
        <v>45311</v>
      </c>
      <c r="N2217" s="5">
        <f>Table1[[#This Row],[Ordered]]-Table1[[#This Row],[Date ]]</f>
        <v>0.79166666666424135</v>
      </c>
      <c r="O2217">
        <f>Table1[[#This Row],[Company]]</f>
        <v>10</v>
      </c>
      <c r="P22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8" spans="1:16" x14ac:dyDescent="0.45">
      <c r="A2218" s="3">
        <v>45311.791666666664</v>
      </c>
      <c r="B2218" t="s">
        <v>14</v>
      </c>
      <c r="C2218">
        <v>7</v>
      </c>
      <c r="D2218">
        <v>1006</v>
      </c>
      <c r="E2218" t="s">
        <v>16</v>
      </c>
      <c r="F2218">
        <v>28</v>
      </c>
      <c r="G2218">
        <v>4200</v>
      </c>
      <c r="H2218">
        <v>117600</v>
      </c>
      <c r="I2218" s="3">
        <v>45312.791666666664</v>
      </c>
      <c r="J2218">
        <v>120</v>
      </c>
      <c r="K2218" s="3">
        <v>45315.791666666664</v>
      </c>
      <c r="L2218" s="4">
        <f>ROUNDDOWN(Table1[[#This Row],[Ordered]],0)</f>
        <v>45311</v>
      </c>
      <c r="M2218" s="4">
        <f>Table1[[#This Row],[Date ]]</f>
        <v>45311</v>
      </c>
      <c r="N2218" s="5">
        <f>Table1[[#This Row],[Ordered]]-Table1[[#This Row],[Date ]]</f>
        <v>0.79166666666424135</v>
      </c>
      <c r="O2218">
        <f>Table1[[#This Row],[Company]]</f>
        <v>7</v>
      </c>
      <c r="P22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9" spans="1:16" x14ac:dyDescent="0.45">
      <c r="A2219" s="3">
        <v>45311.791666666664</v>
      </c>
      <c r="B2219" t="s">
        <v>14</v>
      </c>
      <c r="C2219">
        <v>14</v>
      </c>
      <c r="D2219">
        <v>1006</v>
      </c>
      <c r="E2219" t="s">
        <v>16</v>
      </c>
      <c r="F2219">
        <v>39</v>
      </c>
      <c r="G2219">
        <v>3750</v>
      </c>
      <c r="H2219">
        <v>146250</v>
      </c>
      <c r="I2219" s="3">
        <v>45311.833333333336</v>
      </c>
      <c r="J2219">
        <v>84</v>
      </c>
      <c r="K2219" s="3">
        <v>45314.833333333336</v>
      </c>
      <c r="L2219" s="4">
        <f>ROUNDDOWN(Table1[[#This Row],[Ordered]],0)</f>
        <v>45311</v>
      </c>
      <c r="M2219" s="4">
        <f>Table1[[#This Row],[Date ]]</f>
        <v>45311</v>
      </c>
      <c r="N2219" s="5">
        <f>Table1[[#This Row],[Ordered]]-Table1[[#This Row],[Date ]]</f>
        <v>0.79166666666424135</v>
      </c>
      <c r="O2219">
        <f>Table1[[#This Row],[Company]]</f>
        <v>14</v>
      </c>
      <c r="P22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0" spans="1:16" x14ac:dyDescent="0.45">
      <c r="A2220" s="3">
        <v>45311.791666666664</v>
      </c>
      <c r="B2220" t="s">
        <v>14</v>
      </c>
      <c r="C2220">
        <v>16</v>
      </c>
      <c r="D2220">
        <v>1006</v>
      </c>
      <c r="E2220" t="s">
        <v>16</v>
      </c>
      <c r="F2220">
        <v>30</v>
      </c>
      <c r="G2220">
        <v>3750</v>
      </c>
      <c r="H2220">
        <v>112500</v>
      </c>
      <c r="I2220" s="3">
        <v>45312</v>
      </c>
      <c r="J2220">
        <v>96</v>
      </c>
      <c r="K2220" s="3">
        <v>45315</v>
      </c>
      <c r="L2220" s="4">
        <f>ROUNDDOWN(Table1[[#This Row],[Ordered]],0)</f>
        <v>45311</v>
      </c>
      <c r="M2220" s="4">
        <f>Table1[[#This Row],[Date ]]</f>
        <v>45311</v>
      </c>
      <c r="N2220" s="5">
        <f>Table1[[#This Row],[Ordered]]-Table1[[#This Row],[Date ]]</f>
        <v>0.79166666666424135</v>
      </c>
      <c r="O2220">
        <f>Table1[[#This Row],[Company]]</f>
        <v>16</v>
      </c>
      <c r="P22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1" spans="1:16" x14ac:dyDescent="0.45">
      <c r="A2221" s="3">
        <v>45311.791666666664</v>
      </c>
      <c r="B2221" t="s">
        <v>14</v>
      </c>
      <c r="C2221">
        <v>13</v>
      </c>
      <c r="D2221">
        <v>1006</v>
      </c>
      <c r="E2221" t="s">
        <v>16</v>
      </c>
      <c r="F2221">
        <v>30</v>
      </c>
      <c r="G2221">
        <v>3100</v>
      </c>
      <c r="H2221">
        <v>93000</v>
      </c>
      <c r="I2221" s="3">
        <v>45314.458333333336</v>
      </c>
      <c r="J2221">
        <v>96</v>
      </c>
      <c r="K2221" s="3">
        <v>45315.458333333336</v>
      </c>
      <c r="L2221" s="4">
        <f>ROUNDDOWN(Table1[[#This Row],[Ordered]],0)</f>
        <v>45311</v>
      </c>
      <c r="M2221" s="4">
        <f>Table1[[#This Row],[Date ]]</f>
        <v>45311</v>
      </c>
      <c r="N2221" s="5">
        <f>Table1[[#This Row],[Ordered]]-Table1[[#This Row],[Date ]]</f>
        <v>0.79166666666424135</v>
      </c>
      <c r="O2221">
        <f>Table1[[#This Row],[Company]]</f>
        <v>13</v>
      </c>
      <c r="P22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2" spans="1:16" x14ac:dyDescent="0.45">
      <c r="A2222" s="3">
        <v>45311.791666666664</v>
      </c>
      <c r="B2222" t="s">
        <v>14</v>
      </c>
      <c r="C2222">
        <v>12</v>
      </c>
      <c r="D2222">
        <v>1006</v>
      </c>
      <c r="E2222" t="s">
        <v>16</v>
      </c>
      <c r="F2222">
        <v>30</v>
      </c>
      <c r="G2222">
        <v>3800</v>
      </c>
      <c r="H2222">
        <v>114000</v>
      </c>
      <c r="I2222" s="3">
        <v>45313.916666666664</v>
      </c>
      <c r="J2222">
        <v>96</v>
      </c>
      <c r="K2222" s="3">
        <v>45314.916666666664</v>
      </c>
      <c r="L2222" s="4">
        <f>ROUNDDOWN(Table1[[#This Row],[Ordered]],0)</f>
        <v>45311</v>
      </c>
      <c r="M2222" s="4">
        <f>Table1[[#This Row],[Date ]]</f>
        <v>45311</v>
      </c>
      <c r="N2222" s="5">
        <f>Table1[[#This Row],[Ordered]]-Table1[[#This Row],[Date ]]</f>
        <v>0.79166666666424135</v>
      </c>
      <c r="O2222">
        <f>Table1[[#This Row],[Company]]</f>
        <v>12</v>
      </c>
      <c r="P22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3" spans="1:16" x14ac:dyDescent="0.45">
      <c r="A2223" s="3">
        <v>45311.791666666664</v>
      </c>
      <c r="B2223" t="s">
        <v>14</v>
      </c>
      <c r="C2223">
        <v>11</v>
      </c>
      <c r="D2223">
        <v>1006</v>
      </c>
      <c r="E2223" t="s">
        <v>16</v>
      </c>
      <c r="F2223">
        <v>30</v>
      </c>
      <c r="G2223">
        <v>4000</v>
      </c>
      <c r="H2223">
        <v>120000</v>
      </c>
      <c r="I2223" s="3">
        <v>45312.666666666664</v>
      </c>
      <c r="J2223">
        <v>96</v>
      </c>
      <c r="K2223" s="3">
        <v>45315.666666666664</v>
      </c>
      <c r="L2223" s="4">
        <f>ROUNDDOWN(Table1[[#This Row],[Ordered]],0)</f>
        <v>45311</v>
      </c>
      <c r="M2223" s="4">
        <f>Table1[[#This Row],[Date ]]</f>
        <v>45311</v>
      </c>
      <c r="N2223" s="5">
        <f>Table1[[#This Row],[Ordered]]-Table1[[#This Row],[Date ]]</f>
        <v>0.79166666666424135</v>
      </c>
      <c r="O2223">
        <f>Table1[[#This Row],[Company]]</f>
        <v>11</v>
      </c>
      <c r="P22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4" spans="1:16" x14ac:dyDescent="0.45">
      <c r="A2224" s="3">
        <v>45311.791666666664</v>
      </c>
      <c r="B2224" t="s">
        <v>14</v>
      </c>
      <c r="C2224">
        <v>8</v>
      </c>
      <c r="D2224">
        <v>1006</v>
      </c>
      <c r="E2224" t="s">
        <v>16</v>
      </c>
      <c r="F2224">
        <v>32</v>
      </c>
      <c r="G2224">
        <v>4100</v>
      </c>
      <c r="H2224">
        <v>131200</v>
      </c>
      <c r="I2224" s="3">
        <v>45314.916666666664</v>
      </c>
      <c r="J2224">
        <v>156</v>
      </c>
      <c r="K2224" s="3">
        <v>45317.916666666664</v>
      </c>
      <c r="L2224" s="4">
        <f>ROUNDDOWN(Table1[[#This Row],[Ordered]],0)</f>
        <v>45311</v>
      </c>
      <c r="M2224" s="4">
        <f>Table1[[#This Row],[Date ]]</f>
        <v>45311</v>
      </c>
      <c r="N2224" s="5">
        <f>Table1[[#This Row],[Ordered]]-Table1[[#This Row],[Date ]]</f>
        <v>0.79166666666424135</v>
      </c>
      <c r="O2224">
        <f>Table1[[#This Row],[Company]]</f>
        <v>8</v>
      </c>
      <c r="P22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5" spans="1:16" x14ac:dyDescent="0.45">
      <c r="A2225" s="3">
        <v>45311.791666666664</v>
      </c>
      <c r="B2225" t="s">
        <v>14</v>
      </c>
      <c r="C2225">
        <v>9</v>
      </c>
      <c r="D2225">
        <v>1006</v>
      </c>
      <c r="E2225" t="s">
        <v>16</v>
      </c>
      <c r="F2225">
        <v>15</v>
      </c>
      <c r="G2225">
        <v>3799</v>
      </c>
      <c r="H2225">
        <v>56985</v>
      </c>
      <c r="I2225" s="3">
        <v>45311.791666666664</v>
      </c>
      <c r="J2225">
        <v>76</v>
      </c>
      <c r="K2225" s="3">
        <v>45314.791666666664</v>
      </c>
      <c r="L2225" s="4">
        <f>ROUNDDOWN(Table1[[#This Row],[Ordered]],0)</f>
        <v>45311</v>
      </c>
      <c r="M2225" s="4">
        <f>Table1[[#This Row],[Date ]]</f>
        <v>45311</v>
      </c>
      <c r="N2225" s="5">
        <f>Table1[[#This Row],[Ordered]]-Table1[[#This Row],[Date ]]</f>
        <v>0.79166666666424135</v>
      </c>
      <c r="O2225">
        <f>Table1[[#This Row],[Company]]</f>
        <v>9</v>
      </c>
      <c r="P22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6" spans="1:16" x14ac:dyDescent="0.45">
      <c r="A2226" s="3">
        <v>45311.791666666664</v>
      </c>
      <c r="B2226" t="s">
        <v>14</v>
      </c>
      <c r="C2226">
        <v>15</v>
      </c>
      <c r="D2226">
        <v>1006</v>
      </c>
      <c r="E2226" t="s">
        <v>16</v>
      </c>
      <c r="F2226">
        <v>50</v>
      </c>
      <c r="G2226">
        <v>3400</v>
      </c>
      <c r="H2226">
        <v>170000</v>
      </c>
      <c r="I2226" s="3">
        <v>45311.833333333336</v>
      </c>
      <c r="J2226">
        <v>88</v>
      </c>
      <c r="K2226" s="3">
        <v>45314.833333333336</v>
      </c>
      <c r="L2226" s="4">
        <f>ROUNDDOWN(Table1[[#This Row],[Ordered]],0)</f>
        <v>45311</v>
      </c>
      <c r="M2226" s="4">
        <f>Table1[[#This Row],[Date ]]</f>
        <v>45311</v>
      </c>
      <c r="N2226" s="5">
        <f>Table1[[#This Row],[Ordered]]-Table1[[#This Row],[Date ]]</f>
        <v>0.79166666666424135</v>
      </c>
      <c r="O2226">
        <f>Table1[[#This Row],[Company]]</f>
        <v>15</v>
      </c>
      <c r="P22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7" spans="1:16" hidden="1" x14ac:dyDescent="0.45">
      <c r="A2227" s="3">
        <v>45311.833333333336</v>
      </c>
      <c r="B2227" t="s">
        <v>12</v>
      </c>
      <c r="C2227">
        <v>5</v>
      </c>
      <c r="D2227">
        <v>10</v>
      </c>
      <c r="E2227" t="s">
        <v>17</v>
      </c>
      <c r="F2227">
        <v>600</v>
      </c>
      <c r="G2227">
        <v>1400</v>
      </c>
      <c r="H2227">
        <v>840000</v>
      </c>
      <c r="I2227" s="3">
        <v>45311.875</v>
      </c>
      <c r="J2227">
        <v>24</v>
      </c>
      <c r="K2227" s="3">
        <v>45312.875</v>
      </c>
      <c r="L2227" s="4">
        <f>ROUNDDOWN(Table1[[#This Row],[Ordered]],0)</f>
        <v>45311</v>
      </c>
      <c r="M2227" s="4">
        <f>Table1[[#This Row],[Date ]]</f>
        <v>45311</v>
      </c>
      <c r="N2227" s="5">
        <f>Table1[[#This Row],[Ordered]]-Table1[[#This Row],[Date ]]</f>
        <v>0.83333333333575865</v>
      </c>
      <c r="O2227">
        <f>Table1[[#This Row],[Company]]</f>
        <v>5</v>
      </c>
      <c r="P22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8" spans="1:16" hidden="1" x14ac:dyDescent="0.45">
      <c r="A2228" s="3">
        <v>45311.833333333336</v>
      </c>
      <c r="B2228" t="s">
        <v>12</v>
      </c>
      <c r="C2228">
        <v>4</v>
      </c>
      <c r="D2228">
        <v>11</v>
      </c>
      <c r="E2228" t="s">
        <v>13</v>
      </c>
      <c r="F2228">
        <v>2000</v>
      </c>
      <c r="G2228">
        <v>120</v>
      </c>
      <c r="H2228">
        <v>240000</v>
      </c>
      <c r="I2228" s="3">
        <v>45311.833333333336</v>
      </c>
      <c r="J2228">
        <v>48</v>
      </c>
      <c r="K2228" s="3">
        <v>45313.833333333336</v>
      </c>
      <c r="L2228" s="4">
        <f>ROUNDDOWN(Table1[[#This Row],[Ordered]],0)</f>
        <v>45311</v>
      </c>
      <c r="M2228" s="4">
        <f>Table1[[#This Row],[Date ]]</f>
        <v>45311</v>
      </c>
      <c r="N2228" s="5">
        <f>Table1[[#This Row],[Ordered]]-Table1[[#This Row],[Date ]]</f>
        <v>0.83333333333575865</v>
      </c>
      <c r="O2228">
        <f>Table1[[#This Row],[Company]]</f>
        <v>4</v>
      </c>
      <c r="P22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9" spans="1:16" x14ac:dyDescent="0.45">
      <c r="A2229" s="3">
        <v>45311.916666666664</v>
      </c>
      <c r="B2229" t="s">
        <v>14</v>
      </c>
      <c r="C2229">
        <v>13</v>
      </c>
      <c r="D2229">
        <v>1009</v>
      </c>
      <c r="E2229" t="s">
        <v>15</v>
      </c>
      <c r="F2229">
        <v>9</v>
      </c>
      <c r="G2229">
        <v>6000</v>
      </c>
      <c r="H2229">
        <v>54000</v>
      </c>
      <c r="I2229" s="3">
        <v>45313.625</v>
      </c>
      <c r="J2229">
        <v>96</v>
      </c>
      <c r="K2229" s="3">
        <v>45315.625</v>
      </c>
      <c r="L2229" s="4">
        <f>ROUNDDOWN(Table1[[#This Row],[Ordered]],0)</f>
        <v>45311</v>
      </c>
      <c r="M2229" s="4">
        <f>Table1[[#This Row],[Date ]]</f>
        <v>45311</v>
      </c>
      <c r="N2229" s="5">
        <f>Table1[[#This Row],[Ordered]]-Table1[[#This Row],[Date ]]</f>
        <v>0.91666666666424135</v>
      </c>
      <c r="O2229">
        <f>Table1[[#This Row],[Company]]</f>
        <v>13</v>
      </c>
      <c r="P22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0" spans="1:16" x14ac:dyDescent="0.45">
      <c r="A2230" s="3">
        <v>45311.916666666664</v>
      </c>
      <c r="B2230" t="s">
        <v>14</v>
      </c>
      <c r="C2230">
        <v>11</v>
      </c>
      <c r="D2230">
        <v>1009</v>
      </c>
      <c r="E2230" t="s">
        <v>15</v>
      </c>
      <c r="F2230">
        <v>7</v>
      </c>
      <c r="G2230">
        <v>6400</v>
      </c>
      <c r="H2230">
        <v>44800</v>
      </c>
      <c r="I2230" s="3">
        <v>45312.125</v>
      </c>
      <c r="J2230">
        <v>72</v>
      </c>
      <c r="K2230" s="3">
        <v>45314.125</v>
      </c>
      <c r="L2230" s="4">
        <f>ROUNDDOWN(Table1[[#This Row],[Ordered]],0)</f>
        <v>45311</v>
      </c>
      <c r="M2230" s="4">
        <f>Table1[[#This Row],[Date ]]</f>
        <v>45311</v>
      </c>
      <c r="N2230" s="5">
        <f>Table1[[#This Row],[Ordered]]-Table1[[#This Row],[Date ]]</f>
        <v>0.91666666666424135</v>
      </c>
      <c r="O2230">
        <f>Table1[[#This Row],[Company]]</f>
        <v>11</v>
      </c>
      <c r="P22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1" spans="1:16" x14ac:dyDescent="0.45">
      <c r="A2231" s="3">
        <v>45311.916666666664</v>
      </c>
      <c r="B2231" t="s">
        <v>14</v>
      </c>
      <c r="C2231">
        <v>15</v>
      </c>
      <c r="D2231">
        <v>1009</v>
      </c>
      <c r="E2231" t="s">
        <v>15</v>
      </c>
      <c r="F2231">
        <v>11</v>
      </c>
      <c r="G2231">
        <v>6400</v>
      </c>
      <c r="H2231">
        <v>70400</v>
      </c>
      <c r="I2231" s="3">
        <v>45312</v>
      </c>
      <c r="J2231">
        <v>64</v>
      </c>
      <c r="K2231" s="3">
        <v>45314</v>
      </c>
      <c r="L2231" s="4">
        <f>ROUNDDOWN(Table1[[#This Row],[Ordered]],0)</f>
        <v>45311</v>
      </c>
      <c r="M2231" s="4">
        <f>Table1[[#This Row],[Date ]]</f>
        <v>45311</v>
      </c>
      <c r="N2231" s="5">
        <f>Table1[[#This Row],[Ordered]]-Table1[[#This Row],[Date ]]</f>
        <v>0.91666666666424135</v>
      </c>
      <c r="O2231">
        <f>Table1[[#This Row],[Company]]</f>
        <v>15</v>
      </c>
      <c r="P22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2" spans="1:16" x14ac:dyDescent="0.45">
      <c r="A2232" s="3">
        <v>45311.916666666664</v>
      </c>
      <c r="B2232" t="s">
        <v>14</v>
      </c>
      <c r="C2232">
        <v>16</v>
      </c>
      <c r="D2232">
        <v>1009</v>
      </c>
      <c r="E2232" t="s">
        <v>15</v>
      </c>
      <c r="F2232">
        <v>8</v>
      </c>
      <c r="G2232">
        <v>6050</v>
      </c>
      <c r="H2232">
        <v>48400</v>
      </c>
      <c r="I2232" s="3">
        <v>45312.083333333336</v>
      </c>
      <c r="J2232">
        <v>96</v>
      </c>
      <c r="K2232" s="3">
        <v>45315.083333333336</v>
      </c>
      <c r="L2232" s="4">
        <f>ROUNDDOWN(Table1[[#This Row],[Ordered]],0)</f>
        <v>45311</v>
      </c>
      <c r="M2232" s="4">
        <f>Table1[[#This Row],[Date ]]</f>
        <v>45311</v>
      </c>
      <c r="N2232" s="5">
        <f>Table1[[#This Row],[Ordered]]-Table1[[#This Row],[Date ]]</f>
        <v>0.91666666666424135</v>
      </c>
      <c r="O2232">
        <f>Table1[[#This Row],[Company]]</f>
        <v>16</v>
      </c>
      <c r="P22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3" spans="1:16" x14ac:dyDescent="0.45">
      <c r="A2233" s="3">
        <v>45311.916666666664</v>
      </c>
      <c r="B2233" t="s">
        <v>14</v>
      </c>
      <c r="C2233">
        <v>12</v>
      </c>
      <c r="D2233">
        <v>1009</v>
      </c>
      <c r="E2233" t="s">
        <v>15</v>
      </c>
      <c r="F2233">
        <v>6</v>
      </c>
      <c r="G2233">
        <v>6750</v>
      </c>
      <c r="H2233">
        <v>40500</v>
      </c>
      <c r="I2233" s="3">
        <v>45314.25</v>
      </c>
      <c r="J2233">
        <v>96</v>
      </c>
      <c r="K2233" s="3">
        <v>45315.25</v>
      </c>
      <c r="L2233" s="4">
        <f>ROUNDDOWN(Table1[[#This Row],[Ordered]],0)</f>
        <v>45311</v>
      </c>
      <c r="M2233" s="4">
        <f>Table1[[#This Row],[Date ]]</f>
        <v>45311</v>
      </c>
      <c r="N2233" s="5">
        <f>Table1[[#This Row],[Ordered]]-Table1[[#This Row],[Date ]]</f>
        <v>0.91666666666424135</v>
      </c>
      <c r="O2233">
        <f>Table1[[#This Row],[Company]]</f>
        <v>12</v>
      </c>
      <c r="P22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4" spans="1:16" hidden="1" x14ac:dyDescent="0.45">
      <c r="A2234" s="3">
        <v>45311.958333333336</v>
      </c>
      <c r="B2234" t="s">
        <v>12</v>
      </c>
      <c r="C2234">
        <v>4</v>
      </c>
      <c r="D2234">
        <v>13</v>
      </c>
      <c r="E2234" t="s">
        <v>17</v>
      </c>
      <c r="F2234">
        <v>500</v>
      </c>
      <c r="G2234">
        <v>1350</v>
      </c>
      <c r="H2234">
        <v>675000</v>
      </c>
      <c r="I2234" s="3">
        <v>45312.083333333336</v>
      </c>
      <c r="J2234">
        <v>24</v>
      </c>
      <c r="K2234" s="3">
        <v>45313.083333333336</v>
      </c>
      <c r="L2234" s="4">
        <f>ROUNDDOWN(Table1[[#This Row],[Ordered]],0)</f>
        <v>45311</v>
      </c>
      <c r="M2234" s="4">
        <f>Table1[[#This Row],[Date ]]</f>
        <v>45311</v>
      </c>
      <c r="N2234" s="5">
        <f>Table1[[#This Row],[Ordered]]-Table1[[#This Row],[Date ]]</f>
        <v>0.95833333333575865</v>
      </c>
      <c r="O2234">
        <f>Table1[[#This Row],[Company]]</f>
        <v>4</v>
      </c>
      <c r="P22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5" spans="1:16" hidden="1" x14ac:dyDescent="0.45">
      <c r="A2235" s="3">
        <v>45312</v>
      </c>
      <c r="B2235" t="s">
        <v>12</v>
      </c>
      <c r="C2235">
        <v>1</v>
      </c>
      <c r="D2235">
        <v>13</v>
      </c>
      <c r="E2235" t="s">
        <v>17</v>
      </c>
      <c r="F2235">
        <v>300</v>
      </c>
      <c r="G2235">
        <v>1400</v>
      </c>
      <c r="H2235">
        <v>420000</v>
      </c>
      <c r="I2235" s="3">
        <v>45312.083333333336</v>
      </c>
      <c r="J2235">
        <v>72</v>
      </c>
      <c r="K2235" s="3">
        <v>45315.083333333336</v>
      </c>
      <c r="L2235" s="4">
        <f>ROUNDDOWN(Table1[[#This Row],[Ordered]],0)</f>
        <v>45312</v>
      </c>
      <c r="M2235" s="4">
        <f>Table1[[#This Row],[Date ]]</f>
        <v>45312</v>
      </c>
      <c r="N2235" s="5">
        <f>Table1[[#This Row],[Ordered]]-Table1[[#This Row],[Date ]]</f>
        <v>0</v>
      </c>
      <c r="O2235">
        <f>Table1[[#This Row],[Company]]</f>
        <v>1</v>
      </c>
      <c r="P22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6" spans="1:16" x14ac:dyDescent="0.45">
      <c r="A2236" s="3">
        <v>45312</v>
      </c>
      <c r="B2236" t="s">
        <v>14</v>
      </c>
      <c r="C2236">
        <v>15</v>
      </c>
      <c r="D2236">
        <v>1008</v>
      </c>
      <c r="E2236" t="s">
        <v>16</v>
      </c>
      <c r="F2236">
        <v>50</v>
      </c>
      <c r="G2236">
        <v>3400</v>
      </c>
      <c r="H2236">
        <v>170000</v>
      </c>
      <c r="I2236" s="3">
        <v>45312.083333333336</v>
      </c>
      <c r="J2236">
        <v>88</v>
      </c>
      <c r="K2236" s="3">
        <v>45315.083333333336</v>
      </c>
      <c r="L2236" s="4">
        <f>ROUNDDOWN(Table1[[#This Row],[Ordered]],0)</f>
        <v>45312</v>
      </c>
      <c r="M2236" s="4">
        <f>Table1[[#This Row],[Date ]]</f>
        <v>45312</v>
      </c>
      <c r="N2236" s="5">
        <f>Table1[[#This Row],[Ordered]]-Table1[[#This Row],[Date ]]</f>
        <v>0</v>
      </c>
      <c r="O2236">
        <f>Table1[[#This Row],[Company]]</f>
        <v>15</v>
      </c>
      <c r="P22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7" spans="1:16" x14ac:dyDescent="0.45">
      <c r="A2237" s="3">
        <v>45312</v>
      </c>
      <c r="B2237" t="s">
        <v>14</v>
      </c>
      <c r="C2237">
        <v>14</v>
      </c>
      <c r="D2237">
        <v>1008</v>
      </c>
      <c r="E2237" t="s">
        <v>16</v>
      </c>
      <c r="F2237">
        <v>35</v>
      </c>
      <c r="G2237">
        <v>3650</v>
      </c>
      <c r="H2237">
        <v>127750</v>
      </c>
      <c r="I2237" s="3">
        <v>45312.5</v>
      </c>
      <c r="J2237">
        <v>96</v>
      </c>
      <c r="K2237" s="3">
        <v>45315.5</v>
      </c>
      <c r="L2237" s="4">
        <f>ROUNDDOWN(Table1[[#This Row],[Ordered]],0)</f>
        <v>45312</v>
      </c>
      <c r="M2237" s="4">
        <f>Table1[[#This Row],[Date ]]</f>
        <v>45312</v>
      </c>
      <c r="N2237" s="5">
        <f>Table1[[#This Row],[Ordered]]-Table1[[#This Row],[Date ]]</f>
        <v>0</v>
      </c>
      <c r="O2237">
        <f>Table1[[#This Row],[Company]]</f>
        <v>14</v>
      </c>
      <c r="P22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8" spans="1:16" hidden="1" x14ac:dyDescent="0.45">
      <c r="A2238" s="3">
        <v>45312</v>
      </c>
      <c r="B2238" t="s">
        <v>12</v>
      </c>
      <c r="C2238">
        <v>4</v>
      </c>
      <c r="D2238">
        <v>13</v>
      </c>
      <c r="E2238" t="s">
        <v>13</v>
      </c>
      <c r="F2238">
        <v>1657</v>
      </c>
      <c r="G2238">
        <v>110</v>
      </c>
      <c r="H2238">
        <v>182270</v>
      </c>
      <c r="I2238" s="3">
        <v>45312.083333333336</v>
      </c>
      <c r="J2238">
        <v>72</v>
      </c>
      <c r="K2238" s="3">
        <v>45315.083333333336</v>
      </c>
      <c r="L2238" s="4">
        <f>ROUNDDOWN(Table1[[#This Row],[Ordered]],0)</f>
        <v>45312</v>
      </c>
      <c r="M2238" s="4">
        <f>Table1[[#This Row],[Date ]]</f>
        <v>45312</v>
      </c>
      <c r="N2238" s="5">
        <f>Table1[[#This Row],[Ordered]]-Table1[[#This Row],[Date ]]</f>
        <v>0</v>
      </c>
      <c r="O2238">
        <f>Table1[[#This Row],[Company]]</f>
        <v>4</v>
      </c>
      <c r="P22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9" spans="1:16" x14ac:dyDescent="0.45">
      <c r="A2239" s="3">
        <v>45312</v>
      </c>
      <c r="B2239" t="s">
        <v>14</v>
      </c>
      <c r="C2239">
        <v>11</v>
      </c>
      <c r="D2239">
        <v>1008</v>
      </c>
      <c r="E2239" t="s">
        <v>16</v>
      </c>
      <c r="F2239">
        <v>40</v>
      </c>
      <c r="G2239">
        <v>3900</v>
      </c>
      <c r="H2239">
        <v>156000</v>
      </c>
      <c r="I2239" s="3">
        <v>45312.75</v>
      </c>
      <c r="J2239">
        <v>108</v>
      </c>
      <c r="K2239" s="3">
        <v>45315.75</v>
      </c>
      <c r="L2239" s="4">
        <f>ROUNDDOWN(Table1[[#This Row],[Ordered]],0)</f>
        <v>45312</v>
      </c>
      <c r="M2239" s="4">
        <f>Table1[[#This Row],[Date ]]</f>
        <v>45312</v>
      </c>
      <c r="N2239" s="5">
        <f>Table1[[#This Row],[Ordered]]-Table1[[#This Row],[Date ]]</f>
        <v>0</v>
      </c>
      <c r="O2239">
        <f>Table1[[#This Row],[Company]]</f>
        <v>11</v>
      </c>
      <c r="P22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0" spans="1:16" x14ac:dyDescent="0.45">
      <c r="A2240" s="3">
        <v>45312</v>
      </c>
      <c r="B2240" t="s">
        <v>14</v>
      </c>
      <c r="C2240">
        <v>10</v>
      </c>
      <c r="D2240">
        <v>1008</v>
      </c>
      <c r="E2240" t="s">
        <v>16</v>
      </c>
      <c r="F2240">
        <v>23</v>
      </c>
      <c r="G2240">
        <v>4200</v>
      </c>
      <c r="H2240">
        <v>96600</v>
      </c>
      <c r="I2240" s="3">
        <v>45312</v>
      </c>
      <c r="J2240">
        <v>84</v>
      </c>
      <c r="K2240" s="3">
        <v>45315</v>
      </c>
      <c r="L2240" s="4">
        <f>ROUNDDOWN(Table1[[#This Row],[Ordered]],0)</f>
        <v>45312</v>
      </c>
      <c r="M2240" s="4">
        <f>Table1[[#This Row],[Date ]]</f>
        <v>45312</v>
      </c>
      <c r="N2240" s="5">
        <f>Table1[[#This Row],[Ordered]]-Table1[[#This Row],[Date ]]</f>
        <v>0</v>
      </c>
      <c r="O2240">
        <f>Table1[[#This Row],[Company]]</f>
        <v>10</v>
      </c>
      <c r="P22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1" spans="1:16" x14ac:dyDescent="0.45">
      <c r="A2241" s="3">
        <v>45312</v>
      </c>
      <c r="B2241" t="s">
        <v>14</v>
      </c>
      <c r="C2241">
        <v>16</v>
      </c>
      <c r="D2241">
        <v>1008</v>
      </c>
      <c r="E2241" t="s">
        <v>16</v>
      </c>
      <c r="F2241">
        <v>50</v>
      </c>
      <c r="G2241">
        <v>3650</v>
      </c>
      <c r="H2241">
        <v>182500</v>
      </c>
      <c r="I2241" s="3">
        <v>45313.25</v>
      </c>
      <c r="J2241">
        <v>120</v>
      </c>
      <c r="K2241" s="3">
        <v>45316.25</v>
      </c>
      <c r="L2241" s="4">
        <f>ROUNDDOWN(Table1[[#This Row],[Ordered]],0)</f>
        <v>45312</v>
      </c>
      <c r="M2241" s="4">
        <f>Table1[[#This Row],[Date ]]</f>
        <v>45312</v>
      </c>
      <c r="N2241" s="5">
        <f>Table1[[#This Row],[Ordered]]-Table1[[#This Row],[Date ]]</f>
        <v>0</v>
      </c>
      <c r="O2241">
        <f>Table1[[#This Row],[Company]]</f>
        <v>16</v>
      </c>
      <c r="P22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2" spans="1:16" x14ac:dyDescent="0.45">
      <c r="A2242" s="3">
        <v>45312</v>
      </c>
      <c r="B2242" t="s">
        <v>14</v>
      </c>
      <c r="C2242">
        <v>12</v>
      </c>
      <c r="D2242">
        <v>1008</v>
      </c>
      <c r="E2242" t="s">
        <v>16</v>
      </c>
      <c r="F2242">
        <v>45</v>
      </c>
      <c r="G2242">
        <v>3750</v>
      </c>
      <c r="H2242">
        <v>168750</v>
      </c>
      <c r="I2242" s="3">
        <v>45313.458333333336</v>
      </c>
      <c r="J2242">
        <v>120</v>
      </c>
      <c r="K2242" s="3">
        <v>45316.458333333336</v>
      </c>
      <c r="L2242" s="4">
        <f>ROUNDDOWN(Table1[[#This Row],[Ordered]],0)</f>
        <v>45312</v>
      </c>
      <c r="M2242" s="4">
        <f>Table1[[#This Row],[Date ]]</f>
        <v>45312</v>
      </c>
      <c r="N2242" s="5">
        <f>Table1[[#This Row],[Ordered]]-Table1[[#This Row],[Date ]]</f>
        <v>0</v>
      </c>
      <c r="O2242">
        <f>Table1[[#This Row],[Company]]</f>
        <v>12</v>
      </c>
      <c r="P22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3" spans="1:16" x14ac:dyDescent="0.45">
      <c r="A2243" s="3">
        <v>45312</v>
      </c>
      <c r="B2243" t="s">
        <v>14</v>
      </c>
      <c r="C2243">
        <v>13</v>
      </c>
      <c r="D2243">
        <v>1008</v>
      </c>
      <c r="E2243" t="s">
        <v>16</v>
      </c>
      <c r="F2243">
        <v>50</v>
      </c>
      <c r="G2243">
        <v>3000</v>
      </c>
      <c r="H2243">
        <v>150000</v>
      </c>
      <c r="I2243" s="3">
        <v>45313.958333333336</v>
      </c>
      <c r="J2243">
        <v>120</v>
      </c>
      <c r="K2243" s="3">
        <v>45316.958333333336</v>
      </c>
      <c r="L2243" s="4">
        <f>ROUNDDOWN(Table1[[#This Row],[Ordered]],0)</f>
        <v>45312</v>
      </c>
      <c r="M2243" s="4">
        <f>Table1[[#This Row],[Date ]]</f>
        <v>45312</v>
      </c>
      <c r="N2243" s="5">
        <f>Table1[[#This Row],[Ordered]]-Table1[[#This Row],[Date ]]</f>
        <v>0</v>
      </c>
      <c r="O2243">
        <f>Table1[[#This Row],[Company]]</f>
        <v>13</v>
      </c>
      <c r="P22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4" spans="1:16" hidden="1" x14ac:dyDescent="0.45">
      <c r="A2244" s="3">
        <v>45312.125</v>
      </c>
      <c r="B2244" t="s">
        <v>12</v>
      </c>
      <c r="C2244">
        <v>12</v>
      </c>
      <c r="D2244">
        <v>3</v>
      </c>
      <c r="E2244" t="s">
        <v>20</v>
      </c>
      <c r="F2244">
        <v>138</v>
      </c>
      <c r="G2244">
        <v>10</v>
      </c>
      <c r="H2244">
        <v>1380</v>
      </c>
      <c r="I2244" s="3">
        <v>45312.125</v>
      </c>
      <c r="J2244">
        <v>72</v>
      </c>
      <c r="K2244" s="3">
        <v>45315.125</v>
      </c>
      <c r="L2244" s="4">
        <f>ROUNDDOWN(Table1[[#This Row],[Ordered]],0)</f>
        <v>45312</v>
      </c>
      <c r="M2244" s="4">
        <f>Table1[[#This Row],[Date ]]</f>
        <v>45312</v>
      </c>
      <c r="N2244" s="5">
        <f>Table1[[#This Row],[Ordered]]-Table1[[#This Row],[Date ]]</f>
        <v>0.125</v>
      </c>
      <c r="O2244">
        <f>Table1[[#This Row],[Company]]</f>
        <v>12</v>
      </c>
      <c r="P22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5" spans="1:16" hidden="1" x14ac:dyDescent="0.45">
      <c r="A2245" s="3">
        <v>45312.166666666664</v>
      </c>
      <c r="B2245" t="s">
        <v>12</v>
      </c>
      <c r="C2245">
        <v>10</v>
      </c>
      <c r="D2245">
        <v>5</v>
      </c>
      <c r="E2245" t="s">
        <v>20</v>
      </c>
      <c r="F2245">
        <v>235</v>
      </c>
      <c r="G2245">
        <v>8</v>
      </c>
      <c r="H2245">
        <v>1880</v>
      </c>
      <c r="I2245" s="3">
        <v>45312.166666666664</v>
      </c>
      <c r="J2245">
        <v>72</v>
      </c>
      <c r="K2245" s="3">
        <v>45315.166666666664</v>
      </c>
      <c r="L2245" s="4">
        <f>ROUNDDOWN(Table1[[#This Row],[Ordered]],0)</f>
        <v>45312</v>
      </c>
      <c r="M2245" s="4">
        <f>Table1[[#This Row],[Date ]]</f>
        <v>45312</v>
      </c>
      <c r="N2245" s="5">
        <f>Table1[[#This Row],[Ordered]]-Table1[[#This Row],[Date ]]</f>
        <v>0.16666666666424135</v>
      </c>
      <c r="O2245">
        <f>Table1[[#This Row],[Company]]</f>
        <v>10</v>
      </c>
      <c r="P22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6" spans="1:16" hidden="1" x14ac:dyDescent="0.45">
      <c r="A2246" s="3">
        <v>45312.166666666664</v>
      </c>
      <c r="B2246" t="s">
        <v>12</v>
      </c>
      <c r="C2246">
        <v>1</v>
      </c>
      <c r="D2246">
        <v>14</v>
      </c>
      <c r="E2246" t="s">
        <v>17</v>
      </c>
      <c r="F2246">
        <v>400</v>
      </c>
      <c r="G2246">
        <v>1350</v>
      </c>
      <c r="H2246">
        <v>540000</v>
      </c>
      <c r="I2246" s="3">
        <v>45312.166666666664</v>
      </c>
      <c r="J2246">
        <v>24</v>
      </c>
      <c r="K2246" s="3">
        <v>45313.166666666664</v>
      </c>
      <c r="L2246" s="4">
        <f>ROUNDDOWN(Table1[[#This Row],[Ordered]],0)</f>
        <v>45312</v>
      </c>
      <c r="M2246" s="4">
        <f>Table1[[#This Row],[Date ]]</f>
        <v>45312</v>
      </c>
      <c r="N2246" s="5">
        <f>Table1[[#This Row],[Ordered]]-Table1[[#This Row],[Date ]]</f>
        <v>0.16666666666424135</v>
      </c>
      <c r="O2246">
        <f>Table1[[#This Row],[Company]]</f>
        <v>1</v>
      </c>
      <c r="P22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7" spans="1:16" hidden="1" x14ac:dyDescent="0.45">
      <c r="A2247" s="3">
        <v>45312.208333333336</v>
      </c>
      <c r="B2247" t="s">
        <v>12</v>
      </c>
      <c r="C2247">
        <v>1</v>
      </c>
      <c r="D2247">
        <v>14</v>
      </c>
      <c r="E2247" t="s">
        <v>13</v>
      </c>
      <c r="F2247">
        <v>3000</v>
      </c>
      <c r="G2247">
        <v>120</v>
      </c>
      <c r="H2247">
        <v>360000</v>
      </c>
      <c r="I2247" s="3">
        <v>45312.208333333336</v>
      </c>
      <c r="J2247">
        <v>72</v>
      </c>
      <c r="K2247" s="3">
        <v>45315.208333333336</v>
      </c>
      <c r="L2247" s="4">
        <f>ROUNDDOWN(Table1[[#This Row],[Ordered]],0)</f>
        <v>45312</v>
      </c>
      <c r="M2247" s="4">
        <f>Table1[[#This Row],[Date ]]</f>
        <v>45312</v>
      </c>
      <c r="N2247" s="5">
        <f>Table1[[#This Row],[Ordered]]-Table1[[#This Row],[Date ]]</f>
        <v>0.20833333333575865</v>
      </c>
      <c r="O2247">
        <f>Table1[[#This Row],[Company]]</f>
        <v>1</v>
      </c>
      <c r="P22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8" spans="1:16" x14ac:dyDescent="0.45">
      <c r="A2248" s="3">
        <v>45312.25</v>
      </c>
      <c r="B2248" t="s">
        <v>0</v>
      </c>
      <c r="C2248">
        <v>15</v>
      </c>
      <c r="D2248">
        <v>2010</v>
      </c>
      <c r="E2248" t="s">
        <v>16</v>
      </c>
      <c r="F2248">
        <v>45</v>
      </c>
      <c r="G2248">
        <v>4100</v>
      </c>
      <c r="H2248">
        <v>184500</v>
      </c>
      <c r="I2248" s="3">
        <v>45312.25</v>
      </c>
      <c r="J2248">
        <v>48</v>
      </c>
      <c r="K2248" s="3">
        <v>45313.75</v>
      </c>
      <c r="L2248" s="4">
        <f>ROUNDDOWN(Table1[[#This Row],[Ordered]],0)</f>
        <v>45312</v>
      </c>
      <c r="M2248" s="4">
        <f>Table1[[#This Row],[Date ]]</f>
        <v>45312</v>
      </c>
      <c r="N2248" s="5">
        <f>Table1[[#This Row],[Ordered]]-Table1[[#This Row],[Date ]]</f>
        <v>0.25</v>
      </c>
      <c r="O2248">
        <f>Table1[[#This Row],[Company]]</f>
        <v>15</v>
      </c>
      <c r="P22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9" spans="1:16" x14ac:dyDescent="0.45">
      <c r="A2249" s="3">
        <v>45312.25</v>
      </c>
      <c r="B2249" t="s">
        <v>0</v>
      </c>
      <c r="C2249">
        <v>11</v>
      </c>
      <c r="D2249">
        <v>2010</v>
      </c>
      <c r="E2249" t="s">
        <v>16</v>
      </c>
      <c r="F2249">
        <v>40</v>
      </c>
      <c r="G2249">
        <v>4000</v>
      </c>
      <c r="H2249">
        <v>160000</v>
      </c>
      <c r="I2249" s="3">
        <v>45312.916666666664</v>
      </c>
      <c r="J2249">
        <v>132</v>
      </c>
      <c r="K2249" s="3">
        <v>45317.416666666664</v>
      </c>
      <c r="L2249" s="4">
        <f>ROUNDDOWN(Table1[[#This Row],[Ordered]],0)</f>
        <v>45312</v>
      </c>
      <c r="M2249" s="4">
        <f>Table1[[#This Row],[Date ]]</f>
        <v>45312</v>
      </c>
      <c r="N2249" s="5">
        <f>Table1[[#This Row],[Ordered]]-Table1[[#This Row],[Date ]]</f>
        <v>0.25</v>
      </c>
      <c r="O2249">
        <f>Table1[[#This Row],[Company]]</f>
        <v>11</v>
      </c>
      <c r="P22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0" spans="1:16" x14ac:dyDescent="0.45">
      <c r="A2250" s="3">
        <v>45312.25</v>
      </c>
      <c r="B2250" t="s">
        <v>0</v>
      </c>
      <c r="C2250">
        <v>9</v>
      </c>
      <c r="D2250">
        <v>2010</v>
      </c>
      <c r="E2250" t="s">
        <v>16</v>
      </c>
      <c r="F2250">
        <v>30</v>
      </c>
      <c r="G2250">
        <v>3799</v>
      </c>
      <c r="H2250">
        <v>113970</v>
      </c>
      <c r="I2250" s="3">
        <v>45312.25</v>
      </c>
      <c r="J2250">
        <v>112</v>
      </c>
      <c r="K2250" s="3">
        <v>45316.75</v>
      </c>
      <c r="L2250" s="4">
        <f>ROUNDDOWN(Table1[[#This Row],[Ordered]],0)</f>
        <v>45312</v>
      </c>
      <c r="M2250" s="4">
        <f>Table1[[#This Row],[Date ]]</f>
        <v>45312</v>
      </c>
      <c r="N2250" s="5">
        <f>Table1[[#This Row],[Ordered]]-Table1[[#This Row],[Date ]]</f>
        <v>0.25</v>
      </c>
      <c r="O2250">
        <f>Table1[[#This Row],[Company]]</f>
        <v>9</v>
      </c>
      <c r="P22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1" spans="1:16" x14ac:dyDescent="0.45">
      <c r="A2251" s="3">
        <v>45312.25</v>
      </c>
      <c r="B2251" t="s">
        <v>0</v>
      </c>
      <c r="C2251">
        <v>16</v>
      </c>
      <c r="D2251">
        <v>2010</v>
      </c>
      <c r="E2251" t="s">
        <v>15</v>
      </c>
      <c r="F2251">
        <v>30</v>
      </c>
      <c r="G2251">
        <v>6050</v>
      </c>
      <c r="H2251">
        <v>181500</v>
      </c>
      <c r="I2251" s="3">
        <v>45312.458333333336</v>
      </c>
      <c r="J2251">
        <v>132</v>
      </c>
      <c r="K2251" s="3">
        <v>45316.958333333336</v>
      </c>
      <c r="L2251" s="4">
        <f>ROUNDDOWN(Table1[[#This Row],[Ordered]],0)</f>
        <v>45312</v>
      </c>
      <c r="M2251" s="4">
        <f>Table1[[#This Row],[Date ]]</f>
        <v>45312</v>
      </c>
      <c r="N2251" s="5">
        <f>Table1[[#This Row],[Ordered]]-Table1[[#This Row],[Date ]]</f>
        <v>0.25</v>
      </c>
      <c r="O2251">
        <f>Table1[[#This Row],[Company]]</f>
        <v>16</v>
      </c>
      <c r="P22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2" spans="1:16" x14ac:dyDescent="0.45">
      <c r="A2252" s="3">
        <v>45312.25</v>
      </c>
      <c r="B2252" t="s">
        <v>0</v>
      </c>
      <c r="C2252">
        <v>8</v>
      </c>
      <c r="D2252">
        <v>2010</v>
      </c>
      <c r="E2252" t="s">
        <v>15</v>
      </c>
      <c r="F2252">
        <v>10</v>
      </c>
      <c r="G2252">
        <v>6964</v>
      </c>
      <c r="H2252">
        <v>69640</v>
      </c>
      <c r="I2252" s="3">
        <v>45314.625</v>
      </c>
      <c r="J2252">
        <v>132</v>
      </c>
      <c r="K2252" s="3">
        <v>45317.625</v>
      </c>
      <c r="L2252" s="4">
        <f>ROUNDDOWN(Table1[[#This Row],[Ordered]],0)</f>
        <v>45312</v>
      </c>
      <c r="M2252" s="4">
        <f>Table1[[#This Row],[Date ]]</f>
        <v>45312</v>
      </c>
      <c r="N2252" s="5">
        <f>Table1[[#This Row],[Ordered]]-Table1[[#This Row],[Date ]]</f>
        <v>0.25</v>
      </c>
      <c r="O2252">
        <f>Table1[[#This Row],[Company]]</f>
        <v>8</v>
      </c>
      <c r="P22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3" spans="1:16" x14ac:dyDescent="0.45">
      <c r="A2253" s="3">
        <v>45312.25</v>
      </c>
      <c r="B2253" t="s">
        <v>0</v>
      </c>
      <c r="C2253">
        <v>12</v>
      </c>
      <c r="D2253">
        <v>2010</v>
      </c>
      <c r="E2253" t="s">
        <v>15</v>
      </c>
      <c r="F2253">
        <v>30</v>
      </c>
      <c r="G2253">
        <v>6800</v>
      </c>
      <c r="H2253">
        <v>204000</v>
      </c>
      <c r="I2253" s="3">
        <v>45315.375</v>
      </c>
      <c r="J2253">
        <v>120</v>
      </c>
      <c r="K2253" s="3">
        <v>45316.875</v>
      </c>
      <c r="L2253" s="4">
        <f>ROUNDDOWN(Table1[[#This Row],[Ordered]],0)</f>
        <v>45312</v>
      </c>
      <c r="M2253" s="4">
        <f>Table1[[#This Row],[Date ]]</f>
        <v>45312</v>
      </c>
      <c r="N2253" s="5">
        <f>Table1[[#This Row],[Ordered]]-Table1[[#This Row],[Date ]]</f>
        <v>0.25</v>
      </c>
      <c r="O2253">
        <f>Table1[[#This Row],[Company]]</f>
        <v>12</v>
      </c>
      <c r="P22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4" spans="1:16" x14ac:dyDescent="0.45">
      <c r="A2254" s="3">
        <v>45312.25</v>
      </c>
      <c r="B2254" t="s">
        <v>0</v>
      </c>
      <c r="C2254">
        <v>13</v>
      </c>
      <c r="D2254">
        <v>2010</v>
      </c>
      <c r="E2254" t="s">
        <v>16</v>
      </c>
      <c r="F2254">
        <v>30</v>
      </c>
      <c r="G2254">
        <v>3000</v>
      </c>
      <c r="H2254">
        <v>90000</v>
      </c>
      <c r="I2254" s="3">
        <v>45313.166666666664</v>
      </c>
      <c r="J2254">
        <v>132</v>
      </c>
      <c r="K2254" s="3">
        <v>45317.666666666664</v>
      </c>
      <c r="L2254" s="4">
        <f>ROUNDDOWN(Table1[[#This Row],[Ordered]],0)</f>
        <v>45312</v>
      </c>
      <c r="M2254" s="4">
        <f>Table1[[#This Row],[Date ]]</f>
        <v>45312</v>
      </c>
      <c r="N2254" s="5">
        <f>Table1[[#This Row],[Ordered]]-Table1[[#This Row],[Date ]]</f>
        <v>0.25</v>
      </c>
      <c r="O2254">
        <f>Table1[[#This Row],[Company]]</f>
        <v>13</v>
      </c>
      <c r="P22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5" spans="1:16" x14ac:dyDescent="0.45">
      <c r="A2255" s="3">
        <v>45312.25</v>
      </c>
      <c r="B2255" t="s">
        <v>0</v>
      </c>
      <c r="C2255">
        <v>8</v>
      </c>
      <c r="D2255">
        <v>2010</v>
      </c>
      <c r="E2255" t="s">
        <v>16</v>
      </c>
      <c r="F2255">
        <v>50</v>
      </c>
      <c r="G2255">
        <v>4155</v>
      </c>
      <c r="H2255">
        <v>207750</v>
      </c>
      <c r="I2255" s="3">
        <v>45312.708333333336</v>
      </c>
      <c r="J2255">
        <v>120</v>
      </c>
      <c r="K2255" s="3">
        <v>45317.208333333336</v>
      </c>
      <c r="L2255" s="4">
        <f>ROUNDDOWN(Table1[[#This Row],[Ordered]],0)</f>
        <v>45312</v>
      </c>
      <c r="M2255" s="4">
        <f>Table1[[#This Row],[Date ]]</f>
        <v>45312</v>
      </c>
      <c r="N2255" s="5">
        <f>Table1[[#This Row],[Ordered]]-Table1[[#This Row],[Date ]]</f>
        <v>0.25</v>
      </c>
      <c r="O2255">
        <f>Table1[[#This Row],[Company]]</f>
        <v>8</v>
      </c>
      <c r="P22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6" spans="1:16" x14ac:dyDescent="0.45">
      <c r="A2256" s="3">
        <v>45312.25</v>
      </c>
      <c r="B2256" t="s">
        <v>0</v>
      </c>
      <c r="C2256">
        <v>14</v>
      </c>
      <c r="D2256">
        <v>2010</v>
      </c>
      <c r="E2256" t="s">
        <v>15</v>
      </c>
      <c r="F2256">
        <v>30</v>
      </c>
      <c r="G2256">
        <v>6650</v>
      </c>
      <c r="H2256">
        <v>199500</v>
      </c>
      <c r="I2256" s="3">
        <v>45312.25</v>
      </c>
      <c r="J2256">
        <v>120</v>
      </c>
      <c r="K2256" s="3">
        <v>45316.75</v>
      </c>
      <c r="L2256" s="4">
        <f>ROUNDDOWN(Table1[[#This Row],[Ordered]],0)</f>
        <v>45312</v>
      </c>
      <c r="M2256" s="4">
        <f>Table1[[#This Row],[Date ]]</f>
        <v>45312</v>
      </c>
      <c r="N2256" s="5">
        <f>Table1[[#This Row],[Ordered]]-Table1[[#This Row],[Date ]]</f>
        <v>0.25</v>
      </c>
      <c r="O2256">
        <f>Table1[[#This Row],[Company]]</f>
        <v>14</v>
      </c>
      <c r="P22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7" spans="1:16" x14ac:dyDescent="0.45">
      <c r="A2257" s="3">
        <v>45312.25</v>
      </c>
      <c r="B2257" t="s">
        <v>0</v>
      </c>
      <c r="C2257">
        <v>9</v>
      </c>
      <c r="D2257">
        <v>2010</v>
      </c>
      <c r="E2257" t="s">
        <v>15</v>
      </c>
      <c r="F2257">
        <v>15</v>
      </c>
      <c r="G2257">
        <v>6699</v>
      </c>
      <c r="H2257">
        <v>100485</v>
      </c>
      <c r="I2257" s="3">
        <v>45312.333333333336</v>
      </c>
      <c r="J2257">
        <v>119</v>
      </c>
      <c r="K2257" s="3">
        <v>45316.833333333336</v>
      </c>
      <c r="L2257" s="4">
        <f>ROUNDDOWN(Table1[[#This Row],[Ordered]],0)</f>
        <v>45312</v>
      </c>
      <c r="M2257" s="4">
        <f>Table1[[#This Row],[Date ]]</f>
        <v>45312</v>
      </c>
      <c r="N2257" s="5">
        <f>Table1[[#This Row],[Ordered]]-Table1[[#This Row],[Date ]]</f>
        <v>0.25</v>
      </c>
      <c r="O2257">
        <f>Table1[[#This Row],[Company]]</f>
        <v>9</v>
      </c>
      <c r="P22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8" spans="1:16" x14ac:dyDescent="0.45">
      <c r="A2258" s="3">
        <v>45312.25</v>
      </c>
      <c r="B2258" t="s">
        <v>0</v>
      </c>
      <c r="C2258">
        <v>11</v>
      </c>
      <c r="D2258">
        <v>2010</v>
      </c>
      <c r="E2258" t="s">
        <v>15</v>
      </c>
      <c r="F2258">
        <v>10</v>
      </c>
      <c r="G2258">
        <v>6800</v>
      </c>
      <c r="H2258">
        <v>68000</v>
      </c>
      <c r="I2258" s="3">
        <v>45312.333333333336</v>
      </c>
      <c r="J2258">
        <v>84</v>
      </c>
      <c r="K2258" s="3">
        <v>45315.333333333336</v>
      </c>
      <c r="L2258" s="4">
        <f>ROUNDDOWN(Table1[[#This Row],[Ordered]],0)</f>
        <v>45312</v>
      </c>
      <c r="M2258" s="4">
        <f>Table1[[#This Row],[Date ]]</f>
        <v>45312</v>
      </c>
      <c r="N2258" s="5">
        <f>Table1[[#This Row],[Ordered]]-Table1[[#This Row],[Date ]]</f>
        <v>0.25</v>
      </c>
      <c r="O2258">
        <f>Table1[[#This Row],[Company]]</f>
        <v>11</v>
      </c>
      <c r="P22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9" spans="1:16" x14ac:dyDescent="0.45">
      <c r="A2259" s="3">
        <v>45312.25</v>
      </c>
      <c r="B2259" t="s">
        <v>0</v>
      </c>
      <c r="C2259">
        <v>7</v>
      </c>
      <c r="D2259">
        <v>2010</v>
      </c>
      <c r="E2259" t="s">
        <v>16</v>
      </c>
      <c r="F2259">
        <v>75</v>
      </c>
      <c r="G2259">
        <v>3900</v>
      </c>
      <c r="H2259">
        <v>292500</v>
      </c>
      <c r="I2259" s="3">
        <v>45312.583333333336</v>
      </c>
      <c r="J2259">
        <v>132</v>
      </c>
      <c r="K2259" s="3">
        <v>45317.083333333336</v>
      </c>
      <c r="L2259" s="4">
        <f>ROUNDDOWN(Table1[[#This Row],[Ordered]],0)</f>
        <v>45312</v>
      </c>
      <c r="M2259" s="4">
        <f>Table1[[#This Row],[Date ]]</f>
        <v>45312</v>
      </c>
      <c r="N2259" s="5">
        <f>Table1[[#This Row],[Ordered]]-Table1[[#This Row],[Date ]]</f>
        <v>0.25</v>
      </c>
      <c r="O2259">
        <f>Table1[[#This Row],[Company]]</f>
        <v>7</v>
      </c>
      <c r="P22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0" spans="1:16" x14ac:dyDescent="0.45">
      <c r="A2260" s="3">
        <v>45312.25</v>
      </c>
      <c r="B2260" t="s">
        <v>0</v>
      </c>
      <c r="C2260">
        <v>15</v>
      </c>
      <c r="D2260">
        <v>2010</v>
      </c>
      <c r="E2260" t="s">
        <v>15</v>
      </c>
      <c r="F2260">
        <v>50</v>
      </c>
      <c r="G2260">
        <v>6350</v>
      </c>
      <c r="H2260">
        <v>317500</v>
      </c>
      <c r="I2260" s="3">
        <v>45312.25</v>
      </c>
      <c r="J2260">
        <v>48</v>
      </c>
      <c r="K2260" s="3">
        <v>45313.75</v>
      </c>
      <c r="L2260" s="4">
        <f>ROUNDDOWN(Table1[[#This Row],[Ordered]],0)</f>
        <v>45312</v>
      </c>
      <c r="M2260" s="4">
        <f>Table1[[#This Row],[Date ]]</f>
        <v>45312</v>
      </c>
      <c r="N2260" s="5">
        <f>Table1[[#This Row],[Ordered]]-Table1[[#This Row],[Date ]]</f>
        <v>0.25</v>
      </c>
      <c r="O2260">
        <f>Table1[[#This Row],[Company]]</f>
        <v>15</v>
      </c>
      <c r="P22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1" spans="1:16" x14ac:dyDescent="0.45">
      <c r="A2261" s="3">
        <v>45312.25</v>
      </c>
      <c r="B2261" t="s">
        <v>0</v>
      </c>
      <c r="C2261">
        <v>16</v>
      </c>
      <c r="D2261">
        <v>2010</v>
      </c>
      <c r="E2261" t="s">
        <v>16</v>
      </c>
      <c r="F2261">
        <v>30</v>
      </c>
      <c r="G2261">
        <v>3750</v>
      </c>
      <c r="H2261">
        <v>112500</v>
      </c>
      <c r="I2261" s="3">
        <v>45312.416666666664</v>
      </c>
      <c r="J2261">
        <v>132</v>
      </c>
      <c r="K2261" s="3">
        <v>45316.916666666664</v>
      </c>
      <c r="L2261" s="4">
        <f>ROUNDDOWN(Table1[[#This Row],[Ordered]],0)</f>
        <v>45312</v>
      </c>
      <c r="M2261" s="4">
        <f>Table1[[#This Row],[Date ]]</f>
        <v>45312</v>
      </c>
      <c r="N2261" s="5">
        <f>Table1[[#This Row],[Ordered]]-Table1[[#This Row],[Date ]]</f>
        <v>0.25</v>
      </c>
      <c r="O2261">
        <f>Table1[[#This Row],[Company]]</f>
        <v>16</v>
      </c>
      <c r="P22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2" spans="1:16" x14ac:dyDescent="0.45">
      <c r="A2262" s="3">
        <v>45312.25</v>
      </c>
      <c r="B2262" t="s">
        <v>0</v>
      </c>
      <c r="C2262">
        <v>7</v>
      </c>
      <c r="D2262">
        <v>2010</v>
      </c>
      <c r="E2262" t="s">
        <v>15</v>
      </c>
      <c r="F2262">
        <v>36</v>
      </c>
      <c r="G2262">
        <v>7000</v>
      </c>
      <c r="H2262">
        <v>252000</v>
      </c>
      <c r="I2262" s="3">
        <v>45314.458333333336</v>
      </c>
      <c r="J2262">
        <v>132</v>
      </c>
      <c r="K2262" s="3">
        <v>45317.458333333336</v>
      </c>
      <c r="L2262" s="4">
        <f>ROUNDDOWN(Table1[[#This Row],[Ordered]],0)</f>
        <v>45312</v>
      </c>
      <c r="M2262" s="4">
        <f>Table1[[#This Row],[Date ]]</f>
        <v>45312</v>
      </c>
      <c r="N2262" s="5">
        <f>Table1[[#This Row],[Ordered]]-Table1[[#This Row],[Date ]]</f>
        <v>0.25</v>
      </c>
      <c r="O2262">
        <f>Table1[[#This Row],[Company]]</f>
        <v>7</v>
      </c>
      <c r="P22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3" spans="1:16" x14ac:dyDescent="0.45">
      <c r="A2263" s="3">
        <v>45312.25</v>
      </c>
      <c r="B2263" t="s">
        <v>0</v>
      </c>
      <c r="C2263">
        <v>14</v>
      </c>
      <c r="D2263">
        <v>2010</v>
      </c>
      <c r="E2263" t="s">
        <v>16</v>
      </c>
      <c r="F2263">
        <v>40</v>
      </c>
      <c r="G2263">
        <v>3750</v>
      </c>
      <c r="H2263">
        <v>150000</v>
      </c>
      <c r="I2263" s="3">
        <v>45312.25</v>
      </c>
      <c r="J2263">
        <v>120</v>
      </c>
      <c r="K2263" s="3">
        <v>45316.75</v>
      </c>
      <c r="L2263" s="4">
        <f>ROUNDDOWN(Table1[[#This Row],[Ordered]],0)</f>
        <v>45312</v>
      </c>
      <c r="M2263" s="4">
        <f>Table1[[#This Row],[Date ]]</f>
        <v>45312</v>
      </c>
      <c r="N2263" s="5">
        <f>Table1[[#This Row],[Ordered]]-Table1[[#This Row],[Date ]]</f>
        <v>0.25</v>
      </c>
      <c r="O2263">
        <f>Table1[[#This Row],[Company]]</f>
        <v>14</v>
      </c>
      <c r="P22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4" spans="1:16" x14ac:dyDescent="0.45">
      <c r="A2264" s="3">
        <v>45312.25</v>
      </c>
      <c r="B2264" t="s">
        <v>0</v>
      </c>
      <c r="C2264">
        <v>13</v>
      </c>
      <c r="D2264">
        <v>2010</v>
      </c>
      <c r="E2264" t="s">
        <v>15</v>
      </c>
      <c r="F2264">
        <v>30</v>
      </c>
      <c r="G2264">
        <v>6000</v>
      </c>
      <c r="H2264">
        <v>180000</v>
      </c>
      <c r="I2264" s="3">
        <v>45314.458333333336</v>
      </c>
      <c r="J2264">
        <v>132</v>
      </c>
      <c r="K2264" s="3">
        <v>45317.458333333336</v>
      </c>
      <c r="L2264" s="4">
        <f>ROUNDDOWN(Table1[[#This Row],[Ordered]],0)</f>
        <v>45312</v>
      </c>
      <c r="M2264" s="4">
        <f>Table1[[#This Row],[Date ]]</f>
        <v>45312</v>
      </c>
      <c r="N2264" s="5">
        <f>Table1[[#This Row],[Ordered]]-Table1[[#This Row],[Date ]]</f>
        <v>0.25</v>
      </c>
      <c r="O2264">
        <f>Table1[[#This Row],[Company]]</f>
        <v>13</v>
      </c>
      <c r="P22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5" spans="1:16" x14ac:dyDescent="0.45">
      <c r="A2265" s="3">
        <v>45312.25</v>
      </c>
      <c r="B2265" t="s">
        <v>0</v>
      </c>
      <c r="C2265">
        <v>12</v>
      </c>
      <c r="D2265">
        <v>2010</v>
      </c>
      <c r="E2265" t="s">
        <v>16</v>
      </c>
      <c r="F2265">
        <v>30</v>
      </c>
      <c r="G2265">
        <v>3800</v>
      </c>
      <c r="H2265">
        <v>114000</v>
      </c>
      <c r="I2265" s="3">
        <v>45313.458333333336</v>
      </c>
      <c r="J2265">
        <v>120</v>
      </c>
      <c r="K2265" s="3">
        <v>45316.458333333336</v>
      </c>
      <c r="L2265" s="4">
        <f>ROUNDDOWN(Table1[[#This Row],[Ordered]],0)</f>
        <v>45312</v>
      </c>
      <c r="M2265" s="4">
        <f>Table1[[#This Row],[Date ]]</f>
        <v>45312</v>
      </c>
      <c r="N2265" s="5">
        <f>Table1[[#This Row],[Ordered]]-Table1[[#This Row],[Date ]]</f>
        <v>0.25</v>
      </c>
      <c r="O2265">
        <f>Table1[[#This Row],[Company]]</f>
        <v>12</v>
      </c>
      <c r="P22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6" spans="1:16" x14ac:dyDescent="0.45">
      <c r="A2266" s="3">
        <v>45312.291666666664</v>
      </c>
      <c r="B2266" t="s">
        <v>14</v>
      </c>
      <c r="C2266">
        <v>11</v>
      </c>
      <c r="D2266">
        <v>1006</v>
      </c>
      <c r="E2266" t="s">
        <v>15</v>
      </c>
      <c r="F2266">
        <v>15</v>
      </c>
      <c r="G2266">
        <v>6400</v>
      </c>
      <c r="H2266">
        <v>96000</v>
      </c>
      <c r="I2266" s="3">
        <v>45312.5</v>
      </c>
      <c r="J2266">
        <v>72</v>
      </c>
      <c r="K2266" s="3">
        <v>45314.5</v>
      </c>
      <c r="L2266" s="4">
        <f>ROUNDDOWN(Table1[[#This Row],[Ordered]],0)</f>
        <v>45312</v>
      </c>
      <c r="M2266" s="4">
        <f>Table1[[#This Row],[Date ]]</f>
        <v>45312</v>
      </c>
      <c r="N2266" s="5">
        <f>Table1[[#This Row],[Ordered]]-Table1[[#This Row],[Date ]]</f>
        <v>0.29166666666424135</v>
      </c>
      <c r="O2266">
        <f>Table1[[#This Row],[Company]]</f>
        <v>11</v>
      </c>
      <c r="P22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7" spans="1:16" x14ac:dyDescent="0.45">
      <c r="A2267" s="3">
        <v>45312.291666666664</v>
      </c>
      <c r="B2267" t="s">
        <v>14</v>
      </c>
      <c r="C2267">
        <v>16</v>
      </c>
      <c r="D2267">
        <v>1006</v>
      </c>
      <c r="E2267" t="s">
        <v>15</v>
      </c>
      <c r="F2267">
        <v>17</v>
      </c>
      <c r="G2267">
        <v>6050</v>
      </c>
      <c r="H2267">
        <v>102850</v>
      </c>
      <c r="I2267" s="3">
        <v>45312.583333333336</v>
      </c>
      <c r="J2267">
        <v>96</v>
      </c>
      <c r="K2267" s="3">
        <v>45315.583333333336</v>
      </c>
      <c r="L2267" s="4">
        <f>ROUNDDOWN(Table1[[#This Row],[Ordered]],0)</f>
        <v>45312</v>
      </c>
      <c r="M2267" s="4">
        <f>Table1[[#This Row],[Date ]]</f>
        <v>45312</v>
      </c>
      <c r="N2267" s="5">
        <f>Table1[[#This Row],[Ordered]]-Table1[[#This Row],[Date ]]</f>
        <v>0.29166666666424135</v>
      </c>
      <c r="O2267">
        <f>Table1[[#This Row],[Company]]</f>
        <v>16</v>
      </c>
      <c r="P22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8" spans="1:16" x14ac:dyDescent="0.45">
      <c r="A2268" s="3">
        <v>45312.291666666664</v>
      </c>
      <c r="B2268" t="s">
        <v>14</v>
      </c>
      <c r="C2268">
        <v>12</v>
      </c>
      <c r="D2268">
        <v>1006</v>
      </c>
      <c r="E2268" t="s">
        <v>15</v>
      </c>
      <c r="F2268">
        <v>13</v>
      </c>
      <c r="G2268">
        <v>6750</v>
      </c>
      <c r="H2268">
        <v>87750</v>
      </c>
      <c r="I2268" s="3">
        <v>45314.291666666664</v>
      </c>
      <c r="J2268">
        <v>96</v>
      </c>
      <c r="K2268" s="3">
        <v>45316.291666666664</v>
      </c>
      <c r="L2268" s="4">
        <f>ROUNDDOWN(Table1[[#This Row],[Ordered]],0)</f>
        <v>45312</v>
      </c>
      <c r="M2268" s="4">
        <f>Table1[[#This Row],[Date ]]</f>
        <v>45312</v>
      </c>
      <c r="N2268" s="5">
        <f>Table1[[#This Row],[Ordered]]-Table1[[#This Row],[Date ]]</f>
        <v>0.29166666666424135</v>
      </c>
      <c r="O2268">
        <f>Table1[[#This Row],[Company]]</f>
        <v>12</v>
      </c>
      <c r="P22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9" spans="1:16" x14ac:dyDescent="0.45">
      <c r="A2269" s="3">
        <v>45312.291666666664</v>
      </c>
      <c r="B2269" t="s">
        <v>14</v>
      </c>
      <c r="C2269">
        <v>14</v>
      </c>
      <c r="D2269">
        <v>1006</v>
      </c>
      <c r="E2269" t="s">
        <v>15</v>
      </c>
      <c r="F2269">
        <v>10</v>
      </c>
      <c r="G2269">
        <v>6650</v>
      </c>
      <c r="H2269">
        <v>66500</v>
      </c>
      <c r="I2269" s="3">
        <v>45312.291666666664</v>
      </c>
      <c r="J2269">
        <v>84</v>
      </c>
      <c r="K2269" s="3">
        <v>45315.291666666664</v>
      </c>
      <c r="L2269" s="4">
        <f>ROUNDDOWN(Table1[[#This Row],[Ordered]],0)</f>
        <v>45312</v>
      </c>
      <c r="M2269" s="4">
        <f>Table1[[#This Row],[Date ]]</f>
        <v>45312</v>
      </c>
      <c r="N2269" s="5">
        <f>Table1[[#This Row],[Ordered]]-Table1[[#This Row],[Date ]]</f>
        <v>0.29166666666424135</v>
      </c>
      <c r="O2269">
        <f>Table1[[#This Row],[Company]]</f>
        <v>14</v>
      </c>
      <c r="P22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0" spans="1:16" x14ac:dyDescent="0.45">
      <c r="A2270" s="3">
        <v>45312.291666666664</v>
      </c>
      <c r="B2270" t="s">
        <v>14</v>
      </c>
      <c r="C2270">
        <v>13</v>
      </c>
      <c r="D2270">
        <v>1006</v>
      </c>
      <c r="E2270" t="s">
        <v>15</v>
      </c>
      <c r="F2270">
        <v>20</v>
      </c>
      <c r="G2270">
        <v>6000</v>
      </c>
      <c r="H2270">
        <v>120000</v>
      </c>
      <c r="I2270" s="3">
        <v>45313.958333333336</v>
      </c>
      <c r="J2270">
        <v>96</v>
      </c>
      <c r="K2270" s="3">
        <v>45315.958333333336</v>
      </c>
      <c r="L2270" s="4">
        <f>ROUNDDOWN(Table1[[#This Row],[Ordered]],0)</f>
        <v>45312</v>
      </c>
      <c r="M2270" s="4">
        <f>Table1[[#This Row],[Date ]]</f>
        <v>45312</v>
      </c>
      <c r="N2270" s="5">
        <f>Table1[[#This Row],[Ordered]]-Table1[[#This Row],[Date ]]</f>
        <v>0.29166666666424135</v>
      </c>
      <c r="O2270">
        <f>Table1[[#This Row],[Company]]</f>
        <v>13</v>
      </c>
      <c r="P22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1" spans="1:16" x14ac:dyDescent="0.45">
      <c r="A2271" s="3">
        <v>45312.291666666664</v>
      </c>
      <c r="B2271" t="s">
        <v>14</v>
      </c>
      <c r="C2271">
        <v>15</v>
      </c>
      <c r="D2271">
        <v>1006</v>
      </c>
      <c r="E2271" t="s">
        <v>15</v>
      </c>
      <c r="F2271">
        <v>23</v>
      </c>
      <c r="G2271">
        <v>6400</v>
      </c>
      <c r="H2271">
        <v>147200</v>
      </c>
      <c r="I2271" s="3">
        <v>45312.333333333336</v>
      </c>
      <c r="J2271">
        <v>64</v>
      </c>
      <c r="K2271" s="3">
        <v>45314.333333333336</v>
      </c>
      <c r="L2271" s="4">
        <f>ROUNDDOWN(Table1[[#This Row],[Ordered]],0)</f>
        <v>45312</v>
      </c>
      <c r="M2271" s="4">
        <f>Table1[[#This Row],[Date ]]</f>
        <v>45312</v>
      </c>
      <c r="N2271" s="5">
        <f>Table1[[#This Row],[Ordered]]-Table1[[#This Row],[Date ]]</f>
        <v>0.29166666666424135</v>
      </c>
      <c r="O2271">
        <f>Table1[[#This Row],[Company]]</f>
        <v>15</v>
      </c>
      <c r="P22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2" spans="1:16" hidden="1" x14ac:dyDescent="0.45">
      <c r="A2272" s="3">
        <v>45312.416666666664</v>
      </c>
      <c r="B2272" t="s">
        <v>12</v>
      </c>
      <c r="C2272">
        <v>2</v>
      </c>
      <c r="D2272">
        <v>14</v>
      </c>
      <c r="E2272" t="s">
        <v>13</v>
      </c>
      <c r="F2272">
        <v>1500</v>
      </c>
      <c r="G2272">
        <v>125</v>
      </c>
      <c r="H2272">
        <v>187500</v>
      </c>
      <c r="I2272" s="3">
        <v>45312.416666666664</v>
      </c>
      <c r="J2272">
        <v>72</v>
      </c>
      <c r="K2272" s="3">
        <v>45315.416666666664</v>
      </c>
      <c r="L2272" s="4">
        <f>ROUNDDOWN(Table1[[#This Row],[Ordered]],0)</f>
        <v>45312</v>
      </c>
      <c r="M2272" s="4">
        <f>Table1[[#This Row],[Date ]]</f>
        <v>45312</v>
      </c>
      <c r="N2272" s="5">
        <f>Table1[[#This Row],[Ordered]]-Table1[[#This Row],[Date ]]</f>
        <v>0.41666666666424135</v>
      </c>
      <c r="O2272">
        <f>Table1[[#This Row],[Company]]</f>
        <v>2</v>
      </c>
      <c r="P22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3" spans="1:16" x14ac:dyDescent="0.45">
      <c r="A2273" s="3">
        <v>45312.458333333336</v>
      </c>
      <c r="B2273" t="s">
        <v>14</v>
      </c>
      <c r="C2273">
        <v>14</v>
      </c>
      <c r="D2273">
        <v>1004</v>
      </c>
      <c r="E2273" t="s">
        <v>16</v>
      </c>
      <c r="F2273">
        <v>33</v>
      </c>
      <c r="G2273">
        <v>3750</v>
      </c>
      <c r="H2273">
        <v>123750</v>
      </c>
      <c r="I2273" s="3">
        <v>45312.458333333336</v>
      </c>
      <c r="J2273">
        <v>84</v>
      </c>
      <c r="K2273" s="3">
        <v>45315.458333333336</v>
      </c>
      <c r="L2273" s="4">
        <f>ROUNDDOWN(Table1[[#This Row],[Ordered]],0)</f>
        <v>45312</v>
      </c>
      <c r="M2273" s="4">
        <f>Table1[[#This Row],[Date ]]</f>
        <v>45312</v>
      </c>
      <c r="N2273" s="5">
        <f>Table1[[#This Row],[Ordered]]-Table1[[#This Row],[Date ]]</f>
        <v>0.45833333333575865</v>
      </c>
      <c r="O2273">
        <f>Table1[[#This Row],[Company]]</f>
        <v>14</v>
      </c>
      <c r="P22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4" spans="1:16" x14ac:dyDescent="0.45">
      <c r="A2274" s="3">
        <v>45312.458333333336</v>
      </c>
      <c r="B2274" t="s">
        <v>14</v>
      </c>
      <c r="C2274">
        <v>16</v>
      </c>
      <c r="D2274">
        <v>1004</v>
      </c>
      <c r="E2274" t="s">
        <v>16</v>
      </c>
      <c r="F2274">
        <v>30</v>
      </c>
      <c r="G2274">
        <v>3750</v>
      </c>
      <c r="H2274">
        <v>112500</v>
      </c>
      <c r="I2274" s="3">
        <v>45312.625</v>
      </c>
      <c r="J2274">
        <v>96</v>
      </c>
      <c r="K2274" s="3">
        <v>45315.625</v>
      </c>
      <c r="L2274" s="4">
        <f>ROUNDDOWN(Table1[[#This Row],[Ordered]],0)</f>
        <v>45312</v>
      </c>
      <c r="M2274" s="4">
        <f>Table1[[#This Row],[Date ]]</f>
        <v>45312</v>
      </c>
      <c r="N2274" s="5">
        <f>Table1[[#This Row],[Ordered]]-Table1[[#This Row],[Date ]]</f>
        <v>0.45833333333575865</v>
      </c>
      <c r="O2274">
        <f>Table1[[#This Row],[Company]]</f>
        <v>16</v>
      </c>
      <c r="P22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5" spans="1:16" x14ac:dyDescent="0.45">
      <c r="A2275" s="3">
        <v>45312.458333333336</v>
      </c>
      <c r="B2275" t="s">
        <v>14</v>
      </c>
      <c r="C2275">
        <v>8</v>
      </c>
      <c r="D2275">
        <v>1004</v>
      </c>
      <c r="E2275" t="s">
        <v>16</v>
      </c>
      <c r="F2275">
        <v>49</v>
      </c>
      <c r="G2275">
        <v>4100</v>
      </c>
      <c r="H2275">
        <v>200900</v>
      </c>
      <c r="I2275" s="3">
        <v>45315.5</v>
      </c>
      <c r="J2275">
        <v>156</v>
      </c>
      <c r="K2275" s="3">
        <v>45318.5</v>
      </c>
      <c r="L2275" s="4">
        <f>ROUNDDOWN(Table1[[#This Row],[Ordered]],0)</f>
        <v>45312</v>
      </c>
      <c r="M2275" s="4">
        <f>Table1[[#This Row],[Date ]]</f>
        <v>45312</v>
      </c>
      <c r="N2275" s="5">
        <f>Table1[[#This Row],[Ordered]]-Table1[[#This Row],[Date ]]</f>
        <v>0.45833333333575865</v>
      </c>
      <c r="O2275">
        <f>Table1[[#This Row],[Company]]</f>
        <v>8</v>
      </c>
      <c r="P22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6" spans="1:16" x14ac:dyDescent="0.45">
      <c r="A2276" s="3">
        <v>45312.458333333336</v>
      </c>
      <c r="B2276" t="s">
        <v>14</v>
      </c>
      <c r="C2276">
        <v>12</v>
      </c>
      <c r="D2276">
        <v>1004</v>
      </c>
      <c r="E2276" t="s">
        <v>16</v>
      </c>
      <c r="F2276">
        <v>43</v>
      </c>
      <c r="G2276">
        <v>3750</v>
      </c>
      <c r="H2276">
        <v>161250</v>
      </c>
      <c r="I2276" s="3">
        <v>45313.875</v>
      </c>
      <c r="J2276">
        <v>120</v>
      </c>
      <c r="K2276" s="3">
        <v>45316.875</v>
      </c>
      <c r="L2276" s="4">
        <f>ROUNDDOWN(Table1[[#This Row],[Ordered]],0)</f>
        <v>45312</v>
      </c>
      <c r="M2276" s="4">
        <f>Table1[[#This Row],[Date ]]</f>
        <v>45312</v>
      </c>
      <c r="N2276" s="5">
        <f>Table1[[#This Row],[Ordered]]-Table1[[#This Row],[Date ]]</f>
        <v>0.45833333333575865</v>
      </c>
      <c r="O2276">
        <f>Table1[[#This Row],[Company]]</f>
        <v>12</v>
      </c>
      <c r="P22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7" spans="1:16" x14ac:dyDescent="0.45">
      <c r="A2277" s="3">
        <v>45312.458333333336</v>
      </c>
      <c r="B2277" t="s">
        <v>14</v>
      </c>
      <c r="C2277">
        <v>10</v>
      </c>
      <c r="D2277">
        <v>1004</v>
      </c>
      <c r="E2277" t="s">
        <v>16</v>
      </c>
      <c r="F2277">
        <v>25</v>
      </c>
      <c r="G2277">
        <v>4200</v>
      </c>
      <c r="H2277">
        <v>105000</v>
      </c>
      <c r="I2277" s="3">
        <v>45312.458333333336</v>
      </c>
      <c r="J2277">
        <v>84</v>
      </c>
      <c r="K2277" s="3">
        <v>45315.625</v>
      </c>
      <c r="L2277" s="4">
        <f>ROUNDDOWN(Table1[[#This Row],[Ordered]],0)</f>
        <v>45312</v>
      </c>
      <c r="M2277" s="4">
        <f>Table1[[#This Row],[Date ]]</f>
        <v>45312</v>
      </c>
      <c r="N2277" s="5">
        <f>Table1[[#This Row],[Ordered]]-Table1[[#This Row],[Date ]]</f>
        <v>0.45833333333575865</v>
      </c>
      <c r="O2277">
        <f>Table1[[#This Row],[Company]]</f>
        <v>10</v>
      </c>
      <c r="P22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8" spans="1:16" x14ac:dyDescent="0.45">
      <c r="A2278" s="3">
        <v>45312.458333333336</v>
      </c>
      <c r="B2278" t="s">
        <v>14</v>
      </c>
      <c r="C2278">
        <v>13</v>
      </c>
      <c r="D2278">
        <v>1004</v>
      </c>
      <c r="E2278" t="s">
        <v>16</v>
      </c>
      <c r="F2278">
        <v>30</v>
      </c>
      <c r="G2278">
        <v>3100</v>
      </c>
      <c r="H2278">
        <v>93000</v>
      </c>
      <c r="I2278" s="3">
        <v>45313.25</v>
      </c>
      <c r="J2278">
        <v>96</v>
      </c>
      <c r="K2278" s="3">
        <v>45316.25</v>
      </c>
      <c r="L2278" s="4">
        <f>ROUNDDOWN(Table1[[#This Row],[Ordered]],0)</f>
        <v>45312</v>
      </c>
      <c r="M2278" s="4">
        <f>Table1[[#This Row],[Date ]]</f>
        <v>45312</v>
      </c>
      <c r="N2278" s="5">
        <f>Table1[[#This Row],[Ordered]]-Table1[[#This Row],[Date ]]</f>
        <v>0.45833333333575865</v>
      </c>
      <c r="O2278">
        <f>Table1[[#This Row],[Company]]</f>
        <v>13</v>
      </c>
      <c r="P22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9" spans="1:16" x14ac:dyDescent="0.45">
      <c r="A2279" s="3">
        <v>45312.458333333336</v>
      </c>
      <c r="B2279" t="s">
        <v>14</v>
      </c>
      <c r="C2279">
        <v>15</v>
      </c>
      <c r="D2279">
        <v>1004</v>
      </c>
      <c r="E2279" t="s">
        <v>16</v>
      </c>
      <c r="F2279">
        <v>30</v>
      </c>
      <c r="G2279">
        <v>3500</v>
      </c>
      <c r="H2279">
        <v>105000</v>
      </c>
      <c r="I2279" s="3">
        <v>45312.5</v>
      </c>
      <c r="J2279">
        <v>87</v>
      </c>
      <c r="K2279" s="3">
        <v>45315.5</v>
      </c>
      <c r="L2279" s="4">
        <f>ROUNDDOWN(Table1[[#This Row],[Ordered]],0)</f>
        <v>45312</v>
      </c>
      <c r="M2279" s="4">
        <f>Table1[[#This Row],[Date ]]</f>
        <v>45312</v>
      </c>
      <c r="N2279" s="5">
        <f>Table1[[#This Row],[Ordered]]-Table1[[#This Row],[Date ]]</f>
        <v>0.45833333333575865</v>
      </c>
      <c r="O2279">
        <f>Table1[[#This Row],[Company]]</f>
        <v>15</v>
      </c>
      <c r="P22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0" spans="1:16" x14ac:dyDescent="0.45">
      <c r="A2280" s="3">
        <v>45312.458333333336</v>
      </c>
      <c r="B2280" t="s">
        <v>14</v>
      </c>
      <c r="C2280">
        <v>11</v>
      </c>
      <c r="D2280">
        <v>1004</v>
      </c>
      <c r="E2280" t="s">
        <v>16</v>
      </c>
      <c r="F2280">
        <v>30</v>
      </c>
      <c r="G2280">
        <v>4000</v>
      </c>
      <c r="H2280">
        <v>120000</v>
      </c>
      <c r="I2280" s="3">
        <v>45313.666666666664</v>
      </c>
      <c r="J2280">
        <v>96</v>
      </c>
      <c r="K2280" s="3">
        <v>45315.666666666664</v>
      </c>
      <c r="L2280" s="4">
        <f>ROUNDDOWN(Table1[[#This Row],[Ordered]],0)</f>
        <v>45312</v>
      </c>
      <c r="M2280" s="4">
        <f>Table1[[#This Row],[Date ]]</f>
        <v>45312</v>
      </c>
      <c r="N2280" s="5">
        <f>Table1[[#This Row],[Ordered]]-Table1[[#This Row],[Date ]]</f>
        <v>0.45833333333575865</v>
      </c>
      <c r="O2280">
        <f>Table1[[#This Row],[Company]]</f>
        <v>11</v>
      </c>
      <c r="P22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1" spans="1:16" x14ac:dyDescent="0.45">
      <c r="A2281" s="3">
        <v>45312.458333333336</v>
      </c>
      <c r="B2281" t="s">
        <v>14</v>
      </c>
      <c r="C2281">
        <v>7</v>
      </c>
      <c r="D2281">
        <v>1004</v>
      </c>
      <c r="E2281" t="s">
        <v>16</v>
      </c>
      <c r="F2281">
        <v>22</v>
      </c>
      <c r="G2281">
        <v>4200</v>
      </c>
      <c r="H2281">
        <v>92400</v>
      </c>
      <c r="I2281" s="3">
        <v>45313.458333333336</v>
      </c>
      <c r="J2281">
        <v>120</v>
      </c>
      <c r="K2281" s="3">
        <v>45316.458333333336</v>
      </c>
      <c r="L2281" s="4">
        <f>ROUNDDOWN(Table1[[#This Row],[Ordered]],0)</f>
        <v>45312</v>
      </c>
      <c r="M2281" s="4">
        <f>Table1[[#This Row],[Date ]]</f>
        <v>45312</v>
      </c>
      <c r="N2281" s="5">
        <f>Table1[[#This Row],[Ordered]]-Table1[[#This Row],[Date ]]</f>
        <v>0.45833333333575865</v>
      </c>
      <c r="O2281">
        <f>Table1[[#This Row],[Company]]</f>
        <v>7</v>
      </c>
      <c r="P22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2" spans="1:16" hidden="1" x14ac:dyDescent="0.45">
      <c r="A2282" s="3">
        <v>45312.5</v>
      </c>
      <c r="B2282" t="s">
        <v>12</v>
      </c>
      <c r="C2282">
        <v>5</v>
      </c>
      <c r="D2282">
        <v>16</v>
      </c>
      <c r="E2282" t="s">
        <v>17</v>
      </c>
      <c r="F2282">
        <v>350</v>
      </c>
      <c r="G2282">
        <v>1450</v>
      </c>
      <c r="H2282">
        <v>507500</v>
      </c>
      <c r="I2282" s="3">
        <v>45312.5</v>
      </c>
      <c r="J2282">
        <v>24</v>
      </c>
      <c r="K2282" s="3">
        <v>45313.5</v>
      </c>
      <c r="L2282" s="4">
        <f>ROUNDDOWN(Table1[[#This Row],[Ordered]],0)</f>
        <v>45312</v>
      </c>
      <c r="M2282" s="4">
        <f>Table1[[#This Row],[Date ]]</f>
        <v>45312</v>
      </c>
      <c r="N2282" s="5">
        <f>Table1[[#This Row],[Ordered]]-Table1[[#This Row],[Date ]]</f>
        <v>0.5</v>
      </c>
      <c r="O2282">
        <f>Table1[[#This Row],[Company]]</f>
        <v>5</v>
      </c>
      <c r="P22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3" spans="1:16" hidden="1" x14ac:dyDescent="0.45">
      <c r="A2283" s="3">
        <v>45312.5</v>
      </c>
      <c r="B2283" t="s">
        <v>12</v>
      </c>
      <c r="C2283">
        <v>5</v>
      </c>
      <c r="D2283">
        <v>16</v>
      </c>
      <c r="E2283" t="s">
        <v>13</v>
      </c>
      <c r="F2283">
        <v>1700</v>
      </c>
      <c r="G2283">
        <v>120</v>
      </c>
      <c r="H2283">
        <v>204000</v>
      </c>
      <c r="I2283" s="3">
        <v>45312.541666666664</v>
      </c>
      <c r="J2283">
        <v>48</v>
      </c>
      <c r="K2283" s="3">
        <v>45314.541666666664</v>
      </c>
      <c r="L2283" s="4">
        <f>ROUNDDOWN(Table1[[#This Row],[Ordered]],0)</f>
        <v>45312</v>
      </c>
      <c r="M2283" s="4">
        <f>Table1[[#This Row],[Date ]]</f>
        <v>45312</v>
      </c>
      <c r="N2283" s="5">
        <f>Table1[[#This Row],[Ordered]]-Table1[[#This Row],[Date ]]</f>
        <v>0.5</v>
      </c>
      <c r="O2283">
        <f>Table1[[#This Row],[Company]]</f>
        <v>5</v>
      </c>
      <c r="P22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4" spans="1:16" x14ac:dyDescent="0.45">
      <c r="A2284" s="3">
        <v>45312.583333333336</v>
      </c>
      <c r="B2284" t="s">
        <v>14</v>
      </c>
      <c r="C2284">
        <v>9</v>
      </c>
      <c r="D2284">
        <v>1009</v>
      </c>
      <c r="E2284" t="s">
        <v>16</v>
      </c>
      <c r="F2284">
        <v>15</v>
      </c>
      <c r="G2284">
        <v>3799</v>
      </c>
      <c r="H2284">
        <v>56985</v>
      </c>
      <c r="I2284" s="3">
        <v>45312.625</v>
      </c>
      <c r="J2284">
        <v>76</v>
      </c>
      <c r="K2284" s="3">
        <v>45315.625</v>
      </c>
      <c r="L2284" s="4">
        <f>ROUNDDOWN(Table1[[#This Row],[Ordered]],0)</f>
        <v>45312</v>
      </c>
      <c r="M2284" s="4">
        <f>Table1[[#This Row],[Date ]]</f>
        <v>45312</v>
      </c>
      <c r="N2284" s="5">
        <f>Table1[[#This Row],[Ordered]]-Table1[[#This Row],[Date ]]</f>
        <v>0.58333333333575865</v>
      </c>
      <c r="O2284">
        <f>Table1[[#This Row],[Company]]</f>
        <v>9</v>
      </c>
      <c r="P22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5" spans="1:16" x14ac:dyDescent="0.45">
      <c r="A2285" s="3">
        <v>45312.583333333336</v>
      </c>
      <c r="B2285" t="s">
        <v>14</v>
      </c>
      <c r="C2285">
        <v>16</v>
      </c>
      <c r="D2285">
        <v>1009</v>
      </c>
      <c r="E2285" t="s">
        <v>16</v>
      </c>
      <c r="F2285">
        <v>24</v>
      </c>
      <c r="G2285">
        <v>3750</v>
      </c>
      <c r="H2285">
        <v>90000</v>
      </c>
      <c r="I2285" s="3">
        <v>45312.875</v>
      </c>
      <c r="J2285">
        <v>96</v>
      </c>
      <c r="K2285" s="3">
        <v>45315.958333333336</v>
      </c>
      <c r="L2285" s="4">
        <f>ROUNDDOWN(Table1[[#This Row],[Ordered]],0)</f>
        <v>45312</v>
      </c>
      <c r="M2285" s="4">
        <f>Table1[[#This Row],[Date ]]</f>
        <v>45312</v>
      </c>
      <c r="N2285" s="5">
        <f>Table1[[#This Row],[Ordered]]-Table1[[#This Row],[Date ]]</f>
        <v>0.58333333333575865</v>
      </c>
      <c r="O2285">
        <f>Table1[[#This Row],[Company]]</f>
        <v>16</v>
      </c>
      <c r="P22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6" spans="1:16" x14ac:dyDescent="0.45">
      <c r="A2286" s="3">
        <v>45312.583333333336</v>
      </c>
      <c r="B2286" t="s">
        <v>14</v>
      </c>
      <c r="C2286">
        <v>13</v>
      </c>
      <c r="D2286">
        <v>1009</v>
      </c>
      <c r="E2286" t="s">
        <v>16</v>
      </c>
      <c r="F2286">
        <v>30</v>
      </c>
      <c r="G2286">
        <v>3100</v>
      </c>
      <c r="H2286">
        <v>93000</v>
      </c>
      <c r="I2286" s="3">
        <v>45314.375</v>
      </c>
      <c r="J2286">
        <v>96</v>
      </c>
      <c r="K2286" s="3">
        <v>45316.375</v>
      </c>
      <c r="L2286" s="4">
        <f>ROUNDDOWN(Table1[[#This Row],[Ordered]],0)</f>
        <v>45312</v>
      </c>
      <c r="M2286" s="4">
        <f>Table1[[#This Row],[Date ]]</f>
        <v>45312</v>
      </c>
      <c r="N2286" s="5">
        <f>Table1[[#This Row],[Ordered]]-Table1[[#This Row],[Date ]]</f>
        <v>0.58333333333575865</v>
      </c>
      <c r="O2286">
        <f>Table1[[#This Row],[Company]]</f>
        <v>13</v>
      </c>
      <c r="P22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7" spans="1:16" x14ac:dyDescent="0.45">
      <c r="A2287" s="3">
        <v>45312.583333333336</v>
      </c>
      <c r="B2287" t="s">
        <v>14</v>
      </c>
      <c r="C2287">
        <v>12</v>
      </c>
      <c r="D2287">
        <v>1009</v>
      </c>
      <c r="E2287" t="s">
        <v>16</v>
      </c>
      <c r="F2287">
        <v>19</v>
      </c>
      <c r="G2287">
        <v>3800</v>
      </c>
      <c r="H2287">
        <v>72200</v>
      </c>
      <c r="I2287" s="3">
        <v>45313.5</v>
      </c>
      <c r="J2287">
        <v>96</v>
      </c>
      <c r="K2287" s="3">
        <v>45316.5</v>
      </c>
      <c r="L2287" s="4">
        <f>ROUNDDOWN(Table1[[#This Row],[Ordered]],0)</f>
        <v>45312</v>
      </c>
      <c r="M2287" s="4">
        <f>Table1[[#This Row],[Date ]]</f>
        <v>45312</v>
      </c>
      <c r="N2287" s="5">
        <f>Table1[[#This Row],[Ordered]]-Table1[[#This Row],[Date ]]</f>
        <v>0.58333333333575865</v>
      </c>
      <c r="O2287">
        <f>Table1[[#This Row],[Company]]</f>
        <v>12</v>
      </c>
      <c r="P22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8" spans="1:16" hidden="1" x14ac:dyDescent="0.45">
      <c r="A2288" s="3">
        <v>45312.583333333336</v>
      </c>
      <c r="B2288" t="s">
        <v>12</v>
      </c>
      <c r="C2288">
        <v>15</v>
      </c>
      <c r="D2288">
        <v>4</v>
      </c>
      <c r="E2288" t="s">
        <v>20</v>
      </c>
      <c r="F2288">
        <v>158</v>
      </c>
      <c r="G2288">
        <v>20</v>
      </c>
      <c r="H2288">
        <v>3160</v>
      </c>
      <c r="I2288" s="3">
        <v>45312.625</v>
      </c>
      <c r="J2288">
        <v>72</v>
      </c>
      <c r="K2288" s="3">
        <v>45315.625</v>
      </c>
      <c r="L2288" s="4">
        <f>ROUNDDOWN(Table1[[#This Row],[Ordered]],0)</f>
        <v>45312</v>
      </c>
      <c r="M2288" s="4">
        <f>Table1[[#This Row],[Date ]]</f>
        <v>45312</v>
      </c>
      <c r="N2288" s="5">
        <f>Table1[[#This Row],[Ordered]]-Table1[[#This Row],[Date ]]</f>
        <v>0.58333333333575865</v>
      </c>
      <c r="O2288">
        <f>Table1[[#This Row],[Company]]</f>
        <v>15</v>
      </c>
      <c r="P22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9" spans="1:16" x14ac:dyDescent="0.45">
      <c r="A2289" s="3">
        <v>45312.583333333336</v>
      </c>
      <c r="B2289" t="s">
        <v>14</v>
      </c>
      <c r="C2289">
        <v>14</v>
      </c>
      <c r="D2289">
        <v>1009</v>
      </c>
      <c r="E2289" t="s">
        <v>16</v>
      </c>
      <c r="F2289">
        <v>28</v>
      </c>
      <c r="G2289">
        <v>3650</v>
      </c>
      <c r="H2289">
        <v>102200</v>
      </c>
      <c r="I2289" s="3">
        <v>45312.583333333336</v>
      </c>
      <c r="J2289">
        <v>84</v>
      </c>
      <c r="K2289" s="3">
        <v>45315.583333333336</v>
      </c>
      <c r="L2289" s="4">
        <f>ROUNDDOWN(Table1[[#This Row],[Ordered]],0)</f>
        <v>45312</v>
      </c>
      <c r="M2289" s="4">
        <f>Table1[[#This Row],[Date ]]</f>
        <v>45312</v>
      </c>
      <c r="N2289" s="5">
        <f>Table1[[#This Row],[Ordered]]-Table1[[#This Row],[Date ]]</f>
        <v>0.58333333333575865</v>
      </c>
      <c r="O2289">
        <f>Table1[[#This Row],[Company]]</f>
        <v>14</v>
      </c>
      <c r="P22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0" spans="1:16" hidden="1" x14ac:dyDescent="0.45">
      <c r="A2290" s="3">
        <v>45312.583333333336</v>
      </c>
      <c r="B2290" t="s">
        <v>12</v>
      </c>
      <c r="C2290">
        <v>6</v>
      </c>
      <c r="D2290">
        <v>8</v>
      </c>
      <c r="E2290" t="s">
        <v>13</v>
      </c>
      <c r="F2290">
        <v>1928</v>
      </c>
      <c r="G2290">
        <v>150</v>
      </c>
      <c r="H2290">
        <v>289200</v>
      </c>
      <c r="I2290" s="3">
        <v>45312.583333333336</v>
      </c>
      <c r="J2290">
        <v>72</v>
      </c>
      <c r="K2290" s="3">
        <v>45315.583333333336</v>
      </c>
      <c r="L2290" s="4">
        <f>ROUNDDOWN(Table1[[#This Row],[Ordered]],0)</f>
        <v>45312</v>
      </c>
      <c r="M2290" s="4">
        <f>Table1[[#This Row],[Date ]]</f>
        <v>45312</v>
      </c>
      <c r="N2290" s="5">
        <f>Table1[[#This Row],[Ordered]]-Table1[[#This Row],[Date ]]</f>
        <v>0.58333333333575865</v>
      </c>
      <c r="O2290">
        <f>Table1[[#This Row],[Company]]</f>
        <v>6</v>
      </c>
      <c r="P22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1" spans="1:16" x14ac:dyDescent="0.45">
      <c r="A2291" s="3">
        <v>45312.583333333336</v>
      </c>
      <c r="B2291" t="s">
        <v>14</v>
      </c>
      <c r="C2291">
        <v>10</v>
      </c>
      <c r="D2291">
        <v>1009</v>
      </c>
      <c r="E2291" t="s">
        <v>16</v>
      </c>
      <c r="F2291">
        <v>14</v>
      </c>
      <c r="G2291">
        <v>4200</v>
      </c>
      <c r="H2291">
        <v>58800</v>
      </c>
      <c r="I2291" s="3">
        <v>45312.583333333336</v>
      </c>
      <c r="J2291">
        <v>84</v>
      </c>
      <c r="K2291" s="3">
        <v>45315.583333333336</v>
      </c>
      <c r="L2291" s="4">
        <f>ROUNDDOWN(Table1[[#This Row],[Ordered]],0)</f>
        <v>45312</v>
      </c>
      <c r="M2291" s="4">
        <f>Table1[[#This Row],[Date ]]</f>
        <v>45312</v>
      </c>
      <c r="N2291" s="5">
        <f>Table1[[#This Row],[Ordered]]-Table1[[#This Row],[Date ]]</f>
        <v>0.58333333333575865</v>
      </c>
      <c r="O2291">
        <f>Table1[[#This Row],[Company]]</f>
        <v>10</v>
      </c>
      <c r="P22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2" spans="1:16" x14ac:dyDescent="0.45">
      <c r="A2292" s="3">
        <v>45312.583333333336</v>
      </c>
      <c r="B2292" t="s">
        <v>14</v>
      </c>
      <c r="C2292">
        <v>15</v>
      </c>
      <c r="D2292">
        <v>1009</v>
      </c>
      <c r="E2292" t="s">
        <v>16</v>
      </c>
      <c r="F2292">
        <v>32</v>
      </c>
      <c r="G2292">
        <v>3450</v>
      </c>
      <c r="H2292">
        <v>110400</v>
      </c>
      <c r="I2292" s="3">
        <v>45312.625</v>
      </c>
      <c r="J2292">
        <v>88</v>
      </c>
      <c r="K2292" s="3">
        <v>45315.625</v>
      </c>
      <c r="L2292" s="4">
        <f>ROUNDDOWN(Table1[[#This Row],[Ordered]],0)</f>
        <v>45312</v>
      </c>
      <c r="M2292" s="4">
        <f>Table1[[#This Row],[Date ]]</f>
        <v>45312</v>
      </c>
      <c r="N2292" s="5">
        <f>Table1[[#This Row],[Ordered]]-Table1[[#This Row],[Date ]]</f>
        <v>0.58333333333575865</v>
      </c>
      <c r="O2292">
        <f>Table1[[#This Row],[Company]]</f>
        <v>15</v>
      </c>
      <c r="P22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3" spans="1:16" hidden="1" x14ac:dyDescent="0.45">
      <c r="A2293" s="3">
        <v>45312.583333333336</v>
      </c>
      <c r="B2293" t="s">
        <v>12</v>
      </c>
      <c r="C2293">
        <v>15</v>
      </c>
      <c r="D2293">
        <v>4</v>
      </c>
      <c r="E2293" t="s">
        <v>20</v>
      </c>
      <c r="F2293">
        <v>158</v>
      </c>
      <c r="G2293">
        <v>20</v>
      </c>
      <c r="H2293">
        <v>3160</v>
      </c>
      <c r="I2293" s="3">
        <v>45312.625</v>
      </c>
      <c r="J2293">
        <v>72</v>
      </c>
      <c r="K2293" s="3">
        <v>45315.625</v>
      </c>
      <c r="L2293" s="4">
        <f>ROUNDDOWN(Table1[[#This Row],[Ordered]],0)</f>
        <v>45312</v>
      </c>
      <c r="M2293" s="4">
        <f>Table1[[#This Row],[Date ]]</f>
        <v>45312</v>
      </c>
      <c r="N2293" s="5">
        <f>Table1[[#This Row],[Ordered]]-Table1[[#This Row],[Date ]]</f>
        <v>0.58333333333575865</v>
      </c>
      <c r="O2293">
        <f>Table1[[#This Row],[Company]]</f>
        <v>15</v>
      </c>
      <c r="P22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4" spans="1:16" hidden="1" x14ac:dyDescent="0.45">
      <c r="A2294" s="3">
        <v>45312.625</v>
      </c>
      <c r="B2294" t="s">
        <v>12</v>
      </c>
      <c r="C2294">
        <v>5</v>
      </c>
      <c r="D2294">
        <v>9</v>
      </c>
      <c r="E2294" t="s">
        <v>13</v>
      </c>
      <c r="F2294">
        <v>2000</v>
      </c>
      <c r="G2294">
        <v>120</v>
      </c>
      <c r="H2294">
        <v>240000</v>
      </c>
      <c r="I2294" s="3">
        <v>45312.625</v>
      </c>
      <c r="J2294">
        <v>48</v>
      </c>
      <c r="K2294" s="3">
        <v>45314.625</v>
      </c>
      <c r="L2294" s="4">
        <f>ROUNDDOWN(Table1[[#This Row],[Ordered]],0)</f>
        <v>45312</v>
      </c>
      <c r="M2294" s="4">
        <f>Table1[[#This Row],[Date ]]</f>
        <v>45312</v>
      </c>
      <c r="N2294" s="5">
        <f>Table1[[#This Row],[Ordered]]-Table1[[#This Row],[Date ]]</f>
        <v>0.625</v>
      </c>
      <c r="O2294">
        <f>Table1[[#This Row],[Company]]</f>
        <v>5</v>
      </c>
      <c r="P22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5" spans="1:16" hidden="1" x14ac:dyDescent="0.45">
      <c r="A2295" s="3">
        <v>45312.625</v>
      </c>
      <c r="B2295" t="s">
        <v>12</v>
      </c>
      <c r="C2295">
        <v>9</v>
      </c>
      <c r="D2295">
        <v>4</v>
      </c>
      <c r="E2295" t="s">
        <v>20</v>
      </c>
      <c r="F2295">
        <v>63</v>
      </c>
      <c r="G2295">
        <v>20</v>
      </c>
      <c r="H2295">
        <v>1260</v>
      </c>
      <c r="I2295" s="3">
        <v>45312.791666666664</v>
      </c>
      <c r="J2295">
        <v>72</v>
      </c>
      <c r="K2295" s="3">
        <v>45315.791666666664</v>
      </c>
      <c r="L2295" s="4">
        <f>ROUNDDOWN(Table1[[#This Row],[Ordered]],0)</f>
        <v>45312</v>
      </c>
      <c r="M2295" s="4">
        <f>Table1[[#This Row],[Date ]]</f>
        <v>45312</v>
      </c>
      <c r="N2295" s="5">
        <f>Table1[[#This Row],[Ordered]]-Table1[[#This Row],[Date ]]</f>
        <v>0.625</v>
      </c>
      <c r="O2295">
        <f>Table1[[#This Row],[Company]]</f>
        <v>9</v>
      </c>
      <c r="P22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6" spans="1:16" hidden="1" x14ac:dyDescent="0.45">
      <c r="A2296" s="3">
        <v>45312.625</v>
      </c>
      <c r="B2296" t="s">
        <v>12</v>
      </c>
      <c r="C2296">
        <v>5</v>
      </c>
      <c r="D2296">
        <v>9</v>
      </c>
      <c r="E2296" t="s">
        <v>17</v>
      </c>
      <c r="F2296">
        <v>200</v>
      </c>
      <c r="G2296">
        <v>1400</v>
      </c>
      <c r="H2296">
        <v>280000</v>
      </c>
      <c r="I2296" s="3">
        <v>45312.666666666664</v>
      </c>
      <c r="J2296">
        <v>48</v>
      </c>
      <c r="K2296" s="3">
        <v>45314.666666666664</v>
      </c>
      <c r="L2296" s="4">
        <f>ROUNDDOWN(Table1[[#This Row],[Ordered]],0)</f>
        <v>45312</v>
      </c>
      <c r="M2296" s="4">
        <f>Table1[[#This Row],[Date ]]</f>
        <v>45312</v>
      </c>
      <c r="N2296" s="5">
        <f>Table1[[#This Row],[Ordered]]-Table1[[#This Row],[Date ]]</f>
        <v>0.625</v>
      </c>
      <c r="O2296">
        <f>Table1[[#This Row],[Company]]</f>
        <v>5</v>
      </c>
      <c r="P22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7" spans="1:16" hidden="1" x14ac:dyDescent="0.45">
      <c r="A2297" s="3">
        <v>45312.625</v>
      </c>
      <c r="B2297" t="s">
        <v>12</v>
      </c>
      <c r="C2297">
        <v>6</v>
      </c>
      <c r="D2297">
        <v>15</v>
      </c>
      <c r="E2297" t="s">
        <v>17</v>
      </c>
      <c r="F2297">
        <v>200</v>
      </c>
      <c r="G2297">
        <v>1500</v>
      </c>
      <c r="H2297">
        <v>300000</v>
      </c>
      <c r="I2297" s="3">
        <v>45312.708333333336</v>
      </c>
      <c r="J2297">
        <v>72</v>
      </c>
      <c r="K2297" s="3">
        <v>45315.708333333336</v>
      </c>
      <c r="L2297" s="4">
        <f>ROUNDDOWN(Table1[[#This Row],[Ordered]],0)</f>
        <v>45312</v>
      </c>
      <c r="M2297" s="4">
        <f>Table1[[#This Row],[Date ]]</f>
        <v>45312</v>
      </c>
      <c r="N2297" s="5">
        <f>Table1[[#This Row],[Ordered]]-Table1[[#This Row],[Date ]]</f>
        <v>0.625</v>
      </c>
      <c r="O2297">
        <f>Table1[[#This Row],[Company]]</f>
        <v>6</v>
      </c>
      <c r="P22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8" spans="1:16" hidden="1" x14ac:dyDescent="0.45">
      <c r="A2298" s="3">
        <v>45312.625</v>
      </c>
      <c r="B2298" t="s">
        <v>12</v>
      </c>
      <c r="C2298">
        <v>6</v>
      </c>
      <c r="D2298">
        <v>15</v>
      </c>
      <c r="E2298" t="s">
        <v>17</v>
      </c>
      <c r="F2298">
        <v>200</v>
      </c>
      <c r="G2298">
        <v>1500</v>
      </c>
      <c r="H2298">
        <v>300000</v>
      </c>
      <c r="I2298" s="3">
        <v>45312.708333333336</v>
      </c>
      <c r="J2298">
        <v>72</v>
      </c>
      <c r="K2298" s="3">
        <v>45315.708333333336</v>
      </c>
      <c r="L2298" s="4">
        <f>ROUNDDOWN(Table1[[#This Row],[Ordered]],0)</f>
        <v>45312</v>
      </c>
      <c r="M2298" s="4">
        <f>Table1[[#This Row],[Date ]]</f>
        <v>45312</v>
      </c>
      <c r="N2298" s="5">
        <f>Table1[[#This Row],[Ordered]]-Table1[[#This Row],[Date ]]</f>
        <v>0.625</v>
      </c>
      <c r="O2298">
        <f>Table1[[#This Row],[Company]]</f>
        <v>6</v>
      </c>
      <c r="P22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9" spans="1:16" x14ac:dyDescent="0.45">
      <c r="A2299" s="3">
        <v>45312.666666666664</v>
      </c>
      <c r="B2299" t="s">
        <v>0</v>
      </c>
      <c r="C2299">
        <v>14</v>
      </c>
      <c r="D2299">
        <v>2011</v>
      </c>
      <c r="E2299" t="s">
        <v>15</v>
      </c>
      <c r="F2299">
        <v>30</v>
      </c>
      <c r="G2299">
        <v>6650</v>
      </c>
      <c r="H2299">
        <v>199500</v>
      </c>
      <c r="I2299" s="3">
        <v>45312.666666666664</v>
      </c>
      <c r="J2299">
        <v>120</v>
      </c>
      <c r="K2299" s="3">
        <v>45317.166666666664</v>
      </c>
      <c r="L2299" s="4">
        <f>ROUNDDOWN(Table1[[#This Row],[Ordered]],0)</f>
        <v>45312</v>
      </c>
      <c r="M2299" s="4">
        <f>Table1[[#This Row],[Date ]]</f>
        <v>45312</v>
      </c>
      <c r="N2299" s="5">
        <f>Table1[[#This Row],[Ordered]]-Table1[[#This Row],[Date ]]</f>
        <v>0.66666666666424135</v>
      </c>
      <c r="O2299">
        <f>Table1[[#This Row],[Company]]</f>
        <v>14</v>
      </c>
      <c r="P22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0" spans="1:16" x14ac:dyDescent="0.45">
      <c r="A2300" s="3">
        <v>45312.666666666664</v>
      </c>
      <c r="B2300" t="s">
        <v>14</v>
      </c>
      <c r="C2300">
        <v>9</v>
      </c>
      <c r="D2300">
        <v>1001</v>
      </c>
      <c r="E2300" t="s">
        <v>16</v>
      </c>
      <c r="F2300">
        <v>15</v>
      </c>
      <c r="G2300">
        <v>3799</v>
      </c>
      <c r="H2300">
        <v>56985</v>
      </c>
      <c r="I2300" s="3">
        <v>45312.666666666664</v>
      </c>
      <c r="J2300">
        <v>76</v>
      </c>
      <c r="K2300" s="3">
        <v>45315.75</v>
      </c>
      <c r="L2300" s="4">
        <f>ROUNDDOWN(Table1[[#This Row],[Ordered]],0)</f>
        <v>45312</v>
      </c>
      <c r="M2300" s="4">
        <f>Table1[[#This Row],[Date ]]</f>
        <v>45312</v>
      </c>
      <c r="N2300" s="5">
        <f>Table1[[#This Row],[Ordered]]-Table1[[#This Row],[Date ]]</f>
        <v>0.66666666666424135</v>
      </c>
      <c r="O2300">
        <f>Table1[[#This Row],[Company]]</f>
        <v>9</v>
      </c>
      <c r="P23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1" spans="1:16" x14ac:dyDescent="0.45">
      <c r="A2301" s="3">
        <v>45312.666666666664</v>
      </c>
      <c r="B2301" t="s">
        <v>0</v>
      </c>
      <c r="C2301">
        <v>11</v>
      </c>
      <c r="D2301">
        <v>2011</v>
      </c>
      <c r="E2301" t="s">
        <v>15</v>
      </c>
      <c r="F2301">
        <v>10</v>
      </c>
      <c r="G2301">
        <v>6800</v>
      </c>
      <c r="H2301">
        <v>68000</v>
      </c>
      <c r="I2301" s="3">
        <v>45312.708333333336</v>
      </c>
      <c r="J2301">
        <v>84</v>
      </c>
      <c r="K2301" s="3">
        <v>45315.708333333336</v>
      </c>
      <c r="L2301" s="4">
        <f>ROUNDDOWN(Table1[[#This Row],[Ordered]],0)</f>
        <v>45312</v>
      </c>
      <c r="M2301" s="4">
        <f>Table1[[#This Row],[Date ]]</f>
        <v>45312</v>
      </c>
      <c r="N2301" s="5">
        <f>Table1[[#This Row],[Ordered]]-Table1[[#This Row],[Date ]]</f>
        <v>0.66666666666424135</v>
      </c>
      <c r="O2301">
        <f>Table1[[#This Row],[Company]]</f>
        <v>11</v>
      </c>
      <c r="P23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2" spans="1:16" x14ac:dyDescent="0.45">
      <c r="A2302" s="3">
        <v>45312.666666666664</v>
      </c>
      <c r="B2302" t="s">
        <v>0</v>
      </c>
      <c r="C2302">
        <v>13</v>
      </c>
      <c r="D2302">
        <v>2011</v>
      </c>
      <c r="E2302" t="s">
        <v>15</v>
      </c>
      <c r="F2302">
        <v>30</v>
      </c>
      <c r="G2302">
        <v>6000</v>
      </c>
      <c r="H2302">
        <v>180000</v>
      </c>
      <c r="I2302" s="3">
        <v>45315.041666666664</v>
      </c>
      <c r="J2302">
        <v>132</v>
      </c>
      <c r="K2302" s="3">
        <v>45318.041666666664</v>
      </c>
      <c r="L2302" s="4">
        <f>ROUNDDOWN(Table1[[#This Row],[Ordered]],0)</f>
        <v>45312</v>
      </c>
      <c r="M2302" s="4">
        <f>Table1[[#This Row],[Date ]]</f>
        <v>45312</v>
      </c>
      <c r="N2302" s="5">
        <f>Table1[[#This Row],[Ordered]]-Table1[[#This Row],[Date ]]</f>
        <v>0.66666666666424135</v>
      </c>
      <c r="O2302">
        <f>Table1[[#This Row],[Company]]</f>
        <v>13</v>
      </c>
      <c r="P23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3" spans="1:16" x14ac:dyDescent="0.45">
      <c r="A2303" s="3">
        <v>45312.666666666664</v>
      </c>
      <c r="B2303" t="s">
        <v>0</v>
      </c>
      <c r="C2303">
        <v>11</v>
      </c>
      <c r="D2303">
        <v>2011</v>
      </c>
      <c r="E2303" t="s">
        <v>16</v>
      </c>
      <c r="F2303">
        <v>40</v>
      </c>
      <c r="G2303">
        <v>4000</v>
      </c>
      <c r="H2303">
        <v>160000</v>
      </c>
      <c r="I2303" s="3">
        <v>45313.041666666664</v>
      </c>
      <c r="J2303">
        <v>132</v>
      </c>
      <c r="K2303" s="3">
        <v>45317.541666666664</v>
      </c>
      <c r="L2303" s="4">
        <f>ROUNDDOWN(Table1[[#This Row],[Ordered]],0)</f>
        <v>45312</v>
      </c>
      <c r="M2303" s="4">
        <f>Table1[[#This Row],[Date ]]</f>
        <v>45312</v>
      </c>
      <c r="N2303" s="5">
        <f>Table1[[#This Row],[Ordered]]-Table1[[#This Row],[Date ]]</f>
        <v>0.66666666666424135</v>
      </c>
      <c r="O2303">
        <f>Table1[[#This Row],[Company]]</f>
        <v>11</v>
      </c>
      <c r="P23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4" spans="1:16" x14ac:dyDescent="0.45">
      <c r="A2304" s="3">
        <v>45312.666666666664</v>
      </c>
      <c r="B2304" t="s">
        <v>0</v>
      </c>
      <c r="C2304">
        <v>9</v>
      </c>
      <c r="D2304">
        <v>2011</v>
      </c>
      <c r="E2304" t="s">
        <v>16</v>
      </c>
      <c r="F2304">
        <v>30</v>
      </c>
      <c r="G2304">
        <v>3799</v>
      </c>
      <c r="H2304">
        <v>113970</v>
      </c>
      <c r="I2304" s="3">
        <v>45312.666666666664</v>
      </c>
      <c r="J2304">
        <v>112</v>
      </c>
      <c r="K2304" s="3">
        <v>45317.166666666664</v>
      </c>
      <c r="L2304" s="4">
        <f>ROUNDDOWN(Table1[[#This Row],[Ordered]],0)</f>
        <v>45312</v>
      </c>
      <c r="M2304" s="4">
        <f>Table1[[#This Row],[Date ]]</f>
        <v>45312</v>
      </c>
      <c r="N2304" s="5">
        <f>Table1[[#This Row],[Ordered]]-Table1[[#This Row],[Date ]]</f>
        <v>0.66666666666424135</v>
      </c>
      <c r="O2304">
        <f>Table1[[#This Row],[Company]]</f>
        <v>9</v>
      </c>
      <c r="P23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5" spans="1:16" x14ac:dyDescent="0.45">
      <c r="A2305" s="3">
        <v>45312.666666666664</v>
      </c>
      <c r="B2305" t="s">
        <v>0</v>
      </c>
      <c r="C2305">
        <v>14</v>
      </c>
      <c r="D2305">
        <v>2011</v>
      </c>
      <c r="E2305" t="s">
        <v>16</v>
      </c>
      <c r="F2305">
        <v>40</v>
      </c>
      <c r="G2305">
        <v>3750</v>
      </c>
      <c r="H2305">
        <v>150000</v>
      </c>
      <c r="I2305" s="3">
        <v>45312.666666666664</v>
      </c>
      <c r="J2305">
        <v>120</v>
      </c>
      <c r="K2305" s="3">
        <v>45317.166666666664</v>
      </c>
      <c r="L2305" s="4">
        <f>ROUNDDOWN(Table1[[#This Row],[Ordered]],0)</f>
        <v>45312</v>
      </c>
      <c r="M2305" s="4">
        <f>Table1[[#This Row],[Date ]]</f>
        <v>45312</v>
      </c>
      <c r="N2305" s="5">
        <f>Table1[[#This Row],[Ordered]]-Table1[[#This Row],[Date ]]</f>
        <v>0.66666666666424135</v>
      </c>
      <c r="O2305">
        <f>Table1[[#This Row],[Company]]</f>
        <v>14</v>
      </c>
      <c r="P23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6" spans="1:16" x14ac:dyDescent="0.45">
      <c r="A2306" s="3">
        <v>45312.666666666664</v>
      </c>
      <c r="B2306" t="s">
        <v>0</v>
      </c>
      <c r="C2306">
        <v>16</v>
      </c>
      <c r="D2306">
        <v>2011</v>
      </c>
      <c r="E2306" t="s">
        <v>16</v>
      </c>
      <c r="F2306">
        <v>30</v>
      </c>
      <c r="G2306">
        <v>3750</v>
      </c>
      <c r="H2306">
        <v>112500</v>
      </c>
      <c r="I2306" s="3">
        <v>45312.916666666664</v>
      </c>
      <c r="J2306">
        <v>132</v>
      </c>
      <c r="K2306" s="3">
        <v>45317.416666666664</v>
      </c>
      <c r="L2306" s="4">
        <f>ROUNDDOWN(Table1[[#This Row],[Ordered]],0)</f>
        <v>45312</v>
      </c>
      <c r="M2306" s="4">
        <f>Table1[[#This Row],[Date ]]</f>
        <v>45312</v>
      </c>
      <c r="N2306" s="5">
        <f>Table1[[#This Row],[Ordered]]-Table1[[#This Row],[Date ]]</f>
        <v>0.66666666666424135</v>
      </c>
      <c r="O2306">
        <f>Table1[[#This Row],[Company]]</f>
        <v>16</v>
      </c>
      <c r="P23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7" spans="1:16" x14ac:dyDescent="0.45">
      <c r="A2307" s="3">
        <v>45312.666666666664</v>
      </c>
      <c r="B2307" t="s">
        <v>0</v>
      </c>
      <c r="C2307">
        <v>7</v>
      </c>
      <c r="D2307">
        <v>2011</v>
      </c>
      <c r="E2307" t="s">
        <v>15</v>
      </c>
      <c r="F2307">
        <v>24</v>
      </c>
      <c r="G2307">
        <v>7000</v>
      </c>
      <c r="H2307">
        <v>168000</v>
      </c>
      <c r="I2307" s="3">
        <v>45314.5</v>
      </c>
      <c r="J2307">
        <v>132</v>
      </c>
      <c r="K2307" s="3">
        <v>45317.5</v>
      </c>
      <c r="L2307" s="4">
        <f>ROUNDDOWN(Table1[[#This Row],[Ordered]],0)</f>
        <v>45312</v>
      </c>
      <c r="M2307" s="4">
        <f>Table1[[#This Row],[Date ]]</f>
        <v>45312</v>
      </c>
      <c r="N2307" s="5">
        <f>Table1[[#This Row],[Ordered]]-Table1[[#This Row],[Date ]]</f>
        <v>0.66666666666424135</v>
      </c>
      <c r="O2307">
        <f>Table1[[#This Row],[Company]]</f>
        <v>7</v>
      </c>
      <c r="P23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8" spans="1:16" x14ac:dyDescent="0.45">
      <c r="A2308" s="3">
        <v>45312.666666666664</v>
      </c>
      <c r="B2308" t="s">
        <v>0</v>
      </c>
      <c r="C2308">
        <v>8</v>
      </c>
      <c r="D2308">
        <v>2011</v>
      </c>
      <c r="E2308" t="s">
        <v>16</v>
      </c>
      <c r="F2308">
        <v>50</v>
      </c>
      <c r="G2308">
        <v>4155</v>
      </c>
      <c r="H2308">
        <v>207750</v>
      </c>
      <c r="I2308" s="3">
        <v>45312.875</v>
      </c>
      <c r="J2308">
        <v>120</v>
      </c>
      <c r="K2308" s="3">
        <v>45317.375</v>
      </c>
      <c r="L2308" s="4">
        <f>ROUNDDOWN(Table1[[#This Row],[Ordered]],0)</f>
        <v>45312</v>
      </c>
      <c r="M2308" s="4">
        <f>Table1[[#This Row],[Date ]]</f>
        <v>45312</v>
      </c>
      <c r="N2308" s="5">
        <f>Table1[[#This Row],[Ordered]]-Table1[[#This Row],[Date ]]</f>
        <v>0.66666666666424135</v>
      </c>
      <c r="O2308">
        <f>Table1[[#This Row],[Company]]</f>
        <v>8</v>
      </c>
      <c r="P23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9" spans="1:16" x14ac:dyDescent="0.45">
      <c r="A2309" s="3">
        <v>45312.666666666664</v>
      </c>
      <c r="B2309" t="s">
        <v>0</v>
      </c>
      <c r="C2309">
        <v>15</v>
      </c>
      <c r="D2309">
        <v>2011</v>
      </c>
      <c r="E2309" t="s">
        <v>15</v>
      </c>
      <c r="F2309">
        <v>50</v>
      </c>
      <c r="G2309">
        <v>6400</v>
      </c>
      <c r="H2309">
        <v>320000</v>
      </c>
      <c r="I2309" s="3">
        <v>45312.708333333336</v>
      </c>
      <c r="J2309">
        <v>48</v>
      </c>
      <c r="K2309" s="3">
        <v>45314.208333333336</v>
      </c>
      <c r="L2309" s="4">
        <f>ROUNDDOWN(Table1[[#This Row],[Ordered]],0)</f>
        <v>45312</v>
      </c>
      <c r="M2309" s="4">
        <f>Table1[[#This Row],[Date ]]</f>
        <v>45312</v>
      </c>
      <c r="N2309" s="5">
        <f>Table1[[#This Row],[Ordered]]-Table1[[#This Row],[Date ]]</f>
        <v>0.66666666666424135</v>
      </c>
      <c r="O2309">
        <f>Table1[[#This Row],[Company]]</f>
        <v>15</v>
      </c>
      <c r="P23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0" spans="1:16" x14ac:dyDescent="0.45">
      <c r="A2310" s="3">
        <v>45312.666666666664</v>
      </c>
      <c r="B2310" t="s">
        <v>14</v>
      </c>
      <c r="C2310">
        <v>15</v>
      </c>
      <c r="D2310">
        <v>1001</v>
      </c>
      <c r="E2310" t="s">
        <v>16</v>
      </c>
      <c r="F2310">
        <v>50</v>
      </c>
      <c r="G2310">
        <v>3450</v>
      </c>
      <c r="H2310">
        <v>172500</v>
      </c>
      <c r="I2310" s="3">
        <v>45312.708333333336</v>
      </c>
      <c r="J2310">
        <v>88</v>
      </c>
      <c r="K2310" s="3">
        <v>45315.708333333336</v>
      </c>
      <c r="L2310" s="4">
        <f>ROUNDDOWN(Table1[[#This Row],[Ordered]],0)</f>
        <v>45312</v>
      </c>
      <c r="M2310" s="4">
        <f>Table1[[#This Row],[Date ]]</f>
        <v>45312</v>
      </c>
      <c r="N2310" s="5">
        <f>Table1[[#This Row],[Ordered]]-Table1[[#This Row],[Date ]]</f>
        <v>0.66666666666424135</v>
      </c>
      <c r="O2310">
        <f>Table1[[#This Row],[Company]]</f>
        <v>15</v>
      </c>
      <c r="P23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1" spans="1:16" x14ac:dyDescent="0.45">
      <c r="A2311" s="3">
        <v>45312.666666666664</v>
      </c>
      <c r="B2311" t="s">
        <v>14</v>
      </c>
      <c r="C2311">
        <v>14</v>
      </c>
      <c r="D2311">
        <v>1001</v>
      </c>
      <c r="E2311" t="s">
        <v>16</v>
      </c>
      <c r="F2311">
        <v>40</v>
      </c>
      <c r="G2311">
        <v>3650</v>
      </c>
      <c r="H2311">
        <v>146000</v>
      </c>
      <c r="I2311" s="3">
        <v>45312.666666666664</v>
      </c>
      <c r="J2311">
        <v>84</v>
      </c>
      <c r="K2311" s="3">
        <v>45315.666666666664</v>
      </c>
      <c r="L2311" s="4">
        <f>ROUNDDOWN(Table1[[#This Row],[Ordered]],0)</f>
        <v>45312</v>
      </c>
      <c r="M2311" s="4">
        <f>Table1[[#This Row],[Date ]]</f>
        <v>45312</v>
      </c>
      <c r="N2311" s="5">
        <f>Table1[[#This Row],[Ordered]]-Table1[[#This Row],[Date ]]</f>
        <v>0.66666666666424135</v>
      </c>
      <c r="O2311">
        <f>Table1[[#This Row],[Company]]</f>
        <v>14</v>
      </c>
      <c r="P23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2" spans="1:16" x14ac:dyDescent="0.45">
      <c r="A2312" s="3">
        <v>45312.666666666664</v>
      </c>
      <c r="B2312" t="s">
        <v>0</v>
      </c>
      <c r="C2312">
        <v>12</v>
      </c>
      <c r="D2312">
        <v>2011</v>
      </c>
      <c r="E2312" t="s">
        <v>15</v>
      </c>
      <c r="F2312">
        <v>30</v>
      </c>
      <c r="G2312">
        <v>6800</v>
      </c>
      <c r="H2312">
        <v>204000</v>
      </c>
      <c r="I2312" s="3">
        <v>45314.333333333336</v>
      </c>
      <c r="J2312">
        <v>120</v>
      </c>
      <c r="K2312" s="3">
        <v>45317.333333333336</v>
      </c>
      <c r="L2312" s="4">
        <f>ROUNDDOWN(Table1[[#This Row],[Ordered]],0)</f>
        <v>45312</v>
      </c>
      <c r="M2312" s="4">
        <f>Table1[[#This Row],[Date ]]</f>
        <v>45312</v>
      </c>
      <c r="N2312" s="5">
        <f>Table1[[#This Row],[Ordered]]-Table1[[#This Row],[Date ]]</f>
        <v>0.66666666666424135</v>
      </c>
      <c r="O2312">
        <f>Table1[[#This Row],[Company]]</f>
        <v>12</v>
      </c>
      <c r="P23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3" spans="1:16" x14ac:dyDescent="0.45">
      <c r="A2313" s="3">
        <v>45312.666666666664</v>
      </c>
      <c r="B2313" t="s">
        <v>0</v>
      </c>
      <c r="C2313">
        <v>12</v>
      </c>
      <c r="D2313">
        <v>2011</v>
      </c>
      <c r="E2313" t="s">
        <v>16</v>
      </c>
      <c r="F2313">
        <v>30</v>
      </c>
      <c r="G2313">
        <v>3800</v>
      </c>
      <c r="H2313">
        <v>114000</v>
      </c>
      <c r="I2313" s="3">
        <v>45313.875</v>
      </c>
      <c r="J2313">
        <v>120</v>
      </c>
      <c r="K2313" s="3">
        <v>45316.875</v>
      </c>
      <c r="L2313" s="4">
        <f>ROUNDDOWN(Table1[[#This Row],[Ordered]],0)</f>
        <v>45312</v>
      </c>
      <c r="M2313" s="4">
        <f>Table1[[#This Row],[Date ]]</f>
        <v>45312</v>
      </c>
      <c r="N2313" s="5">
        <f>Table1[[#This Row],[Ordered]]-Table1[[#This Row],[Date ]]</f>
        <v>0.66666666666424135</v>
      </c>
      <c r="O2313">
        <f>Table1[[#This Row],[Company]]</f>
        <v>12</v>
      </c>
      <c r="P23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4" spans="1:16" x14ac:dyDescent="0.45">
      <c r="A2314" s="3">
        <v>45312.666666666664</v>
      </c>
      <c r="B2314" t="s">
        <v>14</v>
      </c>
      <c r="C2314">
        <v>12</v>
      </c>
      <c r="D2314">
        <v>1001</v>
      </c>
      <c r="E2314" t="s">
        <v>16</v>
      </c>
      <c r="F2314">
        <v>30</v>
      </c>
      <c r="G2314">
        <v>3800</v>
      </c>
      <c r="H2314">
        <v>114000</v>
      </c>
      <c r="I2314" s="3">
        <v>45313.583333333336</v>
      </c>
      <c r="J2314">
        <v>96</v>
      </c>
      <c r="K2314" s="3">
        <v>45316.583333333336</v>
      </c>
      <c r="L2314" s="4">
        <f>ROUNDDOWN(Table1[[#This Row],[Ordered]],0)</f>
        <v>45312</v>
      </c>
      <c r="M2314" s="4">
        <f>Table1[[#This Row],[Date ]]</f>
        <v>45312</v>
      </c>
      <c r="N2314" s="5">
        <f>Table1[[#This Row],[Ordered]]-Table1[[#This Row],[Date ]]</f>
        <v>0.66666666666424135</v>
      </c>
      <c r="O2314">
        <f>Table1[[#This Row],[Company]]</f>
        <v>12</v>
      </c>
      <c r="P23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5" spans="1:16" x14ac:dyDescent="0.45">
      <c r="A2315" s="3">
        <v>45312.666666666664</v>
      </c>
      <c r="B2315" t="s">
        <v>14</v>
      </c>
      <c r="C2315">
        <v>11</v>
      </c>
      <c r="D2315">
        <v>1001</v>
      </c>
      <c r="E2315" t="s">
        <v>16</v>
      </c>
      <c r="F2315">
        <v>33</v>
      </c>
      <c r="G2315">
        <v>3900</v>
      </c>
      <c r="H2315">
        <v>128700</v>
      </c>
      <c r="I2315" s="3">
        <v>45313.458333333336</v>
      </c>
      <c r="J2315">
        <v>108</v>
      </c>
      <c r="K2315" s="3">
        <v>45316.458333333336</v>
      </c>
      <c r="L2315" s="4">
        <f>ROUNDDOWN(Table1[[#This Row],[Ordered]],0)</f>
        <v>45312</v>
      </c>
      <c r="M2315" s="4">
        <f>Table1[[#This Row],[Date ]]</f>
        <v>45312</v>
      </c>
      <c r="N2315" s="5">
        <f>Table1[[#This Row],[Ordered]]-Table1[[#This Row],[Date ]]</f>
        <v>0.66666666666424135</v>
      </c>
      <c r="O2315">
        <f>Table1[[#This Row],[Company]]</f>
        <v>11</v>
      </c>
      <c r="P23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6" spans="1:16" x14ac:dyDescent="0.45">
      <c r="A2316" s="3">
        <v>45312.666666666664</v>
      </c>
      <c r="B2316" t="s">
        <v>14</v>
      </c>
      <c r="C2316">
        <v>16</v>
      </c>
      <c r="D2316">
        <v>1001</v>
      </c>
      <c r="E2316" t="s">
        <v>16</v>
      </c>
      <c r="F2316">
        <v>30</v>
      </c>
      <c r="G2316">
        <v>3750</v>
      </c>
      <c r="H2316">
        <v>112500</v>
      </c>
      <c r="I2316" s="3">
        <v>45312.916666666664</v>
      </c>
      <c r="J2316">
        <v>96</v>
      </c>
      <c r="K2316" s="3">
        <v>45316.083333333336</v>
      </c>
      <c r="L2316" s="4">
        <f>ROUNDDOWN(Table1[[#This Row],[Ordered]],0)</f>
        <v>45312</v>
      </c>
      <c r="M2316" s="4">
        <f>Table1[[#This Row],[Date ]]</f>
        <v>45312</v>
      </c>
      <c r="N2316" s="5">
        <f>Table1[[#This Row],[Ordered]]-Table1[[#This Row],[Date ]]</f>
        <v>0.66666666666424135</v>
      </c>
      <c r="O2316">
        <f>Table1[[#This Row],[Company]]</f>
        <v>16</v>
      </c>
      <c r="P23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7" spans="1:16" hidden="1" x14ac:dyDescent="0.45">
      <c r="A2317" s="3">
        <v>45312.666666666664</v>
      </c>
      <c r="B2317" t="s">
        <v>12</v>
      </c>
      <c r="C2317">
        <v>3</v>
      </c>
      <c r="D2317">
        <v>13</v>
      </c>
      <c r="E2317" t="s">
        <v>17</v>
      </c>
      <c r="F2317">
        <v>150</v>
      </c>
      <c r="G2317">
        <v>1350</v>
      </c>
      <c r="H2317">
        <v>202500</v>
      </c>
      <c r="I2317" s="3">
        <v>45312.708333333336</v>
      </c>
      <c r="J2317">
        <v>24</v>
      </c>
      <c r="K2317" s="3">
        <v>45313.708333333336</v>
      </c>
      <c r="L2317" s="4">
        <f>ROUNDDOWN(Table1[[#This Row],[Ordered]],0)</f>
        <v>45312</v>
      </c>
      <c r="M2317" s="4">
        <f>Table1[[#This Row],[Date ]]</f>
        <v>45312</v>
      </c>
      <c r="N2317" s="5">
        <f>Table1[[#This Row],[Ordered]]-Table1[[#This Row],[Date ]]</f>
        <v>0.66666666666424135</v>
      </c>
      <c r="O2317">
        <f>Table1[[#This Row],[Company]]</f>
        <v>3</v>
      </c>
      <c r="P23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8" spans="1:16" x14ac:dyDescent="0.45">
      <c r="A2318" s="3">
        <v>45312.666666666664</v>
      </c>
      <c r="B2318" t="s">
        <v>0</v>
      </c>
      <c r="C2318">
        <v>7</v>
      </c>
      <c r="D2318">
        <v>2011</v>
      </c>
      <c r="E2318" t="s">
        <v>16</v>
      </c>
      <c r="F2318">
        <v>75</v>
      </c>
      <c r="G2318">
        <v>3900</v>
      </c>
      <c r="H2318">
        <v>292500</v>
      </c>
      <c r="I2318" s="3">
        <v>45313.125</v>
      </c>
      <c r="J2318">
        <v>132</v>
      </c>
      <c r="K2318" s="3">
        <v>45317.625</v>
      </c>
      <c r="L2318" s="4">
        <f>ROUNDDOWN(Table1[[#This Row],[Ordered]],0)</f>
        <v>45312</v>
      </c>
      <c r="M2318" s="4">
        <f>Table1[[#This Row],[Date ]]</f>
        <v>45312</v>
      </c>
      <c r="N2318" s="5">
        <f>Table1[[#This Row],[Ordered]]-Table1[[#This Row],[Date ]]</f>
        <v>0.66666666666424135</v>
      </c>
      <c r="O2318">
        <f>Table1[[#This Row],[Company]]</f>
        <v>7</v>
      </c>
      <c r="P23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9" spans="1:16" x14ac:dyDescent="0.45">
      <c r="A2319" s="3">
        <v>45312.666666666664</v>
      </c>
      <c r="B2319" t="s">
        <v>0</v>
      </c>
      <c r="C2319">
        <v>9</v>
      </c>
      <c r="D2319">
        <v>2011</v>
      </c>
      <c r="E2319" t="s">
        <v>15</v>
      </c>
      <c r="F2319">
        <v>15</v>
      </c>
      <c r="G2319">
        <v>6699</v>
      </c>
      <c r="H2319">
        <v>100485</v>
      </c>
      <c r="I2319" s="3">
        <v>45313</v>
      </c>
      <c r="J2319">
        <v>119</v>
      </c>
      <c r="K2319" s="3">
        <v>45317.5</v>
      </c>
      <c r="L2319" s="4">
        <f>ROUNDDOWN(Table1[[#This Row],[Ordered]],0)</f>
        <v>45312</v>
      </c>
      <c r="M2319" s="4">
        <f>Table1[[#This Row],[Date ]]</f>
        <v>45312</v>
      </c>
      <c r="N2319" s="5">
        <f>Table1[[#This Row],[Ordered]]-Table1[[#This Row],[Date ]]</f>
        <v>0.66666666666424135</v>
      </c>
      <c r="O2319">
        <f>Table1[[#This Row],[Company]]</f>
        <v>9</v>
      </c>
      <c r="P23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0" spans="1:16" x14ac:dyDescent="0.45">
      <c r="A2320" s="3">
        <v>45312.666666666664</v>
      </c>
      <c r="B2320" t="s">
        <v>14</v>
      </c>
      <c r="C2320">
        <v>10</v>
      </c>
      <c r="D2320">
        <v>1001</v>
      </c>
      <c r="E2320" t="s">
        <v>16</v>
      </c>
      <c r="F2320">
        <v>25</v>
      </c>
      <c r="G2320">
        <v>4200</v>
      </c>
      <c r="H2320">
        <v>105000</v>
      </c>
      <c r="I2320" s="3">
        <v>45312.666666666664</v>
      </c>
      <c r="J2320">
        <v>84</v>
      </c>
      <c r="K2320" s="3">
        <v>45315.666666666664</v>
      </c>
      <c r="L2320" s="4">
        <f>ROUNDDOWN(Table1[[#This Row],[Ordered]],0)</f>
        <v>45312</v>
      </c>
      <c r="M2320" s="4">
        <f>Table1[[#This Row],[Date ]]</f>
        <v>45312</v>
      </c>
      <c r="N2320" s="5">
        <f>Table1[[#This Row],[Ordered]]-Table1[[#This Row],[Date ]]</f>
        <v>0.66666666666424135</v>
      </c>
      <c r="O2320">
        <f>Table1[[#This Row],[Company]]</f>
        <v>10</v>
      </c>
      <c r="P23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1" spans="1:16" x14ac:dyDescent="0.45">
      <c r="A2321" s="3">
        <v>45312.666666666664</v>
      </c>
      <c r="B2321" t="s">
        <v>0</v>
      </c>
      <c r="C2321">
        <v>13</v>
      </c>
      <c r="D2321">
        <v>2011</v>
      </c>
      <c r="E2321" t="s">
        <v>16</v>
      </c>
      <c r="F2321">
        <v>30</v>
      </c>
      <c r="G2321">
        <v>3000</v>
      </c>
      <c r="H2321">
        <v>90000</v>
      </c>
      <c r="I2321" s="3">
        <v>45314.833333333336</v>
      </c>
      <c r="J2321">
        <v>132</v>
      </c>
      <c r="K2321" s="3">
        <v>45317.916666666664</v>
      </c>
      <c r="L2321" s="4">
        <f>ROUNDDOWN(Table1[[#This Row],[Ordered]],0)</f>
        <v>45312</v>
      </c>
      <c r="M2321" s="4">
        <f>Table1[[#This Row],[Date ]]</f>
        <v>45312</v>
      </c>
      <c r="N2321" s="5">
        <f>Table1[[#This Row],[Ordered]]-Table1[[#This Row],[Date ]]</f>
        <v>0.66666666666424135</v>
      </c>
      <c r="O2321">
        <f>Table1[[#This Row],[Company]]</f>
        <v>13</v>
      </c>
      <c r="P23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2" spans="1:16" x14ac:dyDescent="0.45">
      <c r="A2322" s="3">
        <v>45312.666666666664</v>
      </c>
      <c r="B2322" t="s">
        <v>0</v>
      </c>
      <c r="C2322">
        <v>15</v>
      </c>
      <c r="D2322">
        <v>2011</v>
      </c>
      <c r="E2322" t="s">
        <v>16</v>
      </c>
      <c r="F2322">
        <v>45</v>
      </c>
      <c r="G2322">
        <v>4100</v>
      </c>
      <c r="H2322">
        <v>184500</v>
      </c>
      <c r="I2322" s="3">
        <v>45312.708333333336</v>
      </c>
      <c r="J2322">
        <v>48</v>
      </c>
      <c r="K2322" s="3">
        <v>45314.208333333336</v>
      </c>
      <c r="L2322" s="4">
        <f>ROUNDDOWN(Table1[[#This Row],[Ordered]],0)</f>
        <v>45312</v>
      </c>
      <c r="M2322" s="4">
        <f>Table1[[#This Row],[Date ]]</f>
        <v>45312</v>
      </c>
      <c r="N2322" s="5">
        <f>Table1[[#This Row],[Ordered]]-Table1[[#This Row],[Date ]]</f>
        <v>0.66666666666424135</v>
      </c>
      <c r="O2322">
        <f>Table1[[#This Row],[Company]]</f>
        <v>15</v>
      </c>
      <c r="P23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3" spans="1:16" hidden="1" x14ac:dyDescent="0.45">
      <c r="A2323" s="3">
        <v>45312.666666666664</v>
      </c>
      <c r="B2323" t="s">
        <v>12</v>
      </c>
      <c r="C2323">
        <v>2</v>
      </c>
      <c r="D2323">
        <v>7</v>
      </c>
      <c r="E2323" t="s">
        <v>17</v>
      </c>
      <c r="F2323">
        <v>500</v>
      </c>
      <c r="G2323">
        <v>1600</v>
      </c>
      <c r="H2323">
        <v>800000</v>
      </c>
      <c r="I2323" s="3">
        <v>45312.791666666664</v>
      </c>
      <c r="J2323">
        <v>72</v>
      </c>
      <c r="K2323" s="3">
        <v>45315.791666666664</v>
      </c>
      <c r="L2323" s="4">
        <f>ROUNDDOWN(Table1[[#This Row],[Ordered]],0)</f>
        <v>45312</v>
      </c>
      <c r="M2323" s="4">
        <f>Table1[[#This Row],[Date ]]</f>
        <v>45312</v>
      </c>
      <c r="N2323" s="5">
        <f>Table1[[#This Row],[Ordered]]-Table1[[#This Row],[Date ]]</f>
        <v>0.66666666666424135</v>
      </c>
      <c r="O2323">
        <f>Table1[[#This Row],[Company]]</f>
        <v>2</v>
      </c>
      <c r="P23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4" spans="1:16" x14ac:dyDescent="0.45">
      <c r="A2324" s="3">
        <v>45312.666666666664</v>
      </c>
      <c r="B2324" t="s">
        <v>14</v>
      </c>
      <c r="C2324">
        <v>13</v>
      </c>
      <c r="D2324">
        <v>1001</v>
      </c>
      <c r="E2324" t="s">
        <v>16</v>
      </c>
      <c r="F2324">
        <v>30</v>
      </c>
      <c r="G2324">
        <v>3100</v>
      </c>
      <c r="H2324">
        <v>93000</v>
      </c>
      <c r="I2324" s="3">
        <v>45314.5</v>
      </c>
      <c r="J2324">
        <v>96</v>
      </c>
      <c r="K2324" s="3">
        <v>45316.5</v>
      </c>
      <c r="L2324" s="4">
        <f>ROUNDDOWN(Table1[[#This Row],[Ordered]],0)</f>
        <v>45312</v>
      </c>
      <c r="M2324" s="4">
        <f>Table1[[#This Row],[Date ]]</f>
        <v>45312</v>
      </c>
      <c r="N2324" s="5">
        <f>Table1[[#This Row],[Ordered]]-Table1[[#This Row],[Date ]]</f>
        <v>0.66666666666424135</v>
      </c>
      <c r="O2324">
        <f>Table1[[#This Row],[Company]]</f>
        <v>13</v>
      </c>
      <c r="P23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5" spans="1:16" x14ac:dyDescent="0.45">
      <c r="A2325" s="3">
        <v>45312.666666666664</v>
      </c>
      <c r="B2325" t="s">
        <v>0</v>
      </c>
      <c r="C2325">
        <v>16</v>
      </c>
      <c r="D2325">
        <v>2011</v>
      </c>
      <c r="E2325" t="s">
        <v>15</v>
      </c>
      <c r="F2325">
        <v>30</v>
      </c>
      <c r="G2325">
        <v>6050</v>
      </c>
      <c r="H2325">
        <v>181500</v>
      </c>
      <c r="I2325" s="3">
        <v>45312.916666666664</v>
      </c>
      <c r="J2325">
        <v>132</v>
      </c>
      <c r="K2325" s="3">
        <v>45317.416666666664</v>
      </c>
      <c r="L2325" s="4">
        <f>ROUNDDOWN(Table1[[#This Row],[Ordered]],0)</f>
        <v>45312</v>
      </c>
      <c r="M2325" s="4">
        <f>Table1[[#This Row],[Date ]]</f>
        <v>45312</v>
      </c>
      <c r="N2325" s="5">
        <f>Table1[[#This Row],[Ordered]]-Table1[[#This Row],[Date ]]</f>
        <v>0.66666666666424135</v>
      </c>
      <c r="O2325">
        <f>Table1[[#This Row],[Company]]</f>
        <v>16</v>
      </c>
      <c r="P23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6" spans="1:16" hidden="1" x14ac:dyDescent="0.45">
      <c r="A2326" s="3">
        <v>45312.708333333336</v>
      </c>
      <c r="B2326" t="s">
        <v>12</v>
      </c>
      <c r="C2326">
        <v>4</v>
      </c>
      <c r="D2326">
        <v>8</v>
      </c>
      <c r="E2326" t="s">
        <v>13</v>
      </c>
      <c r="F2326">
        <v>1000</v>
      </c>
      <c r="G2326">
        <v>120</v>
      </c>
      <c r="H2326">
        <v>120000</v>
      </c>
      <c r="I2326" s="3">
        <v>45312.708333333336</v>
      </c>
      <c r="J2326">
        <v>24</v>
      </c>
      <c r="K2326" s="3">
        <v>45313.708333333336</v>
      </c>
      <c r="L2326" s="4">
        <f>ROUNDDOWN(Table1[[#This Row],[Ordered]],0)</f>
        <v>45312</v>
      </c>
      <c r="M2326" s="4">
        <f>Table1[[#This Row],[Date ]]</f>
        <v>45312</v>
      </c>
      <c r="N2326" s="5">
        <f>Table1[[#This Row],[Ordered]]-Table1[[#This Row],[Date ]]</f>
        <v>0.70833333333575865</v>
      </c>
      <c r="O2326">
        <f>Table1[[#This Row],[Company]]</f>
        <v>4</v>
      </c>
      <c r="P23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7" spans="1:16" x14ac:dyDescent="0.45">
      <c r="A2327" s="3">
        <v>45312.875</v>
      </c>
      <c r="B2327" t="s">
        <v>14</v>
      </c>
      <c r="C2327">
        <v>13</v>
      </c>
      <c r="D2327">
        <v>1008</v>
      </c>
      <c r="E2327" t="s">
        <v>15</v>
      </c>
      <c r="F2327">
        <v>25</v>
      </c>
      <c r="G2327">
        <v>5900</v>
      </c>
      <c r="H2327">
        <v>147500</v>
      </c>
      <c r="I2327" s="3">
        <v>45314.5</v>
      </c>
      <c r="J2327">
        <v>120</v>
      </c>
      <c r="K2327" s="3">
        <v>45317.5</v>
      </c>
      <c r="L2327" s="4">
        <f>ROUNDDOWN(Table1[[#This Row],[Ordered]],0)</f>
        <v>45312</v>
      </c>
      <c r="M2327" s="4">
        <f>Table1[[#This Row],[Date ]]</f>
        <v>45312</v>
      </c>
      <c r="N2327" s="5">
        <f>Table1[[#This Row],[Ordered]]-Table1[[#This Row],[Date ]]</f>
        <v>0.875</v>
      </c>
      <c r="O2327">
        <f>Table1[[#This Row],[Company]]</f>
        <v>13</v>
      </c>
      <c r="P23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8" spans="1:16" x14ac:dyDescent="0.45">
      <c r="A2328" s="3">
        <v>45312.875</v>
      </c>
      <c r="B2328" t="s">
        <v>14</v>
      </c>
      <c r="C2328">
        <v>15</v>
      </c>
      <c r="D2328">
        <v>1008</v>
      </c>
      <c r="E2328" t="s">
        <v>15</v>
      </c>
      <c r="F2328">
        <v>28</v>
      </c>
      <c r="G2328">
        <v>6300</v>
      </c>
      <c r="H2328">
        <v>176400</v>
      </c>
      <c r="I2328" s="3">
        <v>45313.041666666664</v>
      </c>
      <c r="J2328">
        <v>89</v>
      </c>
      <c r="K2328" s="3">
        <v>45316.041666666664</v>
      </c>
      <c r="L2328" s="4">
        <f>ROUNDDOWN(Table1[[#This Row],[Ordered]],0)</f>
        <v>45312</v>
      </c>
      <c r="M2328" s="4">
        <f>Table1[[#This Row],[Date ]]</f>
        <v>45312</v>
      </c>
      <c r="N2328" s="5">
        <f>Table1[[#This Row],[Ordered]]-Table1[[#This Row],[Date ]]</f>
        <v>0.875</v>
      </c>
      <c r="O2328">
        <f>Table1[[#This Row],[Company]]</f>
        <v>15</v>
      </c>
      <c r="P23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9" spans="1:16" x14ac:dyDescent="0.45">
      <c r="A2329" s="3">
        <v>45312.875</v>
      </c>
      <c r="B2329" t="s">
        <v>14</v>
      </c>
      <c r="C2329">
        <v>16</v>
      </c>
      <c r="D2329">
        <v>1008</v>
      </c>
      <c r="E2329" t="s">
        <v>15</v>
      </c>
      <c r="F2329">
        <v>21</v>
      </c>
      <c r="G2329">
        <v>5950</v>
      </c>
      <c r="H2329">
        <v>124950</v>
      </c>
      <c r="I2329" s="3">
        <v>45313.958333333336</v>
      </c>
      <c r="J2329">
        <v>120</v>
      </c>
      <c r="K2329" s="3">
        <v>45317.125</v>
      </c>
      <c r="L2329" s="4">
        <f>ROUNDDOWN(Table1[[#This Row],[Ordered]],0)</f>
        <v>45312</v>
      </c>
      <c r="M2329" s="4">
        <f>Table1[[#This Row],[Date ]]</f>
        <v>45312</v>
      </c>
      <c r="N2329" s="5">
        <f>Table1[[#This Row],[Ordered]]-Table1[[#This Row],[Date ]]</f>
        <v>0.875</v>
      </c>
      <c r="O2329">
        <f>Table1[[#This Row],[Company]]</f>
        <v>16</v>
      </c>
      <c r="P23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0" spans="1:16" hidden="1" x14ac:dyDescent="0.45">
      <c r="A2330" s="3">
        <v>45312.916666666664</v>
      </c>
      <c r="B2330" t="s">
        <v>12</v>
      </c>
      <c r="C2330">
        <v>6</v>
      </c>
      <c r="D2330">
        <v>11</v>
      </c>
      <c r="E2330" t="s">
        <v>17</v>
      </c>
      <c r="F2330">
        <v>120</v>
      </c>
      <c r="G2330">
        <v>1550</v>
      </c>
      <c r="H2330">
        <v>186000</v>
      </c>
      <c r="I2330" s="3">
        <v>45312.958333333336</v>
      </c>
      <c r="J2330">
        <v>48</v>
      </c>
      <c r="K2330" s="3">
        <v>45314.958333333336</v>
      </c>
      <c r="L2330" s="4">
        <f>ROUNDDOWN(Table1[[#This Row],[Ordered]],0)</f>
        <v>45312</v>
      </c>
      <c r="M2330" s="4">
        <f>Table1[[#This Row],[Date ]]</f>
        <v>45312</v>
      </c>
      <c r="N2330" s="5">
        <f>Table1[[#This Row],[Ordered]]-Table1[[#This Row],[Date ]]</f>
        <v>0.91666666666424135</v>
      </c>
      <c r="O2330">
        <f>Table1[[#This Row],[Company]]</f>
        <v>6</v>
      </c>
      <c r="P23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1" spans="1:16" hidden="1" x14ac:dyDescent="0.45">
      <c r="A2331" s="3">
        <v>45312.958333333336</v>
      </c>
      <c r="B2331" t="s">
        <v>12</v>
      </c>
      <c r="C2331">
        <v>3</v>
      </c>
      <c r="D2331">
        <v>7</v>
      </c>
      <c r="E2331" t="s">
        <v>17</v>
      </c>
      <c r="F2331">
        <v>200</v>
      </c>
      <c r="G2331">
        <v>1350</v>
      </c>
      <c r="H2331">
        <v>270000</v>
      </c>
      <c r="I2331" s="3">
        <v>45313</v>
      </c>
      <c r="J2331">
        <v>72</v>
      </c>
      <c r="K2331" s="3">
        <v>45316</v>
      </c>
      <c r="L2331" s="4">
        <f>ROUNDDOWN(Table1[[#This Row],[Ordered]],0)</f>
        <v>45312</v>
      </c>
      <c r="M2331" s="4">
        <f>Table1[[#This Row],[Date ]]</f>
        <v>45312</v>
      </c>
      <c r="N2331" s="5">
        <f>Table1[[#This Row],[Ordered]]-Table1[[#This Row],[Date ]]</f>
        <v>0.95833333333575865</v>
      </c>
      <c r="O2331">
        <f>Table1[[#This Row],[Company]]</f>
        <v>3</v>
      </c>
      <c r="P23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2" spans="1:16" hidden="1" x14ac:dyDescent="0.45">
      <c r="A2332" s="3">
        <v>45313</v>
      </c>
      <c r="B2332" t="s">
        <v>12</v>
      </c>
      <c r="C2332">
        <v>2</v>
      </c>
      <c r="D2332">
        <v>7</v>
      </c>
      <c r="E2332" t="s">
        <v>13</v>
      </c>
      <c r="F2332">
        <v>7000</v>
      </c>
      <c r="G2332">
        <v>120</v>
      </c>
      <c r="H2332">
        <v>840000</v>
      </c>
      <c r="I2332" s="3">
        <v>45313.041666666664</v>
      </c>
      <c r="J2332">
        <v>72</v>
      </c>
      <c r="K2332" s="3">
        <v>45316.041666666664</v>
      </c>
      <c r="L2332" s="4">
        <f>ROUNDDOWN(Table1[[#This Row],[Ordered]],0)</f>
        <v>45313</v>
      </c>
      <c r="M2332" s="4">
        <f>Table1[[#This Row],[Date ]]</f>
        <v>45313</v>
      </c>
      <c r="N2332" s="5">
        <f>Table1[[#This Row],[Ordered]]-Table1[[#This Row],[Date ]]</f>
        <v>0</v>
      </c>
      <c r="O2332">
        <f>Table1[[#This Row],[Company]]</f>
        <v>2</v>
      </c>
      <c r="P23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3" spans="1:16" x14ac:dyDescent="0.45">
      <c r="A2333" s="3">
        <v>45313.041666666664</v>
      </c>
      <c r="B2333" t="s">
        <v>14</v>
      </c>
      <c r="C2333">
        <v>16</v>
      </c>
      <c r="D2333">
        <v>1001</v>
      </c>
      <c r="E2333" t="s">
        <v>15</v>
      </c>
      <c r="F2333">
        <v>7</v>
      </c>
      <c r="G2333">
        <v>6050</v>
      </c>
      <c r="H2333">
        <v>42350</v>
      </c>
      <c r="I2333" s="3">
        <v>45313.416666666664</v>
      </c>
      <c r="J2333">
        <v>96</v>
      </c>
      <c r="K2333" s="3">
        <v>45316.416666666664</v>
      </c>
      <c r="L2333" s="4">
        <f>ROUNDDOWN(Table1[[#This Row],[Ordered]],0)</f>
        <v>45313</v>
      </c>
      <c r="M2333" s="4">
        <f>Table1[[#This Row],[Date ]]</f>
        <v>45313</v>
      </c>
      <c r="N2333" s="5">
        <f>Table1[[#This Row],[Ordered]]-Table1[[#This Row],[Date ]]</f>
        <v>4.1666666664241347E-2</v>
      </c>
      <c r="O2333">
        <f>Table1[[#This Row],[Company]]</f>
        <v>16</v>
      </c>
      <c r="P23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4" spans="1:16" x14ac:dyDescent="0.45">
      <c r="A2334" s="3">
        <v>45313.041666666664</v>
      </c>
      <c r="B2334" t="s">
        <v>14</v>
      </c>
      <c r="C2334">
        <v>12</v>
      </c>
      <c r="D2334">
        <v>1002</v>
      </c>
      <c r="E2334" t="s">
        <v>16</v>
      </c>
      <c r="F2334">
        <v>30</v>
      </c>
      <c r="G2334">
        <v>3800</v>
      </c>
      <c r="H2334">
        <v>114000</v>
      </c>
      <c r="I2334" s="3">
        <v>45313.583333333336</v>
      </c>
      <c r="J2334">
        <v>96</v>
      </c>
      <c r="K2334" s="3">
        <v>45316.583333333336</v>
      </c>
      <c r="L2334" s="4">
        <f>ROUNDDOWN(Table1[[#This Row],[Ordered]],0)</f>
        <v>45313</v>
      </c>
      <c r="M2334" s="4">
        <f>Table1[[#This Row],[Date ]]</f>
        <v>45313</v>
      </c>
      <c r="N2334" s="5">
        <f>Table1[[#This Row],[Ordered]]-Table1[[#This Row],[Date ]]</f>
        <v>4.1666666664241347E-2</v>
      </c>
      <c r="O2334">
        <f>Table1[[#This Row],[Company]]</f>
        <v>12</v>
      </c>
      <c r="P23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5" spans="1:16" x14ac:dyDescent="0.45">
      <c r="A2335" s="3">
        <v>45313.041666666664</v>
      </c>
      <c r="B2335" t="s">
        <v>14</v>
      </c>
      <c r="C2335">
        <v>12</v>
      </c>
      <c r="D2335">
        <v>1001</v>
      </c>
      <c r="E2335" t="s">
        <v>15</v>
      </c>
      <c r="F2335">
        <v>5</v>
      </c>
      <c r="G2335">
        <v>6750</v>
      </c>
      <c r="H2335">
        <v>33750</v>
      </c>
      <c r="I2335" s="3">
        <v>45315.416666666664</v>
      </c>
      <c r="J2335">
        <v>96</v>
      </c>
      <c r="K2335" s="3">
        <v>45316.416666666664</v>
      </c>
      <c r="L2335" s="4">
        <f>ROUNDDOWN(Table1[[#This Row],[Ordered]],0)</f>
        <v>45313</v>
      </c>
      <c r="M2335" s="4">
        <f>Table1[[#This Row],[Date ]]</f>
        <v>45313</v>
      </c>
      <c r="N2335" s="5">
        <f>Table1[[#This Row],[Ordered]]-Table1[[#This Row],[Date ]]</f>
        <v>4.1666666664241347E-2</v>
      </c>
      <c r="O2335">
        <f>Table1[[#This Row],[Company]]</f>
        <v>12</v>
      </c>
      <c r="P23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6" spans="1:16" x14ac:dyDescent="0.45">
      <c r="A2336" s="3">
        <v>45313.041666666664</v>
      </c>
      <c r="B2336" t="s">
        <v>14</v>
      </c>
      <c r="C2336">
        <v>13</v>
      </c>
      <c r="D2336">
        <v>1002</v>
      </c>
      <c r="E2336" t="s">
        <v>16</v>
      </c>
      <c r="F2336">
        <v>30</v>
      </c>
      <c r="G2336">
        <v>3100</v>
      </c>
      <c r="H2336">
        <v>93000</v>
      </c>
      <c r="I2336" s="3">
        <v>45314.708333333336</v>
      </c>
      <c r="J2336">
        <v>96</v>
      </c>
      <c r="K2336" s="3">
        <v>45316.708333333336</v>
      </c>
      <c r="L2336" s="4">
        <f>ROUNDDOWN(Table1[[#This Row],[Ordered]],0)</f>
        <v>45313</v>
      </c>
      <c r="M2336" s="4">
        <f>Table1[[#This Row],[Date ]]</f>
        <v>45313</v>
      </c>
      <c r="N2336" s="5">
        <f>Table1[[#This Row],[Ordered]]-Table1[[#This Row],[Date ]]</f>
        <v>4.1666666664241347E-2</v>
      </c>
      <c r="O2336">
        <f>Table1[[#This Row],[Company]]</f>
        <v>13</v>
      </c>
      <c r="P23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7" spans="1:16" x14ac:dyDescent="0.45">
      <c r="A2337" s="3">
        <v>45313.041666666664</v>
      </c>
      <c r="B2337" t="s">
        <v>14</v>
      </c>
      <c r="C2337">
        <v>14</v>
      </c>
      <c r="D2337">
        <v>1002</v>
      </c>
      <c r="E2337" t="s">
        <v>16</v>
      </c>
      <c r="F2337">
        <v>35</v>
      </c>
      <c r="G2337">
        <v>3750</v>
      </c>
      <c r="H2337">
        <v>131250</v>
      </c>
      <c r="I2337" s="3">
        <v>45313.041666666664</v>
      </c>
      <c r="J2337">
        <v>84</v>
      </c>
      <c r="K2337" s="3">
        <v>45316.041666666664</v>
      </c>
      <c r="L2337" s="4">
        <f>ROUNDDOWN(Table1[[#This Row],[Ordered]],0)</f>
        <v>45313</v>
      </c>
      <c r="M2337" s="4">
        <f>Table1[[#This Row],[Date ]]</f>
        <v>45313</v>
      </c>
      <c r="N2337" s="5">
        <f>Table1[[#This Row],[Ordered]]-Table1[[#This Row],[Date ]]</f>
        <v>4.1666666664241347E-2</v>
      </c>
      <c r="O2337">
        <f>Table1[[#This Row],[Company]]</f>
        <v>14</v>
      </c>
      <c r="P23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8" spans="1:16" hidden="1" x14ac:dyDescent="0.45">
      <c r="A2338" s="3">
        <v>45313.041666666664</v>
      </c>
      <c r="B2338" t="s">
        <v>12</v>
      </c>
      <c r="C2338">
        <v>1</v>
      </c>
      <c r="D2338">
        <v>14</v>
      </c>
      <c r="E2338" t="s">
        <v>17</v>
      </c>
      <c r="F2338">
        <v>400</v>
      </c>
      <c r="G2338">
        <v>1350</v>
      </c>
      <c r="H2338">
        <v>540000</v>
      </c>
      <c r="I2338" s="3">
        <v>45313.041666666664</v>
      </c>
      <c r="J2338">
        <v>24</v>
      </c>
      <c r="K2338" s="3">
        <v>45314.041666666664</v>
      </c>
      <c r="L2338" s="4">
        <f>ROUNDDOWN(Table1[[#This Row],[Ordered]],0)</f>
        <v>45313</v>
      </c>
      <c r="M2338" s="4">
        <f>Table1[[#This Row],[Date ]]</f>
        <v>45313</v>
      </c>
      <c r="N2338" s="5">
        <f>Table1[[#This Row],[Ordered]]-Table1[[#This Row],[Date ]]</f>
        <v>4.1666666664241347E-2</v>
      </c>
      <c r="O2338">
        <f>Table1[[#This Row],[Company]]</f>
        <v>1</v>
      </c>
      <c r="P23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9" spans="1:16" x14ac:dyDescent="0.45">
      <c r="A2339" s="3">
        <v>45313.041666666664</v>
      </c>
      <c r="B2339" t="s">
        <v>14</v>
      </c>
      <c r="C2339">
        <v>10</v>
      </c>
      <c r="D2339">
        <v>1002</v>
      </c>
      <c r="E2339" t="s">
        <v>16</v>
      </c>
      <c r="F2339">
        <v>20</v>
      </c>
      <c r="G2339">
        <v>4200</v>
      </c>
      <c r="H2339">
        <v>84000</v>
      </c>
      <c r="I2339" s="3">
        <v>45313.041666666664</v>
      </c>
      <c r="J2339">
        <v>84</v>
      </c>
      <c r="K2339" s="3">
        <v>45316.041666666664</v>
      </c>
      <c r="L2339" s="4">
        <f>ROUNDDOWN(Table1[[#This Row],[Ordered]],0)</f>
        <v>45313</v>
      </c>
      <c r="M2339" s="4">
        <f>Table1[[#This Row],[Date ]]</f>
        <v>45313</v>
      </c>
      <c r="N2339" s="5">
        <f>Table1[[#This Row],[Ordered]]-Table1[[#This Row],[Date ]]</f>
        <v>4.1666666664241347E-2</v>
      </c>
      <c r="O2339">
        <f>Table1[[#This Row],[Company]]</f>
        <v>10</v>
      </c>
      <c r="P23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0" spans="1:16" x14ac:dyDescent="0.45">
      <c r="A2340" s="3">
        <v>45313.041666666664</v>
      </c>
      <c r="B2340" t="s">
        <v>14</v>
      </c>
      <c r="C2340">
        <v>11</v>
      </c>
      <c r="D2340">
        <v>1001</v>
      </c>
      <c r="E2340" t="s">
        <v>15</v>
      </c>
      <c r="F2340">
        <v>6</v>
      </c>
      <c r="G2340">
        <v>6400</v>
      </c>
      <c r="H2340">
        <v>38400</v>
      </c>
      <c r="I2340" s="3">
        <v>45313.25</v>
      </c>
      <c r="J2340">
        <v>72</v>
      </c>
      <c r="K2340" s="3">
        <v>45315.25</v>
      </c>
      <c r="L2340" s="4">
        <f>ROUNDDOWN(Table1[[#This Row],[Ordered]],0)</f>
        <v>45313</v>
      </c>
      <c r="M2340" s="4">
        <f>Table1[[#This Row],[Date ]]</f>
        <v>45313</v>
      </c>
      <c r="N2340" s="5">
        <f>Table1[[#This Row],[Ordered]]-Table1[[#This Row],[Date ]]</f>
        <v>4.1666666664241347E-2</v>
      </c>
      <c r="O2340">
        <f>Table1[[#This Row],[Company]]</f>
        <v>11</v>
      </c>
      <c r="P23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1" spans="1:16" x14ac:dyDescent="0.45">
      <c r="A2341" s="3">
        <v>45313.041666666664</v>
      </c>
      <c r="B2341" t="s">
        <v>14</v>
      </c>
      <c r="C2341">
        <v>15</v>
      </c>
      <c r="D2341">
        <v>1001</v>
      </c>
      <c r="E2341" t="s">
        <v>15</v>
      </c>
      <c r="F2341">
        <v>9</v>
      </c>
      <c r="G2341">
        <v>6400</v>
      </c>
      <c r="H2341">
        <v>57600</v>
      </c>
      <c r="I2341" s="3">
        <v>45313.125</v>
      </c>
      <c r="J2341">
        <v>64</v>
      </c>
      <c r="K2341" s="3">
        <v>45315.25</v>
      </c>
      <c r="L2341" s="4">
        <f>ROUNDDOWN(Table1[[#This Row],[Ordered]],0)</f>
        <v>45313</v>
      </c>
      <c r="M2341" s="4">
        <f>Table1[[#This Row],[Date ]]</f>
        <v>45313</v>
      </c>
      <c r="N2341" s="5">
        <f>Table1[[#This Row],[Ordered]]-Table1[[#This Row],[Date ]]</f>
        <v>4.1666666664241347E-2</v>
      </c>
      <c r="O2341">
        <f>Table1[[#This Row],[Company]]</f>
        <v>15</v>
      </c>
      <c r="P23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2" spans="1:16" x14ac:dyDescent="0.45">
      <c r="A2342" s="3">
        <v>45313.041666666664</v>
      </c>
      <c r="B2342" t="s">
        <v>14</v>
      </c>
      <c r="C2342">
        <v>16</v>
      </c>
      <c r="D2342">
        <v>1002</v>
      </c>
      <c r="E2342" t="s">
        <v>16</v>
      </c>
      <c r="F2342">
        <v>30</v>
      </c>
      <c r="G2342">
        <v>3750</v>
      </c>
      <c r="H2342">
        <v>112500</v>
      </c>
      <c r="I2342" s="3">
        <v>45313.208333333336</v>
      </c>
      <c r="J2342">
        <v>96</v>
      </c>
      <c r="K2342" s="3">
        <v>45316.375</v>
      </c>
      <c r="L2342" s="4">
        <f>ROUNDDOWN(Table1[[#This Row],[Ordered]],0)</f>
        <v>45313</v>
      </c>
      <c r="M2342" s="4">
        <f>Table1[[#This Row],[Date ]]</f>
        <v>45313</v>
      </c>
      <c r="N2342" s="5">
        <f>Table1[[#This Row],[Ordered]]-Table1[[#This Row],[Date ]]</f>
        <v>4.1666666664241347E-2</v>
      </c>
      <c r="O2342">
        <f>Table1[[#This Row],[Company]]</f>
        <v>16</v>
      </c>
      <c r="P23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3" spans="1:16" x14ac:dyDescent="0.45">
      <c r="A2343" s="3">
        <v>45313.041666666664</v>
      </c>
      <c r="B2343" t="s">
        <v>14</v>
      </c>
      <c r="C2343">
        <v>13</v>
      </c>
      <c r="D2343">
        <v>1001</v>
      </c>
      <c r="E2343" t="s">
        <v>15</v>
      </c>
      <c r="F2343">
        <v>8</v>
      </c>
      <c r="G2343">
        <v>6000</v>
      </c>
      <c r="H2343">
        <v>48000</v>
      </c>
      <c r="I2343" s="3">
        <v>45313.666666666664</v>
      </c>
      <c r="J2343">
        <v>96</v>
      </c>
      <c r="K2343" s="3">
        <v>45316.666666666664</v>
      </c>
      <c r="L2343" s="4">
        <f>ROUNDDOWN(Table1[[#This Row],[Ordered]],0)</f>
        <v>45313</v>
      </c>
      <c r="M2343" s="4">
        <f>Table1[[#This Row],[Date ]]</f>
        <v>45313</v>
      </c>
      <c r="N2343" s="5">
        <f>Table1[[#This Row],[Ordered]]-Table1[[#This Row],[Date ]]</f>
        <v>4.1666666664241347E-2</v>
      </c>
      <c r="O2343">
        <f>Table1[[#This Row],[Company]]</f>
        <v>13</v>
      </c>
      <c r="P23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4" spans="1:16" x14ac:dyDescent="0.45">
      <c r="A2344" s="3">
        <v>45313.041666666664</v>
      </c>
      <c r="B2344" t="s">
        <v>14</v>
      </c>
      <c r="C2344">
        <v>11</v>
      </c>
      <c r="D2344">
        <v>1002</v>
      </c>
      <c r="E2344" t="s">
        <v>16</v>
      </c>
      <c r="F2344">
        <v>27</v>
      </c>
      <c r="G2344">
        <v>4000</v>
      </c>
      <c r="H2344">
        <v>108000</v>
      </c>
      <c r="I2344" s="3">
        <v>45313.416666666664</v>
      </c>
      <c r="J2344">
        <v>96</v>
      </c>
      <c r="K2344" s="3">
        <v>45316.416666666664</v>
      </c>
      <c r="L2344" s="4">
        <f>ROUNDDOWN(Table1[[#This Row],[Ordered]],0)</f>
        <v>45313</v>
      </c>
      <c r="M2344" s="4">
        <f>Table1[[#This Row],[Date ]]</f>
        <v>45313</v>
      </c>
      <c r="N2344" s="5">
        <f>Table1[[#This Row],[Ordered]]-Table1[[#This Row],[Date ]]</f>
        <v>4.1666666664241347E-2</v>
      </c>
      <c r="O2344">
        <f>Table1[[#This Row],[Company]]</f>
        <v>11</v>
      </c>
      <c r="P23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5" spans="1:16" x14ac:dyDescent="0.45">
      <c r="A2345" s="3">
        <v>45313.041666666664</v>
      </c>
      <c r="B2345" t="s">
        <v>14</v>
      </c>
      <c r="C2345">
        <v>9</v>
      </c>
      <c r="D2345">
        <v>1002</v>
      </c>
      <c r="E2345" t="s">
        <v>16</v>
      </c>
      <c r="F2345">
        <v>15</v>
      </c>
      <c r="G2345">
        <v>3799</v>
      </c>
      <c r="H2345">
        <v>56985</v>
      </c>
      <c r="I2345" s="3">
        <v>45313.041666666664</v>
      </c>
      <c r="J2345">
        <v>76</v>
      </c>
      <c r="K2345" s="3">
        <v>45316.041666666664</v>
      </c>
      <c r="L2345" s="4">
        <f>ROUNDDOWN(Table1[[#This Row],[Ordered]],0)</f>
        <v>45313</v>
      </c>
      <c r="M2345" s="4">
        <f>Table1[[#This Row],[Date ]]</f>
        <v>45313</v>
      </c>
      <c r="N2345" s="5">
        <f>Table1[[#This Row],[Ordered]]-Table1[[#This Row],[Date ]]</f>
        <v>4.1666666664241347E-2</v>
      </c>
      <c r="O2345">
        <f>Table1[[#This Row],[Company]]</f>
        <v>9</v>
      </c>
      <c r="P23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6" spans="1:16" x14ac:dyDescent="0.45">
      <c r="A2346" s="3">
        <v>45313.041666666664</v>
      </c>
      <c r="B2346" t="s">
        <v>14</v>
      </c>
      <c r="C2346">
        <v>15</v>
      </c>
      <c r="D2346">
        <v>1002</v>
      </c>
      <c r="E2346" t="s">
        <v>16</v>
      </c>
      <c r="F2346">
        <v>30</v>
      </c>
      <c r="G2346">
        <v>3550</v>
      </c>
      <c r="H2346">
        <v>106500</v>
      </c>
      <c r="I2346" s="3">
        <v>45313.083333333336</v>
      </c>
      <c r="J2346">
        <v>87</v>
      </c>
      <c r="K2346" s="3">
        <v>45316.083333333336</v>
      </c>
      <c r="L2346" s="4">
        <f>ROUNDDOWN(Table1[[#This Row],[Ordered]],0)</f>
        <v>45313</v>
      </c>
      <c r="M2346" s="4">
        <f>Table1[[#This Row],[Date ]]</f>
        <v>45313</v>
      </c>
      <c r="N2346" s="5">
        <f>Table1[[#This Row],[Ordered]]-Table1[[#This Row],[Date ]]</f>
        <v>4.1666666664241347E-2</v>
      </c>
      <c r="O2346">
        <f>Table1[[#This Row],[Company]]</f>
        <v>15</v>
      </c>
      <c r="P23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7" spans="1:16" hidden="1" x14ac:dyDescent="0.45">
      <c r="A2347" s="3">
        <v>45313.083333333336</v>
      </c>
      <c r="B2347" t="s">
        <v>12</v>
      </c>
      <c r="C2347">
        <v>1</v>
      </c>
      <c r="D2347">
        <v>13</v>
      </c>
      <c r="E2347" t="s">
        <v>13</v>
      </c>
      <c r="F2347">
        <v>1500</v>
      </c>
      <c r="G2347">
        <v>130</v>
      </c>
      <c r="H2347">
        <v>195000</v>
      </c>
      <c r="I2347" s="3">
        <v>45313.083333333336</v>
      </c>
      <c r="J2347">
        <v>72</v>
      </c>
      <c r="K2347" s="3">
        <v>45316.083333333336</v>
      </c>
      <c r="L2347" s="4">
        <f>ROUNDDOWN(Table1[[#This Row],[Ordered]],0)</f>
        <v>45313</v>
      </c>
      <c r="M2347" s="4">
        <f>Table1[[#This Row],[Date ]]</f>
        <v>45313</v>
      </c>
      <c r="N2347" s="5">
        <f>Table1[[#This Row],[Ordered]]-Table1[[#This Row],[Date ]]</f>
        <v>8.3333333335758653E-2</v>
      </c>
      <c r="O2347">
        <f>Table1[[#This Row],[Company]]</f>
        <v>1</v>
      </c>
      <c r="P23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8" spans="1:16" hidden="1" x14ac:dyDescent="0.45">
      <c r="A2348" s="3">
        <v>45313.166666666664</v>
      </c>
      <c r="B2348" t="s">
        <v>12</v>
      </c>
      <c r="C2348">
        <v>5</v>
      </c>
      <c r="D2348">
        <v>12</v>
      </c>
      <c r="E2348" t="s">
        <v>17</v>
      </c>
      <c r="F2348">
        <v>300</v>
      </c>
      <c r="G2348">
        <v>1550</v>
      </c>
      <c r="H2348">
        <v>465000</v>
      </c>
      <c r="I2348" s="3">
        <v>45313.166666666664</v>
      </c>
      <c r="J2348">
        <v>72</v>
      </c>
      <c r="K2348" s="3">
        <v>45316.166666666664</v>
      </c>
      <c r="L2348" s="4">
        <f>ROUNDDOWN(Table1[[#This Row],[Ordered]],0)</f>
        <v>45313</v>
      </c>
      <c r="M2348" s="4">
        <f>Table1[[#This Row],[Date ]]</f>
        <v>45313</v>
      </c>
      <c r="N2348" s="5">
        <f>Table1[[#This Row],[Ordered]]-Table1[[#This Row],[Date ]]</f>
        <v>0.16666666666424135</v>
      </c>
      <c r="O2348">
        <f>Table1[[#This Row],[Company]]</f>
        <v>5</v>
      </c>
      <c r="P23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9" spans="1:16" hidden="1" x14ac:dyDescent="0.45">
      <c r="A2349" s="3">
        <v>45313.166666666664</v>
      </c>
      <c r="B2349" t="s">
        <v>12</v>
      </c>
      <c r="C2349">
        <v>4</v>
      </c>
      <c r="D2349">
        <v>12</v>
      </c>
      <c r="E2349" t="s">
        <v>13</v>
      </c>
      <c r="F2349">
        <v>500</v>
      </c>
      <c r="G2349">
        <v>125</v>
      </c>
      <c r="H2349">
        <v>62500</v>
      </c>
      <c r="I2349" s="3">
        <v>45313.208333333336</v>
      </c>
      <c r="J2349">
        <v>48</v>
      </c>
      <c r="K2349" s="3">
        <v>45315.208333333336</v>
      </c>
      <c r="L2349" s="4">
        <f>ROUNDDOWN(Table1[[#This Row],[Ordered]],0)</f>
        <v>45313</v>
      </c>
      <c r="M2349" s="4">
        <f>Table1[[#This Row],[Date ]]</f>
        <v>45313</v>
      </c>
      <c r="N2349" s="5">
        <f>Table1[[#This Row],[Ordered]]-Table1[[#This Row],[Date ]]</f>
        <v>0.16666666666424135</v>
      </c>
      <c r="O2349">
        <f>Table1[[#This Row],[Company]]</f>
        <v>4</v>
      </c>
      <c r="P23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0" spans="1:16" x14ac:dyDescent="0.45">
      <c r="A2350" s="3">
        <v>45313.208333333336</v>
      </c>
      <c r="B2350" t="s">
        <v>14</v>
      </c>
      <c r="C2350">
        <v>15</v>
      </c>
      <c r="D2350">
        <v>1010</v>
      </c>
      <c r="E2350" t="s">
        <v>15</v>
      </c>
      <c r="F2350">
        <v>12</v>
      </c>
      <c r="G2350">
        <v>6400</v>
      </c>
      <c r="H2350">
        <v>76800</v>
      </c>
      <c r="I2350" s="3">
        <v>45313.291666666664</v>
      </c>
      <c r="J2350">
        <v>64</v>
      </c>
      <c r="K2350" s="3">
        <v>45315.291666666664</v>
      </c>
      <c r="L2350" s="4">
        <f>ROUNDDOWN(Table1[[#This Row],[Ordered]],0)</f>
        <v>45313</v>
      </c>
      <c r="M2350" s="4">
        <f>Table1[[#This Row],[Date ]]</f>
        <v>45313</v>
      </c>
      <c r="N2350" s="5">
        <f>Table1[[#This Row],[Ordered]]-Table1[[#This Row],[Date ]]</f>
        <v>0.20833333333575865</v>
      </c>
      <c r="O2350">
        <f>Table1[[#This Row],[Company]]</f>
        <v>15</v>
      </c>
      <c r="P23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1" spans="1:16" x14ac:dyDescent="0.45">
      <c r="A2351" s="3">
        <v>45313.208333333336</v>
      </c>
      <c r="B2351" t="s">
        <v>14</v>
      </c>
      <c r="C2351">
        <v>11</v>
      </c>
      <c r="D2351">
        <v>1010</v>
      </c>
      <c r="E2351" t="s">
        <v>15</v>
      </c>
      <c r="F2351">
        <v>8</v>
      </c>
      <c r="G2351">
        <v>6400</v>
      </c>
      <c r="H2351">
        <v>51200</v>
      </c>
      <c r="I2351" s="3">
        <v>45313.416666666664</v>
      </c>
      <c r="J2351">
        <v>72</v>
      </c>
      <c r="K2351" s="3">
        <v>45315.416666666664</v>
      </c>
      <c r="L2351" s="4">
        <f>ROUNDDOWN(Table1[[#This Row],[Ordered]],0)</f>
        <v>45313</v>
      </c>
      <c r="M2351" s="4">
        <f>Table1[[#This Row],[Date ]]</f>
        <v>45313</v>
      </c>
      <c r="N2351" s="5">
        <f>Table1[[#This Row],[Ordered]]-Table1[[#This Row],[Date ]]</f>
        <v>0.20833333333575865</v>
      </c>
      <c r="O2351">
        <f>Table1[[#This Row],[Company]]</f>
        <v>11</v>
      </c>
      <c r="P23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2" spans="1:16" x14ac:dyDescent="0.45">
      <c r="A2352" s="3">
        <v>45313.208333333336</v>
      </c>
      <c r="B2352" t="s">
        <v>14</v>
      </c>
      <c r="C2352">
        <v>13</v>
      </c>
      <c r="D2352">
        <v>1010</v>
      </c>
      <c r="E2352" t="s">
        <v>15</v>
      </c>
      <c r="F2352">
        <v>10</v>
      </c>
      <c r="G2352">
        <v>6000</v>
      </c>
      <c r="H2352">
        <v>60000</v>
      </c>
      <c r="I2352" s="3">
        <v>45314.125</v>
      </c>
      <c r="J2352">
        <v>96</v>
      </c>
      <c r="K2352" s="3">
        <v>45317.125</v>
      </c>
      <c r="L2352" s="4">
        <f>ROUNDDOWN(Table1[[#This Row],[Ordered]],0)</f>
        <v>45313</v>
      </c>
      <c r="M2352" s="4">
        <f>Table1[[#This Row],[Date ]]</f>
        <v>45313</v>
      </c>
      <c r="N2352" s="5">
        <f>Table1[[#This Row],[Ordered]]-Table1[[#This Row],[Date ]]</f>
        <v>0.20833333333575865</v>
      </c>
      <c r="O2352">
        <f>Table1[[#This Row],[Company]]</f>
        <v>13</v>
      </c>
      <c r="P23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3" spans="1:16" x14ac:dyDescent="0.45">
      <c r="A2353" s="3">
        <v>45313.208333333336</v>
      </c>
      <c r="B2353" t="s">
        <v>14</v>
      </c>
      <c r="C2353">
        <v>12</v>
      </c>
      <c r="D2353">
        <v>1010</v>
      </c>
      <c r="E2353" t="s">
        <v>15</v>
      </c>
      <c r="F2353">
        <v>7</v>
      </c>
      <c r="G2353">
        <v>6750</v>
      </c>
      <c r="H2353">
        <v>47250</v>
      </c>
      <c r="I2353" s="3">
        <v>45315.416666666664</v>
      </c>
      <c r="J2353">
        <v>96</v>
      </c>
      <c r="K2353" s="3">
        <v>45316.416666666664</v>
      </c>
      <c r="L2353" s="4">
        <f>ROUNDDOWN(Table1[[#This Row],[Ordered]],0)</f>
        <v>45313</v>
      </c>
      <c r="M2353" s="4">
        <f>Table1[[#This Row],[Date ]]</f>
        <v>45313</v>
      </c>
      <c r="N2353" s="5">
        <f>Table1[[#This Row],[Ordered]]-Table1[[#This Row],[Date ]]</f>
        <v>0.20833333333575865</v>
      </c>
      <c r="O2353">
        <f>Table1[[#This Row],[Company]]</f>
        <v>12</v>
      </c>
      <c r="P23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4" spans="1:16" hidden="1" x14ac:dyDescent="0.45">
      <c r="A2354" s="3">
        <v>45313.208333333336</v>
      </c>
      <c r="B2354" t="s">
        <v>12</v>
      </c>
      <c r="C2354">
        <v>5</v>
      </c>
      <c r="D2354">
        <v>16</v>
      </c>
      <c r="E2354" t="s">
        <v>17</v>
      </c>
      <c r="F2354">
        <v>350</v>
      </c>
      <c r="G2354">
        <v>1450</v>
      </c>
      <c r="H2354">
        <v>507500</v>
      </c>
      <c r="I2354" s="3">
        <v>45313.25</v>
      </c>
      <c r="J2354">
        <v>24</v>
      </c>
      <c r="K2354" s="3">
        <v>45314.25</v>
      </c>
      <c r="L2354" s="4">
        <f>ROUNDDOWN(Table1[[#This Row],[Ordered]],0)</f>
        <v>45313</v>
      </c>
      <c r="M2354" s="4">
        <f>Table1[[#This Row],[Date ]]</f>
        <v>45313</v>
      </c>
      <c r="N2354" s="5">
        <f>Table1[[#This Row],[Ordered]]-Table1[[#This Row],[Date ]]</f>
        <v>0.20833333333575865</v>
      </c>
      <c r="O2354">
        <f>Table1[[#This Row],[Company]]</f>
        <v>5</v>
      </c>
      <c r="P23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5" spans="1:16" hidden="1" x14ac:dyDescent="0.45">
      <c r="A2355" s="3">
        <v>45313.208333333336</v>
      </c>
      <c r="B2355" t="s">
        <v>12</v>
      </c>
      <c r="C2355">
        <v>4</v>
      </c>
      <c r="D2355">
        <v>12</v>
      </c>
      <c r="E2355" t="s">
        <v>17</v>
      </c>
      <c r="F2355">
        <v>50</v>
      </c>
      <c r="G2355">
        <v>1500</v>
      </c>
      <c r="H2355">
        <v>75000</v>
      </c>
      <c r="I2355" s="3">
        <v>45313.541666666664</v>
      </c>
      <c r="J2355">
        <v>48</v>
      </c>
      <c r="K2355" s="3">
        <v>45315.541666666664</v>
      </c>
      <c r="L2355" s="4">
        <f>ROUNDDOWN(Table1[[#This Row],[Ordered]],0)</f>
        <v>45313</v>
      </c>
      <c r="M2355" s="4">
        <f>Table1[[#This Row],[Date ]]</f>
        <v>45313</v>
      </c>
      <c r="N2355" s="5">
        <f>Table1[[#This Row],[Ordered]]-Table1[[#This Row],[Date ]]</f>
        <v>0.20833333333575865</v>
      </c>
      <c r="O2355">
        <f>Table1[[#This Row],[Company]]</f>
        <v>4</v>
      </c>
      <c r="P23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6" spans="1:16" x14ac:dyDescent="0.45">
      <c r="A2356" s="3">
        <v>45313.208333333336</v>
      </c>
      <c r="B2356" t="s">
        <v>14</v>
      </c>
      <c r="C2356">
        <v>8</v>
      </c>
      <c r="D2356">
        <v>1010</v>
      </c>
      <c r="E2356" t="s">
        <v>15</v>
      </c>
      <c r="F2356">
        <v>5</v>
      </c>
      <c r="G2356">
        <v>6911</v>
      </c>
      <c r="H2356">
        <v>34555</v>
      </c>
      <c r="I2356" s="3">
        <v>45314.75</v>
      </c>
      <c r="J2356">
        <v>96</v>
      </c>
      <c r="K2356" s="3">
        <v>45316.75</v>
      </c>
      <c r="L2356" s="4">
        <f>ROUNDDOWN(Table1[[#This Row],[Ordered]],0)</f>
        <v>45313</v>
      </c>
      <c r="M2356" s="4">
        <f>Table1[[#This Row],[Date ]]</f>
        <v>45313</v>
      </c>
      <c r="N2356" s="5">
        <f>Table1[[#This Row],[Ordered]]-Table1[[#This Row],[Date ]]</f>
        <v>0.20833333333575865</v>
      </c>
      <c r="O2356">
        <f>Table1[[#This Row],[Company]]</f>
        <v>8</v>
      </c>
      <c r="P23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7" spans="1:16" x14ac:dyDescent="0.45">
      <c r="A2357" s="3">
        <v>45313.208333333336</v>
      </c>
      <c r="B2357" t="s">
        <v>14</v>
      </c>
      <c r="C2357">
        <v>16</v>
      </c>
      <c r="D2357">
        <v>1010</v>
      </c>
      <c r="E2357" t="s">
        <v>15</v>
      </c>
      <c r="F2357">
        <v>9</v>
      </c>
      <c r="G2357">
        <v>6050</v>
      </c>
      <c r="H2357">
        <v>54450</v>
      </c>
      <c r="I2357" s="3">
        <v>45313.958333333336</v>
      </c>
      <c r="J2357">
        <v>96</v>
      </c>
      <c r="K2357" s="3">
        <v>45316.958333333336</v>
      </c>
      <c r="L2357" s="4">
        <f>ROUNDDOWN(Table1[[#This Row],[Ordered]],0)</f>
        <v>45313</v>
      </c>
      <c r="M2357" s="4">
        <f>Table1[[#This Row],[Date ]]</f>
        <v>45313</v>
      </c>
      <c r="N2357" s="5">
        <f>Table1[[#This Row],[Ordered]]-Table1[[#This Row],[Date ]]</f>
        <v>0.20833333333575865</v>
      </c>
      <c r="O2357">
        <f>Table1[[#This Row],[Company]]</f>
        <v>16</v>
      </c>
      <c r="P23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8" spans="1:16" x14ac:dyDescent="0.45">
      <c r="A2358" s="3">
        <v>45313.208333333336</v>
      </c>
      <c r="B2358" t="s">
        <v>14</v>
      </c>
      <c r="C2358">
        <v>9</v>
      </c>
      <c r="D2358">
        <v>1010</v>
      </c>
      <c r="E2358" t="s">
        <v>15</v>
      </c>
      <c r="F2358">
        <v>6</v>
      </c>
      <c r="G2358">
        <v>6699</v>
      </c>
      <c r="H2358">
        <v>40194</v>
      </c>
      <c r="I2358" s="3">
        <v>45313.208333333336</v>
      </c>
      <c r="J2358">
        <v>75</v>
      </c>
      <c r="K2358" s="3">
        <v>45316.208333333336</v>
      </c>
      <c r="L2358" s="4">
        <f>ROUNDDOWN(Table1[[#This Row],[Ordered]],0)</f>
        <v>45313</v>
      </c>
      <c r="M2358" s="4">
        <f>Table1[[#This Row],[Date ]]</f>
        <v>45313</v>
      </c>
      <c r="N2358" s="5">
        <f>Table1[[#This Row],[Ordered]]-Table1[[#This Row],[Date ]]</f>
        <v>0.20833333333575865</v>
      </c>
      <c r="O2358">
        <f>Table1[[#This Row],[Company]]</f>
        <v>9</v>
      </c>
      <c r="P23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9" spans="1:16" hidden="1" x14ac:dyDescent="0.45">
      <c r="A2359" s="3">
        <v>45313.25</v>
      </c>
      <c r="B2359" t="s">
        <v>12</v>
      </c>
      <c r="C2359">
        <v>1</v>
      </c>
      <c r="D2359">
        <v>10</v>
      </c>
      <c r="E2359" t="s">
        <v>17</v>
      </c>
      <c r="F2359">
        <v>300</v>
      </c>
      <c r="G2359">
        <v>1500</v>
      </c>
      <c r="H2359">
        <v>450000</v>
      </c>
      <c r="I2359" s="3">
        <v>45313.25</v>
      </c>
      <c r="J2359">
        <v>48</v>
      </c>
      <c r="K2359" s="3">
        <v>45315.25</v>
      </c>
      <c r="L2359" s="4">
        <f>ROUNDDOWN(Table1[[#This Row],[Ordered]],0)</f>
        <v>45313</v>
      </c>
      <c r="M2359" s="4">
        <f>Table1[[#This Row],[Date ]]</f>
        <v>45313</v>
      </c>
      <c r="N2359" s="5">
        <f>Table1[[#This Row],[Ordered]]-Table1[[#This Row],[Date ]]</f>
        <v>0.25</v>
      </c>
      <c r="O2359">
        <f>Table1[[#This Row],[Company]]</f>
        <v>1</v>
      </c>
      <c r="P23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0" spans="1:16" x14ac:dyDescent="0.45">
      <c r="A2360" s="3">
        <v>45313.291666666664</v>
      </c>
      <c r="B2360" t="s">
        <v>14</v>
      </c>
      <c r="C2360">
        <v>15</v>
      </c>
      <c r="D2360">
        <v>1007</v>
      </c>
      <c r="E2360" t="s">
        <v>16</v>
      </c>
      <c r="F2360">
        <v>50</v>
      </c>
      <c r="G2360">
        <v>3450</v>
      </c>
      <c r="H2360">
        <v>172500</v>
      </c>
      <c r="I2360" s="3">
        <v>45313.375</v>
      </c>
      <c r="J2360">
        <v>88</v>
      </c>
      <c r="K2360" s="3">
        <v>45316.375</v>
      </c>
      <c r="L2360" s="4">
        <f>ROUNDDOWN(Table1[[#This Row],[Ordered]],0)</f>
        <v>45313</v>
      </c>
      <c r="M2360" s="4">
        <f>Table1[[#This Row],[Date ]]</f>
        <v>45313</v>
      </c>
      <c r="N2360" s="5">
        <f>Table1[[#This Row],[Ordered]]-Table1[[#This Row],[Date ]]</f>
        <v>0.29166666666424135</v>
      </c>
      <c r="O2360">
        <f>Table1[[#This Row],[Company]]</f>
        <v>15</v>
      </c>
      <c r="P23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1" spans="1:16" x14ac:dyDescent="0.45">
      <c r="A2361" s="3">
        <v>45313.291666666664</v>
      </c>
      <c r="B2361" t="s">
        <v>14</v>
      </c>
      <c r="C2361">
        <v>12</v>
      </c>
      <c r="D2361">
        <v>1007</v>
      </c>
      <c r="E2361" t="s">
        <v>16</v>
      </c>
      <c r="F2361">
        <v>30</v>
      </c>
      <c r="G2361">
        <v>3800</v>
      </c>
      <c r="H2361">
        <v>114000</v>
      </c>
      <c r="I2361" s="3">
        <v>45313.875</v>
      </c>
      <c r="J2361">
        <v>96</v>
      </c>
      <c r="K2361" s="3">
        <v>45316.875</v>
      </c>
      <c r="L2361" s="4">
        <f>ROUNDDOWN(Table1[[#This Row],[Ordered]],0)</f>
        <v>45313</v>
      </c>
      <c r="M2361" s="4">
        <f>Table1[[#This Row],[Date ]]</f>
        <v>45313</v>
      </c>
      <c r="N2361" s="5">
        <f>Table1[[#This Row],[Ordered]]-Table1[[#This Row],[Date ]]</f>
        <v>0.29166666666424135</v>
      </c>
      <c r="O2361">
        <f>Table1[[#This Row],[Company]]</f>
        <v>12</v>
      </c>
      <c r="P23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2" spans="1:16" x14ac:dyDescent="0.45">
      <c r="A2362" s="3">
        <v>45313.291666666664</v>
      </c>
      <c r="B2362" t="s">
        <v>14</v>
      </c>
      <c r="C2362">
        <v>11</v>
      </c>
      <c r="D2362">
        <v>1007</v>
      </c>
      <c r="E2362" t="s">
        <v>16</v>
      </c>
      <c r="F2362">
        <v>30</v>
      </c>
      <c r="G2362">
        <v>4000</v>
      </c>
      <c r="H2362">
        <v>120000</v>
      </c>
      <c r="I2362" s="3">
        <v>45313.583333333336</v>
      </c>
      <c r="J2362">
        <v>96</v>
      </c>
      <c r="K2362" s="3">
        <v>45316.583333333336</v>
      </c>
      <c r="L2362" s="4">
        <f>ROUNDDOWN(Table1[[#This Row],[Ordered]],0)</f>
        <v>45313</v>
      </c>
      <c r="M2362" s="4">
        <f>Table1[[#This Row],[Date ]]</f>
        <v>45313</v>
      </c>
      <c r="N2362" s="5">
        <f>Table1[[#This Row],[Ordered]]-Table1[[#This Row],[Date ]]</f>
        <v>0.29166666666424135</v>
      </c>
      <c r="O2362">
        <f>Table1[[#This Row],[Company]]</f>
        <v>11</v>
      </c>
      <c r="P23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3" spans="1:16" x14ac:dyDescent="0.45">
      <c r="A2363" s="3">
        <v>45313.291666666664</v>
      </c>
      <c r="B2363" t="s">
        <v>14</v>
      </c>
      <c r="C2363">
        <v>13</v>
      </c>
      <c r="D2363">
        <v>1007</v>
      </c>
      <c r="E2363" t="s">
        <v>16</v>
      </c>
      <c r="F2363">
        <v>30</v>
      </c>
      <c r="G2363">
        <v>3100</v>
      </c>
      <c r="H2363">
        <v>93000</v>
      </c>
      <c r="I2363" s="3">
        <v>45314.875</v>
      </c>
      <c r="J2363">
        <v>96</v>
      </c>
      <c r="K2363" s="3">
        <v>45316.875</v>
      </c>
      <c r="L2363" s="4">
        <f>ROUNDDOWN(Table1[[#This Row],[Ordered]],0)</f>
        <v>45313</v>
      </c>
      <c r="M2363" s="4">
        <f>Table1[[#This Row],[Date ]]</f>
        <v>45313</v>
      </c>
      <c r="N2363" s="5">
        <f>Table1[[#This Row],[Ordered]]-Table1[[#This Row],[Date ]]</f>
        <v>0.29166666666424135</v>
      </c>
      <c r="O2363">
        <f>Table1[[#This Row],[Company]]</f>
        <v>13</v>
      </c>
      <c r="P23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4" spans="1:16" x14ac:dyDescent="0.45">
      <c r="A2364" s="3">
        <v>45313.291666666664</v>
      </c>
      <c r="B2364" t="s">
        <v>14</v>
      </c>
      <c r="C2364">
        <v>7</v>
      </c>
      <c r="D2364">
        <v>1007</v>
      </c>
      <c r="E2364" t="s">
        <v>16</v>
      </c>
      <c r="F2364">
        <v>36</v>
      </c>
      <c r="G2364">
        <v>4200</v>
      </c>
      <c r="H2364">
        <v>151200</v>
      </c>
      <c r="I2364" s="3">
        <v>45315.291666666664</v>
      </c>
      <c r="J2364">
        <v>120</v>
      </c>
      <c r="K2364" s="3">
        <v>45318.291666666664</v>
      </c>
      <c r="L2364" s="4">
        <f>ROUNDDOWN(Table1[[#This Row],[Ordered]],0)</f>
        <v>45313</v>
      </c>
      <c r="M2364" s="4">
        <f>Table1[[#This Row],[Date ]]</f>
        <v>45313</v>
      </c>
      <c r="N2364" s="5">
        <f>Table1[[#This Row],[Ordered]]-Table1[[#This Row],[Date ]]</f>
        <v>0.29166666666424135</v>
      </c>
      <c r="O2364">
        <f>Table1[[#This Row],[Company]]</f>
        <v>7</v>
      </c>
      <c r="P23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5" spans="1:16" x14ac:dyDescent="0.45">
      <c r="A2365" s="3">
        <v>45313.291666666664</v>
      </c>
      <c r="B2365" t="s">
        <v>14</v>
      </c>
      <c r="C2365">
        <v>16</v>
      </c>
      <c r="D2365">
        <v>1007</v>
      </c>
      <c r="E2365" t="s">
        <v>16</v>
      </c>
      <c r="F2365">
        <v>30</v>
      </c>
      <c r="G2365">
        <v>3750</v>
      </c>
      <c r="H2365">
        <v>112500</v>
      </c>
      <c r="I2365" s="3">
        <v>45313.625</v>
      </c>
      <c r="J2365">
        <v>96</v>
      </c>
      <c r="K2365" s="3">
        <v>45316.625</v>
      </c>
      <c r="L2365" s="4">
        <f>ROUNDDOWN(Table1[[#This Row],[Ordered]],0)</f>
        <v>45313</v>
      </c>
      <c r="M2365" s="4">
        <f>Table1[[#This Row],[Date ]]</f>
        <v>45313</v>
      </c>
      <c r="N2365" s="5">
        <f>Table1[[#This Row],[Ordered]]-Table1[[#This Row],[Date ]]</f>
        <v>0.29166666666424135</v>
      </c>
      <c r="O2365">
        <f>Table1[[#This Row],[Company]]</f>
        <v>16</v>
      </c>
      <c r="P23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6" spans="1:16" x14ac:dyDescent="0.45">
      <c r="A2366" s="3">
        <v>45313.291666666664</v>
      </c>
      <c r="B2366" t="s">
        <v>14</v>
      </c>
      <c r="C2366">
        <v>8</v>
      </c>
      <c r="D2366">
        <v>1007</v>
      </c>
      <c r="E2366" t="s">
        <v>16</v>
      </c>
      <c r="F2366">
        <v>31</v>
      </c>
      <c r="G2366">
        <v>4100</v>
      </c>
      <c r="H2366">
        <v>127100</v>
      </c>
      <c r="I2366" s="3">
        <v>45316.583333333336</v>
      </c>
      <c r="J2366">
        <v>156</v>
      </c>
      <c r="K2366" s="3">
        <v>45319.583333333336</v>
      </c>
      <c r="L2366" s="4">
        <f>ROUNDDOWN(Table1[[#This Row],[Ordered]],0)</f>
        <v>45313</v>
      </c>
      <c r="M2366" s="4">
        <f>Table1[[#This Row],[Date ]]</f>
        <v>45313</v>
      </c>
      <c r="N2366" s="5">
        <f>Table1[[#This Row],[Ordered]]-Table1[[#This Row],[Date ]]</f>
        <v>0.29166666666424135</v>
      </c>
      <c r="O2366">
        <f>Table1[[#This Row],[Company]]</f>
        <v>8</v>
      </c>
      <c r="P23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7" spans="1:16" x14ac:dyDescent="0.45">
      <c r="A2367" s="3">
        <v>45313.291666666664</v>
      </c>
      <c r="B2367" t="s">
        <v>14</v>
      </c>
      <c r="C2367">
        <v>9</v>
      </c>
      <c r="D2367">
        <v>1007</v>
      </c>
      <c r="E2367" t="s">
        <v>16</v>
      </c>
      <c r="F2367">
        <v>15</v>
      </c>
      <c r="G2367">
        <v>3799</v>
      </c>
      <c r="H2367">
        <v>56985</v>
      </c>
      <c r="I2367" s="3">
        <v>45313.291666666664</v>
      </c>
      <c r="J2367">
        <v>76</v>
      </c>
      <c r="K2367" s="3">
        <v>45316.291666666664</v>
      </c>
      <c r="L2367" s="4">
        <f>ROUNDDOWN(Table1[[#This Row],[Ordered]],0)</f>
        <v>45313</v>
      </c>
      <c r="M2367" s="4">
        <f>Table1[[#This Row],[Date ]]</f>
        <v>45313</v>
      </c>
      <c r="N2367" s="5">
        <f>Table1[[#This Row],[Ordered]]-Table1[[#This Row],[Date ]]</f>
        <v>0.29166666666424135</v>
      </c>
      <c r="O2367">
        <f>Table1[[#This Row],[Company]]</f>
        <v>9</v>
      </c>
      <c r="P23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8" spans="1:16" x14ac:dyDescent="0.45">
      <c r="A2368" s="3">
        <v>45313.291666666664</v>
      </c>
      <c r="B2368" t="s">
        <v>14</v>
      </c>
      <c r="C2368">
        <v>10</v>
      </c>
      <c r="D2368">
        <v>1007</v>
      </c>
      <c r="E2368" t="s">
        <v>16</v>
      </c>
      <c r="F2368">
        <v>30</v>
      </c>
      <c r="G2368">
        <v>4200</v>
      </c>
      <c r="H2368">
        <v>126000</v>
      </c>
      <c r="I2368" s="3">
        <v>45313.333333333336</v>
      </c>
      <c r="J2368">
        <v>84</v>
      </c>
      <c r="K2368" s="3">
        <v>45316.375</v>
      </c>
      <c r="L2368" s="4">
        <f>ROUNDDOWN(Table1[[#This Row],[Ordered]],0)</f>
        <v>45313</v>
      </c>
      <c r="M2368" s="4">
        <f>Table1[[#This Row],[Date ]]</f>
        <v>45313</v>
      </c>
      <c r="N2368" s="5">
        <f>Table1[[#This Row],[Ordered]]-Table1[[#This Row],[Date ]]</f>
        <v>0.29166666666424135</v>
      </c>
      <c r="O2368">
        <f>Table1[[#This Row],[Company]]</f>
        <v>10</v>
      </c>
      <c r="P23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9" spans="1:16" x14ac:dyDescent="0.45">
      <c r="A2369" s="3">
        <v>45313.291666666664</v>
      </c>
      <c r="B2369" t="s">
        <v>14</v>
      </c>
      <c r="C2369">
        <v>14</v>
      </c>
      <c r="D2369">
        <v>1007</v>
      </c>
      <c r="E2369" t="s">
        <v>16</v>
      </c>
      <c r="F2369">
        <v>40</v>
      </c>
      <c r="G2369">
        <v>3650</v>
      </c>
      <c r="H2369">
        <v>146000</v>
      </c>
      <c r="I2369" s="3">
        <v>45313.291666666664</v>
      </c>
      <c r="J2369">
        <v>84</v>
      </c>
      <c r="K2369" s="3">
        <v>45316.291666666664</v>
      </c>
      <c r="L2369" s="4">
        <f>ROUNDDOWN(Table1[[#This Row],[Ordered]],0)</f>
        <v>45313</v>
      </c>
      <c r="M2369" s="4">
        <f>Table1[[#This Row],[Date ]]</f>
        <v>45313</v>
      </c>
      <c r="N2369" s="5">
        <f>Table1[[#This Row],[Ordered]]-Table1[[#This Row],[Date ]]</f>
        <v>0.29166666666424135</v>
      </c>
      <c r="O2369">
        <f>Table1[[#This Row],[Company]]</f>
        <v>14</v>
      </c>
      <c r="P23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0" spans="1:16" x14ac:dyDescent="0.45">
      <c r="A2370" s="3">
        <v>45313.333333333336</v>
      </c>
      <c r="B2370" t="s">
        <v>0</v>
      </c>
      <c r="C2370">
        <v>13</v>
      </c>
      <c r="D2370">
        <v>2001</v>
      </c>
      <c r="E2370" t="s">
        <v>15</v>
      </c>
      <c r="F2370">
        <v>30</v>
      </c>
      <c r="G2370">
        <v>6000</v>
      </c>
      <c r="H2370">
        <v>180000</v>
      </c>
      <c r="I2370" s="3">
        <v>45314.125</v>
      </c>
      <c r="J2370">
        <v>132</v>
      </c>
      <c r="K2370" s="3">
        <v>45318.625</v>
      </c>
      <c r="L2370" s="4">
        <f>ROUNDDOWN(Table1[[#This Row],[Ordered]],0)</f>
        <v>45313</v>
      </c>
      <c r="M2370" s="4">
        <f>Table1[[#This Row],[Date ]]</f>
        <v>45313</v>
      </c>
      <c r="N2370" s="5">
        <f>Table1[[#This Row],[Ordered]]-Table1[[#This Row],[Date ]]</f>
        <v>0.33333333333575865</v>
      </c>
      <c r="O2370">
        <f>Table1[[#This Row],[Company]]</f>
        <v>13</v>
      </c>
      <c r="P23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1" spans="1:16" x14ac:dyDescent="0.45">
      <c r="A2371" s="3">
        <v>45313.333333333336</v>
      </c>
      <c r="B2371" t="s">
        <v>14</v>
      </c>
      <c r="C2371">
        <v>13</v>
      </c>
      <c r="D2371">
        <v>1004</v>
      </c>
      <c r="E2371" t="s">
        <v>15</v>
      </c>
      <c r="F2371">
        <v>13</v>
      </c>
      <c r="G2371">
        <v>6000</v>
      </c>
      <c r="H2371">
        <v>78000</v>
      </c>
      <c r="I2371" s="3">
        <v>45314.125</v>
      </c>
      <c r="J2371">
        <v>96</v>
      </c>
      <c r="K2371" s="3">
        <v>45317.125</v>
      </c>
      <c r="L2371" s="4">
        <f>ROUNDDOWN(Table1[[#This Row],[Ordered]],0)</f>
        <v>45313</v>
      </c>
      <c r="M2371" s="4">
        <f>Table1[[#This Row],[Date ]]</f>
        <v>45313</v>
      </c>
      <c r="N2371" s="5">
        <f>Table1[[#This Row],[Ordered]]-Table1[[#This Row],[Date ]]</f>
        <v>0.33333333333575865</v>
      </c>
      <c r="O2371">
        <f>Table1[[#This Row],[Company]]</f>
        <v>13</v>
      </c>
      <c r="P23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2" spans="1:16" x14ac:dyDescent="0.45">
      <c r="A2372" s="3">
        <v>45313.333333333336</v>
      </c>
      <c r="B2372" t="s">
        <v>0</v>
      </c>
      <c r="C2372">
        <v>12</v>
      </c>
      <c r="D2372">
        <v>2001</v>
      </c>
      <c r="E2372" t="s">
        <v>16</v>
      </c>
      <c r="F2372">
        <v>30</v>
      </c>
      <c r="G2372">
        <v>3850</v>
      </c>
      <c r="H2372">
        <v>115500</v>
      </c>
      <c r="I2372" s="3">
        <v>45313.875</v>
      </c>
      <c r="J2372">
        <v>120</v>
      </c>
      <c r="K2372" s="3">
        <v>45318.375</v>
      </c>
      <c r="L2372" s="4">
        <f>ROUNDDOWN(Table1[[#This Row],[Ordered]],0)</f>
        <v>45313</v>
      </c>
      <c r="M2372" s="4">
        <f>Table1[[#This Row],[Date ]]</f>
        <v>45313</v>
      </c>
      <c r="N2372" s="5">
        <f>Table1[[#This Row],[Ordered]]-Table1[[#This Row],[Date ]]</f>
        <v>0.33333333333575865</v>
      </c>
      <c r="O2372">
        <f>Table1[[#This Row],[Company]]</f>
        <v>12</v>
      </c>
      <c r="P23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3" spans="1:16" x14ac:dyDescent="0.45">
      <c r="A2373" s="3">
        <v>45313.333333333336</v>
      </c>
      <c r="B2373" t="s">
        <v>0</v>
      </c>
      <c r="C2373">
        <v>16</v>
      </c>
      <c r="D2373">
        <v>2001</v>
      </c>
      <c r="E2373" t="s">
        <v>15</v>
      </c>
      <c r="F2373">
        <v>30</v>
      </c>
      <c r="G2373">
        <v>6050</v>
      </c>
      <c r="H2373">
        <v>181500</v>
      </c>
      <c r="I2373" s="3">
        <v>45314.958333333336</v>
      </c>
      <c r="J2373">
        <v>132</v>
      </c>
      <c r="K2373" s="3">
        <v>45317.958333333336</v>
      </c>
      <c r="L2373" s="4">
        <f>ROUNDDOWN(Table1[[#This Row],[Ordered]],0)</f>
        <v>45313</v>
      </c>
      <c r="M2373" s="4">
        <f>Table1[[#This Row],[Date ]]</f>
        <v>45313</v>
      </c>
      <c r="N2373" s="5">
        <f>Table1[[#This Row],[Ordered]]-Table1[[#This Row],[Date ]]</f>
        <v>0.33333333333575865</v>
      </c>
      <c r="O2373">
        <f>Table1[[#This Row],[Company]]</f>
        <v>16</v>
      </c>
      <c r="P23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4" spans="1:16" x14ac:dyDescent="0.45">
      <c r="A2374" s="3">
        <v>45313.333333333336</v>
      </c>
      <c r="B2374" t="s">
        <v>0</v>
      </c>
      <c r="C2374">
        <v>7</v>
      </c>
      <c r="D2374">
        <v>2001</v>
      </c>
      <c r="E2374" t="s">
        <v>15</v>
      </c>
      <c r="F2374">
        <v>14</v>
      </c>
      <c r="G2374">
        <v>7000</v>
      </c>
      <c r="H2374">
        <v>98000</v>
      </c>
      <c r="I2374" s="3">
        <v>45314.833333333336</v>
      </c>
      <c r="J2374">
        <v>132</v>
      </c>
      <c r="K2374" s="3">
        <v>45319.333333333336</v>
      </c>
      <c r="L2374" s="4">
        <f>ROUNDDOWN(Table1[[#This Row],[Ordered]],0)</f>
        <v>45313</v>
      </c>
      <c r="M2374" s="4">
        <f>Table1[[#This Row],[Date ]]</f>
        <v>45313</v>
      </c>
      <c r="N2374" s="5">
        <f>Table1[[#This Row],[Ordered]]-Table1[[#This Row],[Date ]]</f>
        <v>0.33333333333575865</v>
      </c>
      <c r="O2374">
        <f>Table1[[#This Row],[Company]]</f>
        <v>7</v>
      </c>
      <c r="P23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5" spans="1:16" x14ac:dyDescent="0.45">
      <c r="A2375" s="3">
        <v>45313.333333333336</v>
      </c>
      <c r="B2375" t="s">
        <v>0</v>
      </c>
      <c r="C2375">
        <v>9</v>
      </c>
      <c r="D2375">
        <v>2001</v>
      </c>
      <c r="E2375" t="s">
        <v>15</v>
      </c>
      <c r="F2375">
        <v>21</v>
      </c>
      <c r="G2375">
        <v>6585</v>
      </c>
      <c r="H2375">
        <v>138285</v>
      </c>
      <c r="I2375" s="3">
        <v>45313.833333333336</v>
      </c>
      <c r="J2375">
        <v>132</v>
      </c>
      <c r="K2375" s="3">
        <v>45318.333333333336</v>
      </c>
      <c r="L2375" s="4">
        <f>ROUNDDOWN(Table1[[#This Row],[Ordered]],0)</f>
        <v>45313</v>
      </c>
      <c r="M2375" s="4">
        <f>Table1[[#This Row],[Date ]]</f>
        <v>45313</v>
      </c>
      <c r="N2375" s="5">
        <f>Table1[[#This Row],[Ordered]]-Table1[[#This Row],[Date ]]</f>
        <v>0.33333333333575865</v>
      </c>
      <c r="O2375">
        <f>Table1[[#This Row],[Company]]</f>
        <v>9</v>
      </c>
      <c r="P23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6" spans="1:16" x14ac:dyDescent="0.45">
      <c r="A2376" s="3">
        <v>45313.333333333336</v>
      </c>
      <c r="B2376" t="s">
        <v>14</v>
      </c>
      <c r="C2376">
        <v>12</v>
      </c>
      <c r="D2376">
        <v>1011</v>
      </c>
      <c r="E2376" t="s">
        <v>15</v>
      </c>
      <c r="F2376">
        <v>6</v>
      </c>
      <c r="G2376">
        <v>6750</v>
      </c>
      <c r="H2376">
        <v>40500</v>
      </c>
      <c r="I2376" s="3">
        <v>45315.416666666664</v>
      </c>
      <c r="J2376">
        <v>96</v>
      </c>
      <c r="K2376" s="3">
        <v>45316.416666666664</v>
      </c>
      <c r="L2376" s="4">
        <f>ROUNDDOWN(Table1[[#This Row],[Ordered]],0)</f>
        <v>45313</v>
      </c>
      <c r="M2376" s="4">
        <f>Table1[[#This Row],[Date ]]</f>
        <v>45313</v>
      </c>
      <c r="N2376" s="5">
        <f>Table1[[#This Row],[Ordered]]-Table1[[#This Row],[Date ]]</f>
        <v>0.33333333333575865</v>
      </c>
      <c r="O2376">
        <f>Table1[[#This Row],[Company]]</f>
        <v>12</v>
      </c>
      <c r="P23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7" spans="1:16" x14ac:dyDescent="0.45">
      <c r="A2377" s="3">
        <v>45313.333333333336</v>
      </c>
      <c r="B2377" t="s">
        <v>0</v>
      </c>
      <c r="C2377">
        <v>12</v>
      </c>
      <c r="D2377">
        <v>2001</v>
      </c>
      <c r="E2377" t="s">
        <v>15</v>
      </c>
      <c r="F2377">
        <v>24</v>
      </c>
      <c r="G2377">
        <v>6800</v>
      </c>
      <c r="H2377">
        <v>163200</v>
      </c>
      <c r="I2377" s="3">
        <v>45315.541666666664</v>
      </c>
      <c r="J2377">
        <v>120</v>
      </c>
      <c r="K2377" s="3">
        <v>45317.041666666664</v>
      </c>
      <c r="L2377" s="4">
        <f>ROUNDDOWN(Table1[[#This Row],[Ordered]],0)</f>
        <v>45313</v>
      </c>
      <c r="M2377" s="4">
        <f>Table1[[#This Row],[Date ]]</f>
        <v>45313</v>
      </c>
      <c r="N2377" s="5">
        <f>Table1[[#This Row],[Ordered]]-Table1[[#This Row],[Date ]]</f>
        <v>0.33333333333575865</v>
      </c>
      <c r="O2377">
        <f>Table1[[#This Row],[Company]]</f>
        <v>12</v>
      </c>
      <c r="P23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8" spans="1:16" x14ac:dyDescent="0.45">
      <c r="A2378" s="3">
        <v>45313.333333333336</v>
      </c>
      <c r="B2378" t="s">
        <v>0</v>
      </c>
      <c r="C2378">
        <v>13</v>
      </c>
      <c r="D2378">
        <v>2001</v>
      </c>
      <c r="E2378" t="s">
        <v>16</v>
      </c>
      <c r="F2378">
        <v>30</v>
      </c>
      <c r="G2378">
        <v>3000</v>
      </c>
      <c r="H2378">
        <v>90000</v>
      </c>
      <c r="I2378" s="3">
        <v>45315.791666666664</v>
      </c>
      <c r="J2378">
        <v>132</v>
      </c>
      <c r="K2378" s="3">
        <v>45318.791666666664</v>
      </c>
      <c r="L2378" s="4">
        <f>ROUNDDOWN(Table1[[#This Row],[Ordered]],0)</f>
        <v>45313</v>
      </c>
      <c r="M2378" s="4">
        <f>Table1[[#This Row],[Date ]]</f>
        <v>45313</v>
      </c>
      <c r="N2378" s="5">
        <f>Table1[[#This Row],[Ordered]]-Table1[[#This Row],[Date ]]</f>
        <v>0.33333333333575865</v>
      </c>
      <c r="O2378">
        <f>Table1[[#This Row],[Company]]</f>
        <v>13</v>
      </c>
      <c r="P23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9" spans="1:16" x14ac:dyDescent="0.45">
      <c r="A2379" s="3">
        <v>45313.333333333336</v>
      </c>
      <c r="B2379" t="s">
        <v>14</v>
      </c>
      <c r="C2379">
        <v>13</v>
      </c>
      <c r="D2379">
        <v>1011</v>
      </c>
      <c r="E2379" t="s">
        <v>15</v>
      </c>
      <c r="F2379">
        <v>10</v>
      </c>
      <c r="G2379">
        <v>6000</v>
      </c>
      <c r="H2379">
        <v>60000</v>
      </c>
      <c r="I2379" s="3">
        <v>45314</v>
      </c>
      <c r="J2379">
        <v>96</v>
      </c>
      <c r="K2379" s="3">
        <v>45317.083333333336</v>
      </c>
      <c r="L2379" s="4">
        <f>ROUNDDOWN(Table1[[#This Row],[Ordered]],0)</f>
        <v>45313</v>
      </c>
      <c r="M2379" s="4">
        <f>Table1[[#This Row],[Date ]]</f>
        <v>45313</v>
      </c>
      <c r="N2379" s="5">
        <f>Table1[[#This Row],[Ordered]]-Table1[[#This Row],[Date ]]</f>
        <v>0.33333333333575865</v>
      </c>
      <c r="O2379">
        <f>Table1[[#This Row],[Company]]</f>
        <v>13</v>
      </c>
      <c r="P23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0" spans="1:16" x14ac:dyDescent="0.45">
      <c r="A2380" s="3">
        <v>45313.333333333336</v>
      </c>
      <c r="B2380" t="s">
        <v>14</v>
      </c>
      <c r="C2380">
        <v>16</v>
      </c>
      <c r="D2380">
        <v>1011</v>
      </c>
      <c r="E2380" t="s">
        <v>15</v>
      </c>
      <c r="F2380">
        <v>9</v>
      </c>
      <c r="G2380">
        <v>6050</v>
      </c>
      <c r="H2380">
        <v>54450</v>
      </c>
      <c r="I2380" s="3">
        <v>45313.958333333336</v>
      </c>
      <c r="J2380">
        <v>96</v>
      </c>
      <c r="K2380" s="3">
        <v>45317</v>
      </c>
      <c r="L2380" s="4">
        <f>ROUNDDOWN(Table1[[#This Row],[Ordered]],0)</f>
        <v>45313</v>
      </c>
      <c r="M2380" s="4">
        <f>Table1[[#This Row],[Date ]]</f>
        <v>45313</v>
      </c>
      <c r="N2380" s="5">
        <f>Table1[[#This Row],[Ordered]]-Table1[[#This Row],[Date ]]</f>
        <v>0.33333333333575865</v>
      </c>
      <c r="O2380">
        <f>Table1[[#This Row],[Company]]</f>
        <v>16</v>
      </c>
      <c r="P23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1" spans="1:16" x14ac:dyDescent="0.45">
      <c r="A2381" s="3">
        <v>45313.333333333336</v>
      </c>
      <c r="B2381" t="s">
        <v>0</v>
      </c>
      <c r="C2381">
        <v>8</v>
      </c>
      <c r="D2381">
        <v>2001</v>
      </c>
      <c r="E2381" t="s">
        <v>16</v>
      </c>
      <c r="F2381">
        <v>30</v>
      </c>
      <c r="G2381">
        <v>3889</v>
      </c>
      <c r="H2381">
        <v>116670</v>
      </c>
      <c r="I2381" s="3">
        <v>45313.958333333336</v>
      </c>
      <c r="J2381">
        <v>132</v>
      </c>
      <c r="K2381" s="3">
        <v>45318.458333333336</v>
      </c>
      <c r="L2381" s="4">
        <f>ROUNDDOWN(Table1[[#This Row],[Ordered]],0)</f>
        <v>45313</v>
      </c>
      <c r="M2381" s="4">
        <f>Table1[[#This Row],[Date ]]</f>
        <v>45313</v>
      </c>
      <c r="N2381" s="5">
        <f>Table1[[#This Row],[Ordered]]-Table1[[#This Row],[Date ]]</f>
        <v>0.33333333333575865</v>
      </c>
      <c r="O2381">
        <f>Table1[[#This Row],[Company]]</f>
        <v>8</v>
      </c>
      <c r="P23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2" spans="1:16" x14ac:dyDescent="0.45">
      <c r="A2382" s="3">
        <v>45313.333333333336</v>
      </c>
      <c r="B2382" t="s">
        <v>0</v>
      </c>
      <c r="C2382">
        <v>7</v>
      </c>
      <c r="D2382">
        <v>2001</v>
      </c>
      <c r="E2382" t="s">
        <v>16</v>
      </c>
      <c r="F2382">
        <v>44</v>
      </c>
      <c r="G2382">
        <v>3900</v>
      </c>
      <c r="H2382">
        <v>171600</v>
      </c>
      <c r="I2382" s="3">
        <v>45313.916666666664</v>
      </c>
      <c r="J2382">
        <v>132</v>
      </c>
      <c r="K2382" s="3">
        <v>45318.416666666664</v>
      </c>
      <c r="L2382" s="4">
        <f>ROUNDDOWN(Table1[[#This Row],[Ordered]],0)</f>
        <v>45313</v>
      </c>
      <c r="M2382" s="4">
        <f>Table1[[#This Row],[Date ]]</f>
        <v>45313</v>
      </c>
      <c r="N2382" s="5">
        <f>Table1[[#This Row],[Ordered]]-Table1[[#This Row],[Date ]]</f>
        <v>0.33333333333575865</v>
      </c>
      <c r="O2382">
        <f>Table1[[#This Row],[Company]]</f>
        <v>7</v>
      </c>
      <c r="P23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3" spans="1:16" x14ac:dyDescent="0.45">
      <c r="A2383" s="3">
        <v>45313.333333333336</v>
      </c>
      <c r="B2383" t="s">
        <v>0</v>
      </c>
      <c r="C2383">
        <v>11</v>
      </c>
      <c r="D2383">
        <v>2001</v>
      </c>
      <c r="E2383" t="s">
        <v>16</v>
      </c>
      <c r="F2383">
        <v>40</v>
      </c>
      <c r="G2383">
        <v>4000</v>
      </c>
      <c r="H2383">
        <v>160000</v>
      </c>
      <c r="I2383" s="3">
        <v>45313.75</v>
      </c>
      <c r="J2383">
        <v>132</v>
      </c>
      <c r="K2383" s="3">
        <v>45318.25</v>
      </c>
      <c r="L2383" s="4">
        <f>ROUNDDOWN(Table1[[#This Row],[Ordered]],0)</f>
        <v>45313</v>
      </c>
      <c r="M2383" s="4">
        <f>Table1[[#This Row],[Date ]]</f>
        <v>45313</v>
      </c>
      <c r="N2383" s="5">
        <f>Table1[[#This Row],[Ordered]]-Table1[[#This Row],[Date ]]</f>
        <v>0.33333333333575865</v>
      </c>
      <c r="O2383">
        <f>Table1[[#This Row],[Company]]</f>
        <v>11</v>
      </c>
      <c r="P23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4" spans="1:16" x14ac:dyDescent="0.45">
      <c r="A2384" s="3">
        <v>45313.333333333336</v>
      </c>
      <c r="B2384" t="s">
        <v>0</v>
      </c>
      <c r="C2384">
        <v>16</v>
      </c>
      <c r="D2384">
        <v>2001</v>
      </c>
      <c r="E2384" t="s">
        <v>16</v>
      </c>
      <c r="F2384">
        <v>30</v>
      </c>
      <c r="G2384">
        <v>3750</v>
      </c>
      <c r="H2384">
        <v>112500</v>
      </c>
      <c r="I2384" s="3">
        <v>45313.958333333336</v>
      </c>
      <c r="J2384">
        <v>132</v>
      </c>
      <c r="K2384" s="3">
        <v>45318.458333333336</v>
      </c>
      <c r="L2384" s="4">
        <f>ROUNDDOWN(Table1[[#This Row],[Ordered]],0)</f>
        <v>45313</v>
      </c>
      <c r="M2384" s="4">
        <f>Table1[[#This Row],[Date ]]</f>
        <v>45313</v>
      </c>
      <c r="N2384" s="5">
        <f>Table1[[#This Row],[Ordered]]-Table1[[#This Row],[Date ]]</f>
        <v>0.33333333333575865</v>
      </c>
      <c r="O2384">
        <f>Table1[[#This Row],[Company]]</f>
        <v>16</v>
      </c>
      <c r="P23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5" spans="1:16" x14ac:dyDescent="0.45">
      <c r="A2385" s="3">
        <v>45313.333333333336</v>
      </c>
      <c r="B2385" t="s">
        <v>0</v>
      </c>
      <c r="C2385">
        <v>15</v>
      </c>
      <c r="D2385">
        <v>2001</v>
      </c>
      <c r="E2385" t="s">
        <v>16</v>
      </c>
      <c r="F2385">
        <v>45</v>
      </c>
      <c r="G2385">
        <v>4100</v>
      </c>
      <c r="H2385">
        <v>184500</v>
      </c>
      <c r="I2385" s="3">
        <v>45313.333333333336</v>
      </c>
      <c r="J2385">
        <v>48</v>
      </c>
      <c r="K2385" s="3">
        <v>45314.833333333336</v>
      </c>
      <c r="L2385" s="4">
        <f>ROUNDDOWN(Table1[[#This Row],[Ordered]],0)</f>
        <v>45313</v>
      </c>
      <c r="M2385" s="4">
        <f>Table1[[#This Row],[Date ]]</f>
        <v>45313</v>
      </c>
      <c r="N2385" s="5">
        <f>Table1[[#This Row],[Ordered]]-Table1[[#This Row],[Date ]]</f>
        <v>0.33333333333575865</v>
      </c>
      <c r="O2385">
        <f>Table1[[#This Row],[Company]]</f>
        <v>15</v>
      </c>
      <c r="P23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6" spans="1:16" x14ac:dyDescent="0.45">
      <c r="A2386" s="3">
        <v>45313.333333333336</v>
      </c>
      <c r="B2386" t="s">
        <v>14</v>
      </c>
      <c r="C2386">
        <v>14</v>
      </c>
      <c r="D2386">
        <v>1004</v>
      </c>
      <c r="E2386" t="s">
        <v>15</v>
      </c>
      <c r="F2386">
        <v>6</v>
      </c>
      <c r="G2386">
        <v>6650</v>
      </c>
      <c r="H2386">
        <v>39900</v>
      </c>
      <c r="I2386" s="3">
        <v>45313.333333333336</v>
      </c>
      <c r="J2386">
        <v>84</v>
      </c>
      <c r="K2386" s="3">
        <v>45316.333333333336</v>
      </c>
      <c r="L2386" s="4">
        <f>ROUNDDOWN(Table1[[#This Row],[Ordered]],0)</f>
        <v>45313</v>
      </c>
      <c r="M2386" s="4">
        <f>Table1[[#This Row],[Date ]]</f>
        <v>45313</v>
      </c>
      <c r="N2386" s="5">
        <f>Table1[[#This Row],[Ordered]]-Table1[[#This Row],[Date ]]</f>
        <v>0.33333333333575865</v>
      </c>
      <c r="O2386">
        <f>Table1[[#This Row],[Company]]</f>
        <v>14</v>
      </c>
      <c r="P23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7" spans="1:16" x14ac:dyDescent="0.45">
      <c r="A2387" s="3">
        <v>45313.333333333336</v>
      </c>
      <c r="B2387" t="s">
        <v>0</v>
      </c>
      <c r="C2387">
        <v>14</v>
      </c>
      <c r="D2387">
        <v>2001</v>
      </c>
      <c r="E2387" t="s">
        <v>15</v>
      </c>
      <c r="F2387">
        <v>18</v>
      </c>
      <c r="G2387">
        <v>6650</v>
      </c>
      <c r="H2387">
        <v>119700</v>
      </c>
      <c r="I2387" s="3">
        <v>45313.333333333336</v>
      </c>
      <c r="J2387">
        <v>120</v>
      </c>
      <c r="K2387" s="3">
        <v>45317.833333333336</v>
      </c>
      <c r="L2387" s="4">
        <f>ROUNDDOWN(Table1[[#This Row],[Ordered]],0)</f>
        <v>45313</v>
      </c>
      <c r="M2387" s="4">
        <f>Table1[[#This Row],[Date ]]</f>
        <v>45313</v>
      </c>
      <c r="N2387" s="5">
        <f>Table1[[#This Row],[Ordered]]-Table1[[#This Row],[Date ]]</f>
        <v>0.33333333333575865</v>
      </c>
      <c r="O2387">
        <f>Table1[[#This Row],[Company]]</f>
        <v>14</v>
      </c>
      <c r="P23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8" spans="1:16" x14ac:dyDescent="0.45">
      <c r="A2388" s="3">
        <v>45313.333333333336</v>
      </c>
      <c r="B2388" t="s">
        <v>14</v>
      </c>
      <c r="C2388">
        <v>11</v>
      </c>
      <c r="D2388">
        <v>1011</v>
      </c>
      <c r="E2388" t="s">
        <v>15</v>
      </c>
      <c r="F2388">
        <v>7</v>
      </c>
      <c r="G2388">
        <v>6400</v>
      </c>
      <c r="H2388">
        <v>44800</v>
      </c>
      <c r="I2388" s="3">
        <v>45313.583333333336</v>
      </c>
      <c r="J2388">
        <v>72</v>
      </c>
      <c r="K2388" s="3">
        <v>45315.583333333336</v>
      </c>
      <c r="L2388" s="4">
        <f>ROUNDDOWN(Table1[[#This Row],[Ordered]],0)</f>
        <v>45313</v>
      </c>
      <c r="M2388" s="4">
        <f>Table1[[#This Row],[Date ]]</f>
        <v>45313</v>
      </c>
      <c r="N2388" s="5">
        <f>Table1[[#This Row],[Ordered]]-Table1[[#This Row],[Date ]]</f>
        <v>0.33333333333575865</v>
      </c>
      <c r="O2388">
        <f>Table1[[#This Row],[Company]]</f>
        <v>11</v>
      </c>
      <c r="P23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9" spans="1:16" x14ac:dyDescent="0.45">
      <c r="A2389" s="3">
        <v>45313.333333333336</v>
      </c>
      <c r="B2389" t="s">
        <v>0</v>
      </c>
      <c r="C2389">
        <v>15</v>
      </c>
      <c r="D2389">
        <v>2001</v>
      </c>
      <c r="E2389" t="s">
        <v>15</v>
      </c>
      <c r="F2389">
        <v>42</v>
      </c>
      <c r="G2389">
        <v>6400</v>
      </c>
      <c r="H2389">
        <v>268800</v>
      </c>
      <c r="I2389" s="3">
        <v>45313.333333333336</v>
      </c>
      <c r="J2389">
        <v>48</v>
      </c>
      <c r="K2389" s="3">
        <v>45314.833333333336</v>
      </c>
      <c r="L2389" s="4">
        <f>ROUNDDOWN(Table1[[#This Row],[Ordered]],0)</f>
        <v>45313</v>
      </c>
      <c r="M2389" s="4">
        <f>Table1[[#This Row],[Date ]]</f>
        <v>45313</v>
      </c>
      <c r="N2389" s="5">
        <f>Table1[[#This Row],[Ordered]]-Table1[[#This Row],[Date ]]</f>
        <v>0.33333333333575865</v>
      </c>
      <c r="O2389">
        <f>Table1[[#This Row],[Company]]</f>
        <v>15</v>
      </c>
      <c r="P23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0" spans="1:16" x14ac:dyDescent="0.45">
      <c r="A2390" s="3">
        <v>45313.333333333336</v>
      </c>
      <c r="B2390" t="s">
        <v>0</v>
      </c>
      <c r="C2390">
        <v>11</v>
      </c>
      <c r="D2390">
        <v>2001</v>
      </c>
      <c r="E2390" t="s">
        <v>15</v>
      </c>
      <c r="F2390">
        <v>10</v>
      </c>
      <c r="G2390">
        <v>6800</v>
      </c>
      <c r="H2390">
        <v>68000</v>
      </c>
      <c r="I2390" s="3">
        <v>45313.333333333336</v>
      </c>
      <c r="J2390">
        <v>84</v>
      </c>
      <c r="K2390" s="3">
        <v>45316.333333333336</v>
      </c>
      <c r="L2390" s="4">
        <f>ROUNDDOWN(Table1[[#This Row],[Ordered]],0)</f>
        <v>45313</v>
      </c>
      <c r="M2390" s="4">
        <f>Table1[[#This Row],[Date ]]</f>
        <v>45313</v>
      </c>
      <c r="N2390" s="5">
        <f>Table1[[#This Row],[Ordered]]-Table1[[#This Row],[Date ]]</f>
        <v>0.33333333333575865</v>
      </c>
      <c r="O2390">
        <f>Table1[[#This Row],[Company]]</f>
        <v>11</v>
      </c>
      <c r="P23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1" spans="1:16" x14ac:dyDescent="0.45">
      <c r="A2391" s="3">
        <v>45313.333333333336</v>
      </c>
      <c r="B2391" t="s">
        <v>0</v>
      </c>
      <c r="C2391">
        <v>10</v>
      </c>
      <c r="D2391">
        <v>2001</v>
      </c>
      <c r="E2391" t="s">
        <v>16</v>
      </c>
      <c r="F2391">
        <v>57</v>
      </c>
      <c r="G2391">
        <v>4300</v>
      </c>
      <c r="H2391">
        <v>245100</v>
      </c>
      <c r="I2391" s="3">
        <v>45313.333333333336</v>
      </c>
      <c r="J2391">
        <v>114</v>
      </c>
      <c r="K2391" s="3">
        <v>45317.833333333336</v>
      </c>
      <c r="L2391" s="4">
        <f>ROUNDDOWN(Table1[[#This Row],[Ordered]],0)</f>
        <v>45313</v>
      </c>
      <c r="M2391" s="4">
        <f>Table1[[#This Row],[Date ]]</f>
        <v>45313</v>
      </c>
      <c r="N2391" s="5">
        <f>Table1[[#This Row],[Ordered]]-Table1[[#This Row],[Date ]]</f>
        <v>0.33333333333575865</v>
      </c>
      <c r="O2391">
        <f>Table1[[#This Row],[Company]]</f>
        <v>10</v>
      </c>
      <c r="P23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2" spans="1:16" x14ac:dyDescent="0.45">
      <c r="A2392" s="3">
        <v>45313.333333333336</v>
      </c>
      <c r="B2392" t="s">
        <v>0</v>
      </c>
      <c r="C2392">
        <v>9</v>
      </c>
      <c r="D2392">
        <v>2001</v>
      </c>
      <c r="E2392" t="s">
        <v>16</v>
      </c>
      <c r="F2392">
        <v>30</v>
      </c>
      <c r="G2392">
        <v>3799</v>
      </c>
      <c r="H2392">
        <v>113970</v>
      </c>
      <c r="I2392" s="3">
        <v>45313.333333333336</v>
      </c>
      <c r="J2392">
        <v>112</v>
      </c>
      <c r="K2392" s="3">
        <v>45317.833333333336</v>
      </c>
      <c r="L2392" s="4">
        <f>ROUNDDOWN(Table1[[#This Row],[Ordered]],0)</f>
        <v>45313</v>
      </c>
      <c r="M2392" s="4">
        <f>Table1[[#This Row],[Date ]]</f>
        <v>45313</v>
      </c>
      <c r="N2392" s="5">
        <f>Table1[[#This Row],[Ordered]]-Table1[[#This Row],[Date ]]</f>
        <v>0.33333333333575865</v>
      </c>
      <c r="O2392">
        <f>Table1[[#This Row],[Company]]</f>
        <v>9</v>
      </c>
      <c r="P23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3" spans="1:16" x14ac:dyDescent="0.45">
      <c r="A2393" s="3">
        <v>45313.333333333336</v>
      </c>
      <c r="B2393" t="s">
        <v>14</v>
      </c>
      <c r="C2393">
        <v>15</v>
      </c>
      <c r="D2393">
        <v>1004</v>
      </c>
      <c r="E2393" t="s">
        <v>15</v>
      </c>
      <c r="F2393">
        <v>14</v>
      </c>
      <c r="G2393">
        <v>6400</v>
      </c>
      <c r="H2393">
        <v>89600</v>
      </c>
      <c r="I2393" s="3">
        <v>45313.458333333336</v>
      </c>
      <c r="J2393">
        <v>64</v>
      </c>
      <c r="K2393" s="3">
        <v>45315.458333333336</v>
      </c>
      <c r="L2393" s="4">
        <f>ROUNDDOWN(Table1[[#This Row],[Ordered]],0)</f>
        <v>45313</v>
      </c>
      <c r="M2393" s="4">
        <f>Table1[[#This Row],[Date ]]</f>
        <v>45313</v>
      </c>
      <c r="N2393" s="5">
        <f>Table1[[#This Row],[Ordered]]-Table1[[#This Row],[Date ]]</f>
        <v>0.33333333333575865</v>
      </c>
      <c r="O2393">
        <f>Table1[[#This Row],[Company]]</f>
        <v>15</v>
      </c>
      <c r="P23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4" spans="1:16" x14ac:dyDescent="0.45">
      <c r="A2394" s="3">
        <v>45313.333333333336</v>
      </c>
      <c r="B2394" t="s">
        <v>0</v>
      </c>
      <c r="C2394">
        <v>14</v>
      </c>
      <c r="D2394">
        <v>2001</v>
      </c>
      <c r="E2394" t="s">
        <v>16</v>
      </c>
      <c r="F2394">
        <v>30</v>
      </c>
      <c r="G2394">
        <v>4000</v>
      </c>
      <c r="H2394">
        <v>120000</v>
      </c>
      <c r="I2394" s="3">
        <v>45313.458333333336</v>
      </c>
      <c r="J2394">
        <v>84</v>
      </c>
      <c r="K2394" s="3">
        <v>45316.458333333336</v>
      </c>
      <c r="L2394" s="4">
        <f>ROUNDDOWN(Table1[[#This Row],[Ordered]],0)</f>
        <v>45313</v>
      </c>
      <c r="M2394" s="4">
        <f>Table1[[#This Row],[Date ]]</f>
        <v>45313</v>
      </c>
      <c r="N2394" s="5">
        <f>Table1[[#This Row],[Ordered]]-Table1[[#This Row],[Date ]]</f>
        <v>0.33333333333575865</v>
      </c>
      <c r="O2394">
        <f>Table1[[#This Row],[Company]]</f>
        <v>14</v>
      </c>
      <c r="P23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5" spans="1:16" x14ac:dyDescent="0.45">
      <c r="A2395" s="3">
        <v>45313.333333333336</v>
      </c>
      <c r="B2395" t="s">
        <v>14</v>
      </c>
      <c r="C2395">
        <v>15</v>
      </c>
      <c r="D2395">
        <v>1011</v>
      </c>
      <c r="E2395" t="s">
        <v>15</v>
      </c>
      <c r="F2395">
        <v>11</v>
      </c>
      <c r="G2395">
        <v>6400</v>
      </c>
      <c r="H2395">
        <v>70400</v>
      </c>
      <c r="I2395" s="3">
        <v>45313.375</v>
      </c>
      <c r="J2395">
        <v>64</v>
      </c>
      <c r="K2395" s="3">
        <v>45315.375</v>
      </c>
      <c r="L2395" s="4">
        <f>ROUNDDOWN(Table1[[#This Row],[Ordered]],0)</f>
        <v>45313</v>
      </c>
      <c r="M2395" s="4">
        <f>Table1[[#This Row],[Date ]]</f>
        <v>45313</v>
      </c>
      <c r="N2395" s="5">
        <f>Table1[[#This Row],[Ordered]]-Table1[[#This Row],[Date ]]</f>
        <v>0.33333333333575865</v>
      </c>
      <c r="O2395">
        <f>Table1[[#This Row],[Company]]</f>
        <v>15</v>
      </c>
      <c r="P23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6" spans="1:16" hidden="1" x14ac:dyDescent="0.45">
      <c r="A2396" s="3">
        <v>45313.458333333336</v>
      </c>
      <c r="B2396" t="s">
        <v>12</v>
      </c>
      <c r="C2396">
        <v>3</v>
      </c>
      <c r="D2396">
        <v>10</v>
      </c>
      <c r="E2396" t="s">
        <v>13</v>
      </c>
      <c r="F2396">
        <v>5000</v>
      </c>
      <c r="G2396">
        <v>125</v>
      </c>
      <c r="H2396">
        <v>625000</v>
      </c>
      <c r="I2396" s="3">
        <v>45313.5</v>
      </c>
      <c r="J2396">
        <v>72</v>
      </c>
      <c r="K2396" s="3">
        <v>45316.5</v>
      </c>
      <c r="L2396" s="4">
        <f>ROUNDDOWN(Table1[[#This Row],[Ordered]],0)</f>
        <v>45313</v>
      </c>
      <c r="M2396" s="4">
        <f>Table1[[#This Row],[Date ]]</f>
        <v>45313</v>
      </c>
      <c r="N2396" s="5">
        <f>Table1[[#This Row],[Ordered]]-Table1[[#This Row],[Date ]]</f>
        <v>0.45833333333575865</v>
      </c>
      <c r="O2396">
        <f>Table1[[#This Row],[Company]]</f>
        <v>3</v>
      </c>
      <c r="P23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7" spans="1:16" hidden="1" x14ac:dyDescent="0.45">
      <c r="A2397" s="3">
        <v>45313.458333333336</v>
      </c>
      <c r="B2397" t="s">
        <v>12</v>
      </c>
      <c r="C2397">
        <v>4</v>
      </c>
      <c r="D2397">
        <v>9</v>
      </c>
      <c r="E2397" t="s">
        <v>13</v>
      </c>
      <c r="F2397">
        <v>1800</v>
      </c>
      <c r="G2397">
        <v>110</v>
      </c>
      <c r="H2397">
        <v>198000</v>
      </c>
      <c r="I2397" s="3">
        <v>45313.5</v>
      </c>
      <c r="J2397">
        <v>48</v>
      </c>
      <c r="K2397" s="3">
        <v>45315.5</v>
      </c>
      <c r="L2397" s="4">
        <f>ROUNDDOWN(Table1[[#This Row],[Ordered]],0)</f>
        <v>45313</v>
      </c>
      <c r="M2397" s="4">
        <f>Table1[[#This Row],[Date ]]</f>
        <v>45313</v>
      </c>
      <c r="N2397" s="5">
        <f>Table1[[#This Row],[Ordered]]-Table1[[#This Row],[Date ]]</f>
        <v>0.45833333333575865</v>
      </c>
      <c r="O2397">
        <f>Table1[[#This Row],[Company]]</f>
        <v>4</v>
      </c>
      <c r="P23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8" spans="1:16" x14ac:dyDescent="0.45">
      <c r="A2398" s="3">
        <v>45313.5</v>
      </c>
      <c r="B2398" t="s">
        <v>14</v>
      </c>
      <c r="C2398">
        <v>7</v>
      </c>
      <c r="D2398">
        <v>1010</v>
      </c>
      <c r="E2398" t="s">
        <v>16</v>
      </c>
      <c r="F2398">
        <v>14</v>
      </c>
      <c r="G2398">
        <v>4150</v>
      </c>
      <c r="H2398">
        <v>58100</v>
      </c>
      <c r="I2398" s="3">
        <v>45313.583333333336</v>
      </c>
      <c r="J2398">
        <v>96</v>
      </c>
      <c r="K2398" s="3">
        <v>45316.583333333336</v>
      </c>
      <c r="L2398" s="4">
        <f>ROUNDDOWN(Table1[[#This Row],[Ordered]],0)</f>
        <v>45313</v>
      </c>
      <c r="M2398" s="4">
        <f>Table1[[#This Row],[Date ]]</f>
        <v>45313</v>
      </c>
      <c r="N2398" s="5">
        <f>Table1[[#This Row],[Ordered]]-Table1[[#This Row],[Date ]]</f>
        <v>0.5</v>
      </c>
      <c r="O2398">
        <f>Table1[[#This Row],[Company]]</f>
        <v>7</v>
      </c>
      <c r="P23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9" spans="1:16" x14ac:dyDescent="0.45">
      <c r="A2399" s="3">
        <v>45313.5</v>
      </c>
      <c r="B2399" t="s">
        <v>14</v>
      </c>
      <c r="C2399">
        <v>15</v>
      </c>
      <c r="D2399">
        <v>1010</v>
      </c>
      <c r="E2399" t="s">
        <v>16</v>
      </c>
      <c r="F2399">
        <v>49</v>
      </c>
      <c r="G2399">
        <v>3450</v>
      </c>
      <c r="H2399">
        <v>169050</v>
      </c>
      <c r="I2399" s="3">
        <v>45313.625</v>
      </c>
      <c r="J2399">
        <v>88</v>
      </c>
      <c r="K2399" s="3">
        <v>45316.625</v>
      </c>
      <c r="L2399" s="4">
        <f>ROUNDDOWN(Table1[[#This Row],[Ordered]],0)</f>
        <v>45313</v>
      </c>
      <c r="M2399" s="4">
        <f>Table1[[#This Row],[Date ]]</f>
        <v>45313</v>
      </c>
      <c r="N2399" s="5">
        <f>Table1[[#This Row],[Ordered]]-Table1[[#This Row],[Date ]]</f>
        <v>0.5</v>
      </c>
      <c r="O2399">
        <f>Table1[[#This Row],[Company]]</f>
        <v>15</v>
      </c>
      <c r="P23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0" spans="1:16" hidden="1" x14ac:dyDescent="0.45">
      <c r="A2400" s="3">
        <v>45313.5</v>
      </c>
      <c r="B2400" t="s">
        <v>12</v>
      </c>
      <c r="C2400">
        <v>2</v>
      </c>
      <c r="D2400">
        <v>15</v>
      </c>
      <c r="E2400" t="s">
        <v>13</v>
      </c>
      <c r="F2400">
        <v>3000</v>
      </c>
      <c r="G2400">
        <v>130</v>
      </c>
      <c r="H2400">
        <v>390000</v>
      </c>
      <c r="I2400" s="3">
        <v>45313.5</v>
      </c>
      <c r="J2400">
        <v>24</v>
      </c>
      <c r="K2400" s="3">
        <v>45314.5</v>
      </c>
      <c r="L2400" s="4">
        <f>ROUNDDOWN(Table1[[#This Row],[Ordered]],0)</f>
        <v>45313</v>
      </c>
      <c r="M2400" s="4">
        <f>Table1[[#This Row],[Date ]]</f>
        <v>45313</v>
      </c>
      <c r="N2400" s="5">
        <f>Table1[[#This Row],[Ordered]]-Table1[[#This Row],[Date ]]</f>
        <v>0.5</v>
      </c>
      <c r="O2400">
        <f>Table1[[#This Row],[Company]]</f>
        <v>2</v>
      </c>
      <c r="P24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1" spans="1:16" x14ac:dyDescent="0.45">
      <c r="A2401" s="3">
        <v>45313.5</v>
      </c>
      <c r="B2401" t="s">
        <v>14</v>
      </c>
      <c r="C2401">
        <v>13</v>
      </c>
      <c r="D2401">
        <v>1010</v>
      </c>
      <c r="E2401" t="s">
        <v>16</v>
      </c>
      <c r="F2401">
        <v>30</v>
      </c>
      <c r="G2401">
        <v>3100</v>
      </c>
      <c r="H2401">
        <v>93000</v>
      </c>
      <c r="I2401" s="3">
        <v>45316.166666666664</v>
      </c>
      <c r="J2401">
        <v>96</v>
      </c>
      <c r="K2401" s="3">
        <v>45317.166666666664</v>
      </c>
      <c r="L2401" s="4">
        <f>ROUNDDOWN(Table1[[#This Row],[Ordered]],0)</f>
        <v>45313</v>
      </c>
      <c r="M2401" s="4">
        <f>Table1[[#This Row],[Date ]]</f>
        <v>45313</v>
      </c>
      <c r="N2401" s="5">
        <f>Table1[[#This Row],[Ordered]]-Table1[[#This Row],[Date ]]</f>
        <v>0.5</v>
      </c>
      <c r="O2401">
        <f>Table1[[#This Row],[Company]]</f>
        <v>13</v>
      </c>
      <c r="P24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2" spans="1:16" x14ac:dyDescent="0.45">
      <c r="A2402" s="3">
        <v>45313.5</v>
      </c>
      <c r="B2402" t="s">
        <v>14</v>
      </c>
      <c r="C2402">
        <v>9</v>
      </c>
      <c r="D2402">
        <v>1010</v>
      </c>
      <c r="E2402" t="s">
        <v>16</v>
      </c>
      <c r="F2402">
        <v>15</v>
      </c>
      <c r="G2402">
        <v>3799</v>
      </c>
      <c r="H2402">
        <v>56985</v>
      </c>
      <c r="I2402" s="3">
        <v>45313.5</v>
      </c>
      <c r="J2402">
        <v>76</v>
      </c>
      <c r="K2402" s="3">
        <v>45316.5</v>
      </c>
      <c r="L2402" s="4">
        <f>ROUNDDOWN(Table1[[#This Row],[Ordered]],0)</f>
        <v>45313</v>
      </c>
      <c r="M2402" s="4">
        <f>Table1[[#This Row],[Date ]]</f>
        <v>45313</v>
      </c>
      <c r="N2402" s="5">
        <f>Table1[[#This Row],[Ordered]]-Table1[[#This Row],[Date ]]</f>
        <v>0.5</v>
      </c>
      <c r="O2402">
        <f>Table1[[#This Row],[Company]]</f>
        <v>9</v>
      </c>
      <c r="P24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3" spans="1:16" x14ac:dyDescent="0.45">
      <c r="A2403" s="3">
        <v>45313.5</v>
      </c>
      <c r="B2403" t="s">
        <v>14</v>
      </c>
      <c r="C2403">
        <v>16</v>
      </c>
      <c r="D2403">
        <v>1010</v>
      </c>
      <c r="E2403" t="s">
        <v>16</v>
      </c>
      <c r="F2403">
        <v>30</v>
      </c>
      <c r="G2403">
        <v>3750</v>
      </c>
      <c r="H2403">
        <v>112500</v>
      </c>
      <c r="I2403" s="3">
        <v>45314</v>
      </c>
      <c r="J2403">
        <v>96</v>
      </c>
      <c r="K2403" s="3">
        <v>45317</v>
      </c>
      <c r="L2403" s="4">
        <f>ROUNDDOWN(Table1[[#This Row],[Ordered]],0)</f>
        <v>45313</v>
      </c>
      <c r="M2403" s="4">
        <f>Table1[[#This Row],[Date ]]</f>
        <v>45313</v>
      </c>
      <c r="N2403" s="5">
        <f>Table1[[#This Row],[Ordered]]-Table1[[#This Row],[Date ]]</f>
        <v>0.5</v>
      </c>
      <c r="O2403">
        <f>Table1[[#This Row],[Company]]</f>
        <v>16</v>
      </c>
      <c r="P24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4" spans="1:16" x14ac:dyDescent="0.45">
      <c r="A2404" s="3">
        <v>45313.5</v>
      </c>
      <c r="B2404" t="s">
        <v>14</v>
      </c>
      <c r="C2404">
        <v>10</v>
      </c>
      <c r="D2404">
        <v>1010</v>
      </c>
      <c r="E2404" t="s">
        <v>16</v>
      </c>
      <c r="F2404">
        <v>19</v>
      </c>
      <c r="G2404">
        <v>4200</v>
      </c>
      <c r="H2404">
        <v>79800</v>
      </c>
      <c r="I2404" s="3">
        <v>45313.541666666664</v>
      </c>
      <c r="J2404">
        <v>84</v>
      </c>
      <c r="K2404" s="3">
        <v>45316.541666666664</v>
      </c>
      <c r="L2404" s="4">
        <f>ROUNDDOWN(Table1[[#This Row],[Ordered]],0)</f>
        <v>45313</v>
      </c>
      <c r="M2404" s="4">
        <f>Table1[[#This Row],[Date ]]</f>
        <v>45313</v>
      </c>
      <c r="N2404" s="5">
        <f>Table1[[#This Row],[Ordered]]-Table1[[#This Row],[Date ]]</f>
        <v>0.5</v>
      </c>
      <c r="O2404">
        <f>Table1[[#This Row],[Company]]</f>
        <v>10</v>
      </c>
      <c r="P24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5" spans="1:16" x14ac:dyDescent="0.45">
      <c r="A2405" s="3">
        <v>45313.5</v>
      </c>
      <c r="B2405" t="s">
        <v>14</v>
      </c>
      <c r="C2405">
        <v>12</v>
      </c>
      <c r="D2405">
        <v>1010</v>
      </c>
      <c r="E2405" t="s">
        <v>16</v>
      </c>
      <c r="F2405">
        <v>25</v>
      </c>
      <c r="G2405">
        <v>3800</v>
      </c>
      <c r="H2405">
        <v>95000</v>
      </c>
      <c r="I2405" s="3">
        <v>45314.708333333336</v>
      </c>
      <c r="J2405">
        <v>96</v>
      </c>
      <c r="K2405" s="3">
        <v>45316.708333333336</v>
      </c>
      <c r="L2405" s="4">
        <f>ROUNDDOWN(Table1[[#This Row],[Ordered]],0)</f>
        <v>45313</v>
      </c>
      <c r="M2405" s="4">
        <f>Table1[[#This Row],[Date ]]</f>
        <v>45313</v>
      </c>
      <c r="N2405" s="5">
        <f>Table1[[#This Row],[Ordered]]-Table1[[#This Row],[Date ]]</f>
        <v>0.5</v>
      </c>
      <c r="O2405">
        <f>Table1[[#This Row],[Company]]</f>
        <v>12</v>
      </c>
      <c r="P24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6" spans="1:16" x14ac:dyDescent="0.45">
      <c r="A2406" s="3">
        <v>45313.5</v>
      </c>
      <c r="B2406" t="s">
        <v>14</v>
      </c>
      <c r="C2406">
        <v>11</v>
      </c>
      <c r="D2406">
        <v>1010</v>
      </c>
      <c r="E2406" t="s">
        <v>16</v>
      </c>
      <c r="F2406">
        <v>22</v>
      </c>
      <c r="G2406">
        <v>4000</v>
      </c>
      <c r="H2406">
        <v>88000</v>
      </c>
      <c r="I2406" s="3">
        <v>45313.708333333336</v>
      </c>
      <c r="J2406">
        <v>96</v>
      </c>
      <c r="K2406" s="3">
        <v>45316.708333333336</v>
      </c>
      <c r="L2406" s="4">
        <f>ROUNDDOWN(Table1[[#This Row],[Ordered]],0)</f>
        <v>45313</v>
      </c>
      <c r="M2406" s="4">
        <f>Table1[[#This Row],[Date ]]</f>
        <v>45313</v>
      </c>
      <c r="N2406" s="5">
        <f>Table1[[#This Row],[Ordered]]-Table1[[#This Row],[Date ]]</f>
        <v>0.5</v>
      </c>
      <c r="O2406">
        <f>Table1[[#This Row],[Company]]</f>
        <v>11</v>
      </c>
      <c r="P24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7" spans="1:16" hidden="1" x14ac:dyDescent="0.45">
      <c r="A2407" s="3">
        <v>45313.5</v>
      </c>
      <c r="B2407" t="s">
        <v>12</v>
      </c>
      <c r="C2407">
        <v>2</v>
      </c>
      <c r="D2407">
        <v>15</v>
      </c>
      <c r="E2407" t="s">
        <v>13</v>
      </c>
      <c r="F2407">
        <v>3000</v>
      </c>
      <c r="G2407">
        <v>130</v>
      </c>
      <c r="H2407">
        <v>390000</v>
      </c>
      <c r="I2407" s="3">
        <v>45313.5</v>
      </c>
      <c r="J2407">
        <v>24</v>
      </c>
      <c r="K2407" s="3">
        <v>45314.5</v>
      </c>
      <c r="L2407" s="4">
        <f>ROUNDDOWN(Table1[[#This Row],[Ordered]],0)</f>
        <v>45313</v>
      </c>
      <c r="M2407" s="4">
        <f>Table1[[#This Row],[Date ]]</f>
        <v>45313</v>
      </c>
      <c r="N2407" s="5">
        <f>Table1[[#This Row],[Ordered]]-Table1[[#This Row],[Date ]]</f>
        <v>0.5</v>
      </c>
      <c r="O2407">
        <f>Table1[[#This Row],[Company]]</f>
        <v>2</v>
      </c>
      <c r="P24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8" spans="1:16" x14ac:dyDescent="0.45">
      <c r="A2408" s="3">
        <v>45313.5</v>
      </c>
      <c r="B2408" t="s">
        <v>14</v>
      </c>
      <c r="C2408">
        <v>14</v>
      </c>
      <c r="D2408">
        <v>1010</v>
      </c>
      <c r="E2408" t="s">
        <v>16</v>
      </c>
      <c r="F2408">
        <v>33</v>
      </c>
      <c r="G2408">
        <v>3650</v>
      </c>
      <c r="H2408">
        <v>120450</v>
      </c>
      <c r="I2408" s="3">
        <v>45313.5</v>
      </c>
      <c r="J2408">
        <v>84</v>
      </c>
      <c r="K2408" s="3">
        <v>45316.5</v>
      </c>
      <c r="L2408" s="4">
        <f>ROUNDDOWN(Table1[[#This Row],[Ordered]],0)</f>
        <v>45313</v>
      </c>
      <c r="M2408" s="4">
        <f>Table1[[#This Row],[Date ]]</f>
        <v>45313</v>
      </c>
      <c r="N2408" s="5">
        <f>Table1[[#This Row],[Ordered]]-Table1[[#This Row],[Date ]]</f>
        <v>0.5</v>
      </c>
      <c r="O2408">
        <f>Table1[[#This Row],[Company]]</f>
        <v>14</v>
      </c>
      <c r="P24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9" spans="1:16" hidden="1" x14ac:dyDescent="0.45">
      <c r="A2409" s="3">
        <v>45313.666666666664</v>
      </c>
      <c r="B2409" t="s">
        <v>12</v>
      </c>
      <c r="C2409">
        <v>2</v>
      </c>
      <c r="D2409">
        <v>7</v>
      </c>
      <c r="E2409" t="s">
        <v>17</v>
      </c>
      <c r="F2409">
        <v>500</v>
      </c>
      <c r="G2409">
        <v>1600</v>
      </c>
      <c r="H2409">
        <v>800000</v>
      </c>
      <c r="I2409" s="3">
        <v>45313.708333333336</v>
      </c>
      <c r="J2409">
        <v>24</v>
      </c>
      <c r="K2409" s="3">
        <v>45314.708333333336</v>
      </c>
      <c r="L2409" s="4">
        <f>ROUNDDOWN(Table1[[#This Row],[Ordered]],0)</f>
        <v>45313</v>
      </c>
      <c r="M2409" s="4">
        <f>Table1[[#This Row],[Date ]]</f>
        <v>45313</v>
      </c>
      <c r="N2409" s="5">
        <f>Table1[[#This Row],[Ordered]]-Table1[[#This Row],[Date ]]</f>
        <v>0.66666666666424135</v>
      </c>
      <c r="O2409">
        <f>Table1[[#This Row],[Company]]</f>
        <v>2</v>
      </c>
      <c r="P24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0" spans="1:16" hidden="1" x14ac:dyDescent="0.45">
      <c r="A2410" s="3">
        <v>45313.708333333336</v>
      </c>
      <c r="B2410" t="s">
        <v>12</v>
      </c>
      <c r="C2410">
        <v>6</v>
      </c>
      <c r="D2410">
        <v>11</v>
      </c>
      <c r="E2410" t="s">
        <v>13</v>
      </c>
      <c r="F2410">
        <v>1950</v>
      </c>
      <c r="G2410">
        <v>130</v>
      </c>
      <c r="H2410">
        <v>253500</v>
      </c>
      <c r="I2410" s="3">
        <v>45313.708333333336</v>
      </c>
      <c r="J2410">
        <v>24</v>
      </c>
      <c r="K2410" s="3">
        <v>45314.708333333336</v>
      </c>
      <c r="L2410" s="4">
        <f>ROUNDDOWN(Table1[[#This Row],[Ordered]],0)</f>
        <v>45313</v>
      </c>
      <c r="M2410" s="4">
        <f>Table1[[#This Row],[Date ]]</f>
        <v>45313</v>
      </c>
      <c r="N2410" s="5">
        <f>Table1[[#This Row],[Ordered]]-Table1[[#This Row],[Date ]]</f>
        <v>0.70833333333575865</v>
      </c>
      <c r="O2410">
        <f>Table1[[#This Row],[Company]]</f>
        <v>6</v>
      </c>
      <c r="P24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1" spans="1:16" x14ac:dyDescent="0.45">
      <c r="A2411" s="3">
        <v>45313.708333333336</v>
      </c>
      <c r="B2411" t="s">
        <v>14</v>
      </c>
      <c r="C2411">
        <v>11</v>
      </c>
      <c r="D2411">
        <v>1002</v>
      </c>
      <c r="E2411" t="s">
        <v>15</v>
      </c>
      <c r="F2411">
        <v>7</v>
      </c>
      <c r="G2411">
        <v>6400</v>
      </c>
      <c r="H2411">
        <v>44800</v>
      </c>
      <c r="I2411" s="3">
        <v>45313.958333333336</v>
      </c>
      <c r="J2411">
        <v>72</v>
      </c>
      <c r="K2411" s="3">
        <v>45315.958333333336</v>
      </c>
      <c r="L2411" s="4">
        <f>ROUNDDOWN(Table1[[#This Row],[Ordered]],0)</f>
        <v>45313</v>
      </c>
      <c r="M2411" s="4">
        <f>Table1[[#This Row],[Date ]]</f>
        <v>45313</v>
      </c>
      <c r="N2411" s="5">
        <f>Table1[[#This Row],[Ordered]]-Table1[[#This Row],[Date ]]</f>
        <v>0.70833333333575865</v>
      </c>
      <c r="O2411">
        <f>Table1[[#This Row],[Company]]</f>
        <v>11</v>
      </c>
      <c r="P24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2" spans="1:16" x14ac:dyDescent="0.45">
      <c r="A2412" s="3">
        <v>45313.708333333336</v>
      </c>
      <c r="B2412" t="s">
        <v>14</v>
      </c>
      <c r="C2412">
        <v>8</v>
      </c>
      <c r="D2412">
        <v>1002</v>
      </c>
      <c r="E2412" t="s">
        <v>15</v>
      </c>
      <c r="F2412">
        <v>6</v>
      </c>
      <c r="G2412">
        <v>6911</v>
      </c>
      <c r="H2412">
        <v>41466</v>
      </c>
      <c r="I2412" s="3">
        <v>45314.583333333336</v>
      </c>
      <c r="J2412">
        <v>96</v>
      </c>
      <c r="K2412" s="3">
        <v>45317.583333333336</v>
      </c>
      <c r="L2412" s="4">
        <f>ROUNDDOWN(Table1[[#This Row],[Ordered]],0)</f>
        <v>45313</v>
      </c>
      <c r="M2412" s="4">
        <f>Table1[[#This Row],[Date ]]</f>
        <v>45313</v>
      </c>
      <c r="N2412" s="5">
        <f>Table1[[#This Row],[Ordered]]-Table1[[#This Row],[Date ]]</f>
        <v>0.70833333333575865</v>
      </c>
      <c r="O2412">
        <f>Table1[[#This Row],[Company]]</f>
        <v>8</v>
      </c>
      <c r="P24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3" spans="1:16" x14ac:dyDescent="0.45">
      <c r="A2413" s="3">
        <v>45313.708333333336</v>
      </c>
      <c r="B2413" t="s">
        <v>14</v>
      </c>
      <c r="C2413">
        <v>13</v>
      </c>
      <c r="D2413">
        <v>1002</v>
      </c>
      <c r="E2413" t="s">
        <v>15</v>
      </c>
      <c r="F2413">
        <v>10</v>
      </c>
      <c r="G2413">
        <v>6000</v>
      </c>
      <c r="H2413">
        <v>60000</v>
      </c>
      <c r="I2413" s="3">
        <v>45315.375</v>
      </c>
      <c r="J2413">
        <v>96</v>
      </c>
      <c r="K2413" s="3">
        <v>45317.375</v>
      </c>
      <c r="L2413" s="4">
        <f>ROUNDDOWN(Table1[[#This Row],[Ordered]],0)</f>
        <v>45313</v>
      </c>
      <c r="M2413" s="4">
        <f>Table1[[#This Row],[Date ]]</f>
        <v>45313</v>
      </c>
      <c r="N2413" s="5">
        <f>Table1[[#This Row],[Ordered]]-Table1[[#This Row],[Date ]]</f>
        <v>0.70833333333575865</v>
      </c>
      <c r="O2413">
        <f>Table1[[#This Row],[Company]]</f>
        <v>13</v>
      </c>
      <c r="P24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4" spans="1:16" x14ac:dyDescent="0.45">
      <c r="A2414" s="3">
        <v>45313.708333333336</v>
      </c>
      <c r="B2414" t="s">
        <v>14</v>
      </c>
      <c r="C2414">
        <v>9</v>
      </c>
      <c r="D2414">
        <v>1002</v>
      </c>
      <c r="E2414" t="s">
        <v>15</v>
      </c>
      <c r="F2414">
        <v>5</v>
      </c>
      <c r="G2414">
        <v>6699</v>
      </c>
      <c r="H2414">
        <v>33495</v>
      </c>
      <c r="I2414" s="3">
        <v>45313.708333333336</v>
      </c>
      <c r="J2414">
        <v>76</v>
      </c>
      <c r="K2414" s="3">
        <v>45316.708333333336</v>
      </c>
      <c r="L2414" s="4">
        <f>ROUNDDOWN(Table1[[#This Row],[Ordered]],0)</f>
        <v>45313</v>
      </c>
      <c r="M2414" s="4">
        <f>Table1[[#This Row],[Date ]]</f>
        <v>45313</v>
      </c>
      <c r="N2414" s="5">
        <f>Table1[[#This Row],[Ordered]]-Table1[[#This Row],[Date ]]</f>
        <v>0.70833333333575865</v>
      </c>
      <c r="O2414">
        <f>Table1[[#This Row],[Company]]</f>
        <v>9</v>
      </c>
      <c r="P24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5" spans="1:16" x14ac:dyDescent="0.45">
      <c r="A2415" s="3">
        <v>45313.708333333336</v>
      </c>
      <c r="B2415" t="s">
        <v>14</v>
      </c>
      <c r="C2415">
        <v>16</v>
      </c>
      <c r="D2415">
        <v>1002</v>
      </c>
      <c r="E2415" t="s">
        <v>15</v>
      </c>
      <c r="F2415">
        <v>9</v>
      </c>
      <c r="G2415">
        <v>6050</v>
      </c>
      <c r="H2415">
        <v>54450</v>
      </c>
      <c r="I2415" s="3">
        <v>45314</v>
      </c>
      <c r="J2415">
        <v>96</v>
      </c>
      <c r="K2415" s="3">
        <v>45317</v>
      </c>
      <c r="L2415" s="4">
        <f>ROUNDDOWN(Table1[[#This Row],[Ordered]],0)</f>
        <v>45313</v>
      </c>
      <c r="M2415" s="4">
        <f>Table1[[#This Row],[Date ]]</f>
        <v>45313</v>
      </c>
      <c r="N2415" s="5">
        <f>Table1[[#This Row],[Ordered]]-Table1[[#This Row],[Date ]]</f>
        <v>0.70833333333575865</v>
      </c>
      <c r="O2415">
        <f>Table1[[#This Row],[Company]]</f>
        <v>16</v>
      </c>
      <c r="P24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6" spans="1:16" x14ac:dyDescent="0.45">
      <c r="A2416" s="3">
        <v>45313.708333333336</v>
      </c>
      <c r="B2416" t="s">
        <v>14</v>
      </c>
      <c r="C2416">
        <v>15</v>
      </c>
      <c r="D2416">
        <v>1002</v>
      </c>
      <c r="E2416" t="s">
        <v>15</v>
      </c>
      <c r="F2416">
        <v>11</v>
      </c>
      <c r="G2416">
        <v>6400</v>
      </c>
      <c r="H2416">
        <v>70400</v>
      </c>
      <c r="I2416" s="3">
        <v>45313.791666666664</v>
      </c>
      <c r="J2416">
        <v>64</v>
      </c>
      <c r="K2416" s="3">
        <v>45315.791666666664</v>
      </c>
      <c r="L2416" s="4">
        <f>ROUNDDOWN(Table1[[#This Row],[Ordered]],0)</f>
        <v>45313</v>
      </c>
      <c r="M2416" s="4">
        <f>Table1[[#This Row],[Date ]]</f>
        <v>45313</v>
      </c>
      <c r="N2416" s="5">
        <f>Table1[[#This Row],[Ordered]]-Table1[[#This Row],[Date ]]</f>
        <v>0.70833333333575865</v>
      </c>
      <c r="O2416">
        <f>Table1[[#This Row],[Company]]</f>
        <v>15</v>
      </c>
      <c r="P24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7" spans="1:16" x14ac:dyDescent="0.45">
      <c r="A2417" s="3">
        <v>45313.708333333336</v>
      </c>
      <c r="B2417" t="s">
        <v>14</v>
      </c>
      <c r="C2417">
        <v>12</v>
      </c>
      <c r="D2417">
        <v>1002</v>
      </c>
      <c r="E2417" t="s">
        <v>15</v>
      </c>
      <c r="F2417">
        <v>8</v>
      </c>
      <c r="G2417">
        <v>6750</v>
      </c>
      <c r="H2417">
        <v>54000</v>
      </c>
      <c r="I2417" s="3">
        <v>45315.416666666664</v>
      </c>
      <c r="J2417">
        <v>96</v>
      </c>
      <c r="K2417" s="3">
        <v>45317.416666666664</v>
      </c>
      <c r="L2417" s="4">
        <f>ROUNDDOWN(Table1[[#This Row],[Ordered]],0)</f>
        <v>45313</v>
      </c>
      <c r="M2417" s="4">
        <f>Table1[[#This Row],[Date ]]</f>
        <v>45313</v>
      </c>
      <c r="N2417" s="5">
        <f>Table1[[#This Row],[Ordered]]-Table1[[#This Row],[Date ]]</f>
        <v>0.70833333333575865</v>
      </c>
      <c r="O2417">
        <f>Table1[[#This Row],[Company]]</f>
        <v>12</v>
      </c>
      <c r="P24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8" spans="1:16" hidden="1" x14ac:dyDescent="0.45">
      <c r="A2418" s="3">
        <v>45313.791666666664</v>
      </c>
      <c r="B2418" t="s">
        <v>12</v>
      </c>
      <c r="C2418">
        <v>4</v>
      </c>
      <c r="D2418">
        <v>8</v>
      </c>
      <c r="E2418" t="s">
        <v>17</v>
      </c>
      <c r="F2418">
        <v>500</v>
      </c>
      <c r="G2418">
        <v>1350</v>
      </c>
      <c r="H2418">
        <v>675000</v>
      </c>
      <c r="I2418" s="3">
        <v>45313.791666666664</v>
      </c>
      <c r="J2418">
        <v>24</v>
      </c>
      <c r="K2418" s="3">
        <v>45314.791666666664</v>
      </c>
      <c r="L2418" s="4">
        <f>ROUNDDOWN(Table1[[#This Row],[Ordered]],0)</f>
        <v>45313</v>
      </c>
      <c r="M2418" s="4">
        <f>Table1[[#This Row],[Date ]]</f>
        <v>45313</v>
      </c>
      <c r="N2418" s="5">
        <f>Table1[[#This Row],[Ordered]]-Table1[[#This Row],[Date ]]</f>
        <v>0.79166666666424135</v>
      </c>
      <c r="O2418">
        <f>Table1[[#This Row],[Company]]</f>
        <v>4</v>
      </c>
      <c r="P24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9" spans="1:16" hidden="1" x14ac:dyDescent="0.45">
      <c r="A2419" s="3">
        <v>45313.791666666664</v>
      </c>
      <c r="B2419" t="s">
        <v>12</v>
      </c>
      <c r="C2419">
        <v>6</v>
      </c>
      <c r="D2419">
        <v>15</v>
      </c>
      <c r="E2419" t="s">
        <v>17</v>
      </c>
      <c r="F2419">
        <v>426</v>
      </c>
      <c r="G2419">
        <v>1460</v>
      </c>
      <c r="H2419">
        <v>621960</v>
      </c>
      <c r="I2419" s="3">
        <v>45313.875</v>
      </c>
      <c r="J2419">
        <v>72</v>
      </c>
      <c r="K2419" s="3">
        <v>45316.875</v>
      </c>
      <c r="L2419" s="4">
        <f>ROUNDDOWN(Table1[[#This Row],[Ordered]],0)</f>
        <v>45313</v>
      </c>
      <c r="M2419" s="4">
        <f>Table1[[#This Row],[Date ]]</f>
        <v>45313</v>
      </c>
      <c r="N2419" s="5">
        <f>Table1[[#This Row],[Ordered]]-Table1[[#This Row],[Date ]]</f>
        <v>0.79166666666424135</v>
      </c>
      <c r="O2419">
        <f>Table1[[#This Row],[Company]]</f>
        <v>6</v>
      </c>
      <c r="P24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0" spans="1:16" x14ac:dyDescent="0.45">
      <c r="A2420" s="3">
        <v>45313.833333333336</v>
      </c>
      <c r="B2420" t="s">
        <v>0</v>
      </c>
      <c r="C2420">
        <v>7</v>
      </c>
      <c r="D2420">
        <v>2002</v>
      </c>
      <c r="E2420" t="s">
        <v>15</v>
      </c>
      <c r="F2420">
        <v>13</v>
      </c>
      <c r="G2420">
        <v>7200</v>
      </c>
      <c r="H2420">
        <v>93600</v>
      </c>
      <c r="I2420" s="3">
        <v>45314.833333333336</v>
      </c>
      <c r="J2420">
        <v>132</v>
      </c>
      <c r="K2420" s="3">
        <v>45319.375</v>
      </c>
      <c r="L2420" s="4">
        <f>ROUNDDOWN(Table1[[#This Row],[Ordered]],0)</f>
        <v>45313</v>
      </c>
      <c r="M2420" s="4">
        <f>Table1[[#This Row],[Date ]]</f>
        <v>45313</v>
      </c>
      <c r="N2420" s="5">
        <f>Table1[[#This Row],[Ordered]]-Table1[[#This Row],[Date ]]</f>
        <v>0.83333333333575865</v>
      </c>
      <c r="O2420">
        <f>Table1[[#This Row],[Company]]</f>
        <v>7</v>
      </c>
      <c r="P24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1" spans="1:16" x14ac:dyDescent="0.45">
      <c r="A2421" s="3">
        <v>45313.833333333336</v>
      </c>
      <c r="B2421" t="s">
        <v>0</v>
      </c>
      <c r="C2421">
        <v>16</v>
      </c>
      <c r="D2421">
        <v>2002</v>
      </c>
      <c r="E2421" t="s">
        <v>15</v>
      </c>
      <c r="F2421">
        <v>30</v>
      </c>
      <c r="G2421">
        <v>6050</v>
      </c>
      <c r="H2421">
        <v>181500</v>
      </c>
      <c r="I2421" s="3">
        <v>45314.041666666664</v>
      </c>
      <c r="J2421">
        <v>132</v>
      </c>
      <c r="K2421" s="3">
        <v>45318.541666666664</v>
      </c>
      <c r="L2421" s="4">
        <f>ROUNDDOWN(Table1[[#This Row],[Ordered]],0)</f>
        <v>45313</v>
      </c>
      <c r="M2421" s="4">
        <f>Table1[[#This Row],[Date ]]</f>
        <v>45313</v>
      </c>
      <c r="N2421" s="5">
        <f>Table1[[#This Row],[Ordered]]-Table1[[#This Row],[Date ]]</f>
        <v>0.83333333333575865</v>
      </c>
      <c r="O2421">
        <f>Table1[[#This Row],[Company]]</f>
        <v>16</v>
      </c>
      <c r="P24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2" spans="1:16" x14ac:dyDescent="0.45">
      <c r="A2422" s="3">
        <v>45313.833333333336</v>
      </c>
      <c r="B2422" t="s">
        <v>0</v>
      </c>
      <c r="C2422">
        <v>10</v>
      </c>
      <c r="D2422">
        <v>2002</v>
      </c>
      <c r="E2422" t="s">
        <v>15</v>
      </c>
      <c r="F2422">
        <v>19</v>
      </c>
      <c r="G2422">
        <v>6400</v>
      </c>
      <c r="H2422">
        <v>121600</v>
      </c>
      <c r="I2422" s="3">
        <v>45314.333333333336</v>
      </c>
      <c r="J2422">
        <v>84</v>
      </c>
      <c r="K2422" s="3">
        <v>45317.333333333336</v>
      </c>
      <c r="L2422" s="4">
        <f>ROUNDDOWN(Table1[[#This Row],[Ordered]],0)</f>
        <v>45313</v>
      </c>
      <c r="M2422" s="4">
        <f>Table1[[#This Row],[Date ]]</f>
        <v>45313</v>
      </c>
      <c r="N2422" s="5">
        <f>Table1[[#This Row],[Ordered]]-Table1[[#This Row],[Date ]]</f>
        <v>0.83333333333575865</v>
      </c>
      <c r="O2422">
        <f>Table1[[#This Row],[Company]]</f>
        <v>10</v>
      </c>
      <c r="P24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3" spans="1:16" x14ac:dyDescent="0.45">
      <c r="A2423" s="3">
        <v>45313.833333333336</v>
      </c>
      <c r="B2423" t="s">
        <v>0</v>
      </c>
      <c r="C2423">
        <v>13</v>
      </c>
      <c r="D2423">
        <v>2002</v>
      </c>
      <c r="E2423" t="s">
        <v>16</v>
      </c>
      <c r="F2423">
        <v>30</v>
      </c>
      <c r="G2423">
        <v>3000</v>
      </c>
      <c r="H2423">
        <v>90000</v>
      </c>
      <c r="I2423" s="3">
        <v>45317.625</v>
      </c>
      <c r="J2423">
        <v>132</v>
      </c>
      <c r="K2423" s="3">
        <v>45319.125</v>
      </c>
      <c r="L2423" s="4">
        <f>ROUNDDOWN(Table1[[#This Row],[Ordered]],0)</f>
        <v>45313</v>
      </c>
      <c r="M2423" s="4">
        <f>Table1[[#This Row],[Date ]]</f>
        <v>45313</v>
      </c>
      <c r="N2423" s="5">
        <f>Table1[[#This Row],[Ordered]]-Table1[[#This Row],[Date ]]</f>
        <v>0.83333333333575865</v>
      </c>
      <c r="O2423">
        <f>Table1[[#This Row],[Company]]</f>
        <v>13</v>
      </c>
      <c r="P24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4" spans="1:16" x14ac:dyDescent="0.45">
      <c r="A2424" s="3">
        <v>45313.833333333336</v>
      </c>
      <c r="B2424" t="s">
        <v>0</v>
      </c>
      <c r="C2424">
        <v>9</v>
      </c>
      <c r="D2424">
        <v>2002</v>
      </c>
      <c r="E2424" t="s">
        <v>16</v>
      </c>
      <c r="F2424">
        <v>30</v>
      </c>
      <c r="G2424">
        <v>3799</v>
      </c>
      <c r="H2424">
        <v>113970</v>
      </c>
      <c r="I2424" s="3">
        <v>45313.833333333336</v>
      </c>
      <c r="J2424">
        <v>112</v>
      </c>
      <c r="K2424" s="3">
        <v>45318.333333333336</v>
      </c>
      <c r="L2424" s="4">
        <f>ROUNDDOWN(Table1[[#This Row],[Ordered]],0)</f>
        <v>45313</v>
      </c>
      <c r="M2424" s="4">
        <f>Table1[[#This Row],[Date ]]</f>
        <v>45313</v>
      </c>
      <c r="N2424" s="5">
        <f>Table1[[#This Row],[Ordered]]-Table1[[#This Row],[Date ]]</f>
        <v>0.83333333333575865</v>
      </c>
      <c r="O2424">
        <f>Table1[[#This Row],[Company]]</f>
        <v>9</v>
      </c>
      <c r="P24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5" spans="1:16" x14ac:dyDescent="0.45">
      <c r="A2425" s="3">
        <v>45313.833333333336</v>
      </c>
      <c r="B2425" t="s">
        <v>0</v>
      </c>
      <c r="C2425">
        <v>14</v>
      </c>
      <c r="D2425">
        <v>2002</v>
      </c>
      <c r="E2425" t="s">
        <v>15</v>
      </c>
      <c r="F2425">
        <v>17</v>
      </c>
      <c r="G2425">
        <v>6650</v>
      </c>
      <c r="H2425">
        <v>113050</v>
      </c>
      <c r="I2425" s="3">
        <v>45313.875</v>
      </c>
      <c r="J2425">
        <v>120</v>
      </c>
      <c r="K2425" s="3">
        <v>45318.375</v>
      </c>
      <c r="L2425" s="4">
        <f>ROUNDDOWN(Table1[[#This Row],[Ordered]],0)</f>
        <v>45313</v>
      </c>
      <c r="M2425" s="4">
        <f>Table1[[#This Row],[Date ]]</f>
        <v>45313</v>
      </c>
      <c r="N2425" s="5">
        <f>Table1[[#This Row],[Ordered]]-Table1[[#This Row],[Date ]]</f>
        <v>0.83333333333575865</v>
      </c>
      <c r="O2425">
        <f>Table1[[#This Row],[Company]]</f>
        <v>14</v>
      </c>
      <c r="P24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6" spans="1:16" x14ac:dyDescent="0.45">
      <c r="A2426" s="3">
        <v>45313.833333333336</v>
      </c>
      <c r="B2426" t="s">
        <v>0</v>
      </c>
      <c r="C2426">
        <v>12</v>
      </c>
      <c r="D2426">
        <v>2002</v>
      </c>
      <c r="E2426" t="s">
        <v>15</v>
      </c>
      <c r="F2426">
        <v>25</v>
      </c>
      <c r="G2426">
        <v>6800</v>
      </c>
      <c r="H2426">
        <v>170000</v>
      </c>
      <c r="I2426" s="3">
        <v>45315.666666666664</v>
      </c>
      <c r="J2426">
        <v>120</v>
      </c>
      <c r="K2426" s="3">
        <v>45318.666666666664</v>
      </c>
      <c r="L2426" s="4">
        <f>ROUNDDOWN(Table1[[#This Row],[Ordered]],0)</f>
        <v>45313</v>
      </c>
      <c r="M2426" s="4">
        <f>Table1[[#This Row],[Date ]]</f>
        <v>45313</v>
      </c>
      <c r="N2426" s="5">
        <f>Table1[[#This Row],[Ordered]]-Table1[[#This Row],[Date ]]</f>
        <v>0.83333333333575865</v>
      </c>
      <c r="O2426">
        <f>Table1[[#This Row],[Company]]</f>
        <v>12</v>
      </c>
      <c r="P24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7" spans="1:16" x14ac:dyDescent="0.45">
      <c r="A2427" s="3">
        <v>45313.833333333336</v>
      </c>
      <c r="B2427" t="s">
        <v>0</v>
      </c>
      <c r="C2427">
        <v>12</v>
      </c>
      <c r="D2427">
        <v>2002</v>
      </c>
      <c r="E2427" t="s">
        <v>16</v>
      </c>
      <c r="F2427">
        <v>30</v>
      </c>
      <c r="G2427">
        <v>3850</v>
      </c>
      <c r="H2427">
        <v>115500</v>
      </c>
      <c r="I2427" s="3">
        <v>45317.458333333336</v>
      </c>
      <c r="J2427">
        <v>120</v>
      </c>
      <c r="K2427" s="3">
        <v>45318.958333333336</v>
      </c>
      <c r="L2427" s="4">
        <f>ROUNDDOWN(Table1[[#This Row],[Ordered]],0)</f>
        <v>45313</v>
      </c>
      <c r="M2427" s="4">
        <f>Table1[[#This Row],[Date ]]</f>
        <v>45313</v>
      </c>
      <c r="N2427" s="5">
        <f>Table1[[#This Row],[Ordered]]-Table1[[#This Row],[Date ]]</f>
        <v>0.83333333333575865</v>
      </c>
      <c r="O2427">
        <f>Table1[[#This Row],[Company]]</f>
        <v>12</v>
      </c>
      <c r="P24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8" spans="1:16" x14ac:dyDescent="0.45">
      <c r="A2428" s="3">
        <v>45313.833333333336</v>
      </c>
      <c r="B2428" t="s">
        <v>0</v>
      </c>
      <c r="C2428">
        <v>9</v>
      </c>
      <c r="D2428">
        <v>2002</v>
      </c>
      <c r="E2428" t="s">
        <v>15</v>
      </c>
      <c r="F2428">
        <v>15</v>
      </c>
      <c r="G2428">
        <v>6699</v>
      </c>
      <c r="H2428">
        <v>100485</v>
      </c>
      <c r="I2428" s="3">
        <v>45313.916666666664</v>
      </c>
      <c r="J2428">
        <v>119</v>
      </c>
      <c r="K2428" s="3">
        <v>45318.416666666664</v>
      </c>
      <c r="L2428" s="4">
        <f>ROUNDDOWN(Table1[[#This Row],[Ordered]],0)</f>
        <v>45313</v>
      </c>
      <c r="M2428" s="4">
        <f>Table1[[#This Row],[Date ]]</f>
        <v>45313</v>
      </c>
      <c r="N2428" s="5">
        <f>Table1[[#This Row],[Ordered]]-Table1[[#This Row],[Date ]]</f>
        <v>0.83333333333575865</v>
      </c>
      <c r="O2428">
        <f>Table1[[#This Row],[Company]]</f>
        <v>9</v>
      </c>
      <c r="P24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9" spans="1:16" x14ac:dyDescent="0.45">
      <c r="A2429" s="3">
        <v>45313.833333333336</v>
      </c>
      <c r="B2429" t="s">
        <v>0</v>
      </c>
      <c r="C2429">
        <v>13</v>
      </c>
      <c r="D2429">
        <v>2002</v>
      </c>
      <c r="E2429" t="s">
        <v>15</v>
      </c>
      <c r="F2429">
        <v>30</v>
      </c>
      <c r="G2429">
        <v>6000</v>
      </c>
      <c r="H2429">
        <v>180000</v>
      </c>
      <c r="I2429" s="3">
        <v>45316</v>
      </c>
      <c r="J2429">
        <v>132</v>
      </c>
      <c r="K2429" s="3">
        <v>45319</v>
      </c>
      <c r="L2429" s="4">
        <f>ROUNDDOWN(Table1[[#This Row],[Ordered]],0)</f>
        <v>45313</v>
      </c>
      <c r="M2429" s="4">
        <f>Table1[[#This Row],[Date ]]</f>
        <v>45313</v>
      </c>
      <c r="N2429" s="5">
        <f>Table1[[#This Row],[Ordered]]-Table1[[#This Row],[Date ]]</f>
        <v>0.83333333333575865</v>
      </c>
      <c r="O2429">
        <f>Table1[[#This Row],[Company]]</f>
        <v>13</v>
      </c>
      <c r="P24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0" spans="1:16" x14ac:dyDescent="0.45">
      <c r="A2430" s="3">
        <v>45313.833333333336</v>
      </c>
      <c r="B2430" t="s">
        <v>0</v>
      </c>
      <c r="C2430">
        <v>11</v>
      </c>
      <c r="D2430">
        <v>2002</v>
      </c>
      <c r="E2430" t="s">
        <v>15</v>
      </c>
      <c r="F2430">
        <v>10</v>
      </c>
      <c r="G2430">
        <v>6800</v>
      </c>
      <c r="H2430">
        <v>68000</v>
      </c>
      <c r="I2430" s="3">
        <v>45313.875</v>
      </c>
      <c r="J2430">
        <v>84</v>
      </c>
      <c r="K2430" s="3">
        <v>45316.875</v>
      </c>
      <c r="L2430" s="4">
        <f>ROUNDDOWN(Table1[[#This Row],[Ordered]],0)</f>
        <v>45313</v>
      </c>
      <c r="M2430" s="4">
        <f>Table1[[#This Row],[Date ]]</f>
        <v>45313</v>
      </c>
      <c r="N2430" s="5">
        <f>Table1[[#This Row],[Ordered]]-Table1[[#This Row],[Date ]]</f>
        <v>0.83333333333575865</v>
      </c>
      <c r="O2430">
        <f>Table1[[#This Row],[Company]]</f>
        <v>11</v>
      </c>
      <c r="P24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1" spans="1:16" x14ac:dyDescent="0.45">
      <c r="A2431" s="3">
        <v>45313.833333333336</v>
      </c>
      <c r="B2431" t="s">
        <v>0</v>
      </c>
      <c r="C2431">
        <v>11</v>
      </c>
      <c r="D2431">
        <v>2002</v>
      </c>
      <c r="E2431" t="s">
        <v>16</v>
      </c>
      <c r="F2431">
        <v>40</v>
      </c>
      <c r="G2431">
        <v>4000</v>
      </c>
      <c r="H2431">
        <v>160000</v>
      </c>
      <c r="I2431" s="3">
        <v>45314.041666666664</v>
      </c>
      <c r="J2431">
        <v>132</v>
      </c>
      <c r="K2431" s="3">
        <v>45318.541666666664</v>
      </c>
      <c r="L2431" s="4">
        <f>ROUNDDOWN(Table1[[#This Row],[Ordered]],0)</f>
        <v>45313</v>
      </c>
      <c r="M2431" s="4">
        <f>Table1[[#This Row],[Date ]]</f>
        <v>45313</v>
      </c>
      <c r="N2431" s="5">
        <f>Table1[[#This Row],[Ordered]]-Table1[[#This Row],[Date ]]</f>
        <v>0.83333333333575865</v>
      </c>
      <c r="O2431">
        <f>Table1[[#This Row],[Company]]</f>
        <v>11</v>
      </c>
      <c r="P24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2" spans="1:16" x14ac:dyDescent="0.45">
      <c r="A2432" s="3">
        <v>45313.833333333336</v>
      </c>
      <c r="B2432" t="s">
        <v>0</v>
      </c>
      <c r="C2432">
        <v>8</v>
      </c>
      <c r="D2432">
        <v>2002</v>
      </c>
      <c r="E2432" t="s">
        <v>16</v>
      </c>
      <c r="F2432">
        <v>46</v>
      </c>
      <c r="G2432">
        <v>4155</v>
      </c>
      <c r="H2432">
        <v>191130</v>
      </c>
      <c r="I2432" s="3">
        <v>45313.958333333336</v>
      </c>
      <c r="J2432">
        <v>120</v>
      </c>
      <c r="K2432" s="3">
        <v>45318.458333333336</v>
      </c>
      <c r="L2432" s="4">
        <f>ROUNDDOWN(Table1[[#This Row],[Ordered]],0)</f>
        <v>45313</v>
      </c>
      <c r="M2432" s="4">
        <f>Table1[[#This Row],[Date ]]</f>
        <v>45313</v>
      </c>
      <c r="N2432" s="5">
        <f>Table1[[#This Row],[Ordered]]-Table1[[#This Row],[Date ]]</f>
        <v>0.83333333333575865</v>
      </c>
      <c r="O2432">
        <f>Table1[[#This Row],[Company]]</f>
        <v>8</v>
      </c>
      <c r="P24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3" spans="1:16" x14ac:dyDescent="0.45">
      <c r="A2433" s="3">
        <v>45313.833333333336</v>
      </c>
      <c r="B2433" t="s">
        <v>0</v>
      </c>
      <c r="C2433">
        <v>15</v>
      </c>
      <c r="D2433">
        <v>2002</v>
      </c>
      <c r="E2433" t="s">
        <v>15</v>
      </c>
      <c r="F2433">
        <v>38</v>
      </c>
      <c r="G2433">
        <v>6400</v>
      </c>
      <c r="H2433">
        <v>243200</v>
      </c>
      <c r="I2433" s="3">
        <v>45313.833333333336</v>
      </c>
      <c r="J2433">
        <v>48</v>
      </c>
      <c r="K2433" s="3">
        <v>45315.333333333336</v>
      </c>
      <c r="L2433" s="4">
        <f>ROUNDDOWN(Table1[[#This Row],[Ordered]],0)</f>
        <v>45313</v>
      </c>
      <c r="M2433" s="4">
        <f>Table1[[#This Row],[Date ]]</f>
        <v>45313</v>
      </c>
      <c r="N2433" s="5">
        <f>Table1[[#This Row],[Ordered]]-Table1[[#This Row],[Date ]]</f>
        <v>0.83333333333575865</v>
      </c>
      <c r="O2433">
        <f>Table1[[#This Row],[Company]]</f>
        <v>15</v>
      </c>
      <c r="P24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4" spans="1:16" x14ac:dyDescent="0.45">
      <c r="A2434" s="3">
        <v>45313.833333333336</v>
      </c>
      <c r="B2434" t="s">
        <v>0</v>
      </c>
      <c r="C2434">
        <v>16</v>
      </c>
      <c r="D2434">
        <v>2002</v>
      </c>
      <c r="E2434" t="s">
        <v>16</v>
      </c>
      <c r="F2434">
        <v>30</v>
      </c>
      <c r="G2434">
        <v>3750</v>
      </c>
      <c r="H2434">
        <v>112500</v>
      </c>
      <c r="I2434" s="3">
        <v>45314.333333333336</v>
      </c>
      <c r="J2434">
        <v>132</v>
      </c>
      <c r="K2434" s="3">
        <v>45318.833333333336</v>
      </c>
      <c r="L2434" s="4">
        <f>ROUNDDOWN(Table1[[#This Row],[Ordered]],0)</f>
        <v>45313</v>
      </c>
      <c r="M2434" s="4">
        <f>Table1[[#This Row],[Date ]]</f>
        <v>45313</v>
      </c>
      <c r="N2434" s="5">
        <f>Table1[[#This Row],[Ordered]]-Table1[[#This Row],[Date ]]</f>
        <v>0.83333333333575865</v>
      </c>
      <c r="O2434">
        <f>Table1[[#This Row],[Company]]</f>
        <v>16</v>
      </c>
      <c r="P24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5" spans="1:16" x14ac:dyDescent="0.45">
      <c r="A2435" s="3">
        <v>45313.833333333336</v>
      </c>
      <c r="B2435" t="s">
        <v>0</v>
      </c>
      <c r="C2435">
        <v>15</v>
      </c>
      <c r="D2435">
        <v>2002</v>
      </c>
      <c r="E2435" t="s">
        <v>16</v>
      </c>
      <c r="F2435">
        <v>45</v>
      </c>
      <c r="G2435">
        <v>4100</v>
      </c>
      <c r="H2435">
        <v>184500</v>
      </c>
      <c r="I2435" s="3">
        <v>45313.875</v>
      </c>
      <c r="J2435">
        <v>48</v>
      </c>
      <c r="K2435" s="3">
        <v>45315.375</v>
      </c>
      <c r="L2435" s="4">
        <f>ROUNDDOWN(Table1[[#This Row],[Ordered]],0)</f>
        <v>45313</v>
      </c>
      <c r="M2435" s="4">
        <f>Table1[[#This Row],[Date ]]</f>
        <v>45313</v>
      </c>
      <c r="N2435" s="5">
        <f>Table1[[#This Row],[Ordered]]-Table1[[#This Row],[Date ]]</f>
        <v>0.83333333333575865</v>
      </c>
      <c r="O2435">
        <f>Table1[[#This Row],[Company]]</f>
        <v>15</v>
      </c>
      <c r="P24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6" spans="1:16" x14ac:dyDescent="0.45">
      <c r="A2436" s="3">
        <v>45313.833333333336</v>
      </c>
      <c r="B2436" t="s">
        <v>0</v>
      </c>
      <c r="C2436">
        <v>14</v>
      </c>
      <c r="D2436">
        <v>2002</v>
      </c>
      <c r="E2436" t="s">
        <v>16</v>
      </c>
      <c r="F2436">
        <v>30</v>
      </c>
      <c r="G2436">
        <v>4000</v>
      </c>
      <c r="H2436">
        <v>120000</v>
      </c>
      <c r="I2436" s="3">
        <v>45313.875</v>
      </c>
      <c r="J2436">
        <v>84</v>
      </c>
      <c r="K2436" s="3">
        <v>45316.875</v>
      </c>
      <c r="L2436" s="4">
        <f>ROUNDDOWN(Table1[[#This Row],[Ordered]],0)</f>
        <v>45313</v>
      </c>
      <c r="M2436" s="4">
        <f>Table1[[#This Row],[Date ]]</f>
        <v>45313</v>
      </c>
      <c r="N2436" s="5">
        <f>Table1[[#This Row],[Ordered]]-Table1[[#This Row],[Date ]]</f>
        <v>0.83333333333575865</v>
      </c>
      <c r="O2436">
        <f>Table1[[#This Row],[Company]]</f>
        <v>14</v>
      </c>
      <c r="P24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7" spans="1:16" x14ac:dyDescent="0.45">
      <c r="A2437" s="3">
        <v>45313.833333333336</v>
      </c>
      <c r="B2437" t="s">
        <v>0</v>
      </c>
      <c r="C2437">
        <v>7</v>
      </c>
      <c r="D2437">
        <v>2002</v>
      </c>
      <c r="E2437" t="s">
        <v>16</v>
      </c>
      <c r="F2437">
        <v>40</v>
      </c>
      <c r="G2437">
        <v>4100</v>
      </c>
      <c r="H2437">
        <v>164000</v>
      </c>
      <c r="I2437" s="3">
        <v>45313.833333333336</v>
      </c>
      <c r="J2437">
        <v>132</v>
      </c>
      <c r="K2437" s="3">
        <v>45318.333333333336</v>
      </c>
      <c r="L2437" s="4">
        <f>ROUNDDOWN(Table1[[#This Row],[Ordered]],0)</f>
        <v>45313</v>
      </c>
      <c r="M2437" s="4">
        <f>Table1[[#This Row],[Date ]]</f>
        <v>45313</v>
      </c>
      <c r="N2437" s="5">
        <f>Table1[[#This Row],[Ordered]]-Table1[[#This Row],[Date ]]</f>
        <v>0.83333333333575865</v>
      </c>
      <c r="O2437">
        <f>Table1[[#This Row],[Company]]</f>
        <v>7</v>
      </c>
      <c r="P24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8" spans="1:16" x14ac:dyDescent="0.45">
      <c r="A2438" s="3">
        <v>45313.875</v>
      </c>
      <c r="B2438" t="s">
        <v>14</v>
      </c>
      <c r="C2438">
        <v>13</v>
      </c>
      <c r="D2438">
        <v>1007</v>
      </c>
      <c r="E2438" t="s">
        <v>15</v>
      </c>
      <c r="F2438">
        <v>16</v>
      </c>
      <c r="G2438">
        <v>6000</v>
      </c>
      <c r="H2438">
        <v>96000</v>
      </c>
      <c r="I2438" s="3">
        <v>45315.541666666664</v>
      </c>
      <c r="J2438">
        <v>96</v>
      </c>
      <c r="K2438" s="3">
        <v>45317.541666666664</v>
      </c>
      <c r="L2438" s="4">
        <f>ROUNDDOWN(Table1[[#This Row],[Ordered]],0)</f>
        <v>45313</v>
      </c>
      <c r="M2438" s="4">
        <f>Table1[[#This Row],[Date ]]</f>
        <v>45313</v>
      </c>
      <c r="N2438" s="5">
        <f>Table1[[#This Row],[Ordered]]-Table1[[#This Row],[Date ]]</f>
        <v>0.875</v>
      </c>
      <c r="O2438">
        <f>Table1[[#This Row],[Company]]</f>
        <v>13</v>
      </c>
      <c r="P24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9" spans="1:16" x14ac:dyDescent="0.45">
      <c r="A2439" s="3">
        <v>45313.875</v>
      </c>
      <c r="B2439" t="s">
        <v>14</v>
      </c>
      <c r="C2439">
        <v>12</v>
      </c>
      <c r="D2439">
        <v>1007</v>
      </c>
      <c r="E2439" t="s">
        <v>15</v>
      </c>
      <c r="F2439">
        <v>21</v>
      </c>
      <c r="G2439">
        <v>6750</v>
      </c>
      <c r="H2439">
        <v>141750</v>
      </c>
      <c r="I2439" s="3">
        <v>45315.666666666664</v>
      </c>
      <c r="J2439">
        <v>96</v>
      </c>
      <c r="K2439" s="3">
        <v>45317.666666666664</v>
      </c>
      <c r="L2439" s="4">
        <f>ROUNDDOWN(Table1[[#This Row],[Ordered]],0)</f>
        <v>45313</v>
      </c>
      <c r="M2439" s="4">
        <f>Table1[[#This Row],[Date ]]</f>
        <v>45313</v>
      </c>
      <c r="N2439" s="5">
        <f>Table1[[#This Row],[Ordered]]-Table1[[#This Row],[Date ]]</f>
        <v>0.875</v>
      </c>
      <c r="O2439">
        <f>Table1[[#This Row],[Company]]</f>
        <v>12</v>
      </c>
      <c r="P24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0" spans="1:16" x14ac:dyDescent="0.45">
      <c r="A2440" s="3">
        <v>45313.875</v>
      </c>
      <c r="B2440" t="s">
        <v>14</v>
      </c>
      <c r="C2440">
        <v>10</v>
      </c>
      <c r="D2440">
        <v>1007</v>
      </c>
      <c r="E2440" t="s">
        <v>15</v>
      </c>
      <c r="F2440">
        <v>14</v>
      </c>
      <c r="G2440">
        <v>6300</v>
      </c>
      <c r="H2440">
        <v>88200</v>
      </c>
      <c r="I2440" s="3">
        <v>45313.916666666664</v>
      </c>
      <c r="J2440">
        <v>84</v>
      </c>
      <c r="K2440" s="3">
        <v>45316.916666666664</v>
      </c>
      <c r="L2440" s="4">
        <f>ROUNDDOWN(Table1[[#This Row],[Ordered]],0)</f>
        <v>45313</v>
      </c>
      <c r="M2440" s="4">
        <f>Table1[[#This Row],[Date ]]</f>
        <v>45313</v>
      </c>
      <c r="N2440" s="5">
        <f>Table1[[#This Row],[Ordered]]-Table1[[#This Row],[Date ]]</f>
        <v>0.875</v>
      </c>
      <c r="O2440">
        <f>Table1[[#This Row],[Company]]</f>
        <v>10</v>
      </c>
      <c r="P24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1" spans="1:16" x14ac:dyDescent="0.45">
      <c r="A2441" s="3">
        <v>45313.875</v>
      </c>
      <c r="B2441" t="s">
        <v>14</v>
      </c>
      <c r="C2441">
        <v>11</v>
      </c>
      <c r="D2441">
        <v>1007</v>
      </c>
      <c r="E2441" t="s">
        <v>15</v>
      </c>
      <c r="F2441">
        <v>20</v>
      </c>
      <c r="G2441">
        <v>6400</v>
      </c>
      <c r="H2441">
        <v>128000</v>
      </c>
      <c r="I2441" s="3">
        <v>45314.125</v>
      </c>
      <c r="J2441">
        <v>72</v>
      </c>
      <c r="K2441" s="3">
        <v>45316.125</v>
      </c>
      <c r="L2441" s="4">
        <f>ROUNDDOWN(Table1[[#This Row],[Ordered]],0)</f>
        <v>45313</v>
      </c>
      <c r="M2441" s="4">
        <f>Table1[[#This Row],[Date ]]</f>
        <v>45313</v>
      </c>
      <c r="N2441" s="5">
        <f>Table1[[#This Row],[Ordered]]-Table1[[#This Row],[Date ]]</f>
        <v>0.875</v>
      </c>
      <c r="O2441">
        <f>Table1[[#This Row],[Company]]</f>
        <v>11</v>
      </c>
      <c r="P24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2" spans="1:16" x14ac:dyDescent="0.45">
      <c r="A2442" s="3">
        <v>45313.875</v>
      </c>
      <c r="B2442" t="s">
        <v>14</v>
      </c>
      <c r="C2442">
        <v>9</v>
      </c>
      <c r="D2442">
        <v>1007</v>
      </c>
      <c r="E2442" t="s">
        <v>15</v>
      </c>
      <c r="F2442">
        <v>24</v>
      </c>
      <c r="G2442">
        <v>6499</v>
      </c>
      <c r="H2442">
        <v>155976</v>
      </c>
      <c r="I2442" s="3">
        <v>45313.916666666664</v>
      </c>
      <c r="J2442">
        <v>84</v>
      </c>
      <c r="K2442" s="3">
        <v>45316.916666666664</v>
      </c>
      <c r="L2442" s="4">
        <f>ROUNDDOWN(Table1[[#This Row],[Ordered]],0)</f>
        <v>45313</v>
      </c>
      <c r="M2442" s="4">
        <f>Table1[[#This Row],[Date ]]</f>
        <v>45313</v>
      </c>
      <c r="N2442" s="5">
        <f>Table1[[#This Row],[Ordered]]-Table1[[#This Row],[Date ]]</f>
        <v>0.875</v>
      </c>
      <c r="O2442">
        <f>Table1[[#This Row],[Company]]</f>
        <v>9</v>
      </c>
      <c r="P24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3" spans="1:16" x14ac:dyDescent="0.45">
      <c r="A2443" s="3">
        <v>45313.875</v>
      </c>
      <c r="B2443" t="s">
        <v>14</v>
      </c>
      <c r="C2443">
        <v>14</v>
      </c>
      <c r="D2443">
        <v>1007</v>
      </c>
      <c r="E2443" t="s">
        <v>15</v>
      </c>
      <c r="F2443">
        <v>12</v>
      </c>
      <c r="G2443">
        <v>6650</v>
      </c>
      <c r="H2443">
        <v>79800</v>
      </c>
      <c r="I2443" s="3">
        <v>45313.875</v>
      </c>
      <c r="J2443">
        <v>84</v>
      </c>
      <c r="K2443" s="3">
        <v>45316.875</v>
      </c>
      <c r="L2443" s="4">
        <f>ROUNDDOWN(Table1[[#This Row],[Ordered]],0)</f>
        <v>45313</v>
      </c>
      <c r="M2443" s="4">
        <f>Table1[[#This Row],[Date ]]</f>
        <v>45313</v>
      </c>
      <c r="N2443" s="5">
        <f>Table1[[#This Row],[Ordered]]-Table1[[#This Row],[Date ]]</f>
        <v>0.875</v>
      </c>
      <c r="O2443">
        <f>Table1[[#This Row],[Company]]</f>
        <v>14</v>
      </c>
      <c r="P24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4" spans="1:16" x14ac:dyDescent="0.45">
      <c r="A2444" s="3">
        <v>45313.875</v>
      </c>
      <c r="B2444" t="s">
        <v>14</v>
      </c>
      <c r="C2444">
        <v>16</v>
      </c>
      <c r="D2444">
        <v>1007</v>
      </c>
      <c r="E2444" t="s">
        <v>15</v>
      </c>
      <c r="F2444">
        <v>30</v>
      </c>
      <c r="G2444">
        <v>6050</v>
      </c>
      <c r="H2444">
        <v>181500</v>
      </c>
      <c r="I2444" s="3">
        <v>45314.333333333336</v>
      </c>
      <c r="J2444">
        <v>96</v>
      </c>
      <c r="K2444" s="3">
        <v>45317.333333333336</v>
      </c>
      <c r="L2444" s="4">
        <f>ROUNDDOWN(Table1[[#This Row],[Ordered]],0)</f>
        <v>45313</v>
      </c>
      <c r="M2444" s="4">
        <f>Table1[[#This Row],[Date ]]</f>
        <v>45313</v>
      </c>
      <c r="N2444" s="5">
        <f>Table1[[#This Row],[Ordered]]-Table1[[#This Row],[Date ]]</f>
        <v>0.875</v>
      </c>
      <c r="O2444">
        <f>Table1[[#This Row],[Company]]</f>
        <v>16</v>
      </c>
      <c r="P24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5" spans="1:16" x14ac:dyDescent="0.45">
      <c r="A2445" s="3">
        <v>45313.875</v>
      </c>
      <c r="B2445" t="s">
        <v>14</v>
      </c>
      <c r="C2445">
        <v>15</v>
      </c>
      <c r="D2445">
        <v>1007</v>
      </c>
      <c r="E2445" t="s">
        <v>15</v>
      </c>
      <c r="F2445">
        <v>18</v>
      </c>
      <c r="G2445">
        <v>6400</v>
      </c>
      <c r="H2445">
        <v>115200</v>
      </c>
      <c r="I2445" s="3">
        <v>45314</v>
      </c>
      <c r="J2445">
        <v>64</v>
      </c>
      <c r="K2445" s="3">
        <v>45316</v>
      </c>
      <c r="L2445" s="4">
        <f>ROUNDDOWN(Table1[[#This Row],[Ordered]],0)</f>
        <v>45313</v>
      </c>
      <c r="M2445" s="4">
        <f>Table1[[#This Row],[Date ]]</f>
        <v>45313</v>
      </c>
      <c r="N2445" s="5">
        <f>Table1[[#This Row],[Ordered]]-Table1[[#This Row],[Date ]]</f>
        <v>0.875</v>
      </c>
      <c r="O2445">
        <f>Table1[[#This Row],[Company]]</f>
        <v>15</v>
      </c>
      <c r="P24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6" spans="1:16" x14ac:dyDescent="0.45">
      <c r="A2446" s="3">
        <v>45313.916666666664</v>
      </c>
      <c r="B2446" t="s">
        <v>14</v>
      </c>
      <c r="C2446">
        <v>8</v>
      </c>
      <c r="D2446">
        <v>1005</v>
      </c>
      <c r="E2446" t="s">
        <v>16</v>
      </c>
      <c r="F2446">
        <v>41</v>
      </c>
      <c r="G2446">
        <v>4100</v>
      </c>
      <c r="H2446">
        <v>168100</v>
      </c>
      <c r="I2446" s="3">
        <v>45316.583333333336</v>
      </c>
      <c r="J2446">
        <v>144</v>
      </c>
      <c r="K2446" s="3">
        <v>45319.583333333336</v>
      </c>
      <c r="L2446" s="4">
        <f>ROUNDDOWN(Table1[[#This Row],[Ordered]],0)</f>
        <v>45313</v>
      </c>
      <c r="M2446" s="4">
        <f>Table1[[#This Row],[Date ]]</f>
        <v>45313</v>
      </c>
      <c r="N2446" s="5">
        <f>Table1[[#This Row],[Ordered]]-Table1[[#This Row],[Date ]]</f>
        <v>0.91666666666424135</v>
      </c>
      <c r="O2446">
        <f>Table1[[#This Row],[Company]]</f>
        <v>8</v>
      </c>
      <c r="P24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7" spans="1:16" x14ac:dyDescent="0.45">
      <c r="A2447" s="3">
        <v>45313.916666666664</v>
      </c>
      <c r="B2447" t="s">
        <v>14</v>
      </c>
      <c r="C2447">
        <v>7</v>
      </c>
      <c r="D2447">
        <v>1005</v>
      </c>
      <c r="E2447" t="s">
        <v>16</v>
      </c>
      <c r="F2447">
        <v>35</v>
      </c>
      <c r="G2447">
        <v>4150</v>
      </c>
      <c r="H2447">
        <v>145250</v>
      </c>
      <c r="I2447" s="3">
        <v>45314</v>
      </c>
      <c r="J2447">
        <v>96</v>
      </c>
      <c r="K2447" s="3">
        <v>45317</v>
      </c>
      <c r="L2447" s="4">
        <f>ROUNDDOWN(Table1[[#This Row],[Ordered]],0)</f>
        <v>45313</v>
      </c>
      <c r="M2447" s="4">
        <f>Table1[[#This Row],[Date ]]</f>
        <v>45313</v>
      </c>
      <c r="N2447" s="5">
        <f>Table1[[#This Row],[Ordered]]-Table1[[#This Row],[Date ]]</f>
        <v>0.91666666666424135</v>
      </c>
      <c r="O2447">
        <f>Table1[[#This Row],[Company]]</f>
        <v>7</v>
      </c>
      <c r="P24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8" spans="1:16" x14ac:dyDescent="0.45">
      <c r="A2448" s="3">
        <v>45313.916666666664</v>
      </c>
      <c r="B2448" t="s">
        <v>14</v>
      </c>
      <c r="C2448">
        <v>13</v>
      </c>
      <c r="D2448">
        <v>1005</v>
      </c>
      <c r="E2448" t="s">
        <v>16</v>
      </c>
      <c r="F2448">
        <v>30</v>
      </c>
      <c r="G2448">
        <v>3100</v>
      </c>
      <c r="H2448">
        <v>93000</v>
      </c>
      <c r="I2448" s="3">
        <v>45314.791666666664</v>
      </c>
      <c r="J2448">
        <v>96</v>
      </c>
      <c r="K2448" s="3">
        <v>45317.833333333336</v>
      </c>
      <c r="L2448" s="4">
        <f>ROUNDDOWN(Table1[[#This Row],[Ordered]],0)</f>
        <v>45313</v>
      </c>
      <c r="M2448" s="4">
        <f>Table1[[#This Row],[Date ]]</f>
        <v>45313</v>
      </c>
      <c r="N2448" s="5">
        <f>Table1[[#This Row],[Ordered]]-Table1[[#This Row],[Date ]]</f>
        <v>0.91666666666424135</v>
      </c>
      <c r="O2448">
        <f>Table1[[#This Row],[Company]]</f>
        <v>13</v>
      </c>
      <c r="P24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9" spans="1:16" x14ac:dyDescent="0.45">
      <c r="A2449" s="3">
        <v>45313.916666666664</v>
      </c>
      <c r="B2449" t="s">
        <v>14</v>
      </c>
      <c r="C2449">
        <v>9</v>
      </c>
      <c r="D2449">
        <v>1005</v>
      </c>
      <c r="E2449" t="s">
        <v>16</v>
      </c>
      <c r="F2449">
        <v>15</v>
      </c>
      <c r="G2449">
        <v>3799</v>
      </c>
      <c r="H2449">
        <v>56985</v>
      </c>
      <c r="I2449" s="3">
        <v>45313.916666666664</v>
      </c>
      <c r="J2449">
        <v>76</v>
      </c>
      <c r="K2449" s="3">
        <v>45316.916666666664</v>
      </c>
      <c r="L2449" s="4">
        <f>ROUNDDOWN(Table1[[#This Row],[Ordered]],0)</f>
        <v>45313</v>
      </c>
      <c r="M2449" s="4">
        <f>Table1[[#This Row],[Date ]]</f>
        <v>45313</v>
      </c>
      <c r="N2449" s="5">
        <f>Table1[[#This Row],[Ordered]]-Table1[[#This Row],[Date ]]</f>
        <v>0.91666666666424135</v>
      </c>
      <c r="O2449">
        <f>Table1[[#This Row],[Company]]</f>
        <v>9</v>
      </c>
      <c r="P24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0" spans="1:16" x14ac:dyDescent="0.45">
      <c r="A2450" s="3">
        <v>45313.916666666664</v>
      </c>
      <c r="B2450" t="s">
        <v>14</v>
      </c>
      <c r="C2450">
        <v>15</v>
      </c>
      <c r="D2450">
        <v>1005</v>
      </c>
      <c r="E2450" t="s">
        <v>16</v>
      </c>
      <c r="F2450">
        <v>50</v>
      </c>
      <c r="G2450">
        <v>3450</v>
      </c>
      <c r="H2450">
        <v>172500</v>
      </c>
      <c r="I2450" s="3">
        <v>45314</v>
      </c>
      <c r="J2450">
        <v>88</v>
      </c>
      <c r="K2450" s="3">
        <v>45317</v>
      </c>
      <c r="L2450" s="4">
        <f>ROUNDDOWN(Table1[[#This Row],[Ordered]],0)</f>
        <v>45313</v>
      </c>
      <c r="M2450" s="4">
        <f>Table1[[#This Row],[Date ]]</f>
        <v>45313</v>
      </c>
      <c r="N2450" s="5">
        <f>Table1[[#This Row],[Ordered]]-Table1[[#This Row],[Date ]]</f>
        <v>0.91666666666424135</v>
      </c>
      <c r="O2450">
        <f>Table1[[#This Row],[Company]]</f>
        <v>15</v>
      </c>
      <c r="P24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1" spans="1:16" x14ac:dyDescent="0.45">
      <c r="A2451" s="3">
        <v>45313.916666666664</v>
      </c>
      <c r="B2451" t="s">
        <v>14</v>
      </c>
      <c r="C2451">
        <v>11</v>
      </c>
      <c r="D2451">
        <v>1005</v>
      </c>
      <c r="E2451" t="s">
        <v>16</v>
      </c>
      <c r="F2451">
        <v>30</v>
      </c>
      <c r="G2451">
        <v>4000</v>
      </c>
      <c r="H2451">
        <v>120000</v>
      </c>
      <c r="I2451" s="3">
        <v>45314.375</v>
      </c>
      <c r="J2451">
        <v>96</v>
      </c>
      <c r="K2451" s="3">
        <v>45317.375</v>
      </c>
      <c r="L2451" s="4">
        <f>ROUNDDOWN(Table1[[#This Row],[Ordered]],0)</f>
        <v>45313</v>
      </c>
      <c r="M2451" s="4">
        <f>Table1[[#This Row],[Date ]]</f>
        <v>45313</v>
      </c>
      <c r="N2451" s="5">
        <f>Table1[[#This Row],[Ordered]]-Table1[[#This Row],[Date ]]</f>
        <v>0.91666666666424135</v>
      </c>
      <c r="O2451">
        <f>Table1[[#This Row],[Company]]</f>
        <v>11</v>
      </c>
      <c r="P24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2" spans="1:16" x14ac:dyDescent="0.45">
      <c r="A2452" s="3">
        <v>45313.916666666664</v>
      </c>
      <c r="B2452" t="s">
        <v>14</v>
      </c>
      <c r="C2452">
        <v>12</v>
      </c>
      <c r="D2452">
        <v>1005</v>
      </c>
      <c r="E2452" t="s">
        <v>16</v>
      </c>
      <c r="F2452">
        <v>30</v>
      </c>
      <c r="G2452">
        <v>3800</v>
      </c>
      <c r="H2452">
        <v>114000</v>
      </c>
      <c r="I2452" s="3">
        <v>45314.666666666664</v>
      </c>
      <c r="J2452">
        <v>96</v>
      </c>
      <c r="K2452" s="3">
        <v>45317.666666666664</v>
      </c>
      <c r="L2452" s="4">
        <f>ROUNDDOWN(Table1[[#This Row],[Ordered]],0)</f>
        <v>45313</v>
      </c>
      <c r="M2452" s="4">
        <f>Table1[[#This Row],[Date ]]</f>
        <v>45313</v>
      </c>
      <c r="N2452" s="5">
        <f>Table1[[#This Row],[Ordered]]-Table1[[#This Row],[Date ]]</f>
        <v>0.91666666666424135</v>
      </c>
      <c r="O2452">
        <f>Table1[[#This Row],[Company]]</f>
        <v>12</v>
      </c>
      <c r="P24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3" spans="1:16" x14ac:dyDescent="0.45">
      <c r="A2453" s="3">
        <v>45313.916666666664</v>
      </c>
      <c r="B2453" t="s">
        <v>14</v>
      </c>
      <c r="C2453">
        <v>14</v>
      </c>
      <c r="D2453">
        <v>1005</v>
      </c>
      <c r="E2453" t="s">
        <v>16</v>
      </c>
      <c r="F2453">
        <v>40</v>
      </c>
      <c r="G2453">
        <v>3650</v>
      </c>
      <c r="H2453">
        <v>146000</v>
      </c>
      <c r="I2453" s="3">
        <v>45313.916666666664</v>
      </c>
      <c r="J2453">
        <v>84</v>
      </c>
      <c r="K2453" s="3">
        <v>45316.916666666664</v>
      </c>
      <c r="L2453" s="4">
        <f>ROUNDDOWN(Table1[[#This Row],[Ordered]],0)</f>
        <v>45313</v>
      </c>
      <c r="M2453" s="4">
        <f>Table1[[#This Row],[Date ]]</f>
        <v>45313</v>
      </c>
      <c r="N2453" s="5">
        <f>Table1[[#This Row],[Ordered]]-Table1[[#This Row],[Date ]]</f>
        <v>0.91666666666424135</v>
      </c>
      <c r="O2453">
        <f>Table1[[#This Row],[Company]]</f>
        <v>14</v>
      </c>
      <c r="P24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4" spans="1:16" x14ac:dyDescent="0.45">
      <c r="A2454" s="3">
        <v>45313.916666666664</v>
      </c>
      <c r="B2454" t="s">
        <v>14</v>
      </c>
      <c r="C2454">
        <v>16</v>
      </c>
      <c r="D2454">
        <v>1005</v>
      </c>
      <c r="E2454" t="s">
        <v>16</v>
      </c>
      <c r="F2454">
        <v>30</v>
      </c>
      <c r="G2454">
        <v>3750</v>
      </c>
      <c r="H2454">
        <v>112500</v>
      </c>
      <c r="I2454" s="3">
        <v>45314.333333333336</v>
      </c>
      <c r="J2454">
        <v>96</v>
      </c>
      <c r="K2454" s="3">
        <v>45317.333333333336</v>
      </c>
      <c r="L2454" s="4">
        <f>ROUNDDOWN(Table1[[#This Row],[Ordered]],0)</f>
        <v>45313</v>
      </c>
      <c r="M2454" s="4">
        <f>Table1[[#This Row],[Date ]]</f>
        <v>45313</v>
      </c>
      <c r="N2454" s="5">
        <f>Table1[[#This Row],[Ordered]]-Table1[[#This Row],[Date ]]</f>
        <v>0.91666666666424135</v>
      </c>
      <c r="O2454">
        <f>Table1[[#This Row],[Company]]</f>
        <v>16</v>
      </c>
      <c r="P24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5" spans="1:16" hidden="1" x14ac:dyDescent="0.45">
      <c r="A2455" s="3">
        <v>45314</v>
      </c>
      <c r="B2455" t="s">
        <v>12</v>
      </c>
      <c r="C2455">
        <v>5</v>
      </c>
      <c r="D2455">
        <v>16</v>
      </c>
      <c r="E2455" t="s">
        <v>17</v>
      </c>
      <c r="F2455">
        <v>350</v>
      </c>
      <c r="G2455">
        <v>1450</v>
      </c>
      <c r="H2455">
        <v>507500</v>
      </c>
      <c r="I2455" s="3">
        <v>45314.083333333336</v>
      </c>
      <c r="J2455">
        <v>48</v>
      </c>
      <c r="K2455" s="3">
        <v>45316.083333333336</v>
      </c>
      <c r="L2455" s="4">
        <f>ROUNDDOWN(Table1[[#This Row],[Ordered]],0)</f>
        <v>45314</v>
      </c>
      <c r="M2455" s="4">
        <f>Table1[[#This Row],[Date ]]</f>
        <v>45314</v>
      </c>
      <c r="N2455" s="5">
        <f>Table1[[#This Row],[Ordered]]-Table1[[#This Row],[Date ]]</f>
        <v>0</v>
      </c>
      <c r="O2455">
        <f>Table1[[#This Row],[Company]]</f>
        <v>5</v>
      </c>
      <c r="P24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6" spans="1:16" hidden="1" x14ac:dyDescent="0.45">
      <c r="A2456" s="3">
        <v>45314</v>
      </c>
      <c r="B2456" t="s">
        <v>12</v>
      </c>
      <c r="C2456">
        <v>8</v>
      </c>
      <c r="D2456">
        <v>4</v>
      </c>
      <c r="E2456" t="s">
        <v>20</v>
      </c>
      <c r="F2456">
        <v>260</v>
      </c>
      <c r="G2456">
        <v>20</v>
      </c>
      <c r="H2456">
        <v>5200</v>
      </c>
      <c r="I2456" s="3">
        <v>45314.875</v>
      </c>
      <c r="J2456">
        <v>72</v>
      </c>
      <c r="K2456" s="3">
        <v>45317.875</v>
      </c>
      <c r="L2456" s="4">
        <f>ROUNDDOWN(Table1[[#This Row],[Ordered]],0)</f>
        <v>45314</v>
      </c>
      <c r="M2456" s="4">
        <f>Table1[[#This Row],[Date ]]</f>
        <v>45314</v>
      </c>
      <c r="N2456" s="5">
        <f>Table1[[#This Row],[Ordered]]-Table1[[#This Row],[Date ]]</f>
        <v>0</v>
      </c>
      <c r="O2456">
        <f>Table1[[#This Row],[Company]]</f>
        <v>8</v>
      </c>
      <c r="P24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7" spans="1:16" hidden="1" x14ac:dyDescent="0.45">
      <c r="A2457" s="3">
        <v>45314.041666666664</v>
      </c>
      <c r="B2457" t="s">
        <v>12</v>
      </c>
      <c r="C2457">
        <v>1</v>
      </c>
      <c r="D2457">
        <v>14</v>
      </c>
      <c r="E2457" t="s">
        <v>17</v>
      </c>
      <c r="F2457">
        <v>400</v>
      </c>
      <c r="G2457">
        <v>1350</v>
      </c>
      <c r="H2457">
        <v>540000</v>
      </c>
      <c r="I2457" s="3">
        <v>45314.041666666664</v>
      </c>
      <c r="J2457">
        <v>24</v>
      </c>
      <c r="K2457" s="3">
        <v>45315.041666666664</v>
      </c>
      <c r="L2457" s="4">
        <f>ROUNDDOWN(Table1[[#This Row],[Ordered]],0)</f>
        <v>45314</v>
      </c>
      <c r="M2457" s="4">
        <f>Table1[[#This Row],[Date ]]</f>
        <v>45314</v>
      </c>
      <c r="N2457" s="5">
        <f>Table1[[#This Row],[Ordered]]-Table1[[#This Row],[Date ]]</f>
        <v>4.1666666664241347E-2</v>
      </c>
      <c r="O2457">
        <f>Table1[[#This Row],[Company]]</f>
        <v>1</v>
      </c>
      <c r="P24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8" spans="1:16" x14ac:dyDescent="0.45">
      <c r="A2458" s="3">
        <v>45314.083333333336</v>
      </c>
      <c r="B2458" t="s">
        <v>14</v>
      </c>
      <c r="C2458">
        <v>11</v>
      </c>
      <c r="D2458">
        <v>1011</v>
      </c>
      <c r="E2458" t="s">
        <v>16</v>
      </c>
      <c r="F2458">
        <v>17</v>
      </c>
      <c r="G2458">
        <v>4000</v>
      </c>
      <c r="H2458">
        <v>68000</v>
      </c>
      <c r="I2458" s="3">
        <v>45314.416666666664</v>
      </c>
      <c r="J2458">
        <v>96</v>
      </c>
      <c r="K2458" s="3">
        <v>45317.416666666664</v>
      </c>
      <c r="L2458" s="4">
        <f>ROUNDDOWN(Table1[[#This Row],[Ordered]],0)</f>
        <v>45314</v>
      </c>
      <c r="M2458" s="4">
        <f>Table1[[#This Row],[Date ]]</f>
        <v>45314</v>
      </c>
      <c r="N2458" s="5">
        <f>Table1[[#This Row],[Ordered]]-Table1[[#This Row],[Date ]]</f>
        <v>8.3333333335758653E-2</v>
      </c>
      <c r="O2458">
        <f>Table1[[#This Row],[Company]]</f>
        <v>11</v>
      </c>
      <c r="P24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9" spans="1:16" x14ac:dyDescent="0.45">
      <c r="A2459" s="3">
        <v>45314.083333333336</v>
      </c>
      <c r="B2459" t="s">
        <v>14</v>
      </c>
      <c r="C2459">
        <v>9</v>
      </c>
      <c r="D2459">
        <v>1011</v>
      </c>
      <c r="E2459" t="s">
        <v>16</v>
      </c>
      <c r="F2459">
        <v>15</v>
      </c>
      <c r="G2459">
        <v>3799</v>
      </c>
      <c r="H2459">
        <v>56985</v>
      </c>
      <c r="I2459" s="3">
        <v>45314.083333333336</v>
      </c>
      <c r="J2459">
        <v>76</v>
      </c>
      <c r="K2459" s="3">
        <v>45317.083333333336</v>
      </c>
      <c r="L2459" s="4">
        <f>ROUNDDOWN(Table1[[#This Row],[Ordered]],0)</f>
        <v>45314</v>
      </c>
      <c r="M2459" s="4">
        <f>Table1[[#This Row],[Date ]]</f>
        <v>45314</v>
      </c>
      <c r="N2459" s="5">
        <f>Table1[[#This Row],[Ordered]]-Table1[[#This Row],[Date ]]</f>
        <v>8.3333333335758653E-2</v>
      </c>
      <c r="O2459">
        <f>Table1[[#This Row],[Company]]</f>
        <v>9</v>
      </c>
      <c r="P24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0" spans="1:16" hidden="1" x14ac:dyDescent="0.45">
      <c r="A2460" s="3">
        <v>45314.083333333336</v>
      </c>
      <c r="B2460" t="s">
        <v>12</v>
      </c>
      <c r="C2460">
        <v>1</v>
      </c>
      <c r="D2460">
        <v>13</v>
      </c>
      <c r="E2460" t="s">
        <v>17</v>
      </c>
      <c r="F2460">
        <v>300</v>
      </c>
      <c r="G2460">
        <v>1400</v>
      </c>
      <c r="H2460">
        <v>420000</v>
      </c>
      <c r="I2460" s="3">
        <v>45314.125</v>
      </c>
      <c r="J2460">
        <v>72</v>
      </c>
      <c r="K2460" s="3">
        <v>45317.125</v>
      </c>
      <c r="L2460" s="4">
        <f>ROUNDDOWN(Table1[[#This Row],[Ordered]],0)</f>
        <v>45314</v>
      </c>
      <c r="M2460" s="4">
        <f>Table1[[#This Row],[Date ]]</f>
        <v>45314</v>
      </c>
      <c r="N2460" s="5">
        <f>Table1[[#This Row],[Ordered]]-Table1[[#This Row],[Date ]]</f>
        <v>8.3333333335758653E-2</v>
      </c>
      <c r="O2460">
        <f>Table1[[#This Row],[Company]]</f>
        <v>1</v>
      </c>
      <c r="P24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1" spans="1:16" x14ac:dyDescent="0.45">
      <c r="A2461" s="3">
        <v>45314.083333333336</v>
      </c>
      <c r="B2461" t="s">
        <v>14</v>
      </c>
      <c r="C2461">
        <v>16</v>
      </c>
      <c r="D2461">
        <v>1011</v>
      </c>
      <c r="E2461" t="s">
        <v>16</v>
      </c>
      <c r="F2461">
        <v>25</v>
      </c>
      <c r="G2461">
        <v>3750</v>
      </c>
      <c r="H2461">
        <v>93750</v>
      </c>
      <c r="I2461" s="3">
        <v>45314.333333333336</v>
      </c>
      <c r="J2461">
        <v>96</v>
      </c>
      <c r="K2461" s="3">
        <v>45317.333333333336</v>
      </c>
      <c r="L2461" s="4">
        <f>ROUNDDOWN(Table1[[#This Row],[Ordered]],0)</f>
        <v>45314</v>
      </c>
      <c r="M2461" s="4">
        <f>Table1[[#This Row],[Date ]]</f>
        <v>45314</v>
      </c>
      <c r="N2461" s="5">
        <f>Table1[[#This Row],[Ordered]]-Table1[[#This Row],[Date ]]</f>
        <v>8.3333333335758653E-2</v>
      </c>
      <c r="O2461">
        <f>Table1[[#This Row],[Company]]</f>
        <v>16</v>
      </c>
      <c r="P24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2" spans="1:16" x14ac:dyDescent="0.45">
      <c r="A2462" s="3">
        <v>45314.083333333336</v>
      </c>
      <c r="B2462" t="s">
        <v>14</v>
      </c>
      <c r="C2462">
        <v>14</v>
      </c>
      <c r="D2462">
        <v>1011</v>
      </c>
      <c r="E2462" t="s">
        <v>16</v>
      </c>
      <c r="F2462">
        <v>29</v>
      </c>
      <c r="G2462">
        <v>3650</v>
      </c>
      <c r="H2462">
        <v>105850</v>
      </c>
      <c r="I2462" s="3">
        <v>45314.083333333336</v>
      </c>
      <c r="J2462">
        <v>84</v>
      </c>
      <c r="K2462" s="3">
        <v>45317.208333333336</v>
      </c>
      <c r="L2462" s="4">
        <f>ROUNDDOWN(Table1[[#This Row],[Ordered]],0)</f>
        <v>45314</v>
      </c>
      <c r="M2462" s="4">
        <f>Table1[[#This Row],[Date ]]</f>
        <v>45314</v>
      </c>
      <c r="N2462" s="5">
        <f>Table1[[#This Row],[Ordered]]-Table1[[#This Row],[Date ]]</f>
        <v>8.3333333335758653E-2</v>
      </c>
      <c r="O2462">
        <f>Table1[[#This Row],[Company]]</f>
        <v>14</v>
      </c>
      <c r="P24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3" spans="1:16" x14ac:dyDescent="0.45">
      <c r="A2463" s="3">
        <v>45314.083333333336</v>
      </c>
      <c r="B2463" t="s">
        <v>14</v>
      </c>
      <c r="C2463">
        <v>13</v>
      </c>
      <c r="D2463">
        <v>1011</v>
      </c>
      <c r="E2463" t="s">
        <v>16</v>
      </c>
      <c r="F2463">
        <v>30</v>
      </c>
      <c r="G2463">
        <v>3100</v>
      </c>
      <c r="H2463">
        <v>93000</v>
      </c>
      <c r="I2463" s="3">
        <v>45314.75</v>
      </c>
      <c r="J2463">
        <v>96</v>
      </c>
      <c r="K2463" s="3">
        <v>45317.75</v>
      </c>
      <c r="L2463" s="4">
        <f>ROUNDDOWN(Table1[[#This Row],[Ordered]],0)</f>
        <v>45314</v>
      </c>
      <c r="M2463" s="4">
        <f>Table1[[#This Row],[Date ]]</f>
        <v>45314</v>
      </c>
      <c r="N2463" s="5">
        <f>Table1[[#This Row],[Ordered]]-Table1[[#This Row],[Date ]]</f>
        <v>8.3333333335758653E-2</v>
      </c>
      <c r="O2463">
        <f>Table1[[#This Row],[Company]]</f>
        <v>13</v>
      </c>
      <c r="P24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4" spans="1:16" x14ac:dyDescent="0.45">
      <c r="A2464" s="3">
        <v>45314.083333333336</v>
      </c>
      <c r="B2464" t="s">
        <v>14</v>
      </c>
      <c r="C2464">
        <v>15</v>
      </c>
      <c r="D2464">
        <v>1011</v>
      </c>
      <c r="E2464" t="s">
        <v>16</v>
      </c>
      <c r="F2464">
        <v>33</v>
      </c>
      <c r="G2464">
        <v>3450</v>
      </c>
      <c r="H2464">
        <v>113850</v>
      </c>
      <c r="I2464" s="3">
        <v>45314.208333333336</v>
      </c>
      <c r="J2464">
        <v>88</v>
      </c>
      <c r="K2464" s="3">
        <v>45317.208333333336</v>
      </c>
      <c r="L2464" s="4">
        <f>ROUNDDOWN(Table1[[#This Row],[Ordered]],0)</f>
        <v>45314</v>
      </c>
      <c r="M2464" s="4">
        <f>Table1[[#This Row],[Date ]]</f>
        <v>45314</v>
      </c>
      <c r="N2464" s="5">
        <f>Table1[[#This Row],[Ordered]]-Table1[[#This Row],[Date ]]</f>
        <v>8.3333333335758653E-2</v>
      </c>
      <c r="O2464">
        <f>Table1[[#This Row],[Company]]</f>
        <v>15</v>
      </c>
      <c r="P24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5" spans="1:16" x14ac:dyDescent="0.45">
      <c r="A2465" s="3">
        <v>45314.083333333336</v>
      </c>
      <c r="B2465" t="s">
        <v>14</v>
      </c>
      <c r="C2465">
        <v>12</v>
      </c>
      <c r="D2465">
        <v>1011</v>
      </c>
      <c r="E2465" t="s">
        <v>16</v>
      </c>
      <c r="F2465">
        <v>19</v>
      </c>
      <c r="G2465">
        <v>3800</v>
      </c>
      <c r="H2465">
        <v>72200</v>
      </c>
      <c r="I2465" s="3">
        <v>45314.666666666664</v>
      </c>
      <c r="J2465">
        <v>96</v>
      </c>
      <c r="K2465" s="3">
        <v>45317.666666666664</v>
      </c>
      <c r="L2465" s="4">
        <f>ROUNDDOWN(Table1[[#This Row],[Ordered]],0)</f>
        <v>45314</v>
      </c>
      <c r="M2465" s="4">
        <f>Table1[[#This Row],[Date ]]</f>
        <v>45314</v>
      </c>
      <c r="N2465" s="5">
        <f>Table1[[#This Row],[Ordered]]-Table1[[#This Row],[Date ]]</f>
        <v>8.3333333335758653E-2</v>
      </c>
      <c r="O2465">
        <f>Table1[[#This Row],[Company]]</f>
        <v>12</v>
      </c>
      <c r="P24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6" spans="1:16" x14ac:dyDescent="0.45">
      <c r="A2466" s="3">
        <v>45314.083333333336</v>
      </c>
      <c r="B2466" t="s">
        <v>14</v>
      </c>
      <c r="C2466">
        <v>7</v>
      </c>
      <c r="D2466">
        <v>1011</v>
      </c>
      <c r="E2466" t="s">
        <v>16</v>
      </c>
      <c r="F2466">
        <v>13</v>
      </c>
      <c r="G2466">
        <v>4150</v>
      </c>
      <c r="H2466">
        <v>53950</v>
      </c>
      <c r="I2466" s="3">
        <v>45314.125</v>
      </c>
      <c r="J2466">
        <v>96</v>
      </c>
      <c r="K2466" s="3">
        <v>45317.125</v>
      </c>
      <c r="L2466" s="4">
        <f>ROUNDDOWN(Table1[[#This Row],[Ordered]],0)</f>
        <v>45314</v>
      </c>
      <c r="M2466" s="4">
        <f>Table1[[#This Row],[Date ]]</f>
        <v>45314</v>
      </c>
      <c r="N2466" s="5">
        <f>Table1[[#This Row],[Ordered]]-Table1[[#This Row],[Date ]]</f>
        <v>8.3333333335758653E-2</v>
      </c>
      <c r="O2466">
        <f>Table1[[#This Row],[Company]]</f>
        <v>7</v>
      </c>
      <c r="P24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7" spans="1:16" hidden="1" x14ac:dyDescent="0.45">
      <c r="A2467" s="3">
        <v>45314.166666666664</v>
      </c>
      <c r="B2467" t="s">
        <v>12</v>
      </c>
      <c r="C2467">
        <v>3</v>
      </c>
      <c r="D2467">
        <v>12</v>
      </c>
      <c r="E2467" t="s">
        <v>13</v>
      </c>
      <c r="F2467">
        <v>3000</v>
      </c>
      <c r="G2467">
        <v>120</v>
      </c>
      <c r="H2467">
        <v>360000</v>
      </c>
      <c r="I2467" s="3">
        <v>45314.25</v>
      </c>
      <c r="J2467">
        <v>72</v>
      </c>
      <c r="K2467" s="3">
        <v>45317.25</v>
      </c>
      <c r="L2467" s="4">
        <f>ROUNDDOWN(Table1[[#This Row],[Ordered]],0)</f>
        <v>45314</v>
      </c>
      <c r="M2467" s="4">
        <f>Table1[[#This Row],[Date ]]</f>
        <v>45314</v>
      </c>
      <c r="N2467" s="5">
        <f>Table1[[#This Row],[Ordered]]-Table1[[#This Row],[Date ]]</f>
        <v>0.16666666666424135</v>
      </c>
      <c r="O2467">
        <f>Table1[[#This Row],[Company]]</f>
        <v>3</v>
      </c>
      <c r="P24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8" spans="1:16" hidden="1" x14ac:dyDescent="0.45">
      <c r="A2468" s="3">
        <v>45314.208333333336</v>
      </c>
      <c r="B2468" t="s">
        <v>12</v>
      </c>
      <c r="C2468">
        <v>2</v>
      </c>
      <c r="D2468">
        <v>15</v>
      </c>
      <c r="E2468" t="s">
        <v>13</v>
      </c>
      <c r="F2468">
        <v>2661</v>
      </c>
      <c r="G2468">
        <v>125</v>
      </c>
      <c r="H2468">
        <v>332625</v>
      </c>
      <c r="I2468" s="3">
        <v>45314.208333333336</v>
      </c>
      <c r="J2468">
        <v>72</v>
      </c>
      <c r="K2468" s="3">
        <v>45317.208333333336</v>
      </c>
      <c r="L2468" s="4">
        <f>ROUNDDOWN(Table1[[#This Row],[Ordered]],0)</f>
        <v>45314</v>
      </c>
      <c r="M2468" s="4">
        <f>Table1[[#This Row],[Date ]]</f>
        <v>45314</v>
      </c>
      <c r="N2468" s="5">
        <f>Table1[[#This Row],[Ordered]]-Table1[[#This Row],[Date ]]</f>
        <v>0.20833333333575865</v>
      </c>
      <c r="O2468">
        <f>Table1[[#This Row],[Company]]</f>
        <v>2</v>
      </c>
      <c r="P24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9" spans="1:16" hidden="1" x14ac:dyDescent="0.45">
      <c r="A2469" s="3">
        <v>45314.208333333336</v>
      </c>
      <c r="B2469" t="s">
        <v>12</v>
      </c>
      <c r="C2469">
        <v>3</v>
      </c>
      <c r="D2469">
        <v>12</v>
      </c>
      <c r="E2469" t="s">
        <v>17</v>
      </c>
      <c r="F2469">
        <v>720</v>
      </c>
      <c r="G2469">
        <v>1300</v>
      </c>
      <c r="H2469">
        <v>936000</v>
      </c>
      <c r="I2469" s="3">
        <v>45314.25</v>
      </c>
      <c r="J2469">
        <v>72</v>
      </c>
      <c r="K2469" s="3">
        <v>45317.25</v>
      </c>
      <c r="L2469" s="4">
        <f>ROUNDDOWN(Table1[[#This Row],[Ordered]],0)</f>
        <v>45314</v>
      </c>
      <c r="M2469" s="4">
        <f>Table1[[#This Row],[Date ]]</f>
        <v>45314</v>
      </c>
      <c r="N2469" s="5">
        <f>Table1[[#This Row],[Ordered]]-Table1[[#This Row],[Date ]]</f>
        <v>0.20833333333575865</v>
      </c>
      <c r="O2469">
        <f>Table1[[#This Row],[Company]]</f>
        <v>3</v>
      </c>
      <c r="P24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0" spans="1:16" hidden="1" x14ac:dyDescent="0.45">
      <c r="A2470" s="3">
        <v>45314.25</v>
      </c>
      <c r="B2470" t="s">
        <v>12</v>
      </c>
      <c r="C2470">
        <v>13</v>
      </c>
      <c r="D2470">
        <v>4</v>
      </c>
      <c r="E2470" t="s">
        <v>20</v>
      </c>
      <c r="F2470">
        <v>266</v>
      </c>
      <c r="G2470">
        <v>5</v>
      </c>
      <c r="H2470">
        <v>1330</v>
      </c>
      <c r="I2470" s="3">
        <v>45314.875</v>
      </c>
      <c r="J2470">
        <v>72</v>
      </c>
      <c r="K2470" s="3">
        <v>45317.875</v>
      </c>
      <c r="L2470" s="4">
        <f>ROUNDDOWN(Table1[[#This Row],[Ordered]],0)</f>
        <v>45314</v>
      </c>
      <c r="M2470" s="4">
        <f>Table1[[#This Row],[Date ]]</f>
        <v>45314</v>
      </c>
      <c r="N2470" s="5">
        <f>Table1[[#This Row],[Ordered]]-Table1[[#This Row],[Date ]]</f>
        <v>0.25</v>
      </c>
      <c r="O2470">
        <f>Table1[[#This Row],[Company]]</f>
        <v>13</v>
      </c>
      <c r="P24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1" spans="1:16" x14ac:dyDescent="0.45">
      <c r="A2471" s="3">
        <v>45314.291666666664</v>
      </c>
      <c r="B2471" t="s">
        <v>14</v>
      </c>
      <c r="C2471">
        <v>11</v>
      </c>
      <c r="D2471">
        <v>1003</v>
      </c>
      <c r="E2471" t="s">
        <v>15</v>
      </c>
      <c r="F2471">
        <v>4</v>
      </c>
      <c r="G2471">
        <v>6400</v>
      </c>
      <c r="H2471">
        <v>25600</v>
      </c>
      <c r="I2471" s="3">
        <v>45314.625</v>
      </c>
      <c r="J2471">
        <v>72</v>
      </c>
      <c r="K2471" s="3">
        <v>45316.625</v>
      </c>
      <c r="L2471" s="4">
        <f>ROUNDDOWN(Table1[[#This Row],[Ordered]],0)</f>
        <v>45314</v>
      </c>
      <c r="M2471" s="4">
        <f>Table1[[#This Row],[Date ]]</f>
        <v>45314</v>
      </c>
      <c r="N2471" s="5">
        <f>Table1[[#This Row],[Ordered]]-Table1[[#This Row],[Date ]]</f>
        <v>0.29166666666424135</v>
      </c>
      <c r="O2471">
        <f>Table1[[#This Row],[Company]]</f>
        <v>11</v>
      </c>
      <c r="P24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2" spans="1:16" x14ac:dyDescent="0.45">
      <c r="A2472" s="3">
        <v>45314.291666666664</v>
      </c>
      <c r="B2472" t="s">
        <v>14</v>
      </c>
      <c r="C2472">
        <v>13</v>
      </c>
      <c r="D2472">
        <v>1003</v>
      </c>
      <c r="E2472" t="s">
        <v>15</v>
      </c>
      <c r="F2472">
        <v>6</v>
      </c>
      <c r="G2472">
        <v>6000</v>
      </c>
      <c r="H2472">
        <v>36000</v>
      </c>
      <c r="I2472" s="3">
        <v>45314.958333333336</v>
      </c>
      <c r="J2472">
        <v>96</v>
      </c>
      <c r="K2472" s="3">
        <v>45317.958333333336</v>
      </c>
      <c r="L2472" s="4">
        <f>ROUNDDOWN(Table1[[#This Row],[Ordered]],0)</f>
        <v>45314</v>
      </c>
      <c r="M2472" s="4">
        <f>Table1[[#This Row],[Date ]]</f>
        <v>45314</v>
      </c>
      <c r="N2472" s="5">
        <f>Table1[[#This Row],[Ordered]]-Table1[[#This Row],[Date ]]</f>
        <v>0.29166666666424135</v>
      </c>
      <c r="O2472">
        <f>Table1[[#This Row],[Company]]</f>
        <v>13</v>
      </c>
      <c r="P24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3" spans="1:16" x14ac:dyDescent="0.45">
      <c r="A2473" s="3">
        <v>45314.291666666664</v>
      </c>
      <c r="B2473" t="s">
        <v>14</v>
      </c>
      <c r="C2473">
        <v>8</v>
      </c>
      <c r="D2473">
        <v>1003</v>
      </c>
      <c r="E2473" t="s">
        <v>15</v>
      </c>
      <c r="F2473">
        <v>30</v>
      </c>
      <c r="G2473">
        <v>6310</v>
      </c>
      <c r="H2473">
        <v>189300</v>
      </c>
      <c r="I2473" s="3">
        <v>45315.916666666664</v>
      </c>
      <c r="J2473">
        <v>120</v>
      </c>
      <c r="K2473" s="3">
        <v>45318.916666666664</v>
      </c>
      <c r="L2473" s="4">
        <f>ROUNDDOWN(Table1[[#This Row],[Ordered]],0)</f>
        <v>45314</v>
      </c>
      <c r="M2473" s="4">
        <f>Table1[[#This Row],[Date ]]</f>
        <v>45314</v>
      </c>
      <c r="N2473" s="5">
        <f>Table1[[#This Row],[Ordered]]-Table1[[#This Row],[Date ]]</f>
        <v>0.29166666666424135</v>
      </c>
      <c r="O2473">
        <f>Table1[[#This Row],[Company]]</f>
        <v>8</v>
      </c>
      <c r="P24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4" spans="1:16" x14ac:dyDescent="0.45">
      <c r="A2474" s="3">
        <v>45314.291666666664</v>
      </c>
      <c r="B2474" t="s">
        <v>14</v>
      </c>
      <c r="C2474">
        <v>12</v>
      </c>
      <c r="D2474">
        <v>1003</v>
      </c>
      <c r="E2474" t="s">
        <v>15</v>
      </c>
      <c r="F2474">
        <v>4</v>
      </c>
      <c r="G2474">
        <v>6750</v>
      </c>
      <c r="H2474">
        <v>27000</v>
      </c>
      <c r="I2474" s="3">
        <v>45315.416666666664</v>
      </c>
      <c r="J2474">
        <v>96</v>
      </c>
      <c r="K2474" s="3">
        <v>45317.416666666664</v>
      </c>
      <c r="L2474" s="4">
        <f>ROUNDDOWN(Table1[[#This Row],[Ordered]],0)</f>
        <v>45314</v>
      </c>
      <c r="M2474" s="4">
        <f>Table1[[#This Row],[Date ]]</f>
        <v>45314</v>
      </c>
      <c r="N2474" s="5">
        <f>Table1[[#This Row],[Ordered]]-Table1[[#This Row],[Date ]]</f>
        <v>0.29166666666424135</v>
      </c>
      <c r="O2474">
        <f>Table1[[#This Row],[Company]]</f>
        <v>12</v>
      </c>
      <c r="P24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5" spans="1:16" x14ac:dyDescent="0.45">
      <c r="A2475" s="3">
        <v>45314.291666666664</v>
      </c>
      <c r="B2475" t="s">
        <v>14</v>
      </c>
      <c r="C2475">
        <v>15</v>
      </c>
      <c r="D2475">
        <v>1003</v>
      </c>
      <c r="E2475" t="s">
        <v>15</v>
      </c>
      <c r="F2475">
        <v>7</v>
      </c>
      <c r="G2475">
        <v>6400</v>
      </c>
      <c r="H2475">
        <v>44800</v>
      </c>
      <c r="I2475" s="3">
        <v>45314.375</v>
      </c>
      <c r="J2475">
        <v>64</v>
      </c>
      <c r="K2475" s="3">
        <v>45316.375</v>
      </c>
      <c r="L2475" s="4">
        <f>ROUNDDOWN(Table1[[#This Row],[Ordered]],0)</f>
        <v>45314</v>
      </c>
      <c r="M2475" s="4">
        <f>Table1[[#This Row],[Date ]]</f>
        <v>45314</v>
      </c>
      <c r="N2475" s="5">
        <f>Table1[[#This Row],[Ordered]]-Table1[[#This Row],[Date ]]</f>
        <v>0.29166666666424135</v>
      </c>
      <c r="O2475">
        <f>Table1[[#This Row],[Company]]</f>
        <v>15</v>
      </c>
      <c r="P24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6" spans="1:16" x14ac:dyDescent="0.45">
      <c r="A2476" s="3">
        <v>45314.291666666664</v>
      </c>
      <c r="B2476" t="s">
        <v>14</v>
      </c>
      <c r="C2476">
        <v>16</v>
      </c>
      <c r="D2476">
        <v>1003</v>
      </c>
      <c r="E2476" t="s">
        <v>15</v>
      </c>
      <c r="F2476">
        <v>5</v>
      </c>
      <c r="G2476">
        <v>6050</v>
      </c>
      <c r="H2476">
        <v>30250</v>
      </c>
      <c r="I2476" s="3">
        <v>45314.833333333336</v>
      </c>
      <c r="J2476">
        <v>96</v>
      </c>
      <c r="K2476" s="3">
        <v>45317.833333333336</v>
      </c>
      <c r="L2476" s="4">
        <f>ROUNDDOWN(Table1[[#This Row],[Ordered]],0)</f>
        <v>45314</v>
      </c>
      <c r="M2476" s="4">
        <f>Table1[[#This Row],[Date ]]</f>
        <v>45314</v>
      </c>
      <c r="N2476" s="5">
        <f>Table1[[#This Row],[Ordered]]-Table1[[#This Row],[Date ]]</f>
        <v>0.29166666666424135</v>
      </c>
      <c r="O2476">
        <f>Table1[[#This Row],[Company]]</f>
        <v>16</v>
      </c>
      <c r="P24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7" spans="1:16" hidden="1" x14ac:dyDescent="0.45">
      <c r="A2477" s="3">
        <v>45314.333333333336</v>
      </c>
      <c r="B2477" t="s">
        <v>12</v>
      </c>
      <c r="C2477">
        <v>1</v>
      </c>
      <c r="D2477">
        <v>10</v>
      </c>
      <c r="E2477" t="s">
        <v>13</v>
      </c>
      <c r="F2477">
        <v>1500</v>
      </c>
      <c r="G2477">
        <v>140</v>
      </c>
      <c r="H2477">
        <v>210000</v>
      </c>
      <c r="I2477" s="3">
        <v>45314.333333333336</v>
      </c>
      <c r="J2477">
        <v>24</v>
      </c>
      <c r="K2477" s="3">
        <v>45315.333333333336</v>
      </c>
      <c r="L2477" s="4">
        <f>ROUNDDOWN(Table1[[#This Row],[Ordered]],0)</f>
        <v>45314</v>
      </c>
      <c r="M2477" s="4">
        <f>Table1[[#This Row],[Date ]]</f>
        <v>45314</v>
      </c>
      <c r="N2477" s="5">
        <f>Table1[[#This Row],[Ordered]]-Table1[[#This Row],[Date ]]</f>
        <v>0.33333333333575865</v>
      </c>
      <c r="O2477">
        <f>Table1[[#This Row],[Company]]</f>
        <v>1</v>
      </c>
      <c r="P24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8" spans="1:16" hidden="1" x14ac:dyDescent="0.45">
      <c r="A2478" s="3">
        <v>45314.333333333336</v>
      </c>
      <c r="B2478" t="s">
        <v>12</v>
      </c>
      <c r="C2478">
        <v>4</v>
      </c>
      <c r="D2478">
        <v>9</v>
      </c>
      <c r="E2478" t="s">
        <v>13</v>
      </c>
      <c r="F2478">
        <v>2500</v>
      </c>
      <c r="G2478">
        <v>110</v>
      </c>
      <c r="H2478">
        <v>275000</v>
      </c>
      <c r="I2478" s="3">
        <v>45314.375</v>
      </c>
      <c r="J2478">
        <v>24</v>
      </c>
      <c r="K2478" s="3">
        <v>45315.375</v>
      </c>
      <c r="L2478" s="4">
        <f>ROUNDDOWN(Table1[[#This Row],[Ordered]],0)</f>
        <v>45314</v>
      </c>
      <c r="M2478" s="4">
        <f>Table1[[#This Row],[Date ]]</f>
        <v>45314</v>
      </c>
      <c r="N2478" s="5">
        <f>Table1[[#This Row],[Ordered]]-Table1[[#This Row],[Date ]]</f>
        <v>0.33333333333575865</v>
      </c>
      <c r="O2478">
        <f>Table1[[#This Row],[Company]]</f>
        <v>4</v>
      </c>
      <c r="P24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9" spans="1:16" x14ac:dyDescent="0.45">
      <c r="A2479" s="3">
        <v>45314.375</v>
      </c>
      <c r="B2479" t="s">
        <v>14</v>
      </c>
      <c r="C2479">
        <v>12</v>
      </c>
      <c r="D2479">
        <v>1003</v>
      </c>
      <c r="E2479" t="s">
        <v>16</v>
      </c>
      <c r="F2479">
        <v>30</v>
      </c>
      <c r="G2479">
        <v>3800</v>
      </c>
      <c r="H2479">
        <v>114000</v>
      </c>
      <c r="I2479" s="3">
        <v>45314.666666666664</v>
      </c>
      <c r="J2479">
        <v>96</v>
      </c>
      <c r="K2479" s="3">
        <v>45317.666666666664</v>
      </c>
      <c r="L2479" s="4">
        <f>ROUNDDOWN(Table1[[#This Row],[Ordered]],0)</f>
        <v>45314</v>
      </c>
      <c r="M2479" s="4">
        <f>Table1[[#This Row],[Date ]]</f>
        <v>45314</v>
      </c>
      <c r="N2479" s="5">
        <f>Table1[[#This Row],[Ordered]]-Table1[[#This Row],[Date ]]</f>
        <v>0.375</v>
      </c>
      <c r="O2479">
        <f>Table1[[#This Row],[Company]]</f>
        <v>12</v>
      </c>
      <c r="P24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0" spans="1:16" hidden="1" x14ac:dyDescent="0.45">
      <c r="A2480" s="3">
        <v>45314.375</v>
      </c>
      <c r="B2480" t="s">
        <v>12</v>
      </c>
      <c r="C2480">
        <v>3</v>
      </c>
      <c r="D2480">
        <v>13</v>
      </c>
      <c r="E2480" t="s">
        <v>17</v>
      </c>
      <c r="F2480">
        <v>150</v>
      </c>
      <c r="G2480">
        <v>1300</v>
      </c>
      <c r="H2480">
        <v>195000</v>
      </c>
      <c r="I2480" s="3">
        <v>45314.375</v>
      </c>
      <c r="J2480">
        <v>72</v>
      </c>
      <c r="K2480" s="3">
        <v>45317.375</v>
      </c>
      <c r="L2480" s="4">
        <f>ROUNDDOWN(Table1[[#This Row],[Ordered]],0)</f>
        <v>45314</v>
      </c>
      <c r="M2480" s="4">
        <f>Table1[[#This Row],[Date ]]</f>
        <v>45314</v>
      </c>
      <c r="N2480" s="5">
        <f>Table1[[#This Row],[Ordered]]-Table1[[#This Row],[Date ]]</f>
        <v>0.375</v>
      </c>
      <c r="O2480">
        <f>Table1[[#This Row],[Company]]</f>
        <v>3</v>
      </c>
      <c r="P24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1" spans="1:16" x14ac:dyDescent="0.45">
      <c r="A2481" s="3">
        <v>45314.375</v>
      </c>
      <c r="B2481" t="s">
        <v>14</v>
      </c>
      <c r="C2481">
        <v>9</v>
      </c>
      <c r="D2481">
        <v>1003</v>
      </c>
      <c r="E2481" t="s">
        <v>16</v>
      </c>
      <c r="F2481">
        <v>15</v>
      </c>
      <c r="G2481">
        <v>3799</v>
      </c>
      <c r="H2481">
        <v>56985</v>
      </c>
      <c r="I2481" s="3">
        <v>45314.375</v>
      </c>
      <c r="J2481">
        <v>76</v>
      </c>
      <c r="K2481" s="3">
        <v>45317.375</v>
      </c>
      <c r="L2481" s="4">
        <f>ROUNDDOWN(Table1[[#This Row],[Ordered]],0)</f>
        <v>45314</v>
      </c>
      <c r="M2481" s="4">
        <f>Table1[[#This Row],[Date ]]</f>
        <v>45314</v>
      </c>
      <c r="N2481" s="5">
        <f>Table1[[#This Row],[Ordered]]-Table1[[#This Row],[Date ]]</f>
        <v>0.375</v>
      </c>
      <c r="O2481">
        <f>Table1[[#This Row],[Company]]</f>
        <v>9</v>
      </c>
      <c r="P24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2" spans="1:16" x14ac:dyDescent="0.45">
      <c r="A2482" s="3">
        <v>45314.375</v>
      </c>
      <c r="B2482" t="s">
        <v>14</v>
      </c>
      <c r="C2482">
        <v>16</v>
      </c>
      <c r="D2482">
        <v>1003</v>
      </c>
      <c r="E2482" t="s">
        <v>16</v>
      </c>
      <c r="F2482">
        <v>30</v>
      </c>
      <c r="G2482">
        <v>3750</v>
      </c>
      <c r="H2482">
        <v>112500</v>
      </c>
      <c r="I2482" s="3">
        <v>45314.916666666664</v>
      </c>
      <c r="J2482">
        <v>96</v>
      </c>
      <c r="K2482" s="3">
        <v>45317.916666666664</v>
      </c>
      <c r="L2482" s="4">
        <f>ROUNDDOWN(Table1[[#This Row],[Ordered]],0)</f>
        <v>45314</v>
      </c>
      <c r="M2482" s="4">
        <f>Table1[[#This Row],[Date ]]</f>
        <v>45314</v>
      </c>
      <c r="N2482" s="5">
        <f>Table1[[#This Row],[Ordered]]-Table1[[#This Row],[Date ]]</f>
        <v>0.375</v>
      </c>
      <c r="O2482">
        <f>Table1[[#This Row],[Company]]</f>
        <v>16</v>
      </c>
      <c r="P24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3" spans="1:16" x14ac:dyDescent="0.45">
      <c r="A2483" s="3">
        <v>45314.375</v>
      </c>
      <c r="B2483" t="s">
        <v>14</v>
      </c>
      <c r="C2483">
        <v>11</v>
      </c>
      <c r="D2483">
        <v>1003</v>
      </c>
      <c r="E2483" t="s">
        <v>16</v>
      </c>
      <c r="F2483">
        <v>30</v>
      </c>
      <c r="G2483">
        <v>4000</v>
      </c>
      <c r="H2483">
        <v>120000</v>
      </c>
      <c r="I2483" s="3">
        <v>45314.625</v>
      </c>
      <c r="J2483">
        <v>96</v>
      </c>
      <c r="K2483" s="3">
        <v>45317.625</v>
      </c>
      <c r="L2483" s="4">
        <f>ROUNDDOWN(Table1[[#This Row],[Ordered]],0)</f>
        <v>45314</v>
      </c>
      <c r="M2483" s="4">
        <f>Table1[[#This Row],[Date ]]</f>
        <v>45314</v>
      </c>
      <c r="N2483" s="5">
        <f>Table1[[#This Row],[Ordered]]-Table1[[#This Row],[Date ]]</f>
        <v>0.375</v>
      </c>
      <c r="O2483">
        <f>Table1[[#This Row],[Company]]</f>
        <v>11</v>
      </c>
      <c r="P24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4" spans="1:16" x14ac:dyDescent="0.45">
      <c r="A2484" s="3">
        <v>45314.375</v>
      </c>
      <c r="B2484" t="s">
        <v>14</v>
      </c>
      <c r="C2484">
        <v>14</v>
      </c>
      <c r="D2484">
        <v>1003</v>
      </c>
      <c r="E2484" t="s">
        <v>16</v>
      </c>
      <c r="F2484">
        <v>36</v>
      </c>
      <c r="G2484">
        <v>3650</v>
      </c>
      <c r="H2484">
        <v>131400</v>
      </c>
      <c r="I2484" s="3">
        <v>45314.375</v>
      </c>
      <c r="J2484">
        <v>84</v>
      </c>
      <c r="K2484" s="3">
        <v>45317.375</v>
      </c>
      <c r="L2484" s="4">
        <f>ROUNDDOWN(Table1[[#This Row],[Ordered]],0)</f>
        <v>45314</v>
      </c>
      <c r="M2484" s="4">
        <f>Table1[[#This Row],[Date ]]</f>
        <v>45314</v>
      </c>
      <c r="N2484" s="5">
        <f>Table1[[#This Row],[Ordered]]-Table1[[#This Row],[Date ]]</f>
        <v>0.375</v>
      </c>
      <c r="O2484">
        <f>Table1[[#This Row],[Company]]</f>
        <v>14</v>
      </c>
      <c r="P24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5" spans="1:16" x14ac:dyDescent="0.45">
      <c r="A2485" s="3">
        <v>45314.375</v>
      </c>
      <c r="B2485" t="s">
        <v>14</v>
      </c>
      <c r="C2485">
        <v>15</v>
      </c>
      <c r="D2485">
        <v>1003</v>
      </c>
      <c r="E2485" t="s">
        <v>16</v>
      </c>
      <c r="F2485">
        <v>50</v>
      </c>
      <c r="G2485">
        <v>3450</v>
      </c>
      <c r="H2485">
        <v>172500</v>
      </c>
      <c r="I2485" s="3">
        <v>45314.458333333336</v>
      </c>
      <c r="J2485">
        <v>88</v>
      </c>
      <c r="K2485" s="3">
        <v>45317.458333333336</v>
      </c>
      <c r="L2485" s="4">
        <f>ROUNDDOWN(Table1[[#This Row],[Ordered]],0)</f>
        <v>45314</v>
      </c>
      <c r="M2485" s="4">
        <f>Table1[[#This Row],[Date ]]</f>
        <v>45314</v>
      </c>
      <c r="N2485" s="5">
        <f>Table1[[#This Row],[Ordered]]-Table1[[#This Row],[Date ]]</f>
        <v>0.375</v>
      </c>
      <c r="O2485">
        <f>Table1[[#This Row],[Company]]</f>
        <v>15</v>
      </c>
      <c r="P24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6" spans="1:16" x14ac:dyDescent="0.45">
      <c r="A2486" s="3">
        <v>45314.375</v>
      </c>
      <c r="B2486" t="s">
        <v>14</v>
      </c>
      <c r="C2486">
        <v>13</v>
      </c>
      <c r="D2486">
        <v>1003</v>
      </c>
      <c r="E2486" t="s">
        <v>16</v>
      </c>
      <c r="F2486">
        <v>30</v>
      </c>
      <c r="G2486">
        <v>3100</v>
      </c>
      <c r="H2486">
        <v>93000</v>
      </c>
      <c r="I2486" s="3">
        <v>45316.041666666664</v>
      </c>
      <c r="J2486">
        <v>96</v>
      </c>
      <c r="K2486" s="3">
        <v>45318.041666666664</v>
      </c>
      <c r="L2486" s="4">
        <f>ROUNDDOWN(Table1[[#This Row],[Ordered]],0)</f>
        <v>45314</v>
      </c>
      <c r="M2486" s="4">
        <f>Table1[[#This Row],[Date ]]</f>
        <v>45314</v>
      </c>
      <c r="N2486" s="5">
        <f>Table1[[#This Row],[Ordered]]-Table1[[#This Row],[Date ]]</f>
        <v>0.375</v>
      </c>
      <c r="O2486">
        <f>Table1[[#This Row],[Company]]</f>
        <v>13</v>
      </c>
      <c r="P24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7" spans="1:16" hidden="1" x14ac:dyDescent="0.45">
      <c r="A2487" s="3">
        <v>45314.416666666664</v>
      </c>
      <c r="B2487" t="s">
        <v>12</v>
      </c>
      <c r="C2487">
        <v>11</v>
      </c>
      <c r="D2487">
        <v>4</v>
      </c>
      <c r="E2487" t="s">
        <v>20</v>
      </c>
      <c r="F2487">
        <v>201</v>
      </c>
      <c r="G2487">
        <v>20</v>
      </c>
      <c r="H2487">
        <v>4020</v>
      </c>
      <c r="I2487" s="3">
        <v>45314.875</v>
      </c>
      <c r="J2487">
        <v>72</v>
      </c>
      <c r="K2487" s="3">
        <v>45317.875</v>
      </c>
      <c r="L2487" s="4">
        <f>ROUNDDOWN(Table1[[#This Row],[Ordered]],0)</f>
        <v>45314</v>
      </c>
      <c r="M2487" s="4">
        <f>Table1[[#This Row],[Date ]]</f>
        <v>45314</v>
      </c>
      <c r="N2487" s="5">
        <f>Table1[[#This Row],[Ordered]]-Table1[[#This Row],[Date ]]</f>
        <v>0.41666666666424135</v>
      </c>
      <c r="O2487">
        <f>Table1[[#This Row],[Company]]</f>
        <v>11</v>
      </c>
      <c r="P24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8" spans="1:16" hidden="1" x14ac:dyDescent="0.45">
      <c r="A2488" s="3">
        <v>45314.458333333336</v>
      </c>
      <c r="B2488" t="s">
        <v>12</v>
      </c>
      <c r="C2488">
        <v>3</v>
      </c>
      <c r="D2488">
        <v>7</v>
      </c>
      <c r="E2488" t="s">
        <v>17</v>
      </c>
      <c r="F2488">
        <v>200</v>
      </c>
      <c r="G2488">
        <v>1350</v>
      </c>
      <c r="H2488">
        <v>270000</v>
      </c>
      <c r="I2488" s="3">
        <v>45314.541666666664</v>
      </c>
      <c r="J2488">
        <v>72</v>
      </c>
      <c r="K2488" s="3">
        <v>45317.541666666664</v>
      </c>
      <c r="L2488" s="4">
        <f>ROUNDDOWN(Table1[[#This Row],[Ordered]],0)</f>
        <v>45314</v>
      </c>
      <c r="M2488" s="4">
        <f>Table1[[#This Row],[Date ]]</f>
        <v>45314</v>
      </c>
      <c r="N2488" s="5">
        <f>Table1[[#This Row],[Ordered]]-Table1[[#This Row],[Date ]]</f>
        <v>0.45833333333575865</v>
      </c>
      <c r="O2488">
        <f>Table1[[#This Row],[Company]]</f>
        <v>3</v>
      </c>
      <c r="P24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9" spans="1:16" hidden="1" x14ac:dyDescent="0.45">
      <c r="A2489" s="3">
        <v>45314.458333333336</v>
      </c>
      <c r="B2489" t="s">
        <v>12</v>
      </c>
      <c r="C2489">
        <v>4</v>
      </c>
      <c r="D2489">
        <v>11</v>
      </c>
      <c r="E2489" t="s">
        <v>17</v>
      </c>
      <c r="F2489">
        <v>500</v>
      </c>
      <c r="G2489">
        <v>1350</v>
      </c>
      <c r="H2489">
        <v>675000</v>
      </c>
      <c r="I2489" s="3">
        <v>45314.458333333336</v>
      </c>
      <c r="J2489">
        <v>72</v>
      </c>
      <c r="K2489" s="3">
        <v>45317.458333333336</v>
      </c>
      <c r="L2489" s="4">
        <f>ROUNDDOWN(Table1[[#This Row],[Ordered]],0)</f>
        <v>45314</v>
      </c>
      <c r="M2489" s="4">
        <f>Table1[[#This Row],[Date ]]</f>
        <v>45314</v>
      </c>
      <c r="N2489" s="5">
        <f>Table1[[#This Row],[Ordered]]-Table1[[#This Row],[Date ]]</f>
        <v>0.45833333333575865</v>
      </c>
      <c r="O2489">
        <f>Table1[[#This Row],[Company]]</f>
        <v>4</v>
      </c>
      <c r="P24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0" spans="1:16" hidden="1" x14ac:dyDescent="0.45">
      <c r="A2490" s="3">
        <v>45314.5</v>
      </c>
      <c r="B2490" t="s">
        <v>12</v>
      </c>
      <c r="C2490">
        <v>3</v>
      </c>
      <c r="D2490">
        <v>13</v>
      </c>
      <c r="E2490" t="s">
        <v>13</v>
      </c>
      <c r="F2490">
        <v>2000</v>
      </c>
      <c r="G2490">
        <v>125</v>
      </c>
      <c r="H2490">
        <v>250000</v>
      </c>
      <c r="I2490" s="3">
        <v>45314.541666666664</v>
      </c>
      <c r="J2490">
        <v>72</v>
      </c>
      <c r="K2490" s="3">
        <v>45317.541666666664</v>
      </c>
      <c r="L2490" s="4">
        <f>ROUNDDOWN(Table1[[#This Row],[Ordered]],0)</f>
        <v>45314</v>
      </c>
      <c r="M2490" s="4">
        <f>Table1[[#This Row],[Date ]]</f>
        <v>45314</v>
      </c>
      <c r="N2490" s="5">
        <f>Table1[[#This Row],[Ordered]]-Table1[[#This Row],[Date ]]</f>
        <v>0.5</v>
      </c>
      <c r="O2490">
        <f>Table1[[#This Row],[Company]]</f>
        <v>3</v>
      </c>
      <c r="P24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1" spans="1:16" hidden="1" x14ac:dyDescent="0.45">
      <c r="A2491" s="3">
        <v>45314.5</v>
      </c>
      <c r="B2491" t="s">
        <v>12</v>
      </c>
      <c r="C2491">
        <v>9</v>
      </c>
      <c r="D2491">
        <v>4</v>
      </c>
      <c r="E2491" t="s">
        <v>20</v>
      </c>
      <c r="F2491">
        <v>119</v>
      </c>
      <c r="G2491">
        <v>20</v>
      </c>
      <c r="H2491">
        <v>2380</v>
      </c>
      <c r="I2491" s="3">
        <v>45314.833333333336</v>
      </c>
      <c r="J2491">
        <v>72</v>
      </c>
      <c r="K2491" s="3">
        <v>45317.833333333336</v>
      </c>
      <c r="L2491" s="4">
        <f>ROUNDDOWN(Table1[[#This Row],[Ordered]],0)</f>
        <v>45314</v>
      </c>
      <c r="M2491" s="4">
        <f>Table1[[#This Row],[Date ]]</f>
        <v>45314</v>
      </c>
      <c r="N2491" s="5">
        <f>Table1[[#This Row],[Ordered]]-Table1[[#This Row],[Date ]]</f>
        <v>0.5</v>
      </c>
      <c r="O2491">
        <f>Table1[[#This Row],[Company]]</f>
        <v>9</v>
      </c>
      <c r="P24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2" spans="1:16" x14ac:dyDescent="0.45">
      <c r="A2492" s="3">
        <v>45314.5</v>
      </c>
      <c r="B2492" t="s">
        <v>14</v>
      </c>
      <c r="C2492">
        <v>12</v>
      </c>
      <c r="D2492">
        <v>1005</v>
      </c>
      <c r="E2492" t="s">
        <v>15</v>
      </c>
      <c r="F2492">
        <v>15</v>
      </c>
      <c r="G2492">
        <v>6750</v>
      </c>
      <c r="H2492">
        <v>101250</v>
      </c>
      <c r="I2492" s="3">
        <v>45315.708333333336</v>
      </c>
      <c r="J2492">
        <v>96</v>
      </c>
      <c r="K2492" s="3">
        <v>45317.708333333336</v>
      </c>
      <c r="L2492" s="4">
        <f>ROUNDDOWN(Table1[[#This Row],[Ordered]],0)</f>
        <v>45314</v>
      </c>
      <c r="M2492" s="4">
        <f>Table1[[#This Row],[Date ]]</f>
        <v>45314</v>
      </c>
      <c r="N2492" s="5">
        <f>Table1[[#This Row],[Ordered]]-Table1[[#This Row],[Date ]]</f>
        <v>0.5</v>
      </c>
      <c r="O2492">
        <f>Table1[[#This Row],[Company]]</f>
        <v>12</v>
      </c>
      <c r="P24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3" spans="1:16" x14ac:dyDescent="0.45">
      <c r="A2493" s="3">
        <v>45314.5</v>
      </c>
      <c r="B2493" t="s">
        <v>14</v>
      </c>
      <c r="C2493">
        <v>11</v>
      </c>
      <c r="D2493">
        <v>1005</v>
      </c>
      <c r="E2493" t="s">
        <v>15</v>
      </c>
      <c r="F2493">
        <v>17</v>
      </c>
      <c r="G2493">
        <v>6400</v>
      </c>
      <c r="H2493">
        <v>108800</v>
      </c>
      <c r="I2493" s="3">
        <v>45315.916666666664</v>
      </c>
      <c r="J2493">
        <v>72</v>
      </c>
      <c r="K2493" s="3">
        <v>45316.916666666664</v>
      </c>
      <c r="L2493" s="4">
        <f>ROUNDDOWN(Table1[[#This Row],[Ordered]],0)</f>
        <v>45314</v>
      </c>
      <c r="M2493" s="4">
        <f>Table1[[#This Row],[Date ]]</f>
        <v>45314</v>
      </c>
      <c r="N2493" s="5">
        <f>Table1[[#This Row],[Ordered]]-Table1[[#This Row],[Date ]]</f>
        <v>0.5</v>
      </c>
      <c r="O2493">
        <f>Table1[[#This Row],[Company]]</f>
        <v>11</v>
      </c>
      <c r="P24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4" spans="1:16" hidden="1" x14ac:dyDescent="0.45">
      <c r="A2494" s="3">
        <v>45314.5</v>
      </c>
      <c r="B2494" t="s">
        <v>12</v>
      </c>
      <c r="C2494">
        <v>2</v>
      </c>
      <c r="D2494">
        <v>7</v>
      </c>
      <c r="E2494" t="s">
        <v>17</v>
      </c>
      <c r="F2494">
        <v>500</v>
      </c>
      <c r="G2494">
        <v>1600</v>
      </c>
      <c r="H2494">
        <v>800000</v>
      </c>
      <c r="I2494" s="3">
        <v>45314.583333333336</v>
      </c>
      <c r="J2494">
        <v>48</v>
      </c>
      <c r="K2494" s="3">
        <v>45316.583333333336</v>
      </c>
      <c r="L2494" s="4">
        <f>ROUNDDOWN(Table1[[#This Row],[Ordered]],0)</f>
        <v>45314</v>
      </c>
      <c r="M2494" s="4">
        <f>Table1[[#This Row],[Date ]]</f>
        <v>45314</v>
      </c>
      <c r="N2494" s="5">
        <f>Table1[[#This Row],[Ordered]]-Table1[[#This Row],[Date ]]</f>
        <v>0.5</v>
      </c>
      <c r="O2494">
        <f>Table1[[#This Row],[Company]]</f>
        <v>2</v>
      </c>
      <c r="P24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5" spans="1:16" x14ac:dyDescent="0.45">
      <c r="A2495" s="3">
        <v>45314.5</v>
      </c>
      <c r="B2495" t="s">
        <v>14</v>
      </c>
      <c r="C2495">
        <v>15</v>
      </c>
      <c r="D2495">
        <v>1005</v>
      </c>
      <c r="E2495" t="s">
        <v>15</v>
      </c>
      <c r="F2495">
        <v>26</v>
      </c>
      <c r="G2495">
        <v>6400</v>
      </c>
      <c r="H2495">
        <v>166400</v>
      </c>
      <c r="I2495" s="3">
        <v>45314.541666666664</v>
      </c>
      <c r="J2495">
        <v>64</v>
      </c>
      <c r="K2495" s="3">
        <v>45316.541666666664</v>
      </c>
      <c r="L2495" s="4">
        <f>ROUNDDOWN(Table1[[#This Row],[Ordered]],0)</f>
        <v>45314</v>
      </c>
      <c r="M2495" s="4">
        <f>Table1[[#This Row],[Date ]]</f>
        <v>45314</v>
      </c>
      <c r="N2495" s="5">
        <f>Table1[[#This Row],[Ordered]]-Table1[[#This Row],[Date ]]</f>
        <v>0.5</v>
      </c>
      <c r="O2495">
        <f>Table1[[#This Row],[Company]]</f>
        <v>15</v>
      </c>
      <c r="P24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6" spans="1:16" x14ac:dyDescent="0.45">
      <c r="A2496" s="3">
        <v>45314.5</v>
      </c>
      <c r="B2496" t="s">
        <v>14</v>
      </c>
      <c r="C2496">
        <v>16</v>
      </c>
      <c r="D2496">
        <v>1005</v>
      </c>
      <c r="E2496" t="s">
        <v>15</v>
      </c>
      <c r="F2496">
        <v>20</v>
      </c>
      <c r="G2496">
        <v>6050</v>
      </c>
      <c r="H2496">
        <v>121000</v>
      </c>
      <c r="I2496" s="3">
        <v>45314.916666666664</v>
      </c>
      <c r="J2496">
        <v>96</v>
      </c>
      <c r="K2496" s="3">
        <v>45317.916666666664</v>
      </c>
      <c r="L2496" s="4">
        <f>ROUNDDOWN(Table1[[#This Row],[Ordered]],0)</f>
        <v>45314</v>
      </c>
      <c r="M2496" s="4">
        <f>Table1[[#This Row],[Date ]]</f>
        <v>45314</v>
      </c>
      <c r="N2496" s="5">
        <f>Table1[[#This Row],[Ordered]]-Table1[[#This Row],[Date ]]</f>
        <v>0.5</v>
      </c>
      <c r="O2496">
        <f>Table1[[#This Row],[Company]]</f>
        <v>16</v>
      </c>
      <c r="P24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7" spans="1:16" x14ac:dyDescent="0.45">
      <c r="A2497" s="3">
        <v>45314.5</v>
      </c>
      <c r="B2497" t="s">
        <v>14</v>
      </c>
      <c r="C2497">
        <v>10</v>
      </c>
      <c r="D2497">
        <v>1005</v>
      </c>
      <c r="E2497" t="s">
        <v>15</v>
      </c>
      <c r="F2497">
        <v>11</v>
      </c>
      <c r="G2497">
        <v>6300</v>
      </c>
      <c r="H2497">
        <v>69300</v>
      </c>
      <c r="I2497" s="3">
        <v>45314.5</v>
      </c>
      <c r="J2497">
        <v>84</v>
      </c>
      <c r="K2497" s="3">
        <v>45317.5</v>
      </c>
      <c r="L2497" s="4">
        <f>ROUNDDOWN(Table1[[#This Row],[Ordered]],0)</f>
        <v>45314</v>
      </c>
      <c r="M2497" s="4">
        <f>Table1[[#This Row],[Date ]]</f>
        <v>45314</v>
      </c>
      <c r="N2497" s="5">
        <f>Table1[[#This Row],[Ordered]]-Table1[[#This Row],[Date ]]</f>
        <v>0.5</v>
      </c>
      <c r="O2497">
        <f>Table1[[#This Row],[Company]]</f>
        <v>10</v>
      </c>
      <c r="P24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8" spans="1:16" x14ac:dyDescent="0.45">
      <c r="A2498" s="3">
        <v>45314.5</v>
      </c>
      <c r="B2498" t="s">
        <v>14</v>
      </c>
      <c r="C2498">
        <v>14</v>
      </c>
      <c r="D2498">
        <v>1005</v>
      </c>
      <c r="E2498" t="s">
        <v>15</v>
      </c>
      <c r="F2498">
        <v>9</v>
      </c>
      <c r="G2498">
        <v>6650</v>
      </c>
      <c r="H2498">
        <v>59850</v>
      </c>
      <c r="I2498" s="3">
        <v>45314.5</v>
      </c>
      <c r="J2498">
        <v>84</v>
      </c>
      <c r="K2498" s="3">
        <v>45317.5</v>
      </c>
      <c r="L2498" s="4">
        <f>ROUNDDOWN(Table1[[#This Row],[Ordered]],0)</f>
        <v>45314</v>
      </c>
      <c r="M2498" s="4">
        <f>Table1[[#This Row],[Date ]]</f>
        <v>45314</v>
      </c>
      <c r="N2498" s="5">
        <f>Table1[[#This Row],[Ordered]]-Table1[[#This Row],[Date ]]</f>
        <v>0.5</v>
      </c>
      <c r="O2498">
        <f>Table1[[#This Row],[Company]]</f>
        <v>14</v>
      </c>
      <c r="P24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9" spans="1:16" x14ac:dyDescent="0.45">
      <c r="A2499" s="3">
        <v>45314.5</v>
      </c>
      <c r="B2499" t="s">
        <v>14</v>
      </c>
      <c r="C2499">
        <v>13</v>
      </c>
      <c r="D2499">
        <v>1005</v>
      </c>
      <c r="E2499" t="s">
        <v>15</v>
      </c>
      <c r="F2499">
        <v>23</v>
      </c>
      <c r="G2499">
        <v>6000</v>
      </c>
      <c r="H2499">
        <v>138000</v>
      </c>
      <c r="I2499" s="3">
        <v>45315.375</v>
      </c>
      <c r="J2499">
        <v>96</v>
      </c>
      <c r="K2499" s="3">
        <v>45318.375</v>
      </c>
      <c r="L2499" s="4">
        <f>ROUNDDOWN(Table1[[#This Row],[Ordered]],0)</f>
        <v>45314</v>
      </c>
      <c r="M2499" s="4">
        <f>Table1[[#This Row],[Date ]]</f>
        <v>45314</v>
      </c>
      <c r="N2499" s="5">
        <f>Table1[[#This Row],[Ordered]]-Table1[[#This Row],[Date ]]</f>
        <v>0.5</v>
      </c>
      <c r="O2499">
        <f>Table1[[#This Row],[Company]]</f>
        <v>13</v>
      </c>
      <c r="P24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0" spans="1:16" hidden="1" x14ac:dyDescent="0.45">
      <c r="A2500" s="3">
        <v>45314.541666666664</v>
      </c>
      <c r="B2500" t="s">
        <v>12</v>
      </c>
      <c r="C2500">
        <v>14</v>
      </c>
      <c r="D2500">
        <v>5</v>
      </c>
      <c r="E2500" t="s">
        <v>20</v>
      </c>
      <c r="F2500">
        <v>1325</v>
      </c>
      <c r="G2500">
        <v>10</v>
      </c>
      <c r="H2500">
        <v>13250</v>
      </c>
      <c r="I2500" s="3">
        <v>45314.541666666664</v>
      </c>
      <c r="J2500">
        <v>72</v>
      </c>
      <c r="K2500" s="3">
        <v>45317.541666666664</v>
      </c>
      <c r="L2500" s="4">
        <f>ROUNDDOWN(Table1[[#This Row],[Ordered]],0)</f>
        <v>45314</v>
      </c>
      <c r="M2500" s="4">
        <f>Table1[[#This Row],[Date ]]</f>
        <v>45314</v>
      </c>
      <c r="N2500" s="5">
        <f>Table1[[#This Row],[Ordered]]-Table1[[#This Row],[Date ]]</f>
        <v>0.54166666666424135</v>
      </c>
      <c r="O2500">
        <f>Table1[[#This Row],[Company]]</f>
        <v>14</v>
      </c>
      <c r="P25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1" spans="1:16" hidden="1" x14ac:dyDescent="0.45">
      <c r="A2501" s="3">
        <v>45314.625</v>
      </c>
      <c r="B2501" t="s">
        <v>12</v>
      </c>
      <c r="C2501">
        <v>4</v>
      </c>
      <c r="D2501">
        <v>13</v>
      </c>
      <c r="E2501" t="s">
        <v>13</v>
      </c>
      <c r="F2501">
        <v>2000</v>
      </c>
      <c r="G2501">
        <v>110</v>
      </c>
      <c r="H2501">
        <v>220000</v>
      </c>
      <c r="I2501" s="3">
        <v>45314.666666666664</v>
      </c>
      <c r="J2501">
        <v>48</v>
      </c>
      <c r="K2501" s="3">
        <v>45316.666666666664</v>
      </c>
      <c r="L2501" s="4">
        <f>ROUNDDOWN(Table1[[#This Row],[Ordered]],0)</f>
        <v>45314</v>
      </c>
      <c r="M2501" s="4">
        <f>Table1[[#This Row],[Date ]]</f>
        <v>45314</v>
      </c>
      <c r="N2501" s="5">
        <f>Table1[[#This Row],[Ordered]]-Table1[[#This Row],[Date ]]</f>
        <v>0.625</v>
      </c>
      <c r="O2501">
        <f>Table1[[#This Row],[Company]]</f>
        <v>4</v>
      </c>
      <c r="P25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2" spans="1:16" hidden="1" x14ac:dyDescent="0.45">
      <c r="A2502" s="3">
        <v>45314.625</v>
      </c>
      <c r="B2502" t="s">
        <v>12</v>
      </c>
      <c r="C2502">
        <v>2</v>
      </c>
      <c r="D2502">
        <v>7</v>
      </c>
      <c r="E2502" t="s">
        <v>17</v>
      </c>
      <c r="F2502">
        <v>100</v>
      </c>
      <c r="G2502">
        <v>1600</v>
      </c>
      <c r="H2502">
        <v>160000</v>
      </c>
      <c r="I2502" s="3">
        <v>45314.75</v>
      </c>
      <c r="J2502">
        <v>24</v>
      </c>
      <c r="K2502" s="3">
        <v>45315.75</v>
      </c>
      <c r="L2502" s="4">
        <f>ROUNDDOWN(Table1[[#This Row],[Ordered]],0)</f>
        <v>45314</v>
      </c>
      <c r="M2502" s="4">
        <f>Table1[[#This Row],[Date ]]</f>
        <v>45314</v>
      </c>
      <c r="N2502" s="5">
        <f>Table1[[#This Row],[Ordered]]-Table1[[#This Row],[Date ]]</f>
        <v>0.625</v>
      </c>
      <c r="O2502">
        <f>Table1[[#This Row],[Company]]</f>
        <v>2</v>
      </c>
      <c r="P25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3" spans="1:16" x14ac:dyDescent="0.45">
      <c r="A2503" s="3">
        <v>45314.666666666664</v>
      </c>
      <c r="B2503" t="s">
        <v>0</v>
      </c>
      <c r="C2503">
        <v>11</v>
      </c>
      <c r="D2503">
        <v>2003</v>
      </c>
      <c r="E2503" t="s">
        <v>15</v>
      </c>
      <c r="F2503">
        <v>10</v>
      </c>
      <c r="G2503">
        <v>6800</v>
      </c>
      <c r="H2503">
        <v>68000</v>
      </c>
      <c r="I2503" s="3">
        <v>45314.708333333336</v>
      </c>
      <c r="J2503">
        <v>84</v>
      </c>
      <c r="K2503" s="3">
        <v>45317.708333333336</v>
      </c>
      <c r="L2503" s="4">
        <f>ROUNDDOWN(Table1[[#This Row],[Ordered]],0)</f>
        <v>45314</v>
      </c>
      <c r="M2503" s="4">
        <f>Table1[[#This Row],[Date ]]</f>
        <v>45314</v>
      </c>
      <c r="N2503" s="5">
        <f>Table1[[#This Row],[Ordered]]-Table1[[#This Row],[Date ]]</f>
        <v>0.66666666666424135</v>
      </c>
      <c r="O2503">
        <f>Table1[[#This Row],[Company]]</f>
        <v>11</v>
      </c>
      <c r="P25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4" spans="1:16" x14ac:dyDescent="0.45">
      <c r="A2504" s="3">
        <v>45314.666666666664</v>
      </c>
      <c r="B2504" t="s">
        <v>0</v>
      </c>
      <c r="C2504">
        <v>10</v>
      </c>
      <c r="D2504">
        <v>2003</v>
      </c>
      <c r="E2504" t="s">
        <v>15</v>
      </c>
      <c r="F2504">
        <v>30</v>
      </c>
      <c r="G2504">
        <v>6400</v>
      </c>
      <c r="H2504">
        <v>192000</v>
      </c>
      <c r="I2504" s="3">
        <v>45314.666666666664</v>
      </c>
      <c r="J2504">
        <v>84</v>
      </c>
      <c r="K2504" s="3">
        <v>45317.833333333336</v>
      </c>
      <c r="L2504" s="4">
        <f>ROUNDDOWN(Table1[[#This Row],[Ordered]],0)</f>
        <v>45314</v>
      </c>
      <c r="M2504" s="4">
        <f>Table1[[#This Row],[Date ]]</f>
        <v>45314</v>
      </c>
      <c r="N2504" s="5">
        <f>Table1[[#This Row],[Ordered]]-Table1[[#This Row],[Date ]]</f>
        <v>0.66666666666424135</v>
      </c>
      <c r="O2504">
        <f>Table1[[#This Row],[Company]]</f>
        <v>10</v>
      </c>
      <c r="P25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5" spans="1:16" x14ac:dyDescent="0.45">
      <c r="A2505" s="3">
        <v>45314.666666666664</v>
      </c>
      <c r="B2505" t="s">
        <v>0</v>
      </c>
      <c r="C2505">
        <v>15</v>
      </c>
      <c r="D2505">
        <v>2003</v>
      </c>
      <c r="E2505" t="s">
        <v>15</v>
      </c>
      <c r="F2505">
        <v>50</v>
      </c>
      <c r="G2505">
        <v>6400</v>
      </c>
      <c r="H2505">
        <v>320000</v>
      </c>
      <c r="I2505" s="3">
        <v>45314.666666666664</v>
      </c>
      <c r="J2505">
        <v>48</v>
      </c>
      <c r="K2505" s="3">
        <v>45316.166666666664</v>
      </c>
      <c r="L2505" s="4">
        <f>ROUNDDOWN(Table1[[#This Row],[Ordered]],0)</f>
        <v>45314</v>
      </c>
      <c r="M2505" s="4">
        <f>Table1[[#This Row],[Date ]]</f>
        <v>45314</v>
      </c>
      <c r="N2505" s="5">
        <f>Table1[[#This Row],[Ordered]]-Table1[[#This Row],[Date ]]</f>
        <v>0.66666666666424135</v>
      </c>
      <c r="O2505">
        <f>Table1[[#This Row],[Company]]</f>
        <v>15</v>
      </c>
      <c r="P25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6" spans="1:16" x14ac:dyDescent="0.45">
      <c r="A2506" s="3">
        <v>45314.666666666664</v>
      </c>
      <c r="B2506" t="s">
        <v>0</v>
      </c>
      <c r="C2506">
        <v>16</v>
      </c>
      <c r="D2506">
        <v>2003</v>
      </c>
      <c r="E2506" t="s">
        <v>15</v>
      </c>
      <c r="F2506">
        <v>30</v>
      </c>
      <c r="G2506">
        <v>6050</v>
      </c>
      <c r="H2506">
        <v>181500</v>
      </c>
      <c r="I2506" s="3">
        <v>45314.916666666664</v>
      </c>
      <c r="J2506">
        <v>132</v>
      </c>
      <c r="K2506" s="3">
        <v>45319.416666666664</v>
      </c>
      <c r="L2506" s="4">
        <f>ROUNDDOWN(Table1[[#This Row],[Ordered]],0)</f>
        <v>45314</v>
      </c>
      <c r="M2506" s="4">
        <f>Table1[[#This Row],[Date ]]</f>
        <v>45314</v>
      </c>
      <c r="N2506" s="5">
        <f>Table1[[#This Row],[Ordered]]-Table1[[#This Row],[Date ]]</f>
        <v>0.66666666666424135</v>
      </c>
      <c r="O2506">
        <f>Table1[[#This Row],[Company]]</f>
        <v>16</v>
      </c>
      <c r="P25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7" spans="1:16" x14ac:dyDescent="0.45">
      <c r="A2507" s="3">
        <v>45314.666666666664</v>
      </c>
      <c r="B2507" t="s">
        <v>0</v>
      </c>
      <c r="C2507">
        <v>12</v>
      </c>
      <c r="D2507">
        <v>2003</v>
      </c>
      <c r="E2507" t="s">
        <v>16</v>
      </c>
      <c r="F2507">
        <v>30</v>
      </c>
      <c r="G2507">
        <v>3850</v>
      </c>
      <c r="H2507">
        <v>115500</v>
      </c>
      <c r="I2507" s="3">
        <v>45314.666666666664</v>
      </c>
      <c r="J2507">
        <v>120</v>
      </c>
      <c r="K2507" s="3">
        <v>45319.166666666664</v>
      </c>
      <c r="L2507" s="4">
        <f>ROUNDDOWN(Table1[[#This Row],[Ordered]],0)</f>
        <v>45314</v>
      </c>
      <c r="M2507" s="4">
        <f>Table1[[#This Row],[Date ]]</f>
        <v>45314</v>
      </c>
      <c r="N2507" s="5">
        <f>Table1[[#This Row],[Ordered]]-Table1[[#This Row],[Date ]]</f>
        <v>0.66666666666424135</v>
      </c>
      <c r="O2507">
        <f>Table1[[#This Row],[Company]]</f>
        <v>12</v>
      </c>
      <c r="P25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8" spans="1:16" x14ac:dyDescent="0.45">
      <c r="A2508" s="3">
        <v>45314.666666666664</v>
      </c>
      <c r="B2508" t="s">
        <v>0</v>
      </c>
      <c r="C2508">
        <v>13</v>
      </c>
      <c r="D2508">
        <v>2003</v>
      </c>
      <c r="E2508" t="s">
        <v>15</v>
      </c>
      <c r="F2508">
        <v>30</v>
      </c>
      <c r="G2508">
        <v>6000</v>
      </c>
      <c r="H2508">
        <v>180000</v>
      </c>
      <c r="I2508" s="3">
        <v>45315.583333333336</v>
      </c>
      <c r="J2508">
        <v>132</v>
      </c>
      <c r="K2508" s="3">
        <v>45320.083333333336</v>
      </c>
      <c r="L2508" s="4">
        <f>ROUNDDOWN(Table1[[#This Row],[Ordered]],0)</f>
        <v>45314</v>
      </c>
      <c r="M2508" s="4">
        <f>Table1[[#This Row],[Date ]]</f>
        <v>45314</v>
      </c>
      <c r="N2508" s="5">
        <f>Table1[[#This Row],[Ordered]]-Table1[[#This Row],[Date ]]</f>
        <v>0.66666666666424135</v>
      </c>
      <c r="O2508">
        <f>Table1[[#This Row],[Company]]</f>
        <v>13</v>
      </c>
      <c r="P25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9" spans="1:16" x14ac:dyDescent="0.45">
      <c r="A2509" s="3">
        <v>45314.666666666664</v>
      </c>
      <c r="B2509" t="s">
        <v>0</v>
      </c>
      <c r="C2509">
        <v>16</v>
      </c>
      <c r="D2509">
        <v>2003</v>
      </c>
      <c r="E2509" t="s">
        <v>16</v>
      </c>
      <c r="F2509">
        <v>30</v>
      </c>
      <c r="G2509">
        <v>3750</v>
      </c>
      <c r="H2509">
        <v>112500</v>
      </c>
      <c r="I2509" s="3">
        <v>45314.916666666664</v>
      </c>
      <c r="J2509">
        <v>132</v>
      </c>
      <c r="K2509" s="3">
        <v>45319.416666666664</v>
      </c>
      <c r="L2509" s="4">
        <f>ROUNDDOWN(Table1[[#This Row],[Ordered]],0)</f>
        <v>45314</v>
      </c>
      <c r="M2509" s="4">
        <f>Table1[[#This Row],[Date ]]</f>
        <v>45314</v>
      </c>
      <c r="N2509" s="5">
        <f>Table1[[#This Row],[Ordered]]-Table1[[#This Row],[Date ]]</f>
        <v>0.66666666666424135</v>
      </c>
      <c r="O2509">
        <f>Table1[[#This Row],[Company]]</f>
        <v>16</v>
      </c>
      <c r="P25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0" spans="1:16" x14ac:dyDescent="0.45">
      <c r="A2510" s="3">
        <v>45314.666666666664</v>
      </c>
      <c r="B2510" t="s">
        <v>0</v>
      </c>
      <c r="C2510">
        <v>11</v>
      </c>
      <c r="D2510">
        <v>2003</v>
      </c>
      <c r="E2510" t="s">
        <v>16</v>
      </c>
      <c r="F2510">
        <v>20</v>
      </c>
      <c r="G2510">
        <v>4300</v>
      </c>
      <c r="H2510">
        <v>86000</v>
      </c>
      <c r="I2510" s="3">
        <v>45315.083333333336</v>
      </c>
      <c r="J2510">
        <v>96</v>
      </c>
      <c r="K2510" s="3">
        <v>45318.083333333336</v>
      </c>
      <c r="L2510" s="4">
        <f>ROUNDDOWN(Table1[[#This Row],[Ordered]],0)</f>
        <v>45314</v>
      </c>
      <c r="M2510" s="4">
        <f>Table1[[#This Row],[Date ]]</f>
        <v>45314</v>
      </c>
      <c r="N2510" s="5">
        <f>Table1[[#This Row],[Ordered]]-Table1[[#This Row],[Date ]]</f>
        <v>0.66666666666424135</v>
      </c>
      <c r="O2510">
        <f>Table1[[#This Row],[Company]]</f>
        <v>11</v>
      </c>
      <c r="P25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1" spans="1:16" x14ac:dyDescent="0.45">
      <c r="A2511" s="3">
        <v>45314.666666666664</v>
      </c>
      <c r="B2511" t="s">
        <v>14</v>
      </c>
      <c r="C2511">
        <v>11</v>
      </c>
      <c r="D2511">
        <v>1009</v>
      </c>
      <c r="E2511" t="s">
        <v>15</v>
      </c>
      <c r="F2511">
        <v>8</v>
      </c>
      <c r="G2511">
        <v>6400</v>
      </c>
      <c r="H2511">
        <v>51200</v>
      </c>
      <c r="I2511" s="3">
        <v>45315</v>
      </c>
      <c r="J2511">
        <v>72</v>
      </c>
      <c r="K2511" s="3">
        <v>45317</v>
      </c>
      <c r="L2511" s="4">
        <f>ROUNDDOWN(Table1[[#This Row],[Ordered]],0)</f>
        <v>45314</v>
      </c>
      <c r="M2511" s="4">
        <f>Table1[[#This Row],[Date ]]</f>
        <v>45314</v>
      </c>
      <c r="N2511" s="5">
        <f>Table1[[#This Row],[Ordered]]-Table1[[#This Row],[Date ]]</f>
        <v>0.66666666666424135</v>
      </c>
      <c r="O2511">
        <f>Table1[[#This Row],[Company]]</f>
        <v>11</v>
      </c>
      <c r="P25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2" spans="1:16" x14ac:dyDescent="0.45">
      <c r="A2512" s="3">
        <v>45314.666666666664</v>
      </c>
      <c r="B2512" t="s">
        <v>0</v>
      </c>
      <c r="C2512">
        <v>9</v>
      </c>
      <c r="D2512">
        <v>2003</v>
      </c>
      <c r="E2512" t="s">
        <v>15</v>
      </c>
      <c r="F2512">
        <v>15</v>
      </c>
      <c r="G2512">
        <v>6699</v>
      </c>
      <c r="H2512">
        <v>100485</v>
      </c>
      <c r="I2512" s="3">
        <v>45314.791666666664</v>
      </c>
      <c r="J2512">
        <v>119</v>
      </c>
      <c r="K2512" s="3">
        <v>45319.291666666664</v>
      </c>
      <c r="L2512" s="4">
        <f>ROUNDDOWN(Table1[[#This Row],[Ordered]],0)</f>
        <v>45314</v>
      </c>
      <c r="M2512" s="4">
        <f>Table1[[#This Row],[Date ]]</f>
        <v>45314</v>
      </c>
      <c r="N2512" s="5">
        <f>Table1[[#This Row],[Ordered]]-Table1[[#This Row],[Date ]]</f>
        <v>0.66666666666424135</v>
      </c>
      <c r="O2512">
        <f>Table1[[#This Row],[Company]]</f>
        <v>9</v>
      </c>
      <c r="P25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3" spans="1:16" x14ac:dyDescent="0.45">
      <c r="A2513" s="3">
        <v>45314.666666666664</v>
      </c>
      <c r="B2513" t="s">
        <v>14</v>
      </c>
      <c r="C2513">
        <v>15</v>
      </c>
      <c r="D2513">
        <v>1009</v>
      </c>
      <c r="E2513" t="s">
        <v>15</v>
      </c>
      <c r="F2513">
        <v>12</v>
      </c>
      <c r="G2513">
        <v>6400</v>
      </c>
      <c r="H2513">
        <v>76800</v>
      </c>
      <c r="I2513" s="3">
        <v>45314.75</v>
      </c>
      <c r="J2513">
        <v>64</v>
      </c>
      <c r="K2513" s="3">
        <v>45316.75</v>
      </c>
      <c r="L2513" s="4">
        <f>ROUNDDOWN(Table1[[#This Row],[Ordered]],0)</f>
        <v>45314</v>
      </c>
      <c r="M2513" s="4">
        <f>Table1[[#This Row],[Date ]]</f>
        <v>45314</v>
      </c>
      <c r="N2513" s="5">
        <f>Table1[[#This Row],[Ordered]]-Table1[[#This Row],[Date ]]</f>
        <v>0.66666666666424135</v>
      </c>
      <c r="O2513">
        <f>Table1[[#This Row],[Company]]</f>
        <v>15</v>
      </c>
      <c r="P25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4" spans="1:16" x14ac:dyDescent="0.45">
      <c r="A2514" s="3">
        <v>45314.666666666664</v>
      </c>
      <c r="B2514" t="s">
        <v>0</v>
      </c>
      <c r="C2514">
        <v>14</v>
      </c>
      <c r="D2514">
        <v>2003</v>
      </c>
      <c r="E2514" t="s">
        <v>15</v>
      </c>
      <c r="F2514">
        <v>30</v>
      </c>
      <c r="G2514">
        <v>6650</v>
      </c>
      <c r="H2514">
        <v>199500</v>
      </c>
      <c r="I2514" s="3">
        <v>45314.666666666664</v>
      </c>
      <c r="J2514">
        <v>120</v>
      </c>
      <c r="K2514" s="3">
        <v>45319.166666666664</v>
      </c>
      <c r="L2514" s="4">
        <f>ROUNDDOWN(Table1[[#This Row],[Ordered]],0)</f>
        <v>45314</v>
      </c>
      <c r="M2514" s="4">
        <f>Table1[[#This Row],[Date ]]</f>
        <v>45314</v>
      </c>
      <c r="N2514" s="5">
        <f>Table1[[#This Row],[Ordered]]-Table1[[#This Row],[Date ]]</f>
        <v>0.66666666666424135</v>
      </c>
      <c r="O2514">
        <f>Table1[[#This Row],[Company]]</f>
        <v>14</v>
      </c>
      <c r="P25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5" spans="1:16" x14ac:dyDescent="0.45">
      <c r="A2515" s="3">
        <v>45314.666666666664</v>
      </c>
      <c r="B2515" t="s">
        <v>0</v>
      </c>
      <c r="C2515">
        <v>7</v>
      </c>
      <c r="D2515">
        <v>2003</v>
      </c>
      <c r="E2515" t="s">
        <v>16</v>
      </c>
      <c r="F2515">
        <v>75</v>
      </c>
      <c r="G2515">
        <v>4300</v>
      </c>
      <c r="H2515">
        <v>322500</v>
      </c>
      <c r="I2515" s="3">
        <v>45316.416666666664</v>
      </c>
      <c r="J2515">
        <v>132</v>
      </c>
      <c r="K2515" s="3">
        <v>45319.416666666664</v>
      </c>
      <c r="L2515" s="4">
        <f>ROUNDDOWN(Table1[[#This Row],[Ordered]],0)</f>
        <v>45314</v>
      </c>
      <c r="M2515" s="4">
        <f>Table1[[#This Row],[Date ]]</f>
        <v>45314</v>
      </c>
      <c r="N2515" s="5">
        <f>Table1[[#This Row],[Ordered]]-Table1[[#This Row],[Date ]]</f>
        <v>0.66666666666424135</v>
      </c>
      <c r="O2515">
        <f>Table1[[#This Row],[Company]]</f>
        <v>7</v>
      </c>
      <c r="P25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6" spans="1:16" x14ac:dyDescent="0.45">
      <c r="A2516" s="3">
        <v>45314.666666666664</v>
      </c>
      <c r="B2516" t="s">
        <v>0</v>
      </c>
      <c r="C2516">
        <v>7</v>
      </c>
      <c r="D2516">
        <v>2003</v>
      </c>
      <c r="E2516" t="s">
        <v>15</v>
      </c>
      <c r="F2516">
        <v>25</v>
      </c>
      <c r="G2516">
        <v>7200</v>
      </c>
      <c r="H2516">
        <v>180000</v>
      </c>
      <c r="I2516" s="3">
        <v>45314.916666666664</v>
      </c>
      <c r="J2516">
        <v>132</v>
      </c>
      <c r="K2516" s="3">
        <v>45319.416666666664</v>
      </c>
      <c r="L2516" s="4">
        <f>ROUNDDOWN(Table1[[#This Row],[Ordered]],0)</f>
        <v>45314</v>
      </c>
      <c r="M2516" s="4">
        <f>Table1[[#This Row],[Date ]]</f>
        <v>45314</v>
      </c>
      <c r="N2516" s="5">
        <f>Table1[[#This Row],[Ordered]]-Table1[[#This Row],[Date ]]</f>
        <v>0.66666666666424135</v>
      </c>
      <c r="O2516">
        <f>Table1[[#This Row],[Company]]</f>
        <v>7</v>
      </c>
      <c r="P25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7" spans="1:16" x14ac:dyDescent="0.45">
      <c r="A2517" s="3">
        <v>45314.666666666664</v>
      </c>
      <c r="B2517" t="s">
        <v>0</v>
      </c>
      <c r="C2517">
        <v>8</v>
      </c>
      <c r="D2517">
        <v>2003</v>
      </c>
      <c r="E2517" t="s">
        <v>16</v>
      </c>
      <c r="F2517">
        <v>50</v>
      </c>
      <c r="G2517">
        <v>4155</v>
      </c>
      <c r="H2517">
        <v>207750</v>
      </c>
      <c r="I2517" s="3">
        <v>45314.958333333336</v>
      </c>
      <c r="J2517">
        <v>120</v>
      </c>
      <c r="K2517" s="3">
        <v>45319.458333333336</v>
      </c>
      <c r="L2517" s="4">
        <f>ROUNDDOWN(Table1[[#This Row],[Ordered]],0)</f>
        <v>45314</v>
      </c>
      <c r="M2517" s="4">
        <f>Table1[[#This Row],[Date ]]</f>
        <v>45314</v>
      </c>
      <c r="N2517" s="5">
        <f>Table1[[#This Row],[Ordered]]-Table1[[#This Row],[Date ]]</f>
        <v>0.66666666666424135</v>
      </c>
      <c r="O2517">
        <f>Table1[[#This Row],[Company]]</f>
        <v>8</v>
      </c>
      <c r="P25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8" spans="1:16" x14ac:dyDescent="0.45">
      <c r="A2518" s="3">
        <v>45314.666666666664</v>
      </c>
      <c r="B2518" t="s">
        <v>14</v>
      </c>
      <c r="C2518">
        <v>12</v>
      </c>
      <c r="D2518">
        <v>1009</v>
      </c>
      <c r="E2518" t="s">
        <v>15</v>
      </c>
      <c r="F2518">
        <v>7</v>
      </c>
      <c r="G2518">
        <v>6750</v>
      </c>
      <c r="H2518">
        <v>47250</v>
      </c>
      <c r="I2518" s="3">
        <v>45316.416666666664</v>
      </c>
      <c r="J2518">
        <v>96</v>
      </c>
      <c r="K2518" s="3">
        <v>45318.416666666664</v>
      </c>
      <c r="L2518" s="4">
        <f>ROUNDDOWN(Table1[[#This Row],[Ordered]],0)</f>
        <v>45314</v>
      </c>
      <c r="M2518" s="4">
        <f>Table1[[#This Row],[Date ]]</f>
        <v>45314</v>
      </c>
      <c r="N2518" s="5">
        <f>Table1[[#This Row],[Ordered]]-Table1[[#This Row],[Date ]]</f>
        <v>0.66666666666424135</v>
      </c>
      <c r="O2518">
        <f>Table1[[#This Row],[Company]]</f>
        <v>12</v>
      </c>
      <c r="P25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9" spans="1:16" x14ac:dyDescent="0.45">
      <c r="A2519" s="3">
        <v>45314.666666666664</v>
      </c>
      <c r="B2519" t="s">
        <v>0</v>
      </c>
      <c r="C2519">
        <v>13</v>
      </c>
      <c r="D2519">
        <v>2003</v>
      </c>
      <c r="E2519" t="s">
        <v>16</v>
      </c>
      <c r="F2519">
        <v>30</v>
      </c>
      <c r="G2519">
        <v>3000</v>
      </c>
      <c r="H2519">
        <v>90000</v>
      </c>
      <c r="I2519" s="3">
        <v>45316.833333333336</v>
      </c>
      <c r="J2519">
        <v>132</v>
      </c>
      <c r="K2519" s="3">
        <v>45319.833333333336</v>
      </c>
      <c r="L2519" s="4">
        <f>ROUNDDOWN(Table1[[#This Row],[Ordered]],0)</f>
        <v>45314</v>
      </c>
      <c r="M2519" s="4">
        <f>Table1[[#This Row],[Date ]]</f>
        <v>45314</v>
      </c>
      <c r="N2519" s="5">
        <f>Table1[[#This Row],[Ordered]]-Table1[[#This Row],[Date ]]</f>
        <v>0.66666666666424135</v>
      </c>
      <c r="O2519">
        <f>Table1[[#This Row],[Company]]</f>
        <v>13</v>
      </c>
      <c r="P25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0" spans="1:16" x14ac:dyDescent="0.45">
      <c r="A2520" s="3">
        <v>45314.666666666664</v>
      </c>
      <c r="B2520" t="s">
        <v>0</v>
      </c>
      <c r="C2520">
        <v>15</v>
      </c>
      <c r="D2520">
        <v>2003</v>
      </c>
      <c r="E2520" t="s">
        <v>16</v>
      </c>
      <c r="F2520">
        <v>45</v>
      </c>
      <c r="G2520">
        <v>4100</v>
      </c>
      <c r="H2520">
        <v>184500</v>
      </c>
      <c r="I2520" s="3">
        <v>45314.666666666664</v>
      </c>
      <c r="J2520">
        <v>48</v>
      </c>
      <c r="K2520" s="3">
        <v>45316.166666666664</v>
      </c>
      <c r="L2520" s="4">
        <f>ROUNDDOWN(Table1[[#This Row],[Ordered]],0)</f>
        <v>45314</v>
      </c>
      <c r="M2520" s="4">
        <f>Table1[[#This Row],[Date ]]</f>
        <v>45314</v>
      </c>
      <c r="N2520" s="5">
        <f>Table1[[#This Row],[Ordered]]-Table1[[#This Row],[Date ]]</f>
        <v>0.66666666666424135</v>
      </c>
      <c r="O2520">
        <f>Table1[[#This Row],[Company]]</f>
        <v>15</v>
      </c>
      <c r="P25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1" spans="1:16" x14ac:dyDescent="0.45">
      <c r="A2521" s="3">
        <v>45314.666666666664</v>
      </c>
      <c r="B2521" t="s">
        <v>14</v>
      </c>
      <c r="C2521">
        <v>13</v>
      </c>
      <c r="D2521">
        <v>1009</v>
      </c>
      <c r="E2521" t="s">
        <v>15</v>
      </c>
      <c r="F2521">
        <v>10</v>
      </c>
      <c r="G2521">
        <v>6000</v>
      </c>
      <c r="H2521">
        <v>60000</v>
      </c>
      <c r="I2521" s="3">
        <v>45315.375</v>
      </c>
      <c r="J2521">
        <v>96</v>
      </c>
      <c r="K2521" s="3">
        <v>45318.375</v>
      </c>
      <c r="L2521" s="4">
        <f>ROUNDDOWN(Table1[[#This Row],[Ordered]],0)</f>
        <v>45314</v>
      </c>
      <c r="M2521" s="4">
        <f>Table1[[#This Row],[Date ]]</f>
        <v>45314</v>
      </c>
      <c r="N2521" s="5">
        <f>Table1[[#This Row],[Ordered]]-Table1[[#This Row],[Date ]]</f>
        <v>0.66666666666424135</v>
      </c>
      <c r="O2521">
        <f>Table1[[#This Row],[Company]]</f>
        <v>13</v>
      </c>
      <c r="P25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2" spans="1:16" x14ac:dyDescent="0.45">
      <c r="A2522" s="3">
        <v>45314.666666666664</v>
      </c>
      <c r="B2522" t="s">
        <v>0</v>
      </c>
      <c r="C2522">
        <v>14</v>
      </c>
      <c r="D2522">
        <v>2003</v>
      </c>
      <c r="E2522" t="s">
        <v>16</v>
      </c>
      <c r="F2522">
        <v>40</v>
      </c>
      <c r="G2522">
        <v>4000</v>
      </c>
      <c r="H2522">
        <v>160000</v>
      </c>
      <c r="I2522" s="3">
        <v>45314.666666666664</v>
      </c>
      <c r="J2522">
        <v>84</v>
      </c>
      <c r="K2522" s="3">
        <v>45317.666666666664</v>
      </c>
      <c r="L2522" s="4">
        <f>ROUNDDOWN(Table1[[#This Row],[Ordered]],0)</f>
        <v>45314</v>
      </c>
      <c r="M2522" s="4">
        <f>Table1[[#This Row],[Date ]]</f>
        <v>45314</v>
      </c>
      <c r="N2522" s="5">
        <f>Table1[[#This Row],[Ordered]]-Table1[[#This Row],[Date ]]</f>
        <v>0.66666666666424135</v>
      </c>
      <c r="O2522">
        <f>Table1[[#This Row],[Company]]</f>
        <v>14</v>
      </c>
      <c r="P25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3" spans="1:16" x14ac:dyDescent="0.45">
      <c r="A2523" s="3">
        <v>45314.666666666664</v>
      </c>
      <c r="B2523" t="s">
        <v>0</v>
      </c>
      <c r="C2523">
        <v>9</v>
      </c>
      <c r="D2523">
        <v>2003</v>
      </c>
      <c r="E2523" t="s">
        <v>16</v>
      </c>
      <c r="F2523">
        <v>30</v>
      </c>
      <c r="G2523">
        <v>3799</v>
      </c>
      <c r="H2523">
        <v>113970</v>
      </c>
      <c r="I2523" s="3">
        <v>45314.666666666664</v>
      </c>
      <c r="J2523">
        <v>112</v>
      </c>
      <c r="K2523" s="3">
        <v>45319.166666666664</v>
      </c>
      <c r="L2523" s="4">
        <f>ROUNDDOWN(Table1[[#This Row],[Ordered]],0)</f>
        <v>45314</v>
      </c>
      <c r="M2523" s="4">
        <f>Table1[[#This Row],[Date ]]</f>
        <v>45314</v>
      </c>
      <c r="N2523" s="5">
        <f>Table1[[#This Row],[Ordered]]-Table1[[#This Row],[Date ]]</f>
        <v>0.66666666666424135</v>
      </c>
      <c r="O2523">
        <f>Table1[[#This Row],[Company]]</f>
        <v>9</v>
      </c>
      <c r="P25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4" spans="1:16" x14ac:dyDescent="0.45">
      <c r="A2524" s="3">
        <v>45314.666666666664</v>
      </c>
      <c r="B2524" t="s">
        <v>0</v>
      </c>
      <c r="C2524">
        <v>8</v>
      </c>
      <c r="D2524">
        <v>2003</v>
      </c>
      <c r="E2524" t="s">
        <v>15</v>
      </c>
      <c r="F2524">
        <v>10</v>
      </c>
      <c r="G2524">
        <v>6964</v>
      </c>
      <c r="H2524">
        <v>69640</v>
      </c>
      <c r="I2524" s="3">
        <v>45315.333333333336</v>
      </c>
      <c r="J2524">
        <v>132</v>
      </c>
      <c r="K2524" s="3">
        <v>45319.833333333336</v>
      </c>
      <c r="L2524" s="4">
        <f>ROUNDDOWN(Table1[[#This Row],[Ordered]],0)</f>
        <v>45314</v>
      </c>
      <c r="M2524" s="4">
        <f>Table1[[#This Row],[Date ]]</f>
        <v>45314</v>
      </c>
      <c r="N2524" s="5">
        <f>Table1[[#This Row],[Ordered]]-Table1[[#This Row],[Date ]]</f>
        <v>0.66666666666424135</v>
      </c>
      <c r="O2524">
        <f>Table1[[#This Row],[Company]]</f>
        <v>8</v>
      </c>
      <c r="P25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5" spans="1:16" x14ac:dyDescent="0.45">
      <c r="A2525" s="3">
        <v>45314.666666666664</v>
      </c>
      <c r="B2525" t="s">
        <v>0</v>
      </c>
      <c r="C2525">
        <v>12</v>
      </c>
      <c r="D2525">
        <v>2003</v>
      </c>
      <c r="E2525" t="s">
        <v>15</v>
      </c>
      <c r="F2525">
        <v>17</v>
      </c>
      <c r="G2525">
        <v>6800</v>
      </c>
      <c r="H2525">
        <v>115600</v>
      </c>
      <c r="I2525" s="3">
        <v>45316.416666666664</v>
      </c>
      <c r="J2525">
        <v>120</v>
      </c>
      <c r="K2525" s="3">
        <v>45319.416666666664</v>
      </c>
      <c r="L2525" s="4">
        <f>ROUNDDOWN(Table1[[#This Row],[Ordered]],0)</f>
        <v>45314</v>
      </c>
      <c r="M2525" s="4">
        <f>Table1[[#This Row],[Date ]]</f>
        <v>45314</v>
      </c>
      <c r="N2525" s="5">
        <f>Table1[[#This Row],[Ordered]]-Table1[[#This Row],[Date ]]</f>
        <v>0.66666666666424135</v>
      </c>
      <c r="O2525">
        <f>Table1[[#This Row],[Company]]</f>
        <v>12</v>
      </c>
      <c r="P25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6" spans="1:16" x14ac:dyDescent="0.45">
      <c r="A2526" s="3">
        <v>45314.666666666664</v>
      </c>
      <c r="B2526" t="s">
        <v>0</v>
      </c>
      <c r="C2526">
        <v>12</v>
      </c>
      <c r="D2526">
        <v>2003</v>
      </c>
      <c r="E2526" t="s">
        <v>15</v>
      </c>
      <c r="F2526">
        <v>13</v>
      </c>
      <c r="G2526">
        <v>6800</v>
      </c>
      <c r="H2526">
        <v>204000</v>
      </c>
      <c r="I2526" s="3">
        <v>45316.083333333336</v>
      </c>
      <c r="J2526">
        <v>120</v>
      </c>
      <c r="K2526" s="3">
        <v>45319.083333333336</v>
      </c>
      <c r="L2526" s="4">
        <f>ROUNDDOWN(Table1[[#This Row],[Ordered]],0)</f>
        <v>45314</v>
      </c>
      <c r="M2526" s="4">
        <f>Table1[[#This Row],[Date ]]</f>
        <v>45314</v>
      </c>
      <c r="N2526" s="5">
        <f>Table1[[#This Row],[Ordered]]-Table1[[#This Row],[Date ]]</f>
        <v>0.66666666666424135</v>
      </c>
      <c r="O2526">
        <f>Table1[[#This Row],[Company]]</f>
        <v>12</v>
      </c>
      <c r="P25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7" spans="1:16" x14ac:dyDescent="0.45">
      <c r="A2527" s="3">
        <v>45314.666666666664</v>
      </c>
      <c r="B2527" t="s">
        <v>14</v>
      </c>
      <c r="C2527">
        <v>16</v>
      </c>
      <c r="D2527">
        <v>1009</v>
      </c>
      <c r="E2527" t="s">
        <v>15</v>
      </c>
      <c r="F2527">
        <v>9</v>
      </c>
      <c r="G2527">
        <v>6050</v>
      </c>
      <c r="H2527">
        <v>54450</v>
      </c>
      <c r="I2527" s="3">
        <v>45314.875</v>
      </c>
      <c r="J2527">
        <v>96</v>
      </c>
      <c r="K2527" s="3">
        <v>45317.875</v>
      </c>
      <c r="L2527" s="4">
        <f>ROUNDDOWN(Table1[[#This Row],[Ordered]],0)</f>
        <v>45314</v>
      </c>
      <c r="M2527" s="4">
        <f>Table1[[#This Row],[Date ]]</f>
        <v>45314</v>
      </c>
      <c r="N2527" s="5">
        <f>Table1[[#This Row],[Ordered]]-Table1[[#This Row],[Date ]]</f>
        <v>0.66666666666424135</v>
      </c>
      <c r="O2527">
        <f>Table1[[#This Row],[Company]]</f>
        <v>16</v>
      </c>
      <c r="P25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8" spans="1:16" hidden="1" x14ac:dyDescent="0.45">
      <c r="A2528" s="3">
        <v>45314.833333333336</v>
      </c>
      <c r="B2528" t="s">
        <v>12</v>
      </c>
      <c r="C2528">
        <v>6</v>
      </c>
      <c r="D2528">
        <v>11</v>
      </c>
      <c r="E2528" t="s">
        <v>13</v>
      </c>
      <c r="F2528">
        <v>1927</v>
      </c>
      <c r="G2528">
        <v>140</v>
      </c>
      <c r="H2528">
        <v>269780</v>
      </c>
      <c r="I2528" s="3">
        <v>45314.833333333336</v>
      </c>
      <c r="J2528">
        <v>24</v>
      </c>
      <c r="K2528" s="3">
        <v>45315.833333333336</v>
      </c>
      <c r="L2528" s="4">
        <f>ROUNDDOWN(Table1[[#This Row],[Ordered]],0)</f>
        <v>45314</v>
      </c>
      <c r="M2528" s="4">
        <f>Table1[[#This Row],[Date ]]</f>
        <v>45314</v>
      </c>
      <c r="N2528" s="5">
        <f>Table1[[#This Row],[Ordered]]-Table1[[#This Row],[Date ]]</f>
        <v>0.83333333333575865</v>
      </c>
      <c r="O2528">
        <f>Table1[[#This Row],[Company]]</f>
        <v>6</v>
      </c>
      <c r="P25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9" spans="1:16" hidden="1" x14ac:dyDescent="0.45">
      <c r="A2529" s="3">
        <v>45314.875</v>
      </c>
      <c r="B2529" t="s">
        <v>12</v>
      </c>
      <c r="C2529">
        <v>5</v>
      </c>
      <c r="D2529">
        <v>16</v>
      </c>
      <c r="E2529" t="s">
        <v>13</v>
      </c>
      <c r="F2529">
        <v>1700</v>
      </c>
      <c r="G2529">
        <v>120</v>
      </c>
      <c r="H2529">
        <v>204000</v>
      </c>
      <c r="I2529" s="3">
        <v>45315</v>
      </c>
      <c r="J2529">
        <v>48</v>
      </c>
      <c r="K2529" s="3">
        <v>45317</v>
      </c>
      <c r="L2529" s="4">
        <f>ROUNDDOWN(Table1[[#This Row],[Ordered]],0)</f>
        <v>45314</v>
      </c>
      <c r="M2529" s="4">
        <f>Table1[[#This Row],[Date ]]</f>
        <v>45314</v>
      </c>
      <c r="N2529" s="5">
        <f>Table1[[#This Row],[Ordered]]-Table1[[#This Row],[Date ]]</f>
        <v>0.875</v>
      </c>
      <c r="O2529">
        <f>Table1[[#This Row],[Company]]</f>
        <v>5</v>
      </c>
      <c r="P25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0" spans="1:16" hidden="1" x14ac:dyDescent="0.45">
      <c r="A2530" s="3">
        <v>45314.875</v>
      </c>
      <c r="B2530" t="s">
        <v>12</v>
      </c>
      <c r="C2530">
        <v>6</v>
      </c>
      <c r="D2530">
        <v>15</v>
      </c>
      <c r="E2530" t="s">
        <v>17</v>
      </c>
      <c r="F2530">
        <v>500</v>
      </c>
      <c r="G2530">
        <v>1450</v>
      </c>
      <c r="H2530">
        <v>725000</v>
      </c>
      <c r="I2530" s="3">
        <v>45315</v>
      </c>
      <c r="J2530">
        <v>72</v>
      </c>
      <c r="K2530" s="3">
        <v>45318</v>
      </c>
      <c r="L2530" s="4">
        <f>ROUNDDOWN(Table1[[#This Row],[Ordered]],0)</f>
        <v>45314</v>
      </c>
      <c r="M2530" s="4">
        <f>Table1[[#This Row],[Date ]]</f>
        <v>45314</v>
      </c>
      <c r="N2530" s="5">
        <f>Table1[[#This Row],[Ordered]]-Table1[[#This Row],[Date ]]</f>
        <v>0.875</v>
      </c>
      <c r="O2530">
        <f>Table1[[#This Row],[Company]]</f>
        <v>6</v>
      </c>
      <c r="P25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1" spans="1:16" hidden="1" x14ac:dyDescent="0.45">
      <c r="A2531" s="3">
        <v>45314.875</v>
      </c>
      <c r="B2531" t="s">
        <v>12</v>
      </c>
      <c r="C2531">
        <v>6</v>
      </c>
      <c r="D2531">
        <v>15</v>
      </c>
      <c r="E2531" t="s">
        <v>17</v>
      </c>
      <c r="F2531">
        <v>500</v>
      </c>
      <c r="G2531">
        <v>1450</v>
      </c>
      <c r="H2531">
        <v>725000</v>
      </c>
      <c r="I2531" s="3">
        <v>45315</v>
      </c>
      <c r="J2531">
        <v>72</v>
      </c>
      <c r="K2531" s="3">
        <v>45318</v>
      </c>
      <c r="L2531" s="4">
        <f>ROUNDDOWN(Table1[[#This Row],[Ordered]],0)</f>
        <v>45314</v>
      </c>
      <c r="M2531" s="4">
        <f>Table1[[#This Row],[Date ]]</f>
        <v>45314</v>
      </c>
      <c r="N2531" s="5">
        <f>Table1[[#This Row],[Ordered]]-Table1[[#This Row],[Date ]]</f>
        <v>0.875</v>
      </c>
      <c r="O2531">
        <f>Table1[[#This Row],[Company]]</f>
        <v>6</v>
      </c>
      <c r="P25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2" spans="1:16" x14ac:dyDescent="0.45">
      <c r="A2532" s="3">
        <v>45314.958333333336</v>
      </c>
      <c r="B2532" t="s">
        <v>14</v>
      </c>
      <c r="C2532">
        <v>12</v>
      </c>
      <c r="D2532">
        <v>1001</v>
      </c>
      <c r="E2532" t="s">
        <v>16</v>
      </c>
      <c r="F2532">
        <v>11</v>
      </c>
      <c r="G2532">
        <v>3800</v>
      </c>
      <c r="H2532">
        <v>41800</v>
      </c>
      <c r="I2532" s="3">
        <v>45317.625</v>
      </c>
      <c r="J2532">
        <v>96</v>
      </c>
      <c r="K2532" s="3">
        <v>45318.625</v>
      </c>
      <c r="L2532" s="4">
        <f>ROUNDDOWN(Table1[[#This Row],[Ordered]],0)</f>
        <v>45314</v>
      </c>
      <c r="M2532" s="4">
        <f>Table1[[#This Row],[Date ]]</f>
        <v>45314</v>
      </c>
      <c r="N2532" s="5">
        <f>Table1[[#This Row],[Ordered]]-Table1[[#This Row],[Date ]]</f>
        <v>0.95833333333575865</v>
      </c>
      <c r="O2532">
        <f>Table1[[#This Row],[Company]]</f>
        <v>12</v>
      </c>
      <c r="P25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3" spans="1:16" x14ac:dyDescent="0.45">
      <c r="A2533" s="3">
        <v>45314.958333333336</v>
      </c>
      <c r="B2533" t="s">
        <v>14</v>
      </c>
      <c r="C2533">
        <v>11</v>
      </c>
      <c r="D2533">
        <v>1001</v>
      </c>
      <c r="E2533" t="s">
        <v>16</v>
      </c>
      <c r="F2533">
        <v>33</v>
      </c>
      <c r="G2533">
        <v>3900</v>
      </c>
      <c r="H2533">
        <v>128700</v>
      </c>
      <c r="I2533" s="3">
        <v>45315.75</v>
      </c>
      <c r="J2533">
        <v>108</v>
      </c>
      <c r="K2533" s="3">
        <v>45318.75</v>
      </c>
      <c r="L2533" s="4">
        <f>ROUNDDOWN(Table1[[#This Row],[Ordered]],0)</f>
        <v>45314</v>
      </c>
      <c r="M2533" s="4">
        <f>Table1[[#This Row],[Date ]]</f>
        <v>45314</v>
      </c>
      <c r="N2533" s="5">
        <f>Table1[[#This Row],[Ordered]]-Table1[[#This Row],[Date ]]</f>
        <v>0.95833333333575865</v>
      </c>
      <c r="O2533">
        <f>Table1[[#This Row],[Company]]</f>
        <v>11</v>
      </c>
      <c r="P25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4" spans="1:16" x14ac:dyDescent="0.45">
      <c r="A2534" s="3">
        <v>45314.958333333336</v>
      </c>
      <c r="B2534" t="s">
        <v>14</v>
      </c>
      <c r="C2534">
        <v>13</v>
      </c>
      <c r="D2534">
        <v>1001</v>
      </c>
      <c r="E2534" t="s">
        <v>16</v>
      </c>
      <c r="F2534">
        <v>30</v>
      </c>
      <c r="G2534">
        <v>3100</v>
      </c>
      <c r="H2534">
        <v>93000</v>
      </c>
      <c r="I2534" s="3">
        <v>45315.833333333336</v>
      </c>
      <c r="J2534">
        <v>96</v>
      </c>
      <c r="K2534" s="3">
        <v>45318.833333333336</v>
      </c>
      <c r="L2534" s="4">
        <f>ROUNDDOWN(Table1[[#This Row],[Ordered]],0)</f>
        <v>45314</v>
      </c>
      <c r="M2534" s="4">
        <f>Table1[[#This Row],[Date ]]</f>
        <v>45314</v>
      </c>
      <c r="N2534" s="5">
        <f>Table1[[#This Row],[Ordered]]-Table1[[#This Row],[Date ]]</f>
        <v>0.95833333333575865</v>
      </c>
      <c r="O2534">
        <f>Table1[[#This Row],[Company]]</f>
        <v>13</v>
      </c>
      <c r="P25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5" spans="1:16" x14ac:dyDescent="0.45">
      <c r="A2535" s="3">
        <v>45314.958333333336</v>
      </c>
      <c r="B2535" t="s">
        <v>14</v>
      </c>
      <c r="C2535">
        <v>9</v>
      </c>
      <c r="D2535">
        <v>1001</v>
      </c>
      <c r="E2535" t="s">
        <v>16</v>
      </c>
      <c r="F2535">
        <v>15</v>
      </c>
      <c r="G2535">
        <v>3799</v>
      </c>
      <c r="H2535">
        <v>56985</v>
      </c>
      <c r="I2535" s="3">
        <v>45315.041666666664</v>
      </c>
      <c r="J2535">
        <v>76</v>
      </c>
      <c r="K2535" s="3">
        <v>45318.041666666664</v>
      </c>
      <c r="L2535" s="4">
        <f>ROUNDDOWN(Table1[[#This Row],[Ordered]],0)</f>
        <v>45314</v>
      </c>
      <c r="M2535" s="4">
        <f>Table1[[#This Row],[Date ]]</f>
        <v>45314</v>
      </c>
      <c r="N2535" s="5">
        <f>Table1[[#This Row],[Ordered]]-Table1[[#This Row],[Date ]]</f>
        <v>0.95833333333575865</v>
      </c>
      <c r="O2535">
        <f>Table1[[#This Row],[Company]]</f>
        <v>9</v>
      </c>
      <c r="P25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6" spans="1:16" x14ac:dyDescent="0.45">
      <c r="A2536" s="3">
        <v>45314.958333333336</v>
      </c>
      <c r="B2536" t="s">
        <v>14</v>
      </c>
      <c r="C2536">
        <v>15</v>
      </c>
      <c r="D2536">
        <v>1001</v>
      </c>
      <c r="E2536" t="s">
        <v>16</v>
      </c>
      <c r="F2536">
        <v>50</v>
      </c>
      <c r="G2536">
        <v>3500</v>
      </c>
      <c r="H2536">
        <v>175000</v>
      </c>
      <c r="I2536" s="3">
        <v>45314.958333333336</v>
      </c>
      <c r="J2536">
        <v>88</v>
      </c>
      <c r="K2536" s="3">
        <v>45317.958333333336</v>
      </c>
      <c r="L2536" s="4">
        <f>ROUNDDOWN(Table1[[#This Row],[Ordered]],0)</f>
        <v>45314</v>
      </c>
      <c r="M2536" s="4">
        <f>Table1[[#This Row],[Date ]]</f>
        <v>45314</v>
      </c>
      <c r="N2536" s="5">
        <f>Table1[[#This Row],[Ordered]]-Table1[[#This Row],[Date ]]</f>
        <v>0.95833333333575865</v>
      </c>
      <c r="O2536">
        <f>Table1[[#This Row],[Company]]</f>
        <v>15</v>
      </c>
      <c r="P25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7" spans="1:16" x14ac:dyDescent="0.45">
      <c r="A2537" s="3">
        <v>45314.958333333336</v>
      </c>
      <c r="B2537" t="s">
        <v>14</v>
      </c>
      <c r="C2537">
        <v>14</v>
      </c>
      <c r="D2537">
        <v>1001</v>
      </c>
      <c r="E2537" t="s">
        <v>16</v>
      </c>
      <c r="F2537">
        <v>40</v>
      </c>
      <c r="G2537">
        <v>3650</v>
      </c>
      <c r="H2537">
        <v>146000</v>
      </c>
      <c r="I2537" s="3">
        <v>45314.958333333336</v>
      </c>
      <c r="J2537">
        <v>84</v>
      </c>
      <c r="K2537" s="3">
        <v>45317.958333333336</v>
      </c>
      <c r="L2537" s="4">
        <f>ROUNDDOWN(Table1[[#This Row],[Ordered]],0)</f>
        <v>45314</v>
      </c>
      <c r="M2537" s="4">
        <f>Table1[[#This Row],[Date ]]</f>
        <v>45314</v>
      </c>
      <c r="N2537" s="5">
        <f>Table1[[#This Row],[Ordered]]-Table1[[#This Row],[Date ]]</f>
        <v>0.95833333333575865</v>
      </c>
      <c r="O2537">
        <f>Table1[[#This Row],[Company]]</f>
        <v>14</v>
      </c>
      <c r="P25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8" spans="1:16" x14ac:dyDescent="0.45">
      <c r="A2538" s="3">
        <v>45314.958333333336</v>
      </c>
      <c r="B2538" t="s">
        <v>14</v>
      </c>
      <c r="C2538">
        <v>16</v>
      </c>
      <c r="D2538">
        <v>1001</v>
      </c>
      <c r="E2538" t="s">
        <v>16</v>
      </c>
      <c r="F2538">
        <v>30</v>
      </c>
      <c r="G2538">
        <v>3750</v>
      </c>
      <c r="H2538">
        <v>112500</v>
      </c>
      <c r="I2538" s="3">
        <v>45315.208333333336</v>
      </c>
      <c r="J2538">
        <v>96</v>
      </c>
      <c r="K2538" s="3">
        <v>45318.291666666664</v>
      </c>
      <c r="L2538" s="4">
        <f>ROUNDDOWN(Table1[[#This Row],[Ordered]],0)</f>
        <v>45314</v>
      </c>
      <c r="M2538" s="4">
        <f>Table1[[#This Row],[Date ]]</f>
        <v>45314</v>
      </c>
      <c r="N2538" s="5">
        <f>Table1[[#This Row],[Ordered]]-Table1[[#This Row],[Date ]]</f>
        <v>0.95833333333575865</v>
      </c>
      <c r="O2538">
        <f>Table1[[#This Row],[Company]]</f>
        <v>16</v>
      </c>
      <c r="P25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9" spans="1:16" hidden="1" x14ac:dyDescent="0.45">
      <c r="A2539" s="3">
        <v>45314.958333333336</v>
      </c>
      <c r="B2539" t="s">
        <v>12</v>
      </c>
      <c r="C2539">
        <v>4</v>
      </c>
      <c r="D2539">
        <v>9</v>
      </c>
      <c r="E2539" t="s">
        <v>17</v>
      </c>
      <c r="F2539">
        <v>500</v>
      </c>
      <c r="G2539">
        <v>1350</v>
      </c>
      <c r="H2539">
        <v>675000</v>
      </c>
      <c r="I2539" s="3">
        <v>45314.958333333336</v>
      </c>
      <c r="J2539">
        <v>24</v>
      </c>
      <c r="K2539" s="3">
        <v>45315.958333333336</v>
      </c>
      <c r="L2539" s="4">
        <f>ROUNDDOWN(Table1[[#This Row],[Ordered]],0)</f>
        <v>45314</v>
      </c>
      <c r="M2539" s="4">
        <f>Table1[[#This Row],[Date ]]</f>
        <v>45314</v>
      </c>
      <c r="N2539" s="5">
        <f>Table1[[#This Row],[Ordered]]-Table1[[#This Row],[Date ]]</f>
        <v>0.95833333333575865</v>
      </c>
      <c r="O2539">
        <f>Table1[[#This Row],[Company]]</f>
        <v>4</v>
      </c>
      <c r="P25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0" spans="1:16" x14ac:dyDescent="0.45">
      <c r="A2540" s="3">
        <v>45314.958333333336</v>
      </c>
      <c r="B2540" t="s">
        <v>14</v>
      </c>
      <c r="C2540">
        <v>10</v>
      </c>
      <c r="D2540">
        <v>1001</v>
      </c>
      <c r="E2540" t="s">
        <v>16</v>
      </c>
      <c r="F2540">
        <v>22</v>
      </c>
      <c r="G2540">
        <v>4200</v>
      </c>
      <c r="H2540">
        <v>92400</v>
      </c>
      <c r="I2540" s="3">
        <v>45314.958333333336</v>
      </c>
      <c r="J2540">
        <v>84</v>
      </c>
      <c r="K2540" s="3">
        <v>45317.958333333336</v>
      </c>
      <c r="L2540" s="4">
        <f>ROUNDDOWN(Table1[[#This Row],[Ordered]],0)</f>
        <v>45314</v>
      </c>
      <c r="M2540" s="4">
        <f>Table1[[#This Row],[Date ]]</f>
        <v>45314</v>
      </c>
      <c r="N2540" s="5">
        <f>Table1[[#This Row],[Ordered]]-Table1[[#This Row],[Date ]]</f>
        <v>0.95833333333575865</v>
      </c>
      <c r="O2540">
        <f>Table1[[#This Row],[Company]]</f>
        <v>10</v>
      </c>
      <c r="P25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1" spans="1:16" x14ac:dyDescent="0.45">
      <c r="A2541" s="3">
        <v>45314.958333333336</v>
      </c>
      <c r="B2541" t="s">
        <v>14</v>
      </c>
      <c r="C2541">
        <v>12</v>
      </c>
      <c r="D2541">
        <v>1001</v>
      </c>
      <c r="E2541" t="s">
        <v>16</v>
      </c>
      <c r="F2541">
        <v>19</v>
      </c>
      <c r="G2541">
        <v>3800</v>
      </c>
      <c r="H2541">
        <v>114000</v>
      </c>
      <c r="I2541" s="3">
        <v>45317.583333333336</v>
      </c>
      <c r="J2541">
        <v>96</v>
      </c>
      <c r="K2541" s="3">
        <v>45318.583333333336</v>
      </c>
      <c r="L2541" s="4">
        <f>ROUNDDOWN(Table1[[#This Row],[Ordered]],0)</f>
        <v>45314</v>
      </c>
      <c r="M2541" s="4">
        <f>Table1[[#This Row],[Date ]]</f>
        <v>45314</v>
      </c>
      <c r="N2541" s="5">
        <f>Table1[[#This Row],[Ordered]]-Table1[[#This Row],[Date ]]</f>
        <v>0.95833333333575865</v>
      </c>
      <c r="O2541">
        <f>Table1[[#This Row],[Company]]</f>
        <v>12</v>
      </c>
      <c r="P25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2" spans="1:16" x14ac:dyDescent="0.45">
      <c r="A2542" s="3">
        <v>45315.083333333336</v>
      </c>
      <c r="B2542" t="s">
        <v>14</v>
      </c>
      <c r="C2542">
        <v>15</v>
      </c>
      <c r="D2542">
        <v>1006</v>
      </c>
      <c r="E2542" t="s">
        <v>16</v>
      </c>
      <c r="F2542">
        <v>50</v>
      </c>
      <c r="G2542">
        <v>3500</v>
      </c>
      <c r="H2542">
        <v>175000</v>
      </c>
      <c r="I2542" s="3">
        <v>45315.166666666664</v>
      </c>
      <c r="J2542">
        <v>88</v>
      </c>
      <c r="K2542" s="3">
        <v>45318.166666666664</v>
      </c>
      <c r="L2542" s="4">
        <f>ROUNDDOWN(Table1[[#This Row],[Ordered]],0)</f>
        <v>45315</v>
      </c>
      <c r="M2542" s="4">
        <f>Table1[[#This Row],[Date ]]</f>
        <v>45315</v>
      </c>
      <c r="N2542" s="5">
        <f>Table1[[#This Row],[Ordered]]-Table1[[#This Row],[Date ]]</f>
        <v>8.3333333335758653E-2</v>
      </c>
      <c r="O2542">
        <f>Table1[[#This Row],[Company]]</f>
        <v>15</v>
      </c>
      <c r="P25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3" spans="1:16" hidden="1" x14ac:dyDescent="0.45">
      <c r="A2543" s="3">
        <v>45315.083333333336</v>
      </c>
      <c r="B2543" t="s">
        <v>12</v>
      </c>
      <c r="C2543">
        <v>1</v>
      </c>
      <c r="D2543">
        <v>7</v>
      </c>
      <c r="E2543" t="s">
        <v>13</v>
      </c>
      <c r="F2543">
        <v>1500</v>
      </c>
      <c r="G2543">
        <v>140</v>
      </c>
      <c r="H2543">
        <v>210000</v>
      </c>
      <c r="I2543" s="3">
        <v>45315.083333333336</v>
      </c>
      <c r="J2543">
        <v>72</v>
      </c>
      <c r="K2543" s="3">
        <v>45318.083333333336</v>
      </c>
      <c r="L2543" s="4">
        <f>ROUNDDOWN(Table1[[#This Row],[Ordered]],0)</f>
        <v>45315</v>
      </c>
      <c r="M2543" s="4">
        <f>Table1[[#This Row],[Date ]]</f>
        <v>45315</v>
      </c>
      <c r="N2543" s="5">
        <f>Table1[[#This Row],[Ordered]]-Table1[[#This Row],[Date ]]</f>
        <v>8.3333333335758653E-2</v>
      </c>
      <c r="O2543">
        <f>Table1[[#This Row],[Company]]</f>
        <v>1</v>
      </c>
      <c r="P25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4" spans="1:16" x14ac:dyDescent="0.45">
      <c r="A2544" s="3">
        <v>45315.083333333336</v>
      </c>
      <c r="B2544" t="s">
        <v>14</v>
      </c>
      <c r="C2544">
        <v>10</v>
      </c>
      <c r="D2544">
        <v>1006</v>
      </c>
      <c r="E2544" t="s">
        <v>16</v>
      </c>
      <c r="F2544">
        <v>36</v>
      </c>
      <c r="G2544">
        <v>4200</v>
      </c>
      <c r="H2544">
        <v>151200</v>
      </c>
      <c r="I2544" s="3">
        <v>45315.083333333336</v>
      </c>
      <c r="J2544">
        <v>84</v>
      </c>
      <c r="K2544" s="3">
        <v>45318.25</v>
      </c>
      <c r="L2544" s="4">
        <f>ROUNDDOWN(Table1[[#This Row],[Ordered]],0)</f>
        <v>45315</v>
      </c>
      <c r="M2544" s="4">
        <f>Table1[[#This Row],[Date ]]</f>
        <v>45315</v>
      </c>
      <c r="N2544" s="5">
        <f>Table1[[#This Row],[Ordered]]-Table1[[#This Row],[Date ]]</f>
        <v>8.3333333335758653E-2</v>
      </c>
      <c r="O2544">
        <f>Table1[[#This Row],[Company]]</f>
        <v>10</v>
      </c>
      <c r="P25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5" spans="1:16" x14ac:dyDescent="0.45">
      <c r="A2545" s="3">
        <v>45315.083333333336</v>
      </c>
      <c r="B2545" t="s">
        <v>14</v>
      </c>
      <c r="C2545">
        <v>14</v>
      </c>
      <c r="D2545">
        <v>1006</v>
      </c>
      <c r="E2545" t="s">
        <v>16</v>
      </c>
      <c r="F2545">
        <v>40</v>
      </c>
      <c r="G2545">
        <v>3650</v>
      </c>
      <c r="H2545">
        <v>146000</v>
      </c>
      <c r="I2545" s="3">
        <v>45315.083333333336</v>
      </c>
      <c r="J2545">
        <v>84</v>
      </c>
      <c r="K2545" s="3">
        <v>45318.25</v>
      </c>
      <c r="L2545" s="4">
        <f>ROUNDDOWN(Table1[[#This Row],[Ordered]],0)</f>
        <v>45315</v>
      </c>
      <c r="M2545" s="4">
        <f>Table1[[#This Row],[Date ]]</f>
        <v>45315</v>
      </c>
      <c r="N2545" s="5">
        <f>Table1[[#This Row],[Ordered]]-Table1[[#This Row],[Date ]]</f>
        <v>8.3333333335758653E-2</v>
      </c>
      <c r="O2545">
        <f>Table1[[#This Row],[Company]]</f>
        <v>14</v>
      </c>
      <c r="P25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6" spans="1:16" x14ac:dyDescent="0.45">
      <c r="A2546" s="3">
        <v>45315.083333333336</v>
      </c>
      <c r="B2546" t="s">
        <v>14</v>
      </c>
      <c r="C2546">
        <v>9</v>
      </c>
      <c r="D2546">
        <v>1006</v>
      </c>
      <c r="E2546" t="s">
        <v>16</v>
      </c>
      <c r="F2546">
        <v>15</v>
      </c>
      <c r="G2546">
        <v>3799</v>
      </c>
      <c r="H2546">
        <v>56985</v>
      </c>
      <c r="I2546" s="3">
        <v>45315.083333333336</v>
      </c>
      <c r="J2546">
        <v>76</v>
      </c>
      <c r="K2546" s="3">
        <v>45318.083333333336</v>
      </c>
      <c r="L2546" s="4">
        <f>ROUNDDOWN(Table1[[#This Row],[Ordered]],0)</f>
        <v>45315</v>
      </c>
      <c r="M2546" s="4">
        <f>Table1[[#This Row],[Date ]]</f>
        <v>45315</v>
      </c>
      <c r="N2546" s="5">
        <f>Table1[[#This Row],[Ordered]]-Table1[[#This Row],[Date ]]</f>
        <v>8.3333333335758653E-2</v>
      </c>
      <c r="O2546">
        <f>Table1[[#This Row],[Company]]</f>
        <v>9</v>
      </c>
      <c r="P25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7" spans="1:16" x14ac:dyDescent="0.45">
      <c r="A2547" s="3">
        <v>45315.083333333336</v>
      </c>
      <c r="B2547" t="s">
        <v>14</v>
      </c>
      <c r="C2547">
        <v>12</v>
      </c>
      <c r="D2547">
        <v>1006</v>
      </c>
      <c r="E2547" t="s">
        <v>16</v>
      </c>
      <c r="F2547">
        <v>30</v>
      </c>
      <c r="G2547">
        <v>3800</v>
      </c>
      <c r="H2547">
        <v>114000</v>
      </c>
      <c r="I2547" s="3">
        <v>45317.708333333336</v>
      </c>
      <c r="J2547">
        <v>96</v>
      </c>
      <c r="K2547" s="3">
        <v>45318.708333333336</v>
      </c>
      <c r="L2547" s="4">
        <f>ROUNDDOWN(Table1[[#This Row],[Ordered]],0)</f>
        <v>45315</v>
      </c>
      <c r="M2547" s="4">
        <f>Table1[[#This Row],[Date ]]</f>
        <v>45315</v>
      </c>
      <c r="N2547" s="5">
        <f>Table1[[#This Row],[Ordered]]-Table1[[#This Row],[Date ]]</f>
        <v>8.3333333335758653E-2</v>
      </c>
      <c r="O2547">
        <f>Table1[[#This Row],[Company]]</f>
        <v>12</v>
      </c>
      <c r="P25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8" spans="1:16" x14ac:dyDescent="0.45">
      <c r="A2548" s="3">
        <v>45315.083333333336</v>
      </c>
      <c r="B2548" t="s">
        <v>14</v>
      </c>
      <c r="C2548">
        <v>8</v>
      </c>
      <c r="D2548">
        <v>1006</v>
      </c>
      <c r="E2548" t="s">
        <v>16</v>
      </c>
      <c r="F2548">
        <v>32</v>
      </c>
      <c r="G2548">
        <v>4100</v>
      </c>
      <c r="H2548">
        <v>131200</v>
      </c>
      <c r="I2548" s="3">
        <v>45317.708333333336</v>
      </c>
      <c r="J2548">
        <v>144</v>
      </c>
      <c r="K2548" s="3">
        <v>45320.708333333336</v>
      </c>
      <c r="L2548" s="4">
        <f>ROUNDDOWN(Table1[[#This Row],[Ordered]],0)</f>
        <v>45315</v>
      </c>
      <c r="M2548" s="4">
        <f>Table1[[#This Row],[Date ]]</f>
        <v>45315</v>
      </c>
      <c r="N2548" s="5">
        <f>Table1[[#This Row],[Ordered]]-Table1[[#This Row],[Date ]]</f>
        <v>8.3333333335758653E-2</v>
      </c>
      <c r="O2548">
        <f>Table1[[#This Row],[Company]]</f>
        <v>8</v>
      </c>
      <c r="P25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9" spans="1:16" x14ac:dyDescent="0.45">
      <c r="A2549" s="3">
        <v>45315.083333333336</v>
      </c>
      <c r="B2549" t="s">
        <v>14</v>
      </c>
      <c r="C2549">
        <v>13</v>
      </c>
      <c r="D2549">
        <v>1006</v>
      </c>
      <c r="E2549" t="s">
        <v>16</v>
      </c>
      <c r="F2549">
        <v>30</v>
      </c>
      <c r="G2549">
        <v>3100</v>
      </c>
      <c r="H2549">
        <v>93000</v>
      </c>
      <c r="I2549" s="3">
        <v>45315.875</v>
      </c>
      <c r="J2549">
        <v>96</v>
      </c>
      <c r="K2549" s="3">
        <v>45318.875</v>
      </c>
      <c r="L2549" s="4">
        <f>ROUNDDOWN(Table1[[#This Row],[Ordered]],0)</f>
        <v>45315</v>
      </c>
      <c r="M2549" s="4">
        <f>Table1[[#This Row],[Date ]]</f>
        <v>45315</v>
      </c>
      <c r="N2549" s="5">
        <f>Table1[[#This Row],[Ordered]]-Table1[[#This Row],[Date ]]</f>
        <v>8.3333333335758653E-2</v>
      </c>
      <c r="O2549">
        <f>Table1[[#This Row],[Company]]</f>
        <v>13</v>
      </c>
      <c r="P25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0" spans="1:16" x14ac:dyDescent="0.45">
      <c r="A2550" s="3">
        <v>45315.083333333336</v>
      </c>
      <c r="B2550" t="s">
        <v>14</v>
      </c>
      <c r="C2550">
        <v>16</v>
      </c>
      <c r="D2550">
        <v>1006</v>
      </c>
      <c r="E2550" t="s">
        <v>16</v>
      </c>
      <c r="F2550">
        <v>30</v>
      </c>
      <c r="G2550">
        <v>3750</v>
      </c>
      <c r="H2550">
        <v>112500</v>
      </c>
      <c r="I2550" s="3">
        <v>45315.25</v>
      </c>
      <c r="J2550">
        <v>96</v>
      </c>
      <c r="K2550" s="3">
        <v>45318.25</v>
      </c>
      <c r="L2550" s="4">
        <f>ROUNDDOWN(Table1[[#This Row],[Ordered]],0)</f>
        <v>45315</v>
      </c>
      <c r="M2550" s="4">
        <f>Table1[[#This Row],[Date ]]</f>
        <v>45315</v>
      </c>
      <c r="N2550" s="5">
        <f>Table1[[#This Row],[Ordered]]-Table1[[#This Row],[Date ]]</f>
        <v>8.3333333335758653E-2</v>
      </c>
      <c r="O2550">
        <f>Table1[[#This Row],[Company]]</f>
        <v>16</v>
      </c>
      <c r="P25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1" spans="1:16" x14ac:dyDescent="0.45">
      <c r="A2551" s="3">
        <v>45315.083333333336</v>
      </c>
      <c r="B2551" t="s">
        <v>14</v>
      </c>
      <c r="C2551">
        <v>11</v>
      </c>
      <c r="D2551">
        <v>1006</v>
      </c>
      <c r="E2551" t="s">
        <v>16</v>
      </c>
      <c r="F2551">
        <v>30</v>
      </c>
      <c r="G2551">
        <v>4000</v>
      </c>
      <c r="H2551">
        <v>120000</v>
      </c>
      <c r="I2551" s="3">
        <v>45315.291666666664</v>
      </c>
      <c r="J2551">
        <v>96</v>
      </c>
      <c r="K2551" s="3">
        <v>45318.291666666664</v>
      </c>
      <c r="L2551" s="4">
        <f>ROUNDDOWN(Table1[[#This Row],[Ordered]],0)</f>
        <v>45315</v>
      </c>
      <c r="M2551" s="4">
        <f>Table1[[#This Row],[Date ]]</f>
        <v>45315</v>
      </c>
      <c r="N2551" s="5">
        <f>Table1[[#This Row],[Ordered]]-Table1[[#This Row],[Date ]]</f>
        <v>8.3333333335758653E-2</v>
      </c>
      <c r="O2551">
        <f>Table1[[#This Row],[Company]]</f>
        <v>11</v>
      </c>
      <c r="P25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2" spans="1:16" hidden="1" x14ac:dyDescent="0.45">
      <c r="A2552" s="3">
        <v>45315.083333333336</v>
      </c>
      <c r="B2552" t="s">
        <v>12</v>
      </c>
      <c r="C2552">
        <v>1</v>
      </c>
      <c r="D2552">
        <v>10</v>
      </c>
      <c r="E2552" t="s">
        <v>17</v>
      </c>
      <c r="F2552">
        <v>300</v>
      </c>
      <c r="G2552">
        <v>1500</v>
      </c>
      <c r="H2552">
        <v>450000</v>
      </c>
      <c r="I2552" s="3">
        <v>45315.166666666664</v>
      </c>
      <c r="J2552">
        <v>24</v>
      </c>
      <c r="K2552" s="3">
        <v>45316.166666666664</v>
      </c>
      <c r="L2552" s="4">
        <f>ROUNDDOWN(Table1[[#This Row],[Ordered]],0)</f>
        <v>45315</v>
      </c>
      <c r="M2552" s="4">
        <f>Table1[[#This Row],[Date ]]</f>
        <v>45315</v>
      </c>
      <c r="N2552" s="5">
        <f>Table1[[#This Row],[Ordered]]-Table1[[#This Row],[Date ]]</f>
        <v>8.3333333335758653E-2</v>
      </c>
      <c r="O2552">
        <f>Table1[[#This Row],[Company]]</f>
        <v>1</v>
      </c>
      <c r="P25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3" spans="1:16" hidden="1" x14ac:dyDescent="0.45">
      <c r="A2553" s="3">
        <v>45315.125</v>
      </c>
      <c r="B2553" t="s">
        <v>12</v>
      </c>
      <c r="C2553">
        <v>1</v>
      </c>
      <c r="D2553">
        <v>14</v>
      </c>
      <c r="E2553" t="s">
        <v>17</v>
      </c>
      <c r="F2553">
        <v>400</v>
      </c>
      <c r="G2553">
        <v>1350</v>
      </c>
      <c r="H2553">
        <v>540000</v>
      </c>
      <c r="I2553" s="3">
        <v>45315.125</v>
      </c>
      <c r="J2553">
        <v>24</v>
      </c>
      <c r="K2553" s="3">
        <v>45316.125</v>
      </c>
      <c r="L2553" s="4">
        <f>ROUNDDOWN(Table1[[#This Row],[Ordered]],0)</f>
        <v>45315</v>
      </c>
      <c r="M2553" s="4">
        <f>Table1[[#This Row],[Date ]]</f>
        <v>45315</v>
      </c>
      <c r="N2553" s="5">
        <f>Table1[[#This Row],[Ordered]]-Table1[[#This Row],[Date ]]</f>
        <v>0.125</v>
      </c>
      <c r="O2553">
        <f>Table1[[#This Row],[Company]]</f>
        <v>1</v>
      </c>
      <c r="P25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4" spans="1:16" hidden="1" x14ac:dyDescent="0.45">
      <c r="A2554" s="3">
        <v>45315.333333333336</v>
      </c>
      <c r="B2554" t="s">
        <v>12</v>
      </c>
      <c r="C2554">
        <v>6</v>
      </c>
      <c r="D2554">
        <v>9</v>
      </c>
      <c r="E2554" t="s">
        <v>17</v>
      </c>
      <c r="F2554">
        <v>135</v>
      </c>
      <c r="G2554">
        <v>1450</v>
      </c>
      <c r="H2554">
        <v>195750</v>
      </c>
      <c r="I2554" s="3">
        <v>45315.375</v>
      </c>
      <c r="J2554">
        <v>72</v>
      </c>
      <c r="K2554" s="3">
        <v>45318.375</v>
      </c>
      <c r="L2554" s="4">
        <f>ROUNDDOWN(Table1[[#This Row],[Ordered]],0)</f>
        <v>45315</v>
      </c>
      <c r="M2554" s="4">
        <f>Table1[[#This Row],[Date ]]</f>
        <v>45315</v>
      </c>
      <c r="N2554" s="5">
        <f>Table1[[#This Row],[Ordered]]-Table1[[#This Row],[Date ]]</f>
        <v>0.33333333333575865</v>
      </c>
      <c r="O2554">
        <f>Table1[[#This Row],[Company]]</f>
        <v>6</v>
      </c>
      <c r="P25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5" spans="1:16" hidden="1" x14ac:dyDescent="0.45">
      <c r="A2555" s="3">
        <v>45315.375</v>
      </c>
      <c r="B2555" t="s">
        <v>12</v>
      </c>
      <c r="C2555">
        <v>2</v>
      </c>
      <c r="D2555">
        <v>15</v>
      </c>
      <c r="E2555" t="s">
        <v>13</v>
      </c>
      <c r="F2555">
        <v>2800</v>
      </c>
      <c r="G2555">
        <v>130</v>
      </c>
      <c r="H2555">
        <v>364000</v>
      </c>
      <c r="I2555" s="3">
        <v>45315.375</v>
      </c>
      <c r="J2555">
        <v>72</v>
      </c>
      <c r="K2555" s="3">
        <v>45318.375</v>
      </c>
      <c r="L2555" s="4">
        <f>ROUNDDOWN(Table1[[#This Row],[Ordered]],0)</f>
        <v>45315</v>
      </c>
      <c r="M2555" s="4">
        <f>Table1[[#This Row],[Date ]]</f>
        <v>45315</v>
      </c>
      <c r="N2555" s="5">
        <f>Table1[[#This Row],[Ordered]]-Table1[[#This Row],[Date ]]</f>
        <v>0.375</v>
      </c>
      <c r="O2555">
        <f>Table1[[#This Row],[Company]]</f>
        <v>2</v>
      </c>
      <c r="P25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6" spans="1:16" x14ac:dyDescent="0.45">
      <c r="A2556" s="3">
        <v>45315.375</v>
      </c>
      <c r="B2556" t="s">
        <v>14</v>
      </c>
      <c r="C2556">
        <v>12</v>
      </c>
      <c r="D2556">
        <v>1001</v>
      </c>
      <c r="E2556" t="s">
        <v>15</v>
      </c>
      <c r="F2556">
        <v>6</v>
      </c>
      <c r="G2556">
        <v>6750</v>
      </c>
      <c r="H2556">
        <v>40500</v>
      </c>
      <c r="I2556" s="3">
        <v>45316.458333333336</v>
      </c>
      <c r="J2556">
        <v>96</v>
      </c>
      <c r="K2556" s="3">
        <v>45318.458333333336</v>
      </c>
      <c r="L2556" s="4">
        <f>ROUNDDOWN(Table1[[#This Row],[Ordered]],0)</f>
        <v>45315</v>
      </c>
      <c r="M2556" s="4">
        <f>Table1[[#This Row],[Date ]]</f>
        <v>45315</v>
      </c>
      <c r="N2556" s="5">
        <f>Table1[[#This Row],[Ordered]]-Table1[[#This Row],[Date ]]</f>
        <v>0.375</v>
      </c>
      <c r="O2556">
        <f>Table1[[#This Row],[Company]]</f>
        <v>12</v>
      </c>
      <c r="P25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7" spans="1:16" x14ac:dyDescent="0.45">
      <c r="A2557" s="3">
        <v>45315.375</v>
      </c>
      <c r="B2557" t="s">
        <v>14</v>
      </c>
      <c r="C2557">
        <v>15</v>
      </c>
      <c r="D2557">
        <v>1001</v>
      </c>
      <c r="E2557" t="s">
        <v>15</v>
      </c>
      <c r="F2557">
        <v>11</v>
      </c>
      <c r="G2557">
        <v>6450</v>
      </c>
      <c r="H2557">
        <v>70950</v>
      </c>
      <c r="I2557" s="3">
        <v>45315.458333333336</v>
      </c>
      <c r="J2557">
        <v>64</v>
      </c>
      <c r="K2557" s="3">
        <v>45317.458333333336</v>
      </c>
      <c r="L2557" s="4">
        <f>ROUNDDOWN(Table1[[#This Row],[Ordered]],0)</f>
        <v>45315</v>
      </c>
      <c r="M2557" s="4">
        <f>Table1[[#This Row],[Date ]]</f>
        <v>45315</v>
      </c>
      <c r="N2557" s="5">
        <f>Table1[[#This Row],[Ordered]]-Table1[[#This Row],[Date ]]</f>
        <v>0.375</v>
      </c>
      <c r="O2557">
        <f>Table1[[#This Row],[Company]]</f>
        <v>15</v>
      </c>
      <c r="P25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8" spans="1:16" x14ac:dyDescent="0.45">
      <c r="A2558" s="3">
        <v>45315.375</v>
      </c>
      <c r="B2558" t="s">
        <v>14</v>
      </c>
      <c r="C2558">
        <v>14</v>
      </c>
      <c r="D2558">
        <v>1004</v>
      </c>
      <c r="E2558" t="s">
        <v>16</v>
      </c>
      <c r="F2558">
        <v>39</v>
      </c>
      <c r="G2558">
        <v>3750</v>
      </c>
      <c r="H2558">
        <v>146250</v>
      </c>
      <c r="I2558" s="3">
        <v>45315.541666666664</v>
      </c>
      <c r="J2558">
        <v>84</v>
      </c>
      <c r="K2558" s="3">
        <v>45318.541666666664</v>
      </c>
      <c r="L2558" s="4">
        <f>ROUNDDOWN(Table1[[#This Row],[Ordered]],0)</f>
        <v>45315</v>
      </c>
      <c r="M2558" s="4">
        <f>Table1[[#This Row],[Date ]]</f>
        <v>45315</v>
      </c>
      <c r="N2558" s="5">
        <f>Table1[[#This Row],[Ordered]]-Table1[[#This Row],[Date ]]</f>
        <v>0.375</v>
      </c>
      <c r="O2558">
        <f>Table1[[#This Row],[Company]]</f>
        <v>14</v>
      </c>
      <c r="P25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9" spans="1:16" x14ac:dyDescent="0.45">
      <c r="A2559" s="3">
        <v>45315.375</v>
      </c>
      <c r="B2559" t="s">
        <v>14</v>
      </c>
      <c r="C2559">
        <v>8</v>
      </c>
      <c r="D2559">
        <v>1004</v>
      </c>
      <c r="E2559" t="s">
        <v>16</v>
      </c>
      <c r="F2559">
        <v>51</v>
      </c>
      <c r="G2559">
        <v>4100</v>
      </c>
      <c r="H2559">
        <v>209100</v>
      </c>
      <c r="I2559" s="3">
        <v>45318.625</v>
      </c>
      <c r="J2559">
        <v>144</v>
      </c>
      <c r="K2559" s="3">
        <v>45320.625</v>
      </c>
      <c r="L2559" s="4">
        <f>ROUNDDOWN(Table1[[#This Row],[Ordered]],0)</f>
        <v>45315</v>
      </c>
      <c r="M2559" s="4">
        <f>Table1[[#This Row],[Date ]]</f>
        <v>45315</v>
      </c>
      <c r="N2559" s="5">
        <f>Table1[[#This Row],[Ordered]]-Table1[[#This Row],[Date ]]</f>
        <v>0.375</v>
      </c>
      <c r="O2559">
        <f>Table1[[#This Row],[Company]]</f>
        <v>8</v>
      </c>
      <c r="P25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0" spans="1:16" x14ac:dyDescent="0.45">
      <c r="A2560" s="3">
        <v>45315.375</v>
      </c>
      <c r="B2560" t="s">
        <v>14</v>
      </c>
      <c r="C2560">
        <v>11</v>
      </c>
      <c r="D2560">
        <v>1001</v>
      </c>
      <c r="E2560" t="s">
        <v>15</v>
      </c>
      <c r="F2560">
        <v>7</v>
      </c>
      <c r="G2560">
        <v>6400</v>
      </c>
      <c r="H2560">
        <v>44800</v>
      </c>
      <c r="I2560" s="3">
        <v>45315.666666666664</v>
      </c>
      <c r="J2560">
        <v>72</v>
      </c>
      <c r="K2560" s="3">
        <v>45317.666666666664</v>
      </c>
      <c r="L2560" s="4">
        <f>ROUNDDOWN(Table1[[#This Row],[Ordered]],0)</f>
        <v>45315</v>
      </c>
      <c r="M2560" s="4">
        <f>Table1[[#This Row],[Date ]]</f>
        <v>45315</v>
      </c>
      <c r="N2560" s="5">
        <f>Table1[[#This Row],[Ordered]]-Table1[[#This Row],[Date ]]</f>
        <v>0.375</v>
      </c>
      <c r="O2560">
        <f>Table1[[#This Row],[Company]]</f>
        <v>11</v>
      </c>
      <c r="P25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1" spans="1:16" x14ac:dyDescent="0.45">
      <c r="A2561" s="3">
        <v>45315.375</v>
      </c>
      <c r="B2561" t="s">
        <v>14</v>
      </c>
      <c r="C2561">
        <v>16</v>
      </c>
      <c r="D2561">
        <v>1001</v>
      </c>
      <c r="E2561" t="s">
        <v>15</v>
      </c>
      <c r="F2561">
        <v>8</v>
      </c>
      <c r="G2561">
        <v>6050</v>
      </c>
      <c r="H2561">
        <v>48400</v>
      </c>
      <c r="I2561" s="3">
        <v>45315.541666666664</v>
      </c>
      <c r="J2561">
        <v>96</v>
      </c>
      <c r="K2561" s="3">
        <v>45318.541666666664</v>
      </c>
      <c r="L2561" s="4">
        <f>ROUNDDOWN(Table1[[#This Row],[Ordered]],0)</f>
        <v>45315</v>
      </c>
      <c r="M2561" s="4">
        <f>Table1[[#This Row],[Date ]]</f>
        <v>45315</v>
      </c>
      <c r="N2561" s="5">
        <f>Table1[[#This Row],[Ordered]]-Table1[[#This Row],[Date ]]</f>
        <v>0.375</v>
      </c>
      <c r="O2561">
        <f>Table1[[#This Row],[Company]]</f>
        <v>16</v>
      </c>
      <c r="P25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2" spans="1:16" x14ac:dyDescent="0.45">
      <c r="A2562" s="3">
        <v>45315.375</v>
      </c>
      <c r="B2562" t="s">
        <v>14</v>
      </c>
      <c r="C2562">
        <v>15</v>
      </c>
      <c r="D2562">
        <v>1004</v>
      </c>
      <c r="E2562" t="s">
        <v>16</v>
      </c>
      <c r="F2562">
        <v>30</v>
      </c>
      <c r="G2562">
        <v>3600</v>
      </c>
      <c r="H2562">
        <v>108000</v>
      </c>
      <c r="I2562" s="3">
        <v>45315.375</v>
      </c>
      <c r="J2562">
        <v>87</v>
      </c>
      <c r="K2562" s="3">
        <v>45318.375</v>
      </c>
      <c r="L2562" s="4">
        <f>ROUNDDOWN(Table1[[#This Row],[Ordered]],0)</f>
        <v>45315</v>
      </c>
      <c r="M2562" s="4">
        <f>Table1[[#This Row],[Date ]]</f>
        <v>45315</v>
      </c>
      <c r="N2562" s="5">
        <f>Table1[[#This Row],[Ordered]]-Table1[[#This Row],[Date ]]</f>
        <v>0.375</v>
      </c>
      <c r="O2562">
        <f>Table1[[#This Row],[Company]]</f>
        <v>15</v>
      </c>
      <c r="P25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3" spans="1:16" x14ac:dyDescent="0.45">
      <c r="A2563" s="3">
        <v>45315.375</v>
      </c>
      <c r="B2563" t="s">
        <v>14</v>
      </c>
      <c r="C2563">
        <v>16</v>
      </c>
      <c r="D2563">
        <v>1004</v>
      </c>
      <c r="E2563" t="s">
        <v>16</v>
      </c>
      <c r="F2563">
        <v>30</v>
      </c>
      <c r="G2563">
        <v>3750</v>
      </c>
      <c r="H2563">
        <v>112500</v>
      </c>
      <c r="I2563" s="3">
        <v>45315.458333333336</v>
      </c>
      <c r="J2563">
        <v>96</v>
      </c>
      <c r="K2563" s="3">
        <v>45318.458333333336</v>
      </c>
      <c r="L2563" s="4">
        <f>ROUNDDOWN(Table1[[#This Row],[Ordered]],0)</f>
        <v>45315</v>
      </c>
      <c r="M2563" s="4">
        <f>Table1[[#This Row],[Date ]]</f>
        <v>45315</v>
      </c>
      <c r="N2563" s="5">
        <f>Table1[[#This Row],[Ordered]]-Table1[[#This Row],[Date ]]</f>
        <v>0.375</v>
      </c>
      <c r="O2563">
        <f>Table1[[#This Row],[Company]]</f>
        <v>16</v>
      </c>
      <c r="P25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4" spans="1:16" x14ac:dyDescent="0.45">
      <c r="A2564" s="3">
        <v>45315.375</v>
      </c>
      <c r="B2564" t="s">
        <v>14</v>
      </c>
      <c r="C2564">
        <v>11</v>
      </c>
      <c r="D2564">
        <v>1004</v>
      </c>
      <c r="E2564" t="s">
        <v>16</v>
      </c>
      <c r="F2564">
        <v>30</v>
      </c>
      <c r="G2564">
        <v>4000</v>
      </c>
      <c r="H2564">
        <v>120000</v>
      </c>
      <c r="I2564" s="3">
        <v>45315.75</v>
      </c>
      <c r="J2564">
        <v>96</v>
      </c>
      <c r="K2564" s="3">
        <v>45318.791666666664</v>
      </c>
      <c r="L2564" s="4">
        <f>ROUNDDOWN(Table1[[#This Row],[Ordered]],0)</f>
        <v>45315</v>
      </c>
      <c r="M2564" s="4">
        <f>Table1[[#This Row],[Date ]]</f>
        <v>45315</v>
      </c>
      <c r="N2564" s="5">
        <f>Table1[[#This Row],[Ordered]]-Table1[[#This Row],[Date ]]</f>
        <v>0.375</v>
      </c>
      <c r="O2564">
        <f>Table1[[#This Row],[Company]]</f>
        <v>11</v>
      </c>
      <c r="P25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5" spans="1:16" x14ac:dyDescent="0.45">
      <c r="A2565" s="3">
        <v>45315.375</v>
      </c>
      <c r="B2565" t="s">
        <v>14</v>
      </c>
      <c r="C2565">
        <v>12</v>
      </c>
      <c r="D2565">
        <v>1004</v>
      </c>
      <c r="E2565" t="s">
        <v>16</v>
      </c>
      <c r="F2565">
        <v>50</v>
      </c>
      <c r="G2565">
        <v>3750</v>
      </c>
      <c r="H2565">
        <v>187500</v>
      </c>
      <c r="I2565" s="3">
        <v>45317.833333333336</v>
      </c>
      <c r="J2565">
        <v>120</v>
      </c>
      <c r="K2565" s="3">
        <v>45319.833333333336</v>
      </c>
      <c r="L2565" s="4">
        <f>ROUNDDOWN(Table1[[#This Row],[Ordered]],0)</f>
        <v>45315</v>
      </c>
      <c r="M2565" s="4">
        <f>Table1[[#This Row],[Date ]]</f>
        <v>45315</v>
      </c>
      <c r="N2565" s="5">
        <f>Table1[[#This Row],[Ordered]]-Table1[[#This Row],[Date ]]</f>
        <v>0.375</v>
      </c>
      <c r="O2565">
        <f>Table1[[#This Row],[Company]]</f>
        <v>12</v>
      </c>
      <c r="P25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6" spans="1:16" x14ac:dyDescent="0.45">
      <c r="A2566" s="3">
        <v>45315.375</v>
      </c>
      <c r="B2566" t="s">
        <v>14</v>
      </c>
      <c r="C2566">
        <v>10</v>
      </c>
      <c r="D2566">
        <v>1001</v>
      </c>
      <c r="E2566" t="s">
        <v>15</v>
      </c>
      <c r="F2566">
        <v>5</v>
      </c>
      <c r="G2566">
        <v>6100</v>
      </c>
      <c r="H2566">
        <v>30500</v>
      </c>
      <c r="I2566" s="3">
        <v>45315.375</v>
      </c>
      <c r="J2566">
        <v>84</v>
      </c>
      <c r="K2566" s="3">
        <v>45318.375</v>
      </c>
      <c r="L2566" s="4">
        <f>ROUNDDOWN(Table1[[#This Row],[Ordered]],0)</f>
        <v>45315</v>
      </c>
      <c r="M2566" s="4">
        <f>Table1[[#This Row],[Date ]]</f>
        <v>45315</v>
      </c>
      <c r="N2566" s="5">
        <f>Table1[[#This Row],[Ordered]]-Table1[[#This Row],[Date ]]</f>
        <v>0.375</v>
      </c>
      <c r="O2566">
        <f>Table1[[#This Row],[Company]]</f>
        <v>10</v>
      </c>
      <c r="P25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7" spans="1:16" x14ac:dyDescent="0.45">
      <c r="A2567" s="3">
        <v>45315.375</v>
      </c>
      <c r="B2567" t="s">
        <v>14</v>
      </c>
      <c r="C2567">
        <v>13</v>
      </c>
      <c r="D2567">
        <v>1004</v>
      </c>
      <c r="E2567" t="s">
        <v>16</v>
      </c>
      <c r="F2567">
        <v>30</v>
      </c>
      <c r="G2567">
        <v>3100</v>
      </c>
      <c r="H2567">
        <v>93000</v>
      </c>
      <c r="I2567" s="3">
        <v>45317.125</v>
      </c>
      <c r="J2567">
        <v>96</v>
      </c>
      <c r="K2567" s="3">
        <v>45319.125</v>
      </c>
      <c r="L2567" s="4">
        <f>ROUNDDOWN(Table1[[#This Row],[Ordered]],0)</f>
        <v>45315</v>
      </c>
      <c r="M2567" s="4">
        <f>Table1[[#This Row],[Date ]]</f>
        <v>45315</v>
      </c>
      <c r="N2567" s="5">
        <f>Table1[[#This Row],[Ordered]]-Table1[[#This Row],[Date ]]</f>
        <v>0.375</v>
      </c>
      <c r="O2567">
        <f>Table1[[#This Row],[Company]]</f>
        <v>13</v>
      </c>
      <c r="P25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8" spans="1:16" x14ac:dyDescent="0.45">
      <c r="A2568" s="3">
        <v>45315.375</v>
      </c>
      <c r="B2568" t="s">
        <v>14</v>
      </c>
      <c r="C2568">
        <v>13</v>
      </c>
      <c r="D2568">
        <v>1001</v>
      </c>
      <c r="E2568" t="s">
        <v>15</v>
      </c>
      <c r="F2568">
        <v>9</v>
      </c>
      <c r="G2568">
        <v>6000</v>
      </c>
      <c r="H2568">
        <v>54000</v>
      </c>
      <c r="I2568" s="3">
        <v>45316.041666666664</v>
      </c>
      <c r="J2568">
        <v>96</v>
      </c>
      <c r="K2568" s="3">
        <v>45319.041666666664</v>
      </c>
      <c r="L2568" s="4">
        <f>ROUNDDOWN(Table1[[#This Row],[Ordered]],0)</f>
        <v>45315</v>
      </c>
      <c r="M2568" s="4">
        <f>Table1[[#This Row],[Date ]]</f>
        <v>45315</v>
      </c>
      <c r="N2568" s="5">
        <f>Table1[[#This Row],[Ordered]]-Table1[[#This Row],[Date ]]</f>
        <v>0.375</v>
      </c>
      <c r="O2568">
        <f>Table1[[#This Row],[Company]]</f>
        <v>13</v>
      </c>
      <c r="P25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9" spans="1:16" hidden="1" x14ac:dyDescent="0.45">
      <c r="A2569" s="3">
        <v>45315.375</v>
      </c>
      <c r="B2569" t="s">
        <v>12</v>
      </c>
      <c r="C2569">
        <v>2</v>
      </c>
      <c r="D2569">
        <v>15</v>
      </c>
      <c r="E2569" t="s">
        <v>13</v>
      </c>
      <c r="F2569">
        <v>2800</v>
      </c>
      <c r="G2569">
        <v>130</v>
      </c>
      <c r="H2569">
        <v>364000</v>
      </c>
      <c r="I2569" s="3">
        <v>45315.375</v>
      </c>
      <c r="J2569">
        <v>72</v>
      </c>
      <c r="K2569" s="3">
        <v>45318.375</v>
      </c>
      <c r="L2569" s="4">
        <f>ROUNDDOWN(Table1[[#This Row],[Ordered]],0)</f>
        <v>45315</v>
      </c>
      <c r="M2569" s="4">
        <f>Table1[[#This Row],[Date ]]</f>
        <v>45315</v>
      </c>
      <c r="N2569" s="5">
        <f>Table1[[#This Row],[Ordered]]-Table1[[#This Row],[Date ]]</f>
        <v>0.375</v>
      </c>
      <c r="O2569">
        <f>Table1[[#This Row],[Company]]</f>
        <v>2</v>
      </c>
      <c r="P25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0" spans="1:16" x14ac:dyDescent="0.45">
      <c r="A2570" s="3">
        <v>45315.416666666664</v>
      </c>
      <c r="B2570" t="s">
        <v>14</v>
      </c>
      <c r="C2570">
        <v>16</v>
      </c>
      <c r="D2570">
        <v>1009</v>
      </c>
      <c r="E2570" t="s">
        <v>16</v>
      </c>
      <c r="F2570">
        <v>23</v>
      </c>
      <c r="G2570">
        <v>3750</v>
      </c>
      <c r="H2570">
        <v>86250</v>
      </c>
      <c r="I2570" s="3">
        <v>45315.625</v>
      </c>
      <c r="J2570">
        <v>96</v>
      </c>
      <c r="K2570" s="3">
        <v>45318.625</v>
      </c>
      <c r="L2570" s="4">
        <f>ROUNDDOWN(Table1[[#This Row],[Ordered]],0)</f>
        <v>45315</v>
      </c>
      <c r="M2570" s="4">
        <f>Table1[[#This Row],[Date ]]</f>
        <v>45315</v>
      </c>
      <c r="N2570" s="5">
        <f>Table1[[#This Row],[Ordered]]-Table1[[#This Row],[Date ]]</f>
        <v>0.41666666666424135</v>
      </c>
      <c r="O2570">
        <f>Table1[[#This Row],[Company]]</f>
        <v>16</v>
      </c>
      <c r="P25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1" spans="1:16" hidden="1" x14ac:dyDescent="0.45">
      <c r="A2571" s="3">
        <v>45315.416666666664</v>
      </c>
      <c r="B2571" t="s">
        <v>12</v>
      </c>
      <c r="C2571">
        <v>4</v>
      </c>
      <c r="D2571">
        <v>11</v>
      </c>
      <c r="E2571" t="s">
        <v>13</v>
      </c>
      <c r="F2571">
        <v>3000</v>
      </c>
      <c r="G2571">
        <v>110</v>
      </c>
      <c r="H2571">
        <v>330000</v>
      </c>
      <c r="I2571" s="3">
        <v>45315.416666666664</v>
      </c>
      <c r="J2571">
        <v>72</v>
      </c>
      <c r="K2571" s="3">
        <v>45318.416666666664</v>
      </c>
      <c r="L2571" s="4">
        <f>ROUNDDOWN(Table1[[#This Row],[Ordered]],0)</f>
        <v>45315</v>
      </c>
      <c r="M2571" s="4">
        <f>Table1[[#This Row],[Date ]]</f>
        <v>45315</v>
      </c>
      <c r="N2571" s="5">
        <f>Table1[[#This Row],[Ordered]]-Table1[[#This Row],[Date ]]</f>
        <v>0.41666666666424135</v>
      </c>
      <c r="O2571">
        <f>Table1[[#This Row],[Company]]</f>
        <v>4</v>
      </c>
      <c r="P25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2" spans="1:16" x14ac:dyDescent="0.45">
      <c r="A2572" s="3">
        <v>45315.416666666664</v>
      </c>
      <c r="B2572" t="s">
        <v>14</v>
      </c>
      <c r="C2572">
        <v>9</v>
      </c>
      <c r="D2572">
        <v>1009</v>
      </c>
      <c r="E2572" t="s">
        <v>16</v>
      </c>
      <c r="F2572">
        <v>15</v>
      </c>
      <c r="G2572">
        <v>3599</v>
      </c>
      <c r="H2572">
        <v>53985</v>
      </c>
      <c r="I2572" s="3">
        <v>45315.416666666664</v>
      </c>
      <c r="J2572">
        <v>76</v>
      </c>
      <c r="K2572" s="3">
        <v>45318.416666666664</v>
      </c>
      <c r="L2572" s="4">
        <f>ROUNDDOWN(Table1[[#This Row],[Ordered]],0)</f>
        <v>45315</v>
      </c>
      <c r="M2572" s="4">
        <f>Table1[[#This Row],[Date ]]</f>
        <v>45315</v>
      </c>
      <c r="N2572" s="5">
        <f>Table1[[#This Row],[Ordered]]-Table1[[#This Row],[Date ]]</f>
        <v>0.41666666666424135</v>
      </c>
      <c r="O2572">
        <f>Table1[[#This Row],[Company]]</f>
        <v>9</v>
      </c>
      <c r="P25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3" spans="1:16" hidden="1" x14ac:dyDescent="0.45">
      <c r="A2573" s="3">
        <v>45315.416666666664</v>
      </c>
      <c r="B2573" t="s">
        <v>12</v>
      </c>
      <c r="C2573">
        <v>1</v>
      </c>
      <c r="D2573">
        <v>14</v>
      </c>
      <c r="E2573" t="s">
        <v>13</v>
      </c>
      <c r="F2573">
        <v>3000</v>
      </c>
      <c r="G2573">
        <v>125</v>
      </c>
      <c r="H2573">
        <v>375000</v>
      </c>
      <c r="I2573" s="3">
        <v>45315.416666666664</v>
      </c>
      <c r="J2573">
        <v>72</v>
      </c>
      <c r="K2573" s="3">
        <v>45318.416666666664</v>
      </c>
      <c r="L2573" s="4">
        <f>ROUNDDOWN(Table1[[#This Row],[Ordered]],0)</f>
        <v>45315</v>
      </c>
      <c r="M2573" s="4">
        <f>Table1[[#This Row],[Date ]]</f>
        <v>45315</v>
      </c>
      <c r="N2573" s="5">
        <f>Table1[[#This Row],[Ordered]]-Table1[[#This Row],[Date ]]</f>
        <v>0.41666666666424135</v>
      </c>
      <c r="O2573">
        <f>Table1[[#This Row],[Company]]</f>
        <v>1</v>
      </c>
      <c r="P25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4" spans="1:16" x14ac:dyDescent="0.45">
      <c r="A2574" s="3">
        <v>45315.416666666664</v>
      </c>
      <c r="B2574" t="s">
        <v>14</v>
      </c>
      <c r="C2574">
        <v>15</v>
      </c>
      <c r="D2574">
        <v>1009</v>
      </c>
      <c r="E2574" t="s">
        <v>16</v>
      </c>
      <c r="F2574">
        <v>34</v>
      </c>
      <c r="G2574">
        <v>3500</v>
      </c>
      <c r="H2574">
        <v>119000</v>
      </c>
      <c r="I2574" s="3">
        <v>45315.416666666664</v>
      </c>
      <c r="J2574">
        <v>88</v>
      </c>
      <c r="K2574" s="3">
        <v>45318.5</v>
      </c>
      <c r="L2574" s="4">
        <f>ROUNDDOWN(Table1[[#This Row],[Ordered]],0)</f>
        <v>45315</v>
      </c>
      <c r="M2574" s="4">
        <f>Table1[[#This Row],[Date ]]</f>
        <v>45315</v>
      </c>
      <c r="N2574" s="5">
        <f>Table1[[#This Row],[Ordered]]-Table1[[#This Row],[Date ]]</f>
        <v>0.41666666666424135</v>
      </c>
      <c r="O2574">
        <f>Table1[[#This Row],[Company]]</f>
        <v>15</v>
      </c>
      <c r="P25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5" spans="1:16" hidden="1" x14ac:dyDescent="0.45">
      <c r="A2575" s="3">
        <v>45315.416666666664</v>
      </c>
      <c r="B2575" t="s">
        <v>12</v>
      </c>
      <c r="C2575">
        <v>4</v>
      </c>
      <c r="D2575">
        <v>8</v>
      </c>
      <c r="E2575" t="s">
        <v>13</v>
      </c>
      <c r="F2575">
        <v>2800</v>
      </c>
      <c r="G2575">
        <v>110</v>
      </c>
      <c r="H2575">
        <v>308000</v>
      </c>
      <c r="I2575" s="3">
        <v>45315.416666666664</v>
      </c>
      <c r="J2575">
        <v>48</v>
      </c>
      <c r="K2575" s="3">
        <v>45317.416666666664</v>
      </c>
      <c r="L2575" s="4">
        <f>ROUNDDOWN(Table1[[#This Row],[Ordered]],0)</f>
        <v>45315</v>
      </c>
      <c r="M2575" s="4">
        <f>Table1[[#This Row],[Date ]]</f>
        <v>45315</v>
      </c>
      <c r="N2575" s="5">
        <f>Table1[[#This Row],[Ordered]]-Table1[[#This Row],[Date ]]</f>
        <v>0.41666666666424135</v>
      </c>
      <c r="O2575">
        <f>Table1[[#This Row],[Company]]</f>
        <v>4</v>
      </c>
      <c r="P25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6" spans="1:16" hidden="1" x14ac:dyDescent="0.45">
      <c r="A2576" s="3">
        <v>45315.416666666664</v>
      </c>
      <c r="B2576" t="s">
        <v>12</v>
      </c>
      <c r="C2576">
        <v>4</v>
      </c>
      <c r="D2576">
        <v>8</v>
      </c>
      <c r="E2576" t="s">
        <v>17</v>
      </c>
      <c r="F2576">
        <v>800</v>
      </c>
      <c r="G2576">
        <v>1355</v>
      </c>
      <c r="H2576">
        <v>1084000</v>
      </c>
      <c r="I2576" s="3">
        <v>45315.416666666664</v>
      </c>
      <c r="J2576">
        <v>48</v>
      </c>
      <c r="K2576" s="3">
        <v>45317.416666666664</v>
      </c>
      <c r="L2576" s="4">
        <f>ROUNDDOWN(Table1[[#This Row],[Ordered]],0)</f>
        <v>45315</v>
      </c>
      <c r="M2576" s="4">
        <f>Table1[[#This Row],[Date ]]</f>
        <v>45315</v>
      </c>
      <c r="N2576" s="5">
        <f>Table1[[#This Row],[Ordered]]-Table1[[#This Row],[Date ]]</f>
        <v>0.41666666666424135</v>
      </c>
      <c r="O2576">
        <f>Table1[[#This Row],[Company]]</f>
        <v>4</v>
      </c>
      <c r="P25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7" spans="1:16" hidden="1" x14ac:dyDescent="0.45">
      <c r="A2577" s="3">
        <v>45315.416666666664</v>
      </c>
      <c r="B2577" t="s">
        <v>12</v>
      </c>
      <c r="C2577">
        <v>6</v>
      </c>
      <c r="D2577">
        <v>11</v>
      </c>
      <c r="E2577" t="s">
        <v>17</v>
      </c>
      <c r="F2577">
        <v>81</v>
      </c>
      <c r="G2577">
        <v>1550</v>
      </c>
      <c r="H2577">
        <v>125550</v>
      </c>
      <c r="I2577" s="3">
        <v>45315.416666666664</v>
      </c>
      <c r="J2577">
        <v>24</v>
      </c>
      <c r="K2577" s="3">
        <v>45316.416666666664</v>
      </c>
      <c r="L2577" s="4">
        <f>ROUNDDOWN(Table1[[#This Row],[Ordered]],0)</f>
        <v>45315</v>
      </c>
      <c r="M2577" s="4">
        <f>Table1[[#This Row],[Date ]]</f>
        <v>45315</v>
      </c>
      <c r="N2577" s="5">
        <f>Table1[[#This Row],[Ordered]]-Table1[[#This Row],[Date ]]</f>
        <v>0.41666666666424135</v>
      </c>
      <c r="O2577">
        <f>Table1[[#This Row],[Company]]</f>
        <v>6</v>
      </c>
      <c r="P25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8" spans="1:16" x14ac:dyDescent="0.45">
      <c r="A2578" s="3">
        <v>45315.416666666664</v>
      </c>
      <c r="B2578" t="s">
        <v>14</v>
      </c>
      <c r="C2578">
        <v>14</v>
      </c>
      <c r="D2578">
        <v>1009</v>
      </c>
      <c r="E2578" t="s">
        <v>16</v>
      </c>
      <c r="F2578">
        <v>30</v>
      </c>
      <c r="G2578">
        <v>3650</v>
      </c>
      <c r="H2578">
        <v>109500</v>
      </c>
      <c r="I2578" s="3">
        <v>45315.708333333336</v>
      </c>
      <c r="J2578">
        <v>84</v>
      </c>
      <c r="K2578" s="3">
        <v>45318.708333333336</v>
      </c>
      <c r="L2578" s="4">
        <f>ROUNDDOWN(Table1[[#This Row],[Ordered]],0)</f>
        <v>45315</v>
      </c>
      <c r="M2578" s="4">
        <f>Table1[[#This Row],[Date ]]</f>
        <v>45315</v>
      </c>
      <c r="N2578" s="5">
        <f>Table1[[#This Row],[Ordered]]-Table1[[#This Row],[Date ]]</f>
        <v>0.41666666666424135</v>
      </c>
      <c r="O2578">
        <f>Table1[[#This Row],[Company]]</f>
        <v>14</v>
      </c>
      <c r="P25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9" spans="1:16" x14ac:dyDescent="0.45">
      <c r="A2579" s="3">
        <v>45315.416666666664</v>
      </c>
      <c r="B2579" t="s">
        <v>14</v>
      </c>
      <c r="C2579">
        <v>12</v>
      </c>
      <c r="D2579">
        <v>1009</v>
      </c>
      <c r="E2579" t="s">
        <v>16</v>
      </c>
      <c r="F2579">
        <v>20</v>
      </c>
      <c r="G2579">
        <v>3800</v>
      </c>
      <c r="H2579">
        <v>76000</v>
      </c>
      <c r="I2579" s="3">
        <v>45317.833333333336</v>
      </c>
      <c r="J2579">
        <v>96</v>
      </c>
      <c r="K2579" s="3">
        <v>45318.833333333336</v>
      </c>
      <c r="L2579" s="4">
        <f>ROUNDDOWN(Table1[[#This Row],[Ordered]],0)</f>
        <v>45315</v>
      </c>
      <c r="M2579" s="4">
        <f>Table1[[#This Row],[Date ]]</f>
        <v>45315</v>
      </c>
      <c r="N2579" s="5">
        <f>Table1[[#This Row],[Ordered]]-Table1[[#This Row],[Date ]]</f>
        <v>0.41666666666424135</v>
      </c>
      <c r="O2579">
        <f>Table1[[#This Row],[Company]]</f>
        <v>12</v>
      </c>
      <c r="P25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0" spans="1:16" x14ac:dyDescent="0.45">
      <c r="A2580" s="3">
        <v>45315.416666666664</v>
      </c>
      <c r="B2580" t="s">
        <v>14</v>
      </c>
      <c r="C2580">
        <v>13</v>
      </c>
      <c r="D2580">
        <v>1009</v>
      </c>
      <c r="E2580" t="s">
        <v>16</v>
      </c>
      <c r="F2580">
        <v>30</v>
      </c>
      <c r="G2580">
        <v>3100</v>
      </c>
      <c r="H2580">
        <v>93000</v>
      </c>
      <c r="I2580" s="3">
        <v>45317.125</v>
      </c>
      <c r="J2580">
        <v>96</v>
      </c>
      <c r="K2580" s="3">
        <v>45319.125</v>
      </c>
      <c r="L2580" s="4">
        <f>ROUNDDOWN(Table1[[#This Row],[Ordered]],0)</f>
        <v>45315</v>
      </c>
      <c r="M2580" s="4">
        <f>Table1[[#This Row],[Date ]]</f>
        <v>45315</v>
      </c>
      <c r="N2580" s="5">
        <f>Table1[[#This Row],[Ordered]]-Table1[[#This Row],[Date ]]</f>
        <v>0.41666666666424135</v>
      </c>
      <c r="O2580">
        <f>Table1[[#This Row],[Company]]</f>
        <v>13</v>
      </c>
      <c r="P25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1" spans="1:16" hidden="1" x14ac:dyDescent="0.45">
      <c r="A2581" s="3">
        <v>45315.458333333336</v>
      </c>
      <c r="B2581" t="s">
        <v>12</v>
      </c>
      <c r="C2581">
        <v>2</v>
      </c>
      <c r="D2581">
        <v>14</v>
      </c>
      <c r="E2581" t="s">
        <v>13</v>
      </c>
      <c r="F2581">
        <v>1500</v>
      </c>
      <c r="G2581">
        <v>125</v>
      </c>
      <c r="H2581">
        <v>187500</v>
      </c>
      <c r="I2581" s="3">
        <v>45315.5</v>
      </c>
      <c r="J2581">
        <v>72</v>
      </c>
      <c r="K2581" s="3">
        <v>45318.5</v>
      </c>
      <c r="L2581" s="4">
        <f>ROUNDDOWN(Table1[[#This Row],[Ordered]],0)</f>
        <v>45315</v>
      </c>
      <c r="M2581" s="4">
        <f>Table1[[#This Row],[Date ]]</f>
        <v>45315</v>
      </c>
      <c r="N2581" s="5">
        <f>Table1[[#This Row],[Ordered]]-Table1[[#This Row],[Date ]]</f>
        <v>0.45833333333575865</v>
      </c>
      <c r="O2581">
        <f>Table1[[#This Row],[Company]]</f>
        <v>2</v>
      </c>
      <c r="P25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2" spans="1:16" x14ac:dyDescent="0.45">
      <c r="A2582" s="3">
        <v>45315.5</v>
      </c>
      <c r="B2582" t="s">
        <v>0</v>
      </c>
      <c r="C2582">
        <v>10</v>
      </c>
      <c r="D2582">
        <v>2004</v>
      </c>
      <c r="E2582" t="s">
        <v>15</v>
      </c>
      <c r="F2582">
        <v>16</v>
      </c>
      <c r="G2582">
        <v>6200</v>
      </c>
      <c r="H2582">
        <v>99200</v>
      </c>
      <c r="I2582" s="3">
        <v>45315.5</v>
      </c>
      <c r="J2582">
        <v>84</v>
      </c>
      <c r="K2582" s="3">
        <v>45318.5</v>
      </c>
      <c r="L2582" s="4">
        <f>ROUNDDOWN(Table1[[#This Row],[Ordered]],0)</f>
        <v>45315</v>
      </c>
      <c r="M2582" s="4">
        <f>Table1[[#This Row],[Date ]]</f>
        <v>45315</v>
      </c>
      <c r="N2582" s="5">
        <f>Table1[[#This Row],[Ordered]]-Table1[[#This Row],[Date ]]</f>
        <v>0.5</v>
      </c>
      <c r="O2582">
        <f>Table1[[#This Row],[Company]]</f>
        <v>10</v>
      </c>
      <c r="P25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3" spans="1:16" x14ac:dyDescent="0.45">
      <c r="A2583" s="3">
        <v>45315.5</v>
      </c>
      <c r="B2583" t="s">
        <v>0</v>
      </c>
      <c r="C2583">
        <v>13</v>
      </c>
      <c r="D2583">
        <v>2004</v>
      </c>
      <c r="E2583" t="s">
        <v>15</v>
      </c>
      <c r="F2583">
        <v>28</v>
      </c>
      <c r="G2583">
        <v>6000</v>
      </c>
      <c r="H2583">
        <v>168000</v>
      </c>
      <c r="I2583" s="3">
        <v>45317.625</v>
      </c>
      <c r="J2583">
        <v>132</v>
      </c>
      <c r="K2583" s="3">
        <v>45320.625</v>
      </c>
      <c r="L2583" s="4">
        <f>ROUNDDOWN(Table1[[#This Row],[Ordered]],0)</f>
        <v>45315</v>
      </c>
      <c r="M2583" s="4">
        <f>Table1[[#This Row],[Date ]]</f>
        <v>45315</v>
      </c>
      <c r="N2583" s="5">
        <f>Table1[[#This Row],[Ordered]]-Table1[[#This Row],[Date ]]</f>
        <v>0.5</v>
      </c>
      <c r="O2583">
        <f>Table1[[#This Row],[Company]]</f>
        <v>13</v>
      </c>
      <c r="P25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4" spans="1:16" x14ac:dyDescent="0.45">
      <c r="A2584" s="3">
        <v>45315.5</v>
      </c>
      <c r="B2584" t="s">
        <v>0</v>
      </c>
      <c r="C2584">
        <v>12</v>
      </c>
      <c r="D2584">
        <v>2004</v>
      </c>
      <c r="E2584" t="s">
        <v>15</v>
      </c>
      <c r="F2584">
        <v>14</v>
      </c>
      <c r="G2584">
        <v>6800</v>
      </c>
      <c r="H2584">
        <v>95200</v>
      </c>
      <c r="I2584" s="3">
        <v>45316.583333333336</v>
      </c>
      <c r="J2584">
        <v>120</v>
      </c>
      <c r="K2584" s="3">
        <v>45319.583333333336</v>
      </c>
      <c r="L2584" s="4">
        <f>ROUNDDOWN(Table1[[#This Row],[Ordered]],0)</f>
        <v>45315</v>
      </c>
      <c r="M2584" s="4">
        <f>Table1[[#This Row],[Date ]]</f>
        <v>45315</v>
      </c>
      <c r="N2584" s="5">
        <f>Table1[[#This Row],[Ordered]]-Table1[[#This Row],[Date ]]</f>
        <v>0.5</v>
      </c>
      <c r="O2584">
        <f>Table1[[#This Row],[Company]]</f>
        <v>12</v>
      </c>
      <c r="P25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5" spans="1:16" x14ac:dyDescent="0.45">
      <c r="A2585" s="3">
        <v>45315.5</v>
      </c>
      <c r="B2585" t="s">
        <v>0</v>
      </c>
      <c r="C2585">
        <v>9</v>
      </c>
      <c r="D2585">
        <v>2004</v>
      </c>
      <c r="E2585" t="s">
        <v>15</v>
      </c>
      <c r="F2585">
        <v>15</v>
      </c>
      <c r="G2585">
        <v>6364</v>
      </c>
      <c r="H2585">
        <v>95460</v>
      </c>
      <c r="I2585" s="3">
        <v>45315.791666666664</v>
      </c>
      <c r="J2585">
        <v>119</v>
      </c>
      <c r="K2585" s="3">
        <v>45320.291666666664</v>
      </c>
      <c r="L2585" s="4">
        <f>ROUNDDOWN(Table1[[#This Row],[Ordered]],0)</f>
        <v>45315</v>
      </c>
      <c r="M2585" s="4">
        <f>Table1[[#This Row],[Date ]]</f>
        <v>45315</v>
      </c>
      <c r="N2585" s="5">
        <f>Table1[[#This Row],[Ordered]]-Table1[[#This Row],[Date ]]</f>
        <v>0.5</v>
      </c>
      <c r="O2585">
        <f>Table1[[#This Row],[Company]]</f>
        <v>9</v>
      </c>
      <c r="P25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6" spans="1:16" x14ac:dyDescent="0.45">
      <c r="A2586" s="3">
        <v>45315.5</v>
      </c>
      <c r="B2586" t="s">
        <v>0</v>
      </c>
      <c r="C2586">
        <v>15</v>
      </c>
      <c r="D2586">
        <v>2004</v>
      </c>
      <c r="E2586" t="s">
        <v>15</v>
      </c>
      <c r="F2586">
        <v>32</v>
      </c>
      <c r="G2586">
        <v>6450</v>
      </c>
      <c r="H2586">
        <v>206400</v>
      </c>
      <c r="I2586" s="3">
        <v>45315.583333333336</v>
      </c>
      <c r="J2586">
        <v>48</v>
      </c>
      <c r="K2586" s="3">
        <v>45317.083333333336</v>
      </c>
      <c r="L2586" s="4">
        <f>ROUNDDOWN(Table1[[#This Row],[Ordered]],0)</f>
        <v>45315</v>
      </c>
      <c r="M2586" s="4">
        <f>Table1[[#This Row],[Date ]]</f>
        <v>45315</v>
      </c>
      <c r="N2586" s="5">
        <f>Table1[[#This Row],[Ordered]]-Table1[[#This Row],[Date ]]</f>
        <v>0.5</v>
      </c>
      <c r="O2586">
        <f>Table1[[#This Row],[Company]]</f>
        <v>15</v>
      </c>
      <c r="P25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7" spans="1:16" x14ac:dyDescent="0.45">
      <c r="A2587" s="3">
        <v>45315.5</v>
      </c>
      <c r="B2587" t="s">
        <v>0</v>
      </c>
      <c r="C2587">
        <v>14</v>
      </c>
      <c r="D2587">
        <v>2004</v>
      </c>
      <c r="E2587" t="s">
        <v>16</v>
      </c>
      <c r="F2587">
        <v>40</v>
      </c>
      <c r="G2587">
        <v>4100</v>
      </c>
      <c r="H2587">
        <v>164000</v>
      </c>
      <c r="I2587" s="3">
        <v>45315.625</v>
      </c>
      <c r="J2587">
        <v>82</v>
      </c>
      <c r="K2587" s="3">
        <v>45318.625</v>
      </c>
      <c r="L2587" s="4">
        <f>ROUNDDOWN(Table1[[#This Row],[Ordered]],0)</f>
        <v>45315</v>
      </c>
      <c r="M2587" s="4">
        <f>Table1[[#This Row],[Date ]]</f>
        <v>45315</v>
      </c>
      <c r="N2587" s="5">
        <f>Table1[[#This Row],[Ordered]]-Table1[[#This Row],[Date ]]</f>
        <v>0.5</v>
      </c>
      <c r="O2587">
        <f>Table1[[#This Row],[Company]]</f>
        <v>14</v>
      </c>
      <c r="P25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8" spans="1:16" x14ac:dyDescent="0.45">
      <c r="A2588" s="3">
        <v>45315.5</v>
      </c>
      <c r="B2588" t="s">
        <v>0</v>
      </c>
      <c r="C2588">
        <v>16</v>
      </c>
      <c r="D2588">
        <v>2004</v>
      </c>
      <c r="E2588" t="s">
        <v>16</v>
      </c>
      <c r="F2588">
        <v>30</v>
      </c>
      <c r="G2588">
        <v>3750</v>
      </c>
      <c r="H2588">
        <v>112500</v>
      </c>
      <c r="I2588" s="3">
        <v>45315.791666666664</v>
      </c>
      <c r="J2588">
        <v>132</v>
      </c>
      <c r="K2588" s="3">
        <v>45320.291666666664</v>
      </c>
      <c r="L2588" s="4">
        <f>ROUNDDOWN(Table1[[#This Row],[Ordered]],0)</f>
        <v>45315</v>
      </c>
      <c r="M2588" s="4">
        <f>Table1[[#This Row],[Date ]]</f>
        <v>45315</v>
      </c>
      <c r="N2588" s="5">
        <f>Table1[[#This Row],[Ordered]]-Table1[[#This Row],[Date ]]</f>
        <v>0.5</v>
      </c>
      <c r="O2588">
        <f>Table1[[#This Row],[Company]]</f>
        <v>16</v>
      </c>
      <c r="P25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9" spans="1:16" x14ac:dyDescent="0.45">
      <c r="A2589" s="3">
        <v>45315.5</v>
      </c>
      <c r="B2589" t="s">
        <v>0</v>
      </c>
      <c r="C2589">
        <v>8</v>
      </c>
      <c r="D2589">
        <v>2004</v>
      </c>
      <c r="E2589" t="s">
        <v>16</v>
      </c>
      <c r="F2589">
        <v>46</v>
      </c>
      <c r="G2589">
        <v>4155</v>
      </c>
      <c r="H2589">
        <v>191130</v>
      </c>
      <c r="I2589" s="3">
        <v>45317.375</v>
      </c>
      <c r="J2589">
        <v>120</v>
      </c>
      <c r="K2589" s="3">
        <v>45320.375</v>
      </c>
      <c r="L2589" s="4">
        <f>ROUNDDOWN(Table1[[#This Row],[Ordered]],0)</f>
        <v>45315</v>
      </c>
      <c r="M2589" s="4">
        <f>Table1[[#This Row],[Date ]]</f>
        <v>45315</v>
      </c>
      <c r="N2589" s="5">
        <f>Table1[[#This Row],[Ordered]]-Table1[[#This Row],[Date ]]</f>
        <v>0.5</v>
      </c>
      <c r="O2589">
        <f>Table1[[#This Row],[Company]]</f>
        <v>8</v>
      </c>
      <c r="P25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0" spans="1:16" x14ac:dyDescent="0.45">
      <c r="A2590" s="3">
        <v>45315.5</v>
      </c>
      <c r="B2590" t="s">
        <v>0</v>
      </c>
      <c r="C2590">
        <v>9</v>
      </c>
      <c r="D2590">
        <v>2004</v>
      </c>
      <c r="E2590" t="s">
        <v>16</v>
      </c>
      <c r="F2590">
        <v>30</v>
      </c>
      <c r="G2590">
        <v>3599</v>
      </c>
      <c r="H2590">
        <v>107970</v>
      </c>
      <c r="I2590" s="3">
        <v>45315.5</v>
      </c>
      <c r="J2590">
        <v>112</v>
      </c>
      <c r="K2590" s="3">
        <v>45320</v>
      </c>
      <c r="L2590" s="4">
        <f>ROUNDDOWN(Table1[[#This Row],[Ordered]],0)</f>
        <v>45315</v>
      </c>
      <c r="M2590" s="4">
        <f>Table1[[#This Row],[Date ]]</f>
        <v>45315</v>
      </c>
      <c r="N2590" s="5">
        <f>Table1[[#This Row],[Ordered]]-Table1[[#This Row],[Date ]]</f>
        <v>0.5</v>
      </c>
      <c r="O2590">
        <f>Table1[[#This Row],[Company]]</f>
        <v>9</v>
      </c>
      <c r="P25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1" spans="1:16" x14ac:dyDescent="0.45">
      <c r="A2591" s="3">
        <v>45315.5</v>
      </c>
      <c r="B2591" t="s">
        <v>0</v>
      </c>
      <c r="C2591">
        <v>11</v>
      </c>
      <c r="D2591">
        <v>2004</v>
      </c>
      <c r="E2591" t="s">
        <v>15</v>
      </c>
      <c r="F2591">
        <v>10</v>
      </c>
      <c r="G2591">
        <v>6800</v>
      </c>
      <c r="H2591">
        <v>68000</v>
      </c>
      <c r="I2591" s="3">
        <v>45315.625</v>
      </c>
      <c r="J2591">
        <v>84</v>
      </c>
      <c r="K2591" s="3">
        <v>45318.625</v>
      </c>
      <c r="L2591" s="4">
        <f>ROUNDDOWN(Table1[[#This Row],[Ordered]],0)</f>
        <v>45315</v>
      </c>
      <c r="M2591" s="4">
        <f>Table1[[#This Row],[Date ]]</f>
        <v>45315</v>
      </c>
      <c r="N2591" s="5">
        <f>Table1[[#This Row],[Ordered]]-Table1[[#This Row],[Date ]]</f>
        <v>0.5</v>
      </c>
      <c r="O2591">
        <f>Table1[[#This Row],[Company]]</f>
        <v>11</v>
      </c>
      <c r="P25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2" spans="1:16" x14ac:dyDescent="0.45">
      <c r="A2592" s="3">
        <v>45315.5</v>
      </c>
      <c r="B2592" t="s">
        <v>0</v>
      </c>
      <c r="C2592">
        <v>7</v>
      </c>
      <c r="D2592">
        <v>2004</v>
      </c>
      <c r="E2592" t="s">
        <v>16</v>
      </c>
      <c r="F2592">
        <v>40</v>
      </c>
      <c r="G2592">
        <v>4300</v>
      </c>
      <c r="H2592">
        <v>172000</v>
      </c>
      <c r="I2592" s="3">
        <v>45316.208333333336</v>
      </c>
      <c r="J2592">
        <v>132</v>
      </c>
      <c r="K2592" s="3">
        <v>45320.708333333336</v>
      </c>
      <c r="L2592" s="4">
        <f>ROUNDDOWN(Table1[[#This Row],[Ordered]],0)</f>
        <v>45315</v>
      </c>
      <c r="M2592" s="4">
        <f>Table1[[#This Row],[Date ]]</f>
        <v>45315</v>
      </c>
      <c r="N2592" s="5">
        <f>Table1[[#This Row],[Ordered]]-Table1[[#This Row],[Date ]]</f>
        <v>0.5</v>
      </c>
      <c r="O2592">
        <f>Table1[[#This Row],[Company]]</f>
        <v>7</v>
      </c>
      <c r="P25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3" spans="1:16" x14ac:dyDescent="0.45">
      <c r="A2593" s="3">
        <v>45315.5</v>
      </c>
      <c r="B2593" t="s">
        <v>0</v>
      </c>
      <c r="C2593">
        <v>16</v>
      </c>
      <c r="D2593">
        <v>2004</v>
      </c>
      <c r="E2593" t="s">
        <v>15</v>
      </c>
      <c r="F2593">
        <v>25</v>
      </c>
      <c r="G2593">
        <v>6050</v>
      </c>
      <c r="H2593">
        <v>151250</v>
      </c>
      <c r="I2593" s="3">
        <v>45315.791666666664</v>
      </c>
      <c r="J2593">
        <v>132</v>
      </c>
      <c r="K2593" s="3">
        <v>45320.291666666664</v>
      </c>
      <c r="L2593" s="4">
        <f>ROUNDDOWN(Table1[[#This Row],[Ordered]],0)</f>
        <v>45315</v>
      </c>
      <c r="M2593" s="4">
        <f>Table1[[#This Row],[Date ]]</f>
        <v>45315</v>
      </c>
      <c r="N2593" s="5">
        <f>Table1[[#This Row],[Ordered]]-Table1[[#This Row],[Date ]]</f>
        <v>0.5</v>
      </c>
      <c r="O2593">
        <f>Table1[[#This Row],[Company]]</f>
        <v>16</v>
      </c>
      <c r="P25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4" spans="1:16" x14ac:dyDescent="0.45">
      <c r="A2594" s="3">
        <v>45315.5</v>
      </c>
      <c r="B2594" t="s">
        <v>0</v>
      </c>
      <c r="C2594">
        <v>12</v>
      </c>
      <c r="D2594">
        <v>2004</v>
      </c>
      <c r="E2594" t="s">
        <v>16</v>
      </c>
      <c r="F2594">
        <v>30</v>
      </c>
      <c r="G2594">
        <v>3850</v>
      </c>
      <c r="H2594">
        <v>115500</v>
      </c>
      <c r="I2594" s="3">
        <v>45318.375</v>
      </c>
      <c r="J2594">
        <v>120</v>
      </c>
      <c r="K2594" s="3">
        <v>45319.875</v>
      </c>
      <c r="L2594" s="4">
        <f>ROUNDDOWN(Table1[[#This Row],[Ordered]],0)</f>
        <v>45315</v>
      </c>
      <c r="M2594" s="4">
        <f>Table1[[#This Row],[Date ]]</f>
        <v>45315</v>
      </c>
      <c r="N2594" s="5">
        <f>Table1[[#This Row],[Ordered]]-Table1[[#This Row],[Date ]]</f>
        <v>0.5</v>
      </c>
      <c r="O2594">
        <f>Table1[[#This Row],[Company]]</f>
        <v>12</v>
      </c>
      <c r="P25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5" spans="1:16" x14ac:dyDescent="0.45">
      <c r="A2595" s="3">
        <v>45315.5</v>
      </c>
      <c r="B2595" t="s">
        <v>0</v>
      </c>
      <c r="C2595">
        <v>13</v>
      </c>
      <c r="D2595">
        <v>2004</v>
      </c>
      <c r="E2595" t="s">
        <v>16</v>
      </c>
      <c r="F2595">
        <v>30</v>
      </c>
      <c r="G2595">
        <v>3000</v>
      </c>
      <c r="H2595">
        <v>90000</v>
      </c>
      <c r="I2595" s="3">
        <v>45317.666666666664</v>
      </c>
      <c r="J2595">
        <v>132</v>
      </c>
      <c r="K2595" s="3">
        <v>45320.666666666664</v>
      </c>
      <c r="L2595" s="4">
        <f>ROUNDDOWN(Table1[[#This Row],[Ordered]],0)</f>
        <v>45315</v>
      </c>
      <c r="M2595" s="4">
        <f>Table1[[#This Row],[Date ]]</f>
        <v>45315</v>
      </c>
      <c r="N2595" s="5">
        <f>Table1[[#This Row],[Ordered]]-Table1[[#This Row],[Date ]]</f>
        <v>0.5</v>
      </c>
      <c r="O2595">
        <f>Table1[[#This Row],[Company]]</f>
        <v>13</v>
      </c>
      <c r="P25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6" spans="1:16" x14ac:dyDescent="0.45">
      <c r="A2596" s="3">
        <v>45315.5</v>
      </c>
      <c r="B2596" t="s">
        <v>0</v>
      </c>
      <c r="C2596">
        <v>11</v>
      </c>
      <c r="D2596">
        <v>2004</v>
      </c>
      <c r="E2596" t="s">
        <v>16</v>
      </c>
      <c r="F2596">
        <v>20</v>
      </c>
      <c r="G2596">
        <v>4300</v>
      </c>
      <c r="H2596">
        <v>86000</v>
      </c>
      <c r="I2596" s="3">
        <v>45315.875</v>
      </c>
      <c r="J2596">
        <v>96</v>
      </c>
      <c r="K2596" s="3">
        <v>45318.875</v>
      </c>
      <c r="L2596" s="4">
        <f>ROUNDDOWN(Table1[[#This Row],[Ordered]],0)</f>
        <v>45315</v>
      </c>
      <c r="M2596" s="4">
        <f>Table1[[#This Row],[Date ]]</f>
        <v>45315</v>
      </c>
      <c r="N2596" s="5">
        <f>Table1[[#This Row],[Ordered]]-Table1[[#This Row],[Date ]]</f>
        <v>0.5</v>
      </c>
      <c r="O2596">
        <f>Table1[[#This Row],[Company]]</f>
        <v>11</v>
      </c>
      <c r="P25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7" spans="1:16" x14ac:dyDescent="0.45">
      <c r="A2597" s="3">
        <v>45315.5</v>
      </c>
      <c r="B2597" t="s">
        <v>0</v>
      </c>
      <c r="C2597">
        <v>15</v>
      </c>
      <c r="D2597">
        <v>2004</v>
      </c>
      <c r="E2597" t="s">
        <v>16</v>
      </c>
      <c r="F2597">
        <v>45</v>
      </c>
      <c r="G2597">
        <v>4150</v>
      </c>
      <c r="H2597">
        <v>186750</v>
      </c>
      <c r="I2597" s="3">
        <v>45315.583333333336</v>
      </c>
      <c r="J2597">
        <v>48</v>
      </c>
      <c r="K2597" s="3">
        <v>45317.083333333336</v>
      </c>
      <c r="L2597" s="4">
        <f>ROUNDDOWN(Table1[[#This Row],[Ordered]],0)</f>
        <v>45315</v>
      </c>
      <c r="M2597" s="4">
        <f>Table1[[#This Row],[Date ]]</f>
        <v>45315</v>
      </c>
      <c r="N2597" s="5">
        <f>Table1[[#This Row],[Ordered]]-Table1[[#This Row],[Date ]]</f>
        <v>0.5</v>
      </c>
      <c r="O2597">
        <f>Table1[[#This Row],[Company]]</f>
        <v>15</v>
      </c>
      <c r="P25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8" spans="1:16" x14ac:dyDescent="0.45">
      <c r="A2598" s="3">
        <v>45315.5</v>
      </c>
      <c r="B2598" t="s">
        <v>0</v>
      </c>
      <c r="C2598">
        <v>14</v>
      </c>
      <c r="D2598">
        <v>2004</v>
      </c>
      <c r="E2598" t="s">
        <v>15</v>
      </c>
      <c r="F2598">
        <v>12</v>
      </c>
      <c r="G2598">
        <v>6650</v>
      </c>
      <c r="H2598">
        <v>79800</v>
      </c>
      <c r="I2598" s="3">
        <v>45315.5</v>
      </c>
      <c r="J2598">
        <v>120</v>
      </c>
      <c r="K2598" s="3">
        <v>45320</v>
      </c>
      <c r="L2598" s="4">
        <f>ROUNDDOWN(Table1[[#This Row],[Ordered]],0)</f>
        <v>45315</v>
      </c>
      <c r="M2598" s="4">
        <f>Table1[[#This Row],[Date ]]</f>
        <v>45315</v>
      </c>
      <c r="N2598" s="5">
        <f>Table1[[#This Row],[Ordered]]-Table1[[#This Row],[Date ]]</f>
        <v>0.5</v>
      </c>
      <c r="O2598">
        <f>Table1[[#This Row],[Company]]</f>
        <v>14</v>
      </c>
      <c r="P25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9" spans="1:16" x14ac:dyDescent="0.45">
      <c r="A2599" s="3">
        <v>45315.541666666664</v>
      </c>
      <c r="B2599" t="s">
        <v>12</v>
      </c>
      <c r="C2599">
        <v>15</v>
      </c>
      <c r="D2599">
        <v>12</v>
      </c>
      <c r="E2599" t="s">
        <v>16</v>
      </c>
      <c r="F2599">
        <v>100</v>
      </c>
      <c r="G2599">
        <v>3200</v>
      </c>
      <c r="H2599">
        <v>320000</v>
      </c>
      <c r="I2599" s="3">
        <v>45315.625</v>
      </c>
      <c r="J2599">
        <v>72</v>
      </c>
      <c r="K2599" s="3">
        <v>45318.625</v>
      </c>
      <c r="L2599" s="4">
        <f>ROUNDDOWN(Table1[[#This Row],[Ordered]],0)</f>
        <v>45315</v>
      </c>
      <c r="M2599" s="4">
        <f>Table1[[#This Row],[Date ]]</f>
        <v>45315</v>
      </c>
      <c r="N2599" s="5">
        <f>Table1[[#This Row],[Ordered]]-Table1[[#This Row],[Date ]]</f>
        <v>0.54166666666424135</v>
      </c>
      <c r="O2599">
        <f>Table1[[#This Row],[Company]]</f>
        <v>15</v>
      </c>
      <c r="P25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0" spans="1:16" x14ac:dyDescent="0.45">
      <c r="A2600" s="3">
        <v>45315.666666666664</v>
      </c>
      <c r="B2600" t="s">
        <v>14</v>
      </c>
      <c r="C2600">
        <v>15</v>
      </c>
      <c r="D2600">
        <v>1002</v>
      </c>
      <c r="E2600" t="s">
        <v>16</v>
      </c>
      <c r="F2600">
        <v>30</v>
      </c>
      <c r="G2600">
        <v>3600</v>
      </c>
      <c r="H2600">
        <v>108000</v>
      </c>
      <c r="I2600" s="3">
        <v>45315.791666666664</v>
      </c>
      <c r="J2600">
        <v>87</v>
      </c>
      <c r="K2600" s="3">
        <v>45318.791666666664</v>
      </c>
      <c r="L2600" s="4">
        <f>ROUNDDOWN(Table1[[#This Row],[Ordered]],0)</f>
        <v>45315</v>
      </c>
      <c r="M2600" s="4">
        <f>Table1[[#This Row],[Date ]]</f>
        <v>45315</v>
      </c>
      <c r="N2600" s="5">
        <f>Table1[[#This Row],[Ordered]]-Table1[[#This Row],[Date ]]</f>
        <v>0.66666666666424135</v>
      </c>
      <c r="O2600">
        <f>Table1[[#This Row],[Company]]</f>
        <v>15</v>
      </c>
      <c r="P26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1" spans="1:16" x14ac:dyDescent="0.45">
      <c r="A2601" s="3">
        <v>45315.666666666664</v>
      </c>
      <c r="B2601" t="s">
        <v>14</v>
      </c>
      <c r="C2601">
        <v>11</v>
      </c>
      <c r="D2601">
        <v>1006</v>
      </c>
      <c r="E2601" t="s">
        <v>15</v>
      </c>
      <c r="F2601">
        <v>20</v>
      </c>
      <c r="G2601">
        <v>6400</v>
      </c>
      <c r="H2601">
        <v>128000</v>
      </c>
      <c r="I2601" s="3">
        <v>45316.416666666664</v>
      </c>
      <c r="J2601">
        <v>72</v>
      </c>
      <c r="K2601" s="3">
        <v>45318.416666666664</v>
      </c>
      <c r="L2601" s="4">
        <f>ROUNDDOWN(Table1[[#This Row],[Ordered]],0)</f>
        <v>45315</v>
      </c>
      <c r="M2601" s="4">
        <f>Table1[[#This Row],[Date ]]</f>
        <v>45315</v>
      </c>
      <c r="N2601" s="5">
        <f>Table1[[#This Row],[Ordered]]-Table1[[#This Row],[Date ]]</f>
        <v>0.66666666666424135</v>
      </c>
      <c r="O2601">
        <f>Table1[[#This Row],[Company]]</f>
        <v>11</v>
      </c>
      <c r="P26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2" spans="1:16" x14ac:dyDescent="0.45">
      <c r="A2602" s="3">
        <v>45315.666666666664</v>
      </c>
      <c r="B2602" t="s">
        <v>14</v>
      </c>
      <c r="C2602">
        <v>14</v>
      </c>
      <c r="D2602">
        <v>1002</v>
      </c>
      <c r="E2602" t="s">
        <v>16</v>
      </c>
      <c r="F2602">
        <v>39</v>
      </c>
      <c r="G2602">
        <v>3750</v>
      </c>
      <c r="H2602">
        <v>146250</v>
      </c>
      <c r="I2602" s="3">
        <v>45315.791666666664</v>
      </c>
      <c r="J2602">
        <v>84</v>
      </c>
      <c r="K2602" s="3">
        <v>45318.791666666664</v>
      </c>
      <c r="L2602" s="4">
        <f>ROUNDDOWN(Table1[[#This Row],[Ordered]],0)</f>
        <v>45315</v>
      </c>
      <c r="M2602" s="4">
        <f>Table1[[#This Row],[Date ]]</f>
        <v>45315</v>
      </c>
      <c r="N2602" s="5">
        <f>Table1[[#This Row],[Ordered]]-Table1[[#This Row],[Date ]]</f>
        <v>0.66666666666424135</v>
      </c>
      <c r="O2602">
        <f>Table1[[#This Row],[Company]]</f>
        <v>14</v>
      </c>
      <c r="P26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3" spans="1:16" x14ac:dyDescent="0.45">
      <c r="A2603" s="3">
        <v>45315.666666666664</v>
      </c>
      <c r="B2603" t="s">
        <v>14</v>
      </c>
      <c r="C2603">
        <v>15</v>
      </c>
      <c r="D2603">
        <v>1006</v>
      </c>
      <c r="E2603" t="s">
        <v>15</v>
      </c>
      <c r="F2603">
        <v>28</v>
      </c>
      <c r="G2603">
        <v>6450</v>
      </c>
      <c r="H2603">
        <v>180600</v>
      </c>
      <c r="I2603" s="3">
        <v>45315.75</v>
      </c>
      <c r="J2603">
        <v>64</v>
      </c>
      <c r="K2603" s="3">
        <v>45317.75</v>
      </c>
      <c r="L2603" s="4">
        <f>ROUNDDOWN(Table1[[#This Row],[Ordered]],0)</f>
        <v>45315</v>
      </c>
      <c r="M2603" s="4">
        <f>Table1[[#This Row],[Date ]]</f>
        <v>45315</v>
      </c>
      <c r="N2603" s="5">
        <f>Table1[[#This Row],[Ordered]]-Table1[[#This Row],[Date ]]</f>
        <v>0.66666666666424135</v>
      </c>
      <c r="O2603">
        <f>Table1[[#This Row],[Company]]</f>
        <v>15</v>
      </c>
      <c r="P26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4" spans="1:16" x14ac:dyDescent="0.45">
      <c r="A2604" s="3">
        <v>45315.666666666664</v>
      </c>
      <c r="B2604" t="s">
        <v>14</v>
      </c>
      <c r="C2604">
        <v>16</v>
      </c>
      <c r="D2604">
        <v>1006</v>
      </c>
      <c r="E2604" t="s">
        <v>15</v>
      </c>
      <c r="F2604">
        <v>16</v>
      </c>
      <c r="G2604">
        <v>6050</v>
      </c>
      <c r="H2604">
        <v>96800</v>
      </c>
      <c r="I2604" s="3">
        <v>45315.833333333336</v>
      </c>
      <c r="J2604">
        <v>96</v>
      </c>
      <c r="K2604" s="3">
        <v>45318.833333333336</v>
      </c>
      <c r="L2604" s="4">
        <f>ROUNDDOWN(Table1[[#This Row],[Ordered]],0)</f>
        <v>45315</v>
      </c>
      <c r="M2604" s="4">
        <f>Table1[[#This Row],[Date ]]</f>
        <v>45315</v>
      </c>
      <c r="N2604" s="5">
        <f>Table1[[#This Row],[Ordered]]-Table1[[#This Row],[Date ]]</f>
        <v>0.66666666666424135</v>
      </c>
      <c r="O2604">
        <f>Table1[[#This Row],[Company]]</f>
        <v>16</v>
      </c>
      <c r="P26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5" spans="1:16" x14ac:dyDescent="0.45">
      <c r="A2605" s="3">
        <v>45315.666666666664</v>
      </c>
      <c r="B2605" t="s">
        <v>14</v>
      </c>
      <c r="C2605">
        <v>11</v>
      </c>
      <c r="D2605">
        <v>1002</v>
      </c>
      <c r="E2605" t="s">
        <v>16</v>
      </c>
      <c r="F2605">
        <v>30</v>
      </c>
      <c r="G2605">
        <v>4000</v>
      </c>
      <c r="H2605">
        <v>120000</v>
      </c>
      <c r="I2605" s="3">
        <v>45318</v>
      </c>
      <c r="J2605">
        <v>96</v>
      </c>
      <c r="K2605" s="3">
        <v>45319</v>
      </c>
      <c r="L2605" s="4">
        <f>ROUNDDOWN(Table1[[#This Row],[Ordered]],0)</f>
        <v>45315</v>
      </c>
      <c r="M2605" s="4">
        <f>Table1[[#This Row],[Date ]]</f>
        <v>45315</v>
      </c>
      <c r="N2605" s="5">
        <f>Table1[[#This Row],[Ordered]]-Table1[[#This Row],[Date ]]</f>
        <v>0.66666666666424135</v>
      </c>
      <c r="O2605">
        <f>Table1[[#This Row],[Company]]</f>
        <v>11</v>
      </c>
      <c r="P26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6" spans="1:16" x14ac:dyDescent="0.45">
      <c r="A2606" s="3">
        <v>45315.666666666664</v>
      </c>
      <c r="B2606" t="s">
        <v>14</v>
      </c>
      <c r="C2606">
        <v>16</v>
      </c>
      <c r="D2606">
        <v>1002</v>
      </c>
      <c r="E2606" t="s">
        <v>16</v>
      </c>
      <c r="F2606">
        <v>23</v>
      </c>
      <c r="G2606">
        <v>3750</v>
      </c>
      <c r="H2606">
        <v>86250</v>
      </c>
      <c r="I2606" s="3">
        <v>45315.833333333336</v>
      </c>
      <c r="J2606">
        <v>96</v>
      </c>
      <c r="K2606" s="3">
        <v>45318.833333333336</v>
      </c>
      <c r="L2606" s="4">
        <f>ROUNDDOWN(Table1[[#This Row],[Ordered]],0)</f>
        <v>45315</v>
      </c>
      <c r="M2606" s="4">
        <f>Table1[[#This Row],[Date ]]</f>
        <v>45315</v>
      </c>
      <c r="N2606" s="5">
        <f>Table1[[#This Row],[Ordered]]-Table1[[#This Row],[Date ]]</f>
        <v>0.66666666666424135</v>
      </c>
      <c r="O2606">
        <f>Table1[[#This Row],[Company]]</f>
        <v>16</v>
      </c>
      <c r="P26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7" spans="1:16" x14ac:dyDescent="0.45">
      <c r="A2607" s="3">
        <v>45315.666666666664</v>
      </c>
      <c r="B2607" t="s">
        <v>14</v>
      </c>
      <c r="C2607">
        <v>13</v>
      </c>
      <c r="D2607">
        <v>1002</v>
      </c>
      <c r="E2607" t="s">
        <v>16</v>
      </c>
      <c r="F2607">
        <v>30</v>
      </c>
      <c r="G2607">
        <v>3100</v>
      </c>
      <c r="H2607">
        <v>93000</v>
      </c>
      <c r="I2607" s="3">
        <v>45316.5</v>
      </c>
      <c r="J2607">
        <v>96</v>
      </c>
      <c r="K2607" s="3">
        <v>45319.5</v>
      </c>
      <c r="L2607" s="4">
        <f>ROUNDDOWN(Table1[[#This Row],[Ordered]],0)</f>
        <v>45315</v>
      </c>
      <c r="M2607" s="4">
        <f>Table1[[#This Row],[Date ]]</f>
        <v>45315</v>
      </c>
      <c r="N2607" s="5">
        <f>Table1[[#This Row],[Ordered]]-Table1[[#This Row],[Date ]]</f>
        <v>0.66666666666424135</v>
      </c>
      <c r="O2607">
        <f>Table1[[#This Row],[Company]]</f>
        <v>13</v>
      </c>
      <c r="P26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8" spans="1:16" x14ac:dyDescent="0.45">
      <c r="A2608" s="3">
        <v>45315.666666666664</v>
      </c>
      <c r="B2608" t="s">
        <v>14</v>
      </c>
      <c r="C2608">
        <v>13</v>
      </c>
      <c r="D2608">
        <v>1006</v>
      </c>
      <c r="E2608" t="s">
        <v>15</v>
      </c>
      <c r="F2608">
        <v>25</v>
      </c>
      <c r="G2608">
        <v>6000</v>
      </c>
      <c r="H2608">
        <v>150000</v>
      </c>
      <c r="I2608" s="3">
        <v>45316.375</v>
      </c>
      <c r="J2608">
        <v>96</v>
      </c>
      <c r="K2608" s="3">
        <v>45319.375</v>
      </c>
      <c r="L2608" s="4">
        <f>ROUNDDOWN(Table1[[#This Row],[Ordered]],0)</f>
        <v>45315</v>
      </c>
      <c r="M2608" s="4">
        <f>Table1[[#This Row],[Date ]]</f>
        <v>45315</v>
      </c>
      <c r="N2608" s="5">
        <f>Table1[[#This Row],[Ordered]]-Table1[[#This Row],[Date ]]</f>
        <v>0.66666666666424135</v>
      </c>
      <c r="O2608">
        <f>Table1[[#This Row],[Company]]</f>
        <v>13</v>
      </c>
      <c r="P26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9" spans="1:16" hidden="1" x14ac:dyDescent="0.45">
      <c r="A2609" s="3">
        <v>45315.666666666664</v>
      </c>
      <c r="B2609" t="s">
        <v>12</v>
      </c>
      <c r="C2609">
        <v>4</v>
      </c>
      <c r="D2609">
        <v>9</v>
      </c>
      <c r="E2609" t="s">
        <v>17</v>
      </c>
      <c r="F2609">
        <v>600</v>
      </c>
      <c r="G2609">
        <v>1355</v>
      </c>
      <c r="H2609">
        <v>813000</v>
      </c>
      <c r="I2609" s="3">
        <v>45315.833333333336</v>
      </c>
      <c r="J2609">
        <v>48</v>
      </c>
      <c r="K2609" s="3">
        <v>45317.833333333336</v>
      </c>
      <c r="L2609" s="4">
        <f>ROUNDDOWN(Table1[[#This Row],[Ordered]],0)</f>
        <v>45315</v>
      </c>
      <c r="M2609" s="4">
        <f>Table1[[#This Row],[Date ]]</f>
        <v>45315</v>
      </c>
      <c r="N2609" s="5">
        <f>Table1[[#This Row],[Ordered]]-Table1[[#This Row],[Date ]]</f>
        <v>0.66666666666424135</v>
      </c>
      <c r="O2609">
        <f>Table1[[#This Row],[Company]]</f>
        <v>4</v>
      </c>
      <c r="P26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0" spans="1:16" x14ac:dyDescent="0.45">
      <c r="A2610" s="3">
        <v>45315.666666666664</v>
      </c>
      <c r="B2610" t="s">
        <v>14</v>
      </c>
      <c r="C2610">
        <v>12</v>
      </c>
      <c r="D2610">
        <v>1002</v>
      </c>
      <c r="E2610" t="s">
        <v>16</v>
      </c>
      <c r="F2610">
        <v>30</v>
      </c>
      <c r="G2610">
        <v>3850</v>
      </c>
      <c r="H2610">
        <v>115500</v>
      </c>
      <c r="I2610" s="3">
        <v>45317.916666666664</v>
      </c>
      <c r="J2610">
        <v>96</v>
      </c>
      <c r="K2610" s="3">
        <v>45318.916666666664</v>
      </c>
      <c r="L2610" s="4">
        <f>ROUNDDOWN(Table1[[#This Row],[Ordered]],0)</f>
        <v>45315</v>
      </c>
      <c r="M2610" s="4">
        <f>Table1[[#This Row],[Date ]]</f>
        <v>45315</v>
      </c>
      <c r="N2610" s="5">
        <f>Table1[[#This Row],[Ordered]]-Table1[[#This Row],[Date ]]</f>
        <v>0.66666666666424135</v>
      </c>
      <c r="O2610">
        <f>Table1[[#This Row],[Company]]</f>
        <v>12</v>
      </c>
      <c r="P26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1" spans="1:16" x14ac:dyDescent="0.45">
      <c r="A2611" s="3">
        <v>45315.666666666664</v>
      </c>
      <c r="B2611" t="s">
        <v>14</v>
      </c>
      <c r="C2611">
        <v>9</v>
      </c>
      <c r="D2611">
        <v>1002</v>
      </c>
      <c r="E2611" t="s">
        <v>16</v>
      </c>
      <c r="F2611">
        <v>15</v>
      </c>
      <c r="G2611">
        <v>3599</v>
      </c>
      <c r="H2611">
        <v>53985</v>
      </c>
      <c r="I2611" s="3">
        <v>45315.666666666664</v>
      </c>
      <c r="J2611">
        <v>76</v>
      </c>
      <c r="K2611" s="3">
        <v>45318.666666666664</v>
      </c>
      <c r="L2611" s="4">
        <f>ROUNDDOWN(Table1[[#This Row],[Ordered]],0)</f>
        <v>45315</v>
      </c>
      <c r="M2611" s="4">
        <f>Table1[[#This Row],[Date ]]</f>
        <v>45315</v>
      </c>
      <c r="N2611" s="5">
        <f>Table1[[#This Row],[Ordered]]-Table1[[#This Row],[Date ]]</f>
        <v>0.66666666666424135</v>
      </c>
      <c r="O2611">
        <f>Table1[[#This Row],[Company]]</f>
        <v>9</v>
      </c>
      <c r="P26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2" spans="1:16" x14ac:dyDescent="0.45">
      <c r="A2612" s="3">
        <v>45315.666666666664</v>
      </c>
      <c r="B2612" t="s">
        <v>14</v>
      </c>
      <c r="C2612">
        <v>10</v>
      </c>
      <c r="D2612">
        <v>1006</v>
      </c>
      <c r="E2612" t="s">
        <v>15</v>
      </c>
      <c r="F2612">
        <v>12</v>
      </c>
      <c r="G2612">
        <v>6100</v>
      </c>
      <c r="H2612">
        <v>73200</v>
      </c>
      <c r="I2612" s="3">
        <v>45315.666666666664</v>
      </c>
      <c r="J2612">
        <v>84</v>
      </c>
      <c r="K2612" s="3">
        <v>45318.666666666664</v>
      </c>
      <c r="L2612" s="4">
        <f>ROUNDDOWN(Table1[[#This Row],[Ordered]],0)</f>
        <v>45315</v>
      </c>
      <c r="M2612" s="4">
        <f>Table1[[#This Row],[Date ]]</f>
        <v>45315</v>
      </c>
      <c r="N2612" s="5">
        <f>Table1[[#This Row],[Ordered]]-Table1[[#This Row],[Date ]]</f>
        <v>0.66666666666424135</v>
      </c>
      <c r="O2612">
        <f>Table1[[#This Row],[Company]]</f>
        <v>10</v>
      </c>
      <c r="P26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3" spans="1:16" hidden="1" x14ac:dyDescent="0.45">
      <c r="A2613" s="3">
        <v>45315.666666666664</v>
      </c>
      <c r="B2613" t="s">
        <v>12</v>
      </c>
      <c r="C2613">
        <v>5</v>
      </c>
      <c r="D2613">
        <v>10</v>
      </c>
      <c r="E2613" t="s">
        <v>17</v>
      </c>
      <c r="F2613">
        <v>600</v>
      </c>
      <c r="G2613">
        <v>1500</v>
      </c>
      <c r="H2613">
        <v>900000</v>
      </c>
      <c r="I2613" s="3">
        <v>45315.666666666664</v>
      </c>
      <c r="J2613">
        <v>24</v>
      </c>
      <c r="K2613" s="3">
        <v>45316.666666666664</v>
      </c>
      <c r="L2613" s="4">
        <f>ROUNDDOWN(Table1[[#This Row],[Ordered]],0)</f>
        <v>45315</v>
      </c>
      <c r="M2613" s="4">
        <f>Table1[[#This Row],[Date ]]</f>
        <v>45315</v>
      </c>
      <c r="N2613" s="5">
        <f>Table1[[#This Row],[Ordered]]-Table1[[#This Row],[Date ]]</f>
        <v>0.66666666666424135</v>
      </c>
      <c r="O2613">
        <f>Table1[[#This Row],[Company]]</f>
        <v>5</v>
      </c>
      <c r="P26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4" spans="1:16" x14ac:dyDescent="0.45">
      <c r="A2614" s="3">
        <v>45315.666666666664</v>
      </c>
      <c r="B2614" t="s">
        <v>14</v>
      </c>
      <c r="C2614">
        <v>14</v>
      </c>
      <c r="D2614">
        <v>1006</v>
      </c>
      <c r="E2614" t="s">
        <v>15</v>
      </c>
      <c r="F2614">
        <v>9</v>
      </c>
      <c r="G2614">
        <v>6650</v>
      </c>
      <c r="H2614">
        <v>59850</v>
      </c>
      <c r="I2614" s="3">
        <v>45315.666666666664</v>
      </c>
      <c r="J2614">
        <v>84</v>
      </c>
      <c r="K2614" s="3">
        <v>45318.666666666664</v>
      </c>
      <c r="L2614" s="4">
        <f>ROUNDDOWN(Table1[[#This Row],[Ordered]],0)</f>
        <v>45315</v>
      </c>
      <c r="M2614" s="4">
        <f>Table1[[#This Row],[Date ]]</f>
        <v>45315</v>
      </c>
      <c r="N2614" s="5">
        <f>Table1[[#This Row],[Ordered]]-Table1[[#This Row],[Date ]]</f>
        <v>0.66666666666424135</v>
      </c>
      <c r="O2614">
        <f>Table1[[#This Row],[Company]]</f>
        <v>14</v>
      </c>
      <c r="P26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5" spans="1:16" x14ac:dyDescent="0.45">
      <c r="A2615" s="3">
        <v>45315.666666666664</v>
      </c>
      <c r="B2615" t="s">
        <v>14</v>
      </c>
      <c r="C2615">
        <v>12</v>
      </c>
      <c r="D2615">
        <v>1006</v>
      </c>
      <c r="E2615" t="s">
        <v>15</v>
      </c>
      <c r="F2615">
        <v>19</v>
      </c>
      <c r="G2615">
        <v>6750</v>
      </c>
      <c r="H2615">
        <v>128250</v>
      </c>
      <c r="I2615" s="3">
        <v>45316.5</v>
      </c>
      <c r="J2615">
        <v>96</v>
      </c>
      <c r="K2615" s="3">
        <v>45319.5</v>
      </c>
      <c r="L2615" s="4">
        <f>ROUNDDOWN(Table1[[#This Row],[Ordered]],0)</f>
        <v>45315</v>
      </c>
      <c r="M2615" s="4">
        <f>Table1[[#This Row],[Date ]]</f>
        <v>45315</v>
      </c>
      <c r="N2615" s="5">
        <f>Table1[[#This Row],[Ordered]]-Table1[[#This Row],[Date ]]</f>
        <v>0.66666666666424135</v>
      </c>
      <c r="O2615">
        <f>Table1[[#This Row],[Company]]</f>
        <v>12</v>
      </c>
      <c r="P26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6" spans="1:16" hidden="1" x14ac:dyDescent="0.45">
      <c r="A2616" s="3">
        <v>45315.708333333336</v>
      </c>
      <c r="B2616" t="s">
        <v>12</v>
      </c>
      <c r="C2616">
        <v>3</v>
      </c>
      <c r="D2616">
        <v>10</v>
      </c>
      <c r="E2616" t="s">
        <v>13</v>
      </c>
      <c r="F2616">
        <v>5000</v>
      </c>
      <c r="G2616">
        <v>125</v>
      </c>
      <c r="H2616">
        <v>625000</v>
      </c>
      <c r="I2616" s="3">
        <v>45315.791666666664</v>
      </c>
      <c r="J2616">
        <v>72</v>
      </c>
      <c r="K2616" s="3">
        <v>45318.791666666664</v>
      </c>
      <c r="L2616" s="4">
        <f>ROUNDDOWN(Table1[[#This Row],[Ordered]],0)</f>
        <v>45315</v>
      </c>
      <c r="M2616" s="4">
        <f>Table1[[#This Row],[Date ]]</f>
        <v>45315</v>
      </c>
      <c r="N2616" s="5">
        <f>Table1[[#This Row],[Ordered]]-Table1[[#This Row],[Date ]]</f>
        <v>0.70833333333575865</v>
      </c>
      <c r="O2616">
        <f>Table1[[#This Row],[Company]]</f>
        <v>3</v>
      </c>
      <c r="P26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7" spans="1:16" hidden="1" x14ac:dyDescent="0.45">
      <c r="A2617" s="3">
        <v>45315.708333333336</v>
      </c>
      <c r="B2617" t="s">
        <v>12</v>
      </c>
      <c r="C2617">
        <v>4</v>
      </c>
      <c r="D2617">
        <v>12</v>
      </c>
      <c r="E2617" t="s">
        <v>13</v>
      </c>
      <c r="F2617">
        <v>935</v>
      </c>
      <c r="G2617">
        <v>125</v>
      </c>
      <c r="H2617">
        <v>116875</v>
      </c>
      <c r="I2617" s="3">
        <v>45316.125</v>
      </c>
      <c r="J2617">
        <v>48</v>
      </c>
      <c r="K2617" s="3">
        <v>45318.125</v>
      </c>
      <c r="L2617" s="4">
        <f>ROUNDDOWN(Table1[[#This Row],[Ordered]],0)</f>
        <v>45315</v>
      </c>
      <c r="M2617" s="4">
        <f>Table1[[#This Row],[Date ]]</f>
        <v>45315</v>
      </c>
      <c r="N2617" s="5">
        <f>Table1[[#This Row],[Ordered]]-Table1[[#This Row],[Date ]]</f>
        <v>0.70833333333575865</v>
      </c>
      <c r="O2617">
        <f>Table1[[#This Row],[Company]]</f>
        <v>4</v>
      </c>
      <c r="P26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8" spans="1:16" x14ac:dyDescent="0.45">
      <c r="A2618" s="3">
        <v>45315.75</v>
      </c>
      <c r="B2618" t="s">
        <v>14</v>
      </c>
      <c r="C2618">
        <v>15</v>
      </c>
      <c r="D2618">
        <v>1008</v>
      </c>
      <c r="E2618" t="s">
        <v>16</v>
      </c>
      <c r="F2618">
        <v>50</v>
      </c>
      <c r="G2618">
        <v>3500</v>
      </c>
      <c r="H2618">
        <v>175000</v>
      </c>
      <c r="I2618" s="3">
        <v>45315.791666666664</v>
      </c>
      <c r="J2618">
        <v>88</v>
      </c>
      <c r="K2618" s="3">
        <v>45318.791666666664</v>
      </c>
      <c r="L2618" s="4">
        <f>ROUNDDOWN(Table1[[#This Row],[Ordered]],0)</f>
        <v>45315</v>
      </c>
      <c r="M2618" s="4">
        <f>Table1[[#This Row],[Date ]]</f>
        <v>45315</v>
      </c>
      <c r="N2618" s="5">
        <f>Table1[[#This Row],[Ordered]]-Table1[[#This Row],[Date ]]</f>
        <v>0.75</v>
      </c>
      <c r="O2618">
        <f>Table1[[#This Row],[Company]]</f>
        <v>15</v>
      </c>
      <c r="P26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9" spans="1:16" x14ac:dyDescent="0.45">
      <c r="A2619" s="3">
        <v>45315.75</v>
      </c>
      <c r="B2619" t="s">
        <v>14</v>
      </c>
      <c r="C2619">
        <v>9</v>
      </c>
      <c r="D2619">
        <v>1011</v>
      </c>
      <c r="E2619" t="s">
        <v>15</v>
      </c>
      <c r="F2619">
        <v>6</v>
      </c>
      <c r="G2619">
        <v>6360</v>
      </c>
      <c r="H2619">
        <v>38160</v>
      </c>
      <c r="I2619" s="3">
        <v>45315.75</v>
      </c>
      <c r="J2619">
        <v>76</v>
      </c>
      <c r="K2619" s="3">
        <v>45318.875</v>
      </c>
      <c r="L2619" s="4">
        <f>ROUNDDOWN(Table1[[#This Row],[Ordered]],0)</f>
        <v>45315</v>
      </c>
      <c r="M2619" s="4">
        <f>Table1[[#This Row],[Date ]]</f>
        <v>45315</v>
      </c>
      <c r="N2619" s="5">
        <f>Table1[[#This Row],[Ordered]]-Table1[[#This Row],[Date ]]</f>
        <v>0.75</v>
      </c>
      <c r="O2619">
        <f>Table1[[#This Row],[Company]]</f>
        <v>9</v>
      </c>
      <c r="P26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0" spans="1:16" x14ac:dyDescent="0.45">
      <c r="A2620" s="3">
        <v>45315.75</v>
      </c>
      <c r="B2620" t="s">
        <v>14</v>
      </c>
      <c r="C2620">
        <v>14</v>
      </c>
      <c r="D2620">
        <v>1008</v>
      </c>
      <c r="E2620" t="s">
        <v>16</v>
      </c>
      <c r="F2620">
        <v>39</v>
      </c>
      <c r="G2620">
        <v>3650</v>
      </c>
      <c r="H2620">
        <v>142350</v>
      </c>
      <c r="I2620" s="3">
        <v>45315.875</v>
      </c>
      <c r="J2620">
        <v>84</v>
      </c>
      <c r="K2620" s="3">
        <v>45318.875</v>
      </c>
      <c r="L2620" s="4">
        <f>ROUNDDOWN(Table1[[#This Row],[Ordered]],0)</f>
        <v>45315</v>
      </c>
      <c r="M2620" s="4">
        <f>Table1[[#This Row],[Date ]]</f>
        <v>45315</v>
      </c>
      <c r="N2620" s="5">
        <f>Table1[[#This Row],[Ordered]]-Table1[[#This Row],[Date ]]</f>
        <v>0.75</v>
      </c>
      <c r="O2620">
        <f>Table1[[#This Row],[Company]]</f>
        <v>14</v>
      </c>
      <c r="P26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1" spans="1:16" x14ac:dyDescent="0.45">
      <c r="A2621" s="3">
        <v>45315.75</v>
      </c>
      <c r="B2621" t="s">
        <v>14</v>
      </c>
      <c r="C2621">
        <v>12</v>
      </c>
      <c r="D2621">
        <v>1008</v>
      </c>
      <c r="E2621" t="s">
        <v>16</v>
      </c>
      <c r="F2621">
        <v>45</v>
      </c>
      <c r="G2621">
        <v>3800</v>
      </c>
      <c r="H2621">
        <v>171000</v>
      </c>
      <c r="I2621" s="3">
        <v>45318.458333333336</v>
      </c>
      <c r="J2621">
        <v>120</v>
      </c>
      <c r="K2621" s="3">
        <v>45320.458333333336</v>
      </c>
      <c r="L2621" s="4">
        <f>ROUNDDOWN(Table1[[#This Row],[Ordered]],0)</f>
        <v>45315</v>
      </c>
      <c r="M2621" s="4">
        <f>Table1[[#This Row],[Date ]]</f>
        <v>45315</v>
      </c>
      <c r="N2621" s="5">
        <f>Table1[[#This Row],[Ordered]]-Table1[[#This Row],[Date ]]</f>
        <v>0.75</v>
      </c>
      <c r="O2621">
        <f>Table1[[#This Row],[Company]]</f>
        <v>12</v>
      </c>
      <c r="P26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2" spans="1:16" x14ac:dyDescent="0.45">
      <c r="A2622" s="3">
        <v>45315.75</v>
      </c>
      <c r="B2622" t="s">
        <v>14</v>
      </c>
      <c r="C2622">
        <v>13</v>
      </c>
      <c r="D2622">
        <v>1008</v>
      </c>
      <c r="E2622" t="s">
        <v>16</v>
      </c>
      <c r="F2622">
        <v>50</v>
      </c>
      <c r="G2622">
        <v>3000</v>
      </c>
      <c r="H2622">
        <v>150000</v>
      </c>
      <c r="I2622" s="3">
        <v>45317.458333333336</v>
      </c>
      <c r="J2622">
        <v>120</v>
      </c>
      <c r="K2622" s="3">
        <v>45320.583333333336</v>
      </c>
      <c r="L2622" s="4">
        <f>ROUNDDOWN(Table1[[#This Row],[Ordered]],0)</f>
        <v>45315</v>
      </c>
      <c r="M2622" s="4">
        <f>Table1[[#This Row],[Date ]]</f>
        <v>45315</v>
      </c>
      <c r="N2622" s="5">
        <f>Table1[[#This Row],[Ordered]]-Table1[[#This Row],[Date ]]</f>
        <v>0.75</v>
      </c>
      <c r="O2622">
        <f>Table1[[#This Row],[Company]]</f>
        <v>13</v>
      </c>
      <c r="P26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3" spans="1:16" x14ac:dyDescent="0.45">
      <c r="A2623" s="3">
        <v>45315.75</v>
      </c>
      <c r="B2623" t="s">
        <v>14</v>
      </c>
      <c r="C2623">
        <v>16</v>
      </c>
      <c r="D2623">
        <v>1011</v>
      </c>
      <c r="E2623" t="s">
        <v>15</v>
      </c>
      <c r="F2623">
        <v>11</v>
      </c>
      <c r="G2623">
        <v>6050</v>
      </c>
      <c r="H2623">
        <v>66550</v>
      </c>
      <c r="I2623" s="3">
        <v>45315.916666666664</v>
      </c>
      <c r="J2623">
        <v>96</v>
      </c>
      <c r="K2623" s="3">
        <v>45318.916666666664</v>
      </c>
      <c r="L2623" s="4">
        <f>ROUNDDOWN(Table1[[#This Row],[Ordered]],0)</f>
        <v>45315</v>
      </c>
      <c r="M2623" s="4">
        <f>Table1[[#This Row],[Date ]]</f>
        <v>45315</v>
      </c>
      <c r="N2623" s="5">
        <f>Table1[[#This Row],[Ordered]]-Table1[[#This Row],[Date ]]</f>
        <v>0.75</v>
      </c>
      <c r="O2623">
        <f>Table1[[#This Row],[Company]]</f>
        <v>16</v>
      </c>
      <c r="P26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4" spans="1:16" x14ac:dyDescent="0.45">
      <c r="A2624" s="3">
        <v>45315.75</v>
      </c>
      <c r="B2624" t="s">
        <v>14</v>
      </c>
      <c r="C2624">
        <v>11</v>
      </c>
      <c r="D2624">
        <v>1011</v>
      </c>
      <c r="E2624" t="s">
        <v>15</v>
      </c>
      <c r="F2624">
        <v>10</v>
      </c>
      <c r="G2624">
        <v>6400</v>
      </c>
      <c r="H2624">
        <v>64000</v>
      </c>
      <c r="I2624" s="3">
        <v>45316.458333333336</v>
      </c>
      <c r="J2624">
        <v>72</v>
      </c>
      <c r="K2624" s="3">
        <v>45318.458333333336</v>
      </c>
      <c r="L2624" s="4">
        <f>ROUNDDOWN(Table1[[#This Row],[Ordered]],0)</f>
        <v>45315</v>
      </c>
      <c r="M2624" s="4">
        <f>Table1[[#This Row],[Date ]]</f>
        <v>45315</v>
      </c>
      <c r="N2624" s="5">
        <f>Table1[[#This Row],[Ordered]]-Table1[[#This Row],[Date ]]</f>
        <v>0.75</v>
      </c>
      <c r="O2624">
        <f>Table1[[#This Row],[Company]]</f>
        <v>11</v>
      </c>
      <c r="P26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5" spans="1:16" x14ac:dyDescent="0.45">
      <c r="A2625" s="3">
        <v>45315.75</v>
      </c>
      <c r="B2625" t="s">
        <v>14</v>
      </c>
      <c r="C2625">
        <v>16</v>
      </c>
      <c r="D2625">
        <v>1008</v>
      </c>
      <c r="E2625" t="s">
        <v>16</v>
      </c>
      <c r="F2625">
        <v>34</v>
      </c>
      <c r="G2625">
        <v>3650</v>
      </c>
      <c r="H2625">
        <v>124100</v>
      </c>
      <c r="I2625" s="3">
        <v>45316.791666666664</v>
      </c>
      <c r="J2625">
        <v>120</v>
      </c>
      <c r="K2625" s="3">
        <v>45319.791666666664</v>
      </c>
      <c r="L2625" s="4">
        <f>ROUNDDOWN(Table1[[#This Row],[Ordered]],0)</f>
        <v>45315</v>
      </c>
      <c r="M2625" s="4">
        <f>Table1[[#This Row],[Date ]]</f>
        <v>45315</v>
      </c>
      <c r="N2625" s="5">
        <f>Table1[[#This Row],[Ordered]]-Table1[[#This Row],[Date ]]</f>
        <v>0.75</v>
      </c>
      <c r="O2625">
        <f>Table1[[#This Row],[Company]]</f>
        <v>16</v>
      </c>
      <c r="P26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6" spans="1:16" x14ac:dyDescent="0.45">
      <c r="A2626" s="3">
        <v>45315.75</v>
      </c>
      <c r="B2626" t="s">
        <v>14</v>
      </c>
      <c r="C2626">
        <v>12</v>
      </c>
      <c r="D2626">
        <v>1011</v>
      </c>
      <c r="E2626" t="s">
        <v>15</v>
      </c>
      <c r="F2626">
        <v>8</v>
      </c>
      <c r="G2626">
        <v>6750</v>
      </c>
      <c r="H2626">
        <v>54000</v>
      </c>
      <c r="I2626" s="3">
        <v>45316.5</v>
      </c>
      <c r="J2626">
        <v>96</v>
      </c>
      <c r="K2626" s="3">
        <v>45319.5</v>
      </c>
      <c r="L2626" s="4">
        <f>ROUNDDOWN(Table1[[#This Row],[Ordered]],0)</f>
        <v>45315</v>
      </c>
      <c r="M2626" s="4">
        <f>Table1[[#This Row],[Date ]]</f>
        <v>45315</v>
      </c>
      <c r="N2626" s="5">
        <f>Table1[[#This Row],[Ordered]]-Table1[[#This Row],[Date ]]</f>
        <v>0.75</v>
      </c>
      <c r="O2626">
        <f>Table1[[#This Row],[Company]]</f>
        <v>12</v>
      </c>
      <c r="P26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7" spans="1:16" x14ac:dyDescent="0.45">
      <c r="A2627" s="3">
        <v>45315.75</v>
      </c>
      <c r="B2627" t="s">
        <v>14</v>
      </c>
      <c r="C2627">
        <v>13</v>
      </c>
      <c r="D2627">
        <v>1011</v>
      </c>
      <c r="E2627" t="s">
        <v>15</v>
      </c>
      <c r="F2627">
        <v>13</v>
      </c>
      <c r="G2627">
        <v>6000</v>
      </c>
      <c r="H2627">
        <v>78000</v>
      </c>
      <c r="I2627" s="3">
        <v>45316.375</v>
      </c>
      <c r="J2627">
        <v>96</v>
      </c>
      <c r="K2627" s="3">
        <v>45319.541666666664</v>
      </c>
      <c r="L2627" s="4">
        <f>ROUNDDOWN(Table1[[#This Row],[Ordered]],0)</f>
        <v>45315</v>
      </c>
      <c r="M2627" s="4">
        <f>Table1[[#This Row],[Date ]]</f>
        <v>45315</v>
      </c>
      <c r="N2627" s="5">
        <f>Table1[[#This Row],[Ordered]]-Table1[[#This Row],[Date ]]</f>
        <v>0.75</v>
      </c>
      <c r="O2627">
        <f>Table1[[#This Row],[Company]]</f>
        <v>13</v>
      </c>
      <c r="P26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8" spans="1:16" x14ac:dyDescent="0.45">
      <c r="A2628" s="3">
        <v>45315.75</v>
      </c>
      <c r="B2628" t="s">
        <v>14</v>
      </c>
      <c r="C2628">
        <v>10</v>
      </c>
      <c r="D2628">
        <v>1011</v>
      </c>
      <c r="E2628" t="s">
        <v>15</v>
      </c>
      <c r="F2628">
        <v>7</v>
      </c>
      <c r="G2628">
        <v>6100</v>
      </c>
      <c r="H2628">
        <v>42700</v>
      </c>
      <c r="I2628" s="3">
        <v>45315.75</v>
      </c>
      <c r="J2628">
        <v>84</v>
      </c>
      <c r="K2628" s="3">
        <v>45318.75</v>
      </c>
      <c r="L2628" s="4">
        <f>ROUNDDOWN(Table1[[#This Row],[Ordered]],0)</f>
        <v>45315</v>
      </c>
      <c r="M2628" s="4">
        <f>Table1[[#This Row],[Date ]]</f>
        <v>45315</v>
      </c>
      <c r="N2628" s="5">
        <f>Table1[[#This Row],[Ordered]]-Table1[[#This Row],[Date ]]</f>
        <v>0.75</v>
      </c>
      <c r="O2628">
        <f>Table1[[#This Row],[Company]]</f>
        <v>10</v>
      </c>
      <c r="P26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9" spans="1:16" x14ac:dyDescent="0.45">
      <c r="A2629" s="3">
        <v>45315.75</v>
      </c>
      <c r="B2629" t="s">
        <v>14</v>
      </c>
      <c r="C2629">
        <v>11</v>
      </c>
      <c r="D2629">
        <v>1008</v>
      </c>
      <c r="E2629" t="s">
        <v>16</v>
      </c>
      <c r="F2629">
        <v>30</v>
      </c>
      <c r="G2629">
        <v>3900</v>
      </c>
      <c r="H2629">
        <v>117000</v>
      </c>
      <c r="I2629" s="3">
        <v>45317.75</v>
      </c>
      <c r="J2629">
        <v>108</v>
      </c>
      <c r="K2629" s="3">
        <v>45319.75</v>
      </c>
      <c r="L2629" s="4">
        <f>ROUNDDOWN(Table1[[#This Row],[Ordered]],0)</f>
        <v>45315</v>
      </c>
      <c r="M2629" s="4">
        <f>Table1[[#This Row],[Date ]]</f>
        <v>45315</v>
      </c>
      <c r="N2629" s="5">
        <f>Table1[[#This Row],[Ordered]]-Table1[[#This Row],[Date ]]</f>
        <v>0.75</v>
      </c>
      <c r="O2629">
        <f>Table1[[#This Row],[Company]]</f>
        <v>11</v>
      </c>
      <c r="P26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0" spans="1:16" x14ac:dyDescent="0.45">
      <c r="A2630" s="3">
        <v>45315.75</v>
      </c>
      <c r="B2630" t="s">
        <v>14</v>
      </c>
      <c r="C2630">
        <v>14</v>
      </c>
      <c r="D2630">
        <v>1011</v>
      </c>
      <c r="E2630" t="s">
        <v>15</v>
      </c>
      <c r="F2630">
        <v>5</v>
      </c>
      <c r="G2630">
        <v>6650</v>
      </c>
      <c r="H2630">
        <v>33250</v>
      </c>
      <c r="I2630" s="3">
        <v>45315.75</v>
      </c>
      <c r="J2630">
        <v>84</v>
      </c>
      <c r="K2630" s="3">
        <v>45318.75</v>
      </c>
      <c r="L2630" s="4">
        <f>ROUNDDOWN(Table1[[#This Row],[Ordered]],0)</f>
        <v>45315</v>
      </c>
      <c r="M2630" s="4">
        <f>Table1[[#This Row],[Date ]]</f>
        <v>45315</v>
      </c>
      <c r="N2630" s="5">
        <f>Table1[[#This Row],[Ordered]]-Table1[[#This Row],[Date ]]</f>
        <v>0.75</v>
      </c>
      <c r="O2630">
        <f>Table1[[#This Row],[Company]]</f>
        <v>14</v>
      </c>
      <c r="P26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1" spans="1:16" x14ac:dyDescent="0.45">
      <c r="A2631" s="3">
        <v>45315.75</v>
      </c>
      <c r="B2631" t="s">
        <v>14</v>
      </c>
      <c r="C2631">
        <v>15</v>
      </c>
      <c r="D2631">
        <v>1011</v>
      </c>
      <c r="E2631" t="s">
        <v>15</v>
      </c>
      <c r="F2631">
        <v>15</v>
      </c>
      <c r="G2631">
        <v>6450</v>
      </c>
      <c r="H2631">
        <v>96750</v>
      </c>
      <c r="I2631" s="3">
        <v>45315.75</v>
      </c>
      <c r="J2631">
        <v>64</v>
      </c>
      <c r="K2631" s="3">
        <v>45317.75</v>
      </c>
      <c r="L2631" s="4">
        <f>ROUNDDOWN(Table1[[#This Row],[Ordered]],0)</f>
        <v>45315</v>
      </c>
      <c r="M2631" s="4">
        <f>Table1[[#This Row],[Date ]]</f>
        <v>45315</v>
      </c>
      <c r="N2631" s="5">
        <f>Table1[[#This Row],[Ordered]]-Table1[[#This Row],[Date ]]</f>
        <v>0.75</v>
      </c>
      <c r="O2631">
        <f>Table1[[#This Row],[Company]]</f>
        <v>15</v>
      </c>
      <c r="P26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2" spans="1:16" hidden="1" x14ac:dyDescent="0.45">
      <c r="A2632" s="3">
        <v>45315.791666666664</v>
      </c>
      <c r="B2632" t="s">
        <v>12</v>
      </c>
      <c r="C2632">
        <v>7</v>
      </c>
      <c r="D2632">
        <v>2</v>
      </c>
      <c r="E2632" t="s">
        <v>20</v>
      </c>
      <c r="F2632">
        <v>1000</v>
      </c>
      <c r="G2632">
        <v>7</v>
      </c>
      <c r="H2632">
        <v>7000</v>
      </c>
      <c r="I2632" s="3">
        <v>45315.833333333336</v>
      </c>
      <c r="J2632">
        <v>24</v>
      </c>
      <c r="K2632" s="3">
        <v>45316.833333333336</v>
      </c>
      <c r="L2632" s="4">
        <f>ROUNDDOWN(Table1[[#This Row],[Ordered]],0)</f>
        <v>45315</v>
      </c>
      <c r="M2632" s="4">
        <f>Table1[[#This Row],[Date ]]</f>
        <v>45315</v>
      </c>
      <c r="N2632" s="5">
        <f>Table1[[#This Row],[Ordered]]-Table1[[#This Row],[Date ]]</f>
        <v>0.79166666666424135</v>
      </c>
      <c r="O2632">
        <f>Table1[[#This Row],[Company]]</f>
        <v>7</v>
      </c>
      <c r="P26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3" spans="1:16" hidden="1" x14ac:dyDescent="0.45">
      <c r="A2633" s="3">
        <v>45315.875</v>
      </c>
      <c r="B2633" t="s">
        <v>12</v>
      </c>
      <c r="C2633">
        <v>4</v>
      </c>
      <c r="D2633">
        <v>9</v>
      </c>
      <c r="E2633" t="s">
        <v>13</v>
      </c>
      <c r="F2633">
        <v>3000</v>
      </c>
      <c r="G2633">
        <v>115</v>
      </c>
      <c r="H2633">
        <v>345000</v>
      </c>
      <c r="I2633" s="3">
        <v>45319.708333333336</v>
      </c>
      <c r="J2633">
        <v>48</v>
      </c>
      <c r="K2633" s="3">
        <v>45321.708333333336</v>
      </c>
      <c r="L2633" s="4">
        <f>ROUNDDOWN(Table1[[#This Row],[Ordered]],0)</f>
        <v>45315</v>
      </c>
      <c r="M2633" s="4">
        <f>Table1[[#This Row],[Date ]]</f>
        <v>45315</v>
      </c>
      <c r="N2633" s="5">
        <f>Table1[[#This Row],[Ordered]]-Table1[[#This Row],[Date ]]</f>
        <v>0.875</v>
      </c>
      <c r="O2633">
        <f>Table1[[#This Row],[Company]]</f>
        <v>4</v>
      </c>
      <c r="P26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4" spans="1:16" hidden="1" x14ac:dyDescent="0.45">
      <c r="A2634" s="3">
        <v>45315.916666666664</v>
      </c>
      <c r="B2634" t="s">
        <v>12</v>
      </c>
      <c r="C2634">
        <v>5</v>
      </c>
      <c r="D2634">
        <v>16</v>
      </c>
      <c r="E2634" t="s">
        <v>17</v>
      </c>
      <c r="F2634">
        <v>350</v>
      </c>
      <c r="G2634">
        <v>1450</v>
      </c>
      <c r="H2634">
        <v>507500</v>
      </c>
      <c r="I2634" s="3">
        <v>45315.916666666664</v>
      </c>
      <c r="J2634">
        <v>48</v>
      </c>
      <c r="K2634" s="3">
        <v>45317.916666666664</v>
      </c>
      <c r="L2634" s="4">
        <f>ROUNDDOWN(Table1[[#This Row],[Ordered]],0)</f>
        <v>45315</v>
      </c>
      <c r="M2634" s="4">
        <f>Table1[[#This Row],[Date ]]</f>
        <v>45315</v>
      </c>
      <c r="N2634" s="5">
        <f>Table1[[#This Row],[Ordered]]-Table1[[#This Row],[Date ]]</f>
        <v>0.91666666666424135</v>
      </c>
      <c r="O2634">
        <f>Table1[[#This Row],[Company]]</f>
        <v>5</v>
      </c>
      <c r="P26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5" spans="1:16" x14ac:dyDescent="0.45">
      <c r="A2635" s="3">
        <v>45316.041666666664</v>
      </c>
      <c r="B2635" t="s">
        <v>19</v>
      </c>
      <c r="C2635">
        <v>16</v>
      </c>
      <c r="D2635">
        <v>3004</v>
      </c>
      <c r="E2635" t="s">
        <v>15</v>
      </c>
      <c r="F2635">
        <v>16</v>
      </c>
      <c r="G2635">
        <v>6800</v>
      </c>
      <c r="H2635">
        <v>108800</v>
      </c>
      <c r="I2635" s="3">
        <v>45316.625</v>
      </c>
      <c r="J2635">
        <v>156</v>
      </c>
      <c r="K2635" s="3">
        <v>45321.625</v>
      </c>
      <c r="L2635" s="4">
        <f>ROUNDDOWN(Table1[[#This Row],[Ordered]],0)</f>
        <v>45316</v>
      </c>
      <c r="M2635" s="4">
        <f>Table1[[#This Row],[Date ]]</f>
        <v>45316</v>
      </c>
      <c r="N2635" s="5">
        <f>Table1[[#This Row],[Ordered]]-Table1[[#This Row],[Date ]]</f>
        <v>4.1666666664241347E-2</v>
      </c>
      <c r="O2635">
        <f>Table1[[#This Row],[Company]]</f>
        <v>16</v>
      </c>
      <c r="P26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6" spans="1:16" hidden="1" x14ac:dyDescent="0.45">
      <c r="A2636" s="3">
        <v>45316.041666666664</v>
      </c>
      <c r="B2636" t="s">
        <v>12</v>
      </c>
      <c r="C2636">
        <v>1</v>
      </c>
      <c r="D2636">
        <v>13</v>
      </c>
      <c r="E2636" t="s">
        <v>13</v>
      </c>
      <c r="F2636">
        <v>1500</v>
      </c>
      <c r="G2636">
        <v>130</v>
      </c>
      <c r="H2636">
        <v>195000</v>
      </c>
      <c r="I2636" s="3">
        <v>45316.333333333336</v>
      </c>
      <c r="J2636">
        <v>72</v>
      </c>
      <c r="K2636" s="3">
        <v>45319.333333333336</v>
      </c>
      <c r="L2636" s="4">
        <f>ROUNDDOWN(Table1[[#This Row],[Ordered]],0)</f>
        <v>45316</v>
      </c>
      <c r="M2636" s="4">
        <f>Table1[[#This Row],[Date ]]</f>
        <v>45316</v>
      </c>
      <c r="N2636" s="5">
        <f>Table1[[#This Row],[Ordered]]-Table1[[#This Row],[Date ]]</f>
        <v>4.1666666664241347E-2</v>
      </c>
      <c r="O2636">
        <f>Table1[[#This Row],[Company]]</f>
        <v>1</v>
      </c>
      <c r="P26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7" spans="1:16" x14ac:dyDescent="0.45">
      <c r="A2637" s="3">
        <v>45316.041666666664</v>
      </c>
      <c r="B2637" t="s">
        <v>19</v>
      </c>
      <c r="C2637">
        <v>16</v>
      </c>
      <c r="D2637">
        <v>3003</v>
      </c>
      <c r="E2637" t="s">
        <v>15</v>
      </c>
      <c r="F2637">
        <v>12</v>
      </c>
      <c r="G2637">
        <v>6800</v>
      </c>
      <c r="H2637">
        <v>81600</v>
      </c>
      <c r="I2637" s="3">
        <v>45316.666666666664</v>
      </c>
      <c r="J2637">
        <v>156</v>
      </c>
      <c r="K2637" s="3">
        <v>45321.666666666664</v>
      </c>
      <c r="L2637" s="4">
        <f>ROUNDDOWN(Table1[[#This Row],[Ordered]],0)</f>
        <v>45316</v>
      </c>
      <c r="M2637" s="4">
        <f>Table1[[#This Row],[Date ]]</f>
        <v>45316</v>
      </c>
      <c r="N2637" s="5">
        <f>Table1[[#This Row],[Ordered]]-Table1[[#This Row],[Date ]]</f>
        <v>4.1666666664241347E-2</v>
      </c>
      <c r="O2637">
        <f>Table1[[#This Row],[Company]]</f>
        <v>16</v>
      </c>
      <c r="P26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8" spans="1:16" x14ac:dyDescent="0.45">
      <c r="A2638" s="3">
        <v>45316.041666666664</v>
      </c>
      <c r="B2638" t="s">
        <v>19</v>
      </c>
      <c r="C2638">
        <v>16</v>
      </c>
      <c r="D2638">
        <v>3001</v>
      </c>
      <c r="E2638" t="s">
        <v>15</v>
      </c>
      <c r="F2638">
        <v>7</v>
      </c>
      <c r="G2638">
        <v>6800</v>
      </c>
      <c r="H2638">
        <v>47600</v>
      </c>
      <c r="I2638" s="3">
        <v>45316.666666666664</v>
      </c>
      <c r="J2638">
        <v>156</v>
      </c>
      <c r="K2638" s="3">
        <v>45321.666666666664</v>
      </c>
      <c r="L2638" s="4">
        <f>ROUNDDOWN(Table1[[#This Row],[Ordered]],0)</f>
        <v>45316</v>
      </c>
      <c r="M2638" s="4">
        <f>Table1[[#This Row],[Date ]]</f>
        <v>45316</v>
      </c>
      <c r="N2638" s="5">
        <f>Table1[[#This Row],[Ordered]]-Table1[[#This Row],[Date ]]</f>
        <v>4.1666666664241347E-2</v>
      </c>
      <c r="O2638">
        <f>Table1[[#This Row],[Company]]</f>
        <v>16</v>
      </c>
      <c r="P26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9" spans="1:16" hidden="1" x14ac:dyDescent="0.45">
      <c r="A2639" s="3">
        <v>45316.125</v>
      </c>
      <c r="B2639" t="s">
        <v>12</v>
      </c>
      <c r="C2639">
        <v>1</v>
      </c>
      <c r="D2639">
        <v>14</v>
      </c>
      <c r="E2639" t="s">
        <v>17</v>
      </c>
      <c r="F2639">
        <v>400</v>
      </c>
      <c r="G2639">
        <v>1350</v>
      </c>
      <c r="H2639">
        <v>540000</v>
      </c>
      <c r="I2639" s="3">
        <v>45316.375</v>
      </c>
      <c r="J2639">
        <v>24</v>
      </c>
      <c r="K2639" s="3">
        <v>45317.375</v>
      </c>
      <c r="L2639" s="4">
        <f>ROUNDDOWN(Table1[[#This Row],[Ordered]],0)</f>
        <v>45316</v>
      </c>
      <c r="M2639" s="4">
        <f>Table1[[#This Row],[Date ]]</f>
        <v>45316</v>
      </c>
      <c r="N2639" s="5">
        <f>Table1[[#This Row],[Ordered]]-Table1[[#This Row],[Date ]]</f>
        <v>0.125</v>
      </c>
      <c r="O2639">
        <f>Table1[[#This Row],[Company]]</f>
        <v>1</v>
      </c>
      <c r="P26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0" spans="1:16" hidden="1" x14ac:dyDescent="0.45">
      <c r="A2640" s="3">
        <v>45316.291666666664</v>
      </c>
      <c r="B2640" t="s">
        <v>12</v>
      </c>
      <c r="C2640">
        <v>5</v>
      </c>
      <c r="D2640">
        <v>16</v>
      </c>
      <c r="E2640" t="s">
        <v>13</v>
      </c>
      <c r="F2640">
        <v>1178</v>
      </c>
      <c r="G2640">
        <v>125</v>
      </c>
      <c r="H2640">
        <v>147250</v>
      </c>
      <c r="I2640" s="3">
        <v>45316.416666666664</v>
      </c>
      <c r="J2640">
        <v>24</v>
      </c>
      <c r="K2640" s="3">
        <v>45317.416666666664</v>
      </c>
      <c r="L2640" s="4">
        <f>ROUNDDOWN(Table1[[#This Row],[Ordered]],0)</f>
        <v>45316</v>
      </c>
      <c r="M2640" s="4">
        <f>Table1[[#This Row],[Date ]]</f>
        <v>45316</v>
      </c>
      <c r="N2640" s="5">
        <f>Table1[[#This Row],[Ordered]]-Table1[[#This Row],[Date ]]</f>
        <v>0.29166666666424135</v>
      </c>
      <c r="O2640">
        <f>Table1[[#This Row],[Company]]</f>
        <v>5</v>
      </c>
      <c r="P26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1" spans="1:16" hidden="1" x14ac:dyDescent="0.45">
      <c r="A2641" s="3">
        <v>45316.291666666664</v>
      </c>
      <c r="B2641" t="s">
        <v>12</v>
      </c>
      <c r="C2641">
        <v>2</v>
      </c>
      <c r="D2641">
        <v>15</v>
      </c>
      <c r="E2641" t="s">
        <v>13</v>
      </c>
      <c r="F2641">
        <v>2800</v>
      </c>
      <c r="G2641">
        <v>130</v>
      </c>
      <c r="H2641">
        <v>364000</v>
      </c>
      <c r="I2641" s="3">
        <v>45316.333333333336</v>
      </c>
      <c r="J2641">
        <v>72</v>
      </c>
      <c r="K2641" s="3">
        <v>45319.333333333336</v>
      </c>
      <c r="L2641" s="4">
        <f>ROUNDDOWN(Table1[[#This Row],[Ordered]],0)</f>
        <v>45316</v>
      </c>
      <c r="M2641" s="4">
        <f>Table1[[#This Row],[Date ]]</f>
        <v>45316</v>
      </c>
      <c r="N2641" s="5">
        <f>Table1[[#This Row],[Ordered]]-Table1[[#This Row],[Date ]]</f>
        <v>0.29166666666424135</v>
      </c>
      <c r="O2641">
        <f>Table1[[#This Row],[Company]]</f>
        <v>2</v>
      </c>
      <c r="P26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2" spans="1:16" x14ac:dyDescent="0.45">
      <c r="A2642" s="3">
        <v>45316.333333333336</v>
      </c>
      <c r="B2642" t="s">
        <v>0</v>
      </c>
      <c r="C2642">
        <v>11</v>
      </c>
      <c r="D2642">
        <v>2005</v>
      </c>
      <c r="E2642" t="s">
        <v>16</v>
      </c>
      <c r="F2642">
        <v>40</v>
      </c>
      <c r="G2642">
        <v>4000</v>
      </c>
      <c r="H2642">
        <v>160000</v>
      </c>
      <c r="I2642" s="3">
        <v>45318.041666666664</v>
      </c>
      <c r="J2642">
        <v>132</v>
      </c>
      <c r="K2642" s="3">
        <v>45321.041666666664</v>
      </c>
      <c r="L2642" s="4">
        <f>ROUNDDOWN(Table1[[#This Row],[Ordered]],0)</f>
        <v>45316</v>
      </c>
      <c r="M2642" s="4">
        <f>Table1[[#This Row],[Date ]]</f>
        <v>45316</v>
      </c>
      <c r="N2642" s="5">
        <f>Table1[[#This Row],[Ordered]]-Table1[[#This Row],[Date ]]</f>
        <v>0.33333333333575865</v>
      </c>
      <c r="O2642">
        <f>Table1[[#This Row],[Company]]</f>
        <v>11</v>
      </c>
      <c r="P26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3" spans="1:16" x14ac:dyDescent="0.45">
      <c r="A2643" s="3">
        <v>45316.333333333336</v>
      </c>
      <c r="B2643" t="s">
        <v>0</v>
      </c>
      <c r="C2643">
        <v>16</v>
      </c>
      <c r="D2643">
        <v>2005</v>
      </c>
      <c r="E2643" t="s">
        <v>16</v>
      </c>
      <c r="F2643">
        <v>30</v>
      </c>
      <c r="G2643">
        <v>3750</v>
      </c>
      <c r="H2643">
        <v>112500</v>
      </c>
      <c r="I2643" s="3">
        <v>45316.625</v>
      </c>
      <c r="J2643">
        <v>132</v>
      </c>
      <c r="K2643" s="3">
        <v>45321.291666666664</v>
      </c>
      <c r="L2643" s="4">
        <f>ROUNDDOWN(Table1[[#This Row],[Ordered]],0)</f>
        <v>45316</v>
      </c>
      <c r="M2643" s="4">
        <f>Table1[[#This Row],[Date ]]</f>
        <v>45316</v>
      </c>
      <c r="N2643" s="5">
        <f>Table1[[#This Row],[Ordered]]-Table1[[#This Row],[Date ]]</f>
        <v>0.33333333333575865</v>
      </c>
      <c r="O2643">
        <f>Table1[[#This Row],[Company]]</f>
        <v>16</v>
      </c>
      <c r="P26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4" spans="1:16" x14ac:dyDescent="0.45">
      <c r="A2644" s="3">
        <v>45316.333333333336</v>
      </c>
      <c r="B2644" t="s">
        <v>0</v>
      </c>
      <c r="C2644">
        <v>16</v>
      </c>
      <c r="D2644">
        <v>2005</v>
      </c>
      <c r="E2644" t="s">
        <v>15</v>
      </c>
      <c r="F2644">
        <v>30</v>
      </c>
      <c r="G2644">
        <v>6050</v>
      </c>
      <c r="H2644">
        <v>181500</v>
      </c>
      <c r="I2644" s="3">
        <v>45316.458333333336</v>
      </c>
      <c r="J2644">
        <v>132</v>
      </c>
      <c r="K2644" s="3">
        <v>45320.958333333336</v>
      </c>
      <c r="L2644" s="4">
        <f>ROUNDDOWN(Table1[[#This Row],[Ordered]],0)</f>
        <v>45316</v>
      </c>
      <c r="M2644" s="4">
        <f>Table1[[#This Row],[Date ]]</f>
        <v>45316</v>
      </c>
      <c r="N2644" s="5">
        <f>Table1[[#This Row],[Ordered]]-Table1[[#This Row],[Date ]]</f>
        <v>0.33333333333575865</v>
      </c>
      <c r="O2644">
        <f>Table1[[#This Row],[Company]]</f>
        <v>16</v>
      </c>
      <c r="P26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5" spans="1:16" x14ac:dyDescent="0.45">
      <c r="A2645" s="3">
        <v>45316.333333333336</v>
      </c>
      <c r="B2645" t="s">
        <v>0</v>
      </c>
      <c r="C2645">
        <v>11</v>
      </c>
      <c r="D2645">
        <v>2005</v>
      </c>
      <c r="E2645" t="s">
        <v>15</v>
      </c>
      <c r="F2645">
        <v>10</v>
      </c>
      <c r="G2645">
        <v>6800</v>
      </c>
      <c r="H2645">
        <v>68000</v>
      </c>
      <c r="I2645" s="3">
        <v>45316.458333333336</v>
      </c>
      <c r="J2645">
        <v>84</v>
      </c>
      <c r="K2645" s="3">
        <v>45319.458333333336</v>
      </c>
      <c r="L2645" s="4">
        <f>ROUNDDOWN(Table1[[#This Row],[Ordered]],0)</f>
        <v>45316</v>
      </c>
      <c r="M2645" s="4">
        <f>Table1[[#This Row],[Date ]]</f>
        <v>45316</v>
      </c>
      <c r="N2645" s="5">
        <f>Table1[[#This Row],[Ordered]]-Table1[[#This Row],[Date ]]</f>
        <v>0.33333333333575865</v>
      </c>
      <c r="O2645">
        <f>Table1[[#This Row],[Company]]</f>
        <v>11</v>
      </c>
      <c r="P26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6" spans="1:16" x14ac:dyDescent="0.45">
      <c r="A2646" s="3">
        <v>45316.333333333336</v>
      </c>
      <c r="B2646" t="s">
        <v>0</v>
      </c>
      <c r="C2646">
        <v>10</v>
      </c>
      <c r="D2646">
        <v>2005</v>
      </c>
      <c r="E2646" t="s">
        <v>15</v>
      </c>
      <c r="F2646">
        <v>30</v>
      </c>
      <c r="G2646">
        <v>6100</v>
      </c>
      <c r="H2646">
        <v>183000</v>
      </c>
      <c r="I2646" s="3">
        <v>45316.458333333336</v>
      </c>
      <c r="J2646">
        <v>84</v>
      </c>
      <c r="K2646" s="3">
        <v>45319.458333333336</v>
      </c>
      <c r="L2646" s="4">
        <f>ROUNDDOWN(Table1[[#This Row],[Ordered]],0)</f>
        <v>45316</v>
      </c>
      <c r="M2646" s="4">
        <f>Table1[[#This Row],[Date ]]</f>
        <v>45316</v>
      </c>
      <c r="N2646" s="5">
        <f>Table1[[#This Row],[Ordered]]-Table1[[#This Row],[Date ]]</f>
        <v>0.33333333333575865</v>
      </c>
      <c r="O2646">
        <f>Table1[[#This Row],[Company]]</f>
        <v>10</v>
      </c>
      <c r="P26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7" spans="1:16" x14ac:dyDescent="0.45">
      <c r="A2647" s="3">
        <v>45316.333333333336</v>
      </c>
      <c r="B2647" t="s">
        <v>0</v>
      </c>
      <c r="C2647">
        <v>12</v>
      </c>
      <c r="D2647">
        <v>2005</v>
      </c>
      <c r="E2647" t="s">
        <v>15</v>
      </c>
      <c r="F2647">
        <v>30</v>
      </c>
      <c r="G2647">
        <v>6800</v>
      </c>
      <c r="H2647">
        <v>204000</v>
      </c>
      <c r="I2647" s="3">
        <v>45316.5</v>
      </c>
      <c r="J2647">
        <v>120</v>
      </c>
      <c r="K2647" s="3">
        <v>45321</v>
      </c>
      <c r="L2647" s="4">
        <f>ROUNDDOWN(Table1[[#This Row],[Ordered]],0)</f>
        <v>45316</v>
      </c>
      <c r="M2647" s="4">
        <f>Table1[[#This Row],[Date ]]</f>
        <v>45316</v>
      </c>
      <c r="N2647" s="5">
        <f>Table1[[#This Row],[Ordered]]-Table1[[#This Row],[Date ]]</f>
        <v>0.33333333333575865</v>
      </c>
      <c r="O2647">
        <f>Table1[[#This Row],[Company]]</f>
        <v>12</v>
      </c>
      <c r="P26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8" spans="1:16" x14ac:dyDescent="0.45">
      <c r="A2648" s="3">
        <v>45316.333333333336</v>
      </c>
      <c r="B2648" t="s">
        <v>0</v>
      </c>
      <c r="C2648">
        <v>15</v>
      </c>
      <c r="D2648">
        <v>2005</v>
      </c>
      <c r="E2648" t="s">
        <v>15</v>
      </c>
      <c r="F2648">
        <v>50</v>
      </c>
      <c r="G2648">
        <v>6450</v>
      </c>
      <c r="H2648">
        <v>322500</v>
      </c>
      <c r="I2648" s="3">
        <v>45316.333333333336</v>
      </c>
      <c r="J2648">
        <v>48</v>
      </c>
      <c r="K2648" s="3">
        <v>45317.833333333336</v>
      </c>
      <c r="L2648" s="4">
        <f>ROUNDDOWN(Table1[[#This Row],[Ordered]],0)</f>
        <v>45316</v>
      </c>
      <c r="M2648" s="4">
        <f>Table1[[#This Row],[Date ]]</f>
        <v>45316</v>
      </c>
      <c r="N2648" s="5">
        <f>Table1[[#This Row],[Ordered]]-Table1[[#This Row],[Date ]]</f>
        <v>0.33333333333575865</v>
      </c>
      <c r="O2648">
        <f>Table1[[#This Row],[Company]]</f>
        <v>15</v>
      </c>
      <c r="P26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9" spans="1:16" x14ac:dyDescent="0.45">
      <c r="A2649" s="3">
        <v>45316.333333333336</v>
      </c>
      <c r="B2649" t="s">
        <v>0</v>
      </c>
      <c r="C2649">
        <v>13</v>
      </c>
      <c r="D2649">
        <v>2005</v>
      </c>
      <c r="E2649" t="s">
        <v>15</v>
      </c>
      <c r="F2649">
        <v>30</v>
      </c>
      <c r="G2649">
        <v>6000</v>
      </c>
      <c r="H2649">
        <v>180000</v>
      </c>
      <c r="I2649" s="3">
        <v>45318.5</v>
      </c>
      <c r="J2649">
        <v>132</v>
      </c>
      <c r="K2649" s="3">
        <v>45321.5</v>
      </c>
      <c r="L2649" s="4">
        <f>ROUNDDOWN(Table1[[#This Row],[Ordered]],0)</f>
        <v>45316</v>
      </c>
      <c r="M2649" s="4">
        <f>Table1[[#This Row],[Date ]]</f>
        <v>45316</v>
      </c>
      <c r="N2649" s="5">
        <f>Table1[[#This Row],[Ordered]]-Table1[[#This Row],[Date ]]</f>
        <v>0.33333333333575865</v>
      </c>
      <c r="O2649">
        <f>Table1[[#This Row],[Company]]</f>
        <v>13</v>
      </c>
      <c r="P26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0" spans="1:16" x14ac:dyDescent="0.45">
      <c r="A2650" s="3">
        <v>45316.333333333336</v>
      </c>
      <c r="B2650" t="s">
        <v>0</v>
      </c>
      <c r="C2650">
        <v>9</v>
      </c>
      <c r="D2650">
        <v>2005</v>
      </c>
      <c r="E2650" t="s">
        <v>16</v>
      </c>
      <c r="F2650">
        <v>30</v>
      </c>
      <c r="G2650">
        <v>3599</v>
      </c>
      <c r="H2650">
        <v>107970</v>
      </c>
      <c r="I2650" s="3">
        <v>45316.333333333336</v>
      </c>
      <c r="J2650">
        <v>112</v>
      </c>
      <c r="K2650" s="3">
        <v>45320.833333333336</v>
      </c>
      <c r="L2650" s="4">
        <f>ROUNDDOWN(Table1[[#This Row],[Ordered]],0)</f>
        <v>45316</v>
      </c>
      <c r="M2650" s="4">
        <f>Table1[[#This Row],[Date ]]</f>
        <v>45316</v>
      </c>
      <c r="N2650" s="5">
        <f>Table1[[#This Row],[Ordered]]-Table1[[#This Row],[Date ]]</f>
        <v>0.33333333333575865</v>
      </c>
      <c r="O2650">
        <f>Table1[[#This Row],[Company]]</f>
        <v>9</v>
      </c>
      <c r="P26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1" spans="1:16" x14ac:dyDescent="0.45">
      <c r="A2651" s="3">
        <v>45316.333333333336</v>
      </c>
      <c r="B2651" t="s">
        <v>0</v>
      </c>
      <c r="C2651">
        <v>14</v>
      </c>
      <c r="D2651">
        <v>2005</v>
      </c>
      <c r="E2651" t="s">
        <v>16</v>
      </c>
      <c r="F2651">
        <v>40</v>
      </c>
      <c r="G2651">
        <v>3750</v>
      </c>
      <c r="H2651">
        <v>150000</v>
      </c>
      <c r="I2651" s="3">
        <v>45316.333333333336</v>
      </c>
      <c r="J2651">
        <v>120</v>
      </c>
      <c r="K2651" s="3">
        <v>45320.833333333336</v>
      </c>
      <c r="L2651" s="4">
        <f>ROUNDDOWN(Table1[[#This Row],[Ordered]],0)</f>
        <v>45316</v>
      </c>
      <c r="M2651" s="4">
        <f>Table1[[#This Row],[Date ]]</f>
        <v>45316</v>
      </c>
      <c r="N2651" s="5">
        <f>Table1[[#This Row],[Ordered]]-Table1[[#This Row],[Date ]]</f>
        <v>0.33333333333575865</v>
      </c>
      <c r="O2651">
        <f>Table1[[#This Row],[Company]]</f>
        <v>14</v>
      </c>
      <c r="P26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2" spans="1:16" x14ac:dyDescent="0.45">
      <c r="A2652" s="3">
        <v>45316.333333333336</v>
      </c>
      <c r="B2652" t="s">
        <v>0</v>
      </c>
      <c r="C2652">
        <v>10</v>
      </c>
      <c r="D2652">
        <v>2005</v>
      </c>
      <c r="E2652" t="s">
        <v>16</v>
      </c>
      <c r="F2652">
        <v>25</v>
      </c>
      <c r="G2652">
        <v>4100</v>
      </c>
      <c r="H2652">
        <v>102500</v>
      </c>
      <c r="I2652" s="3">
        <v>45316.333333333336</v>
      </c>
      <c r="J2652">
        <v>114</v>
      </c>
      <c r="K2652" s="3">
        <v>45320.916666666664</v>
      </c>
      <c r="L2652" s="4">
        <f>ROUNDDOWN(Table1[[#This Row],[Ordered]],0)</f>
        <v>45316</v>
      </c>
      <c r="M2652" s="4">
        <f>Table1[[#This Row],[Date ]]</f>
        <v>45316</v>
      </c>
      <c r="N2652" s="5">
        <f>Table1[[#This Row],[Ordered]]-Table1[[#This Row],[Date ]]</f>
        <v>0.33333333333575865</v>
      </c>
      <c r="O2652">
        <f>Table1[[#This Row],[Company]]</f>
        <v>10</v>
      </c>
      <c r="P26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3" spans="1:16" x14ac:dyDescent="0.45">
      <c r="A2653" s="3">
        <v>45316.333333333336</v>
      </c>
      <c r="B2653" t="s">
        <v>0</v>
      </c>
      <c r="C2653">
        <v>14</v>
      </c>
      <c r="D2653">
        <v>2005</v>
      </c>
      <c r="E2653" t="s">
        <v>15</v>
      </c>
      <c r="F2653">
        <v>30</v>
      </c>
      <c r="G2653">
        <v>6650</v>
      </c>
      <c r="H2653">
        <v>199500</v>
      </c>
      <c r="I2653" s="3">
        <v>45316.333333333336</v>
      </c>
      <c r="J2653">
        <v>120</v>
      </c>
      <c r="K2653" s="3">
        <v>45320.833333333336</v>
      </c>
      <c r="L2653" s="4">
        <f>ROUNDDOWN(Table1[[#This Row],[Ordered]],0)</f>
        <v>45316</v>
      </c>
      <c r="M2653" s="4">
        <f>Table1[[#This Row],[Date ]]</f>
        <v>45316</v>
      </c>
      <c r="N2653" s="5">
        <f>Table1[[#This Row],[Ordered]]-Table1[[#This Row],[Date ]]</f>
        <v>0.33333333333575865</v>
      </c>
      <c r="O2653">
        <f>Table1[[#This Row],[Company]]</f>
        <v>14</v>
      </c>
      <c r="P26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4" spans="1:16" x14ac:dyDescent="0.45">
      <c r="A2654" s="3">
        <v>45316.333333333336</v>
      </c>
      <c r="B2654" t="s">
        <v>0</v>
      </c>
      <c r="C2654">
        <v>12</v>
      </c>
      <c r="D2654">
        <v>2005</v>
      </c>
      <c r="E2654" t="s">
        <v>16</v>
      </c>
      <c r="F2654">
        <v>30</v>
      </c>
      <c r="G2654">
        <v>3900</v>
      </c>
      <c r="H2654">
        <v>117000</v>
      </c>
      <c r="I2654" s="3">
        <v>45318.041666666664</v>
      </c>
      <c r="J2654">
        <v>120</v>
      </c>
      <c r="K2654" s="3">
        <v>45321.041666666664</v>
      </c>
      <c r="L2654" s="4">
        <f>ROUNDDOWN(Table1[[#This Row],[Ordered]],0)</f>
        <v>45316</v>
      </c>
      <c r="M2654" s="4">
        <f>Table1[[#This Row],[Date ]]</f>
        <v>45316</v>
      </c>
      <c r="N2654" s="5">
        <f>Table1[[#This Row],[Ordered]]-Table1[[#This Row],[Date ]]</f>
        <v>0.33333333333575865</v>
      </c>
      <c r="O2654">
        <f>Table1[[#This Row],[Company]]</f>
        <v>12</v>
      </c>
      <c r="P26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5" spans="1:16" x14ac:dyDescent="0.45">
      <c r="A2655" s="3">
        <v>45316.333333333336</v>
      </c>
      <c r="B2655" t="s">
        <v>0</v>
      </c>
      <c r="C2655">
        <v>9</v>
      </c>
      <c r="D2655">
        <v>2005</v>
      </c>
      <c r="E2655" t="s">
        <v>15</v>
      </c>
      <c r="F2655">
        <v>30</v>
      </c>
      <c r="G2655">
        <v>6255</v>
      </c>
      <c r="H2655">
        <v>187650</v>
      </c>
      <c r="I2655" s="3">
        <v>45316.875</v>
      </c>
      <c r="J2655">
        <v>132</v>
      </c>
      <c r="K2655" s="3">
        <v>45321.458333333336</v>
      </c>
      <c r="L2655" s="4">
        <f>ROUNDDOWN(Table1[[#This Row],[Ordered]],0)</f>
        <v>45316</v>
      </c>
      <c r="M2655" s="4">
        <f>Table1[[#This Row],[Date ]]</f>
        <v>45316</v>
      </c>
      <c r="N2655" s="5">
        <f>Table1[[#This Row],[Ordered]]-Table1[[#This Row],[Date ]]</f>
        <v>0.33333333333575865</v>
      </c>
      <c r="O2655">
        <f>Table1[[#This Row],[Company]]</f>
        <v>9</v>
      </c>
      <c r="P26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6" spans="1:16" x14ac:dyDescent="0.45">
      <c r="A2656" s="3">
        <v>45316.333333333336</v>
      </c>
      <c r="B2656" t="s">
        <v>0</v>
      </c>
      <c r="C2656">
        <v>13</v>
      </c>
      <c r="D2656">
        <v>2005</v>
      </c>
      <c r="E2656" t="s">
        <v>16</v>
      </c>
      <c r="F2656">
        <v>30</v>
      </c>
      <c r="G2656">
        <v>3000</v>
      </c>
      <c r="H2656">
        <v>90000</v>
      </c>
      <c r="I2656" s="3">
        <v>45320.041666666664</v>
      </c>
      <c r="J2656">
        <v>132</v>
      </c>
      <c r="K2656" s="3">
        <v>45321.541666666664</v>
      </c>
      <c r="L2656" s="4">
        <f>ROUNDDOWN(Table1[[#This Row],[Ordered]],0)</f>
        <v>45316</v>
      </c>
      <c r="M2656" s="4">
        <f>Table1[[#This Row],[Date ]]</f>
        <v>45316</v>
      </c>
      <c r="N2656" s="5">
        <f>Table1[[#This Row],[Ordered]]-Table1[[#This Row],[Date ]]</f>
        <v>0.33333333333575865</v>
      </c>
      <c r="O2656">
        <f>Table1[[#This Row],[Company]]</f>
        <v>13</v>
      </c>
      <c r="P26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7" spans="1:16" x14ac:dyDescent="0.45">
      <c r="A2657" s="3">
        <v>45316.333333333336</v>
      </c>
      <c r="B2657" t="s">
        <v>0</v>
      </c>
      <c r="C2657">
        <v>7</v>
      </c>
      <c r="D2657">
        <v>2005</v>
      </c>
      <c r="E2657" t="s">
        <v>15</v>
      </c>
      <c r="F2657">
        <v>50</v>
      </c>
      <c r="G2657">
        <v>7100</v>
      </c>
      <c r="H2657">
        <v>355000</v>
      </c>
      <c r="I2657" s="3">
        <v>45316.375</v>
      </c>
      <c r="J2657">
        <v>132</v>
      </c>
      <c r="K2657" s="3">
        <v>45320.875</v>
      </c>
      <c r="L2657" s="4">
        <f>ROUNDDOWN(Table1[[#This Row],[Ordered]],0)</f>
        <v>45316</v>
      </c>
      <c r="M2657" s="4">
        <f>Table1[[#This Row],[Date ]]</f>
        <v>45316</v>
      </c>
      <c r="N2657" s="5">
        <f>Table1[[#This Row],[Ordered]]-Table1[[#This Row],[Date ]]</f>
        <v>0.33333333333575865</v>
      </c>
      <c r="O2657">
        <f>Table1[[#This Row],[Company]]</f>
        <v>7</v>
      </c>
      <c r="P26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8" spans="1:16" x14ac:dyDescent="0.45">
      <c r="A2658" s="3">
        <v>45316.333333333336</v>
      </c>
      <c r="B2658" t="s">
        <v>0</v>
      </c>
      <c r="C2658">
        <v>15</v>
      </c>
      <c r="D2658">
        <v>2005</v>
      </c>
      <c r="E2658" t="s">
        <v>16</v>
      </c>
      <c r="F2658">
        <v>45</v>
      </c>
      <c r="G2658">
        <v>3750</v>
      </c>
      <c r="H2658">
        <v>168750</v>
      </c>
      <c r="I2658" s="3">
        <v>45316.333333333336</v>
      </c>
      <c r="J2658">
        <v>120</v>
      </c>
      <c r="K2658" s="3">
        <v>45320.833333333336</v>
      </c>
      <c r="L2658" s="4">
        <f>ROUNDDOWN(Table1[[#This Row],[Ordered]],0)</f>
        <v>45316</v>
      </c>
      <c r="M2658" s="4">
        <f>Table1[[#This Row],[Date ]]</f>
        <v>45316</v>
      </c>
      <c r="N2658" s="5">
        <f>Table1[[#This Row],[Ordered]]-Table1[[#This Row],[Date ]]</f>
        <v>0.33333333333575865</v>
      </c>
      <c r="O2658">
        <f>Table1[[#This Row],[Company]]</f>
        <v>15</v>
      </c>
      <c r="P26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9" spans="1:16" hidden="1" x14ac:dyDescent="0.45">
      <c r="A2659" s="3">
        <v>45316.333333333336</v>
      </c>
      <c r="B2659" t="s">
        <v>12</v>
      </c>
      <c r="C2659">
        <v>4</v>
      </c>
      <c r="D2659">
        <v>11</v>
      </c>
      <c r="E2659" t="s">
        <v>17</v>
      </c>
      <c r="F2659">
        <v>600</v>
      </c>
      <c r="G2659">
        <v>1360</v>
      </c>
      <c r="H2659">
        <v>816000</v>
      </c>
      <c r="I2659" s="3">
        <v>45316.375</v>
      </c>
      <c r="J2659">
        <v>24</v>
      </c>
      <c r="K2659" s="3">
        <v>45317.375</v>
      </c>
      <c r="L2659" s="4">
        <f>ROUNDDOWN(Table1[[#This Row],[Ordered]],0)</f>
        <v>45316</v>
      </c>
      <c r="M2659" s="4">
        <f>Table1[[#This Row],[Date ]]</f>
        <v>45316</v>
      </c>
      <c r="N2659" s="5">
        <f>Table1[[#This Row],[Ordered]]-Table1[[#This Row],[Date ]]</f>
        <v>0.33333333333575865</v>
      </c>
      <c r="O2659">
        <f>Table1[[#This Row],[Company]]</f>
        <v>4</v>
      </c>
      <c r="P26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0" spans="1:16" x14ac:dyDescent="0.45">
      <c r="A2660" s="3">
        <v>45316.333333333336</v>
      </c>
      <c r="B2660" t="s">
        <v>0</v>
      </c>
      <c r="C2660">
        <v>8</v>
      </c>
      <c r="D2660">
        <v>2005</v>
      </c>
      <c r="E2660" t="s">
        <v>15</v>
      </c>
      <c r="F2660">
        <v>50</v>
      </c>
      <c r="G2660">
        <v>6400</v>
      </c>
      <c r="H2660">
        <v>320000</v>
      </c>
      <c r="I2660" s="3">
        <v>45317.416666666664</v>
      </c>
      <c r="J2660">
        <v>144</v>
      </c>
      <c r="K2660" s="3">
        <v>45321.916666666664</v>
      </c>
      <c r="L2660" s="4">
        <f>ROUNDDOWN(Table1[[#This Row],[Ordered]],0)</f>
        <v>45316</v>
      </c>
      <c r="M2660" s="4">
        <f>Table1[[#This Row],[Date ]]</f>
        <v>45316</v>
      </c>
      <c r="N2660" s="5">
        <f>Table1[[#This Row],[Ordered]]-Table1[[#This Row],[Date ]]</f>
        <v>0.33333333333575865</v>
      </c>
      <c r="O2660">
        <f>Table1[[#This Row],[Company]]</f>
        <v>8</v>
      </c>
      <c r="P26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1" spans="1:16" x14ac:dyDescent="0.45">
      <c r="A2661" s="3">
        <v>45316.333333333336</v>
      </c>
      <c r="B2661" t="s">
        <v>0</v>
      </c>
      <c r="C2661">
        <v>8</v>
      </c>
      <c r="D2661">
        <v>2005</v>
      </c>
      <c r="E2661" t="s">
        <v>16</v>
      </c>
      <c r="F2661">
        <v>50</v>
      </c>
      <c r="G2661">
        <v>4155</v>
      </c>
      <c r="H2661">
        <v>207750</v>
      </c>
      <c r="I2661" s="3">
        <v>45317.833333333336</v>
      </c>
      <c r="J2661">
        <v>120</v>
      </c>
      <c r="K2661" s="3">
        <v>45320.833333333336</v>
      </c>
      <c r="L2661" s="4">
        <f>ROUNDDOWN(Table1[[#This Row],[Ordered]],0)</f>
        <v>45316</v>
      </c>
      <c r="M2661" s="4">
        <f>Table1[[#This Row],[Date ]]</f>
        <v>45316</v>
      </c>
      <c r="N2661" s="5">
        <f>Table1[[#This Row],[Ordered]]-Table1[[#This Row],[Date ]]</f>
        <v>0.33333333333575865</v>
      </c>
      <c r="O2661">
        <f>Table1[[#This Row],[Company]]</f>
        <v>8</v>
      </c>
      <c r="P26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2" spans="1:16" x14ac:dyDescent="0.45">
      <c r="A2662" s="3">
        <v>45316.333333333336</v>
      </c>
      <c r="B2662" t="s">
        <v>0</v>
      </c>
      <c r="C2662">
        <v>7</v>
      </c>
      <c r="D2662">
        <v>2005</v>
      </c>
      <c r="E2662" t="s">
        <v>16</v>
      </c>
      <c r="F2662">
        <v>65</v>
      </c>
      <c r="G2662">
        <v>4200</v>
      </c>
      <c r="H2662">
        <v>273000</v>
      </c>
      <c r="I2662" s="3">
        <v>45316.666666666664</v>
      </c>
      <c r="J2662">
        <v>132</v>
      </c>
      <c r="K2662" s="3">
        <v>45321.166666666664</v>
      </c>
      <c r="L2662" s="4">
        <f>ROUNDDOWN(Table1[[#This Row],[Ordered]],0)</f>
        <v>45316</v>
      </c>
      <c r="M2662" s="4">
        <f>Table1[[#This Row],[Date ]]</f>
        <v>45316</v>
      </c>
      <c r="N2662" s="5">
        <f>Table1[[#This Row],[Ordered]]-Table1[[#This Row],[Date ]]</f>
        <v>0.33333333333575865</v>
      </c>
      <c r="O2662">
        <f>Table1[[#This Row],[Company]]</f>
        <v>7</v>
      </c>
      <c r="P26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3" spans="1:16" x14ac:dyDescent="0.45">
      <c r="A2663" s="3">
        <v>45316.375</v>
      </c>
      <c r="B2663" t="s">
        <v>14</v>
      </c>
      <c r="C2663">
        <v>13</v>
      </c>
      <c r="D2663">
        <v>1004</v>
      </c>
      <c r="E2663" t="s">
        <v>15</v>
      </c>
      <c r="F2663">
        <v>20</v>
      </c>
      <c r="G2663">
        <v>6000</v>
      </c>
      <c r="H2663">
        <v>120000</v>
      </c>
      <c r="I2663" s="3">
        <v>45318.166666666664</v>
      </c>
      <c r="J2663">
        <v>96</v>
      </c>
      <c r="K2663" s="3">
        <v>45320.166666666664</v>
      </c>
      <c r="L2663" s="4">
        <f>ROUNDDOWN(Table1[[#This Row],[Ordered]],0)</f>
        <v>45316</v>
      </c>
      <c r="M2663" s="4">
        <f>Table1[[#This Row],[Date ]]</f>
        <v>45316</v>
      </c>
      <c r="N2663" s="5">
        <f>Table1[[#This Row],[Ordered]]-Table1[[#This Row],[Date ]]</f>
        <v>0.375</v>
      </c>
      <c r="O2663">
        <f>Table1[[#This Row],[Company]]</f>
        <v>13</v>
      </c>
      <c r="P26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4" spans="1:16" hidden="1" x14ac:dyDescent="0.45">
      <c r="A2664" s="3">
        <v>45316.375</v>
      </c>
      <c r="B2664" t="s">
        <v>12</v>
      </c>
      <c r="C2664">
        <v>3</v>
      </c>
      <c r="D2664">
        <v>7</v>
      </c>
      <c r="E2664" t="s">
        <v>17</v>
      </c>
      <c r="F2664">
        <v>500</v>
      </c>
      <c r="G2664">
        <v>1350</v>
      </c>
      <c r="H2664">
        <v>675000</v>
      </c>
      <c r="I2664" s="3">
        <v>45316.583333333336</v>
      </c>
      <c r="J2664">
        <v>72</v>
      </c>
      <c r="K2664" s="3">
        <v>45319.583333333336</v>
      </c>
      <c r="L2664" s="4">
        <f>ROUNDDOWN(Table1[[#This Row],[Ordered]],0)</f>
        <v>45316</v>
      </c>
      <c r="M2664" s="4">
        <f>Table1[[#This Row],[Date ]]</f>
        <v>45316</v>
      </c>
      <c r="N2664" s="5">
        <f>Table1[[#This Row],[Ordered]]-Table1[[#This Row],[Date ]]</f>
        <v>0.375</v>
      </c>
      <c r="O2664">
        <f>Table1[[#This Row],[Company]]</f>
        <v>3</v>
      </c>
      <c r="P26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5" spans="1:16" x14ac:dyDescent="0.45">
      <c r="A2665" s="3">
        <v>45316.375</v>
      </c>
      <c r="B2665" t="s">
        <v>14</v>
      </c>
      <c r="C2665">
        <v>14</v>
      </c>
      <c r="D2665">
        <v>1004</v>
      </c>
      <c r="E2665" t="s">
        <v>15</v>
      </c>
      <c r="F2665">
        <v>7</v>
      </c>
      <c r="G2665">
        <v>6650</v>
      </c>
      <c r="H2665">
        <v>46550</v>
      </c>
      <c r="I2665" s="3">
        <v>45316.416666666664</v>
      </c>
      <c r="J2665">
        <v>84</v>
      </c>
      <c r="K2665" s="3">
        <v>45319.416666666664</v>
      </c>
      <c r="L2665" s="4">
        <f>ROUNDDOWN(Table1[[#This Row],[Ordered]],0)</f>
        <v>45316</v>
      </c>
      <c r="M2665" s="4">
        <f>Table1[[#This Row],[Date ]]</f>
        <v>45316</v>
      </c>
      <c r="N2665" s="5">
        <f>Table1[[#This Row],[Ordered]]-Table1[[#This Row],[Date ]]</f>
        <v>0.375</v>
      </c>
      <c r="O2665">
        <f>Table1[[#This Row],[Company]]</f>
        <v>14</v>
      </c>
      <c r="P26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6" spans="1:16" x14ac:dyDescent="0.45">
      <c r="A2666" s="3">
        <v>45316.375</v>
      </c>
      <c r="B2666" t="s">
        <v>14</v>
      </c>
      <c r="C2666">
        <v>10</v>
      </c>
      <c r="D2666">
        <v>1004</v>
      </c>
      <c r="E2666" t="s">
        <v>15</v>
      </c>
      <c r="F2666">
        <v>10</v>
      </c>
      <c r="G2666">
        <v>6000</v>
      </c>
      <c r="H2666">
        <v>60000</v>
      </c>
      <c r="I2666" s="3">
        <v>45316.375</v>
      </c>
      <c r="J2666">
        <v>84</v>
      </c>
      <c r="K2666" s="3">
        <v>45319.375</v>
      </c>
      <c r="L2666" s="4">
        <f>ROUNDDOWN(Table1[[#This Row],[Ordered]],0)</f>
        <v>45316</v>
      </c>
      <c r="M2666" s="4">
        <f>Table1[[#This Row],[Date ]]</f>
        <v>45316</v>
      </c>
      <c r="N2666" s="5">
        <f>Table1[[#This Row],[Ordered]]-Table1[[#This Row],[Date ]]</f>
        <v>0.375</v>
      </c>
      <c r="O2666">
        <f>Table1[[#This Row],[Company]]</f>
        <v>10</v>
      </c>
      <c r="P26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7" spans="1:16" x14ac:dyDescent="0.45">
      <c r="A2667" s="3">
        <v>45316.375</v>
      </c>
      <c r="B2667" t="s">
        <v>14</v>
      </c>
      <c r="C2667">
        <v>15</v>
      </c>
      <c r="D2667">
        <v>1004</v>
      </c>
      <c r="E2667" t="s">
        <v>15</v>
      </c>
      <c r="F2667">
        <v>23</v>
      </c>
      <c r="G2667">
        <v>6450</v>
      </c>
      <c r="H2667">
        <v>148350</v>
      </c>
      <c r="I2667" s="3">
        <v>45316.416666666664</v>
      </c>
      <c r="J2667">
        <v>64</v>
      </c>
      <c r="K2667" s="3">
        <v>45318.416666666664</v>
      </c>
      <c r="L2667" s="4">
        <f>ROUNDDOWN(Table1[[#This Row],[Ordered]],0)</f>
        <v>45316</v>
      </c>
      <c r="M2667" s="4">
        <f>Table1[[#This Row],[Date ]]</f>
        <v>45316</v>
      </c>
      <c r="N2667" s="5">
        <f>Table1[[#This Row],[Ordered]]-Table1[[#This Row],[Date ]]</f>
        <v>0.375</v>
      </c>
      <c r="O2667">
        <f>Table1[[#This Row],[Company]]</f>
        <v>15</v>
      </c>
      <c r="P26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8" spans="1:16" x14ac:dyDescent="0.45">
      <c r="A2668" s="3">
        <v>45316.416666666664</v>
      </c>
      <c r="B2668" t="s">
        <v>14</v>
      </c>
      <c r="C2668">
        <v>13</v>
      </c>
      <c r="D2668">
        <v>1010</v>
      </c>
      <c r="E2668" t="s">
        <v>15</v>
      </c>
      <c r="F2668">
        <v>17</v>
      </c>
      <c r="G2668">
        <v>6000</v>
      </c>
      <c r="H2668">
        <v>102000</v>
      </c>
      <c r="I2668" s="3">
        <v>45318.166666666664</v>
      </c>
      <c r="J2668">
        <v>96</v>
      </c>
      <c r="K2668" s="3">
        <v>45320.166666666664</v>
      </c>
      <c r="L2668" s="4">
        <f>ROUNDDOWN(Table1[[#This Row],[Ordered]],0)</f>
        <v>45316</v>
      </c>
      <c r="M2668" s="4">
        <f>Table1[[#This Row],[Date ]]</f>
        <v>45316</v>
      </c>
      <c r="N2668" s="5">
        <f>Table1[[#This Row],[Ordered]]-Table1[[#This Row],[Date ]]</f>
        <v>0.41666666666424135</v>
      </c>
      <c r="O2668">
        <f>Table1[[#This Row],[Company]]</f>
        <v>13</v>
      </c>
      <c r="P26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9" spans="1:16" x14ac:dyDescent="0.45">
      <c r="A2669" s="3">
        <v>45316.416666666664</v>
      </c>
      <c r="B2669" t="s">
        <v>14</v>
      </c>
      <c r="C2669">
        <v>9</v>
      </c>
      <c r="D2669">
        <v>1002</v>
      </c>
      <c r="E2669" t="s">
        <v>15</v>
      </c>
      <c r="F2669">
        <v>8</v>
      </c>
      <c r="G2669">
        <v>6360</v>
      </c>
      <c r="H2669">
        <v>50880</v>
      </c>
      <c r="I2669" s="3">
        <v>45316.416666666664</v>
      </c>
      <c r="J2669">
        <v>76</v>
      </c>
      <c r="K2669" s="3">
        <v>45319.416666666664</v>
      </c>
      <c r="L2669" s="4">
        <f>ROUNDDOWN(Table1[[#This Row],[Ordered]],0)</f>
        <v>45316</v>
      </c>
      <c r="M2669" s="4">
        <f>Table1[[#This Row],[Date ]]</f>
        <v>45316</v>
      </c>
      <c r="N2669" s="5">
        <f>Table1[[#This Row],[Ordered]]-Table1[[#This Row],[Date ]]</f>
        <v>0.41666666666424135</v>
      </c>
      <c r="O2669">
        <f>Table1[[#This Row],[Company]]</f>
        <v>9</v>
      </c>
      <c r="P26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0" spans="1:16" x14ac:dyDescent="0.45">
      <c r="A2670" s="3">
        <v>45316.416666666664</v>
      </c>
      <c r="B2670" t="s">
        <v>14</v>
      </c>
      <c r="C2670">
        <v>14</v>
      </c>
      <c r="D2670">
        <v>1010</v>
      </c>
      <c r="E2670" t="s">
        <v>15</v>
      </c>
      <c r="F2670">
        <v>6</v>
      </c>
      <c r="G2670">
        <v>6650</v>
      </c>
      <c r="H2670">
        <v>39900</v>
      </c>
      <c r="I2670" s="3">
        <v>45316.416666666664</v>
      </c>
      <c r="J2670">
        <v>84</v>
      </c>
      <c r="K2670" s="3">
        <v>45319.416666666664</v>
      </c>
      <c r="L2670" s="4">
        <f>ROUNDDOWN(Table1[[#This Row],[Ordered]],0)</f>
        <v>45316</v>
      </c>
      <c r="M2670" s="4">
        <f>Table1[[#This Row],[Date ]]</f>
        <v>45316</v>
      </c>
      <c r="N2670" s="5">
        <f>Table1[[#This Row],[Ordered]]-Table1[[#This Row],[Date ]]</f>
        <v>0.41666666666424135</v>
      </c>
      <c r="O2670">
        <f>Table1[[#This Row],[Company]]</f>
        <v>14</v>
      </c>
      <c r="P26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1" spans="1:16" x14ac:dyDescent="0.45">
      <c r="A2671" s="3">
        <v>45316.416666666664</v>
      </c>
      <c r="B2671" t="s">
        <v>14</v>
      </c>
      <c r="C2671">
        <v>10</v>
      </c>
      <c r="D2671">
        <v>1010</v>
      </c>
      <c r="E2671" t="s">
        <v>15</v>
      </c>
      <c r="F2671">
        <v>7</v>
      </c>
      <c r="G2671">
        <v>6000</v>
      </c>
      <c r="H2671">
        <v>42000</v>
      </c>
      <c r="I2671" s="3">
        <v>45316.416666666664</v>
      </c>
      <c r="J2671">
        <v>84</v>
      </c>
      <c r="K2671" s="3">
        <v>45319.416666666664</v>
      </c>
      <c r="L2671" s="4">
        <f>ROUNDDOWN(Table1[[#This Row],[Ordered]],0)</f>
        <v>45316</v>
      </c>
      <c r="M2671" s="4">
        <f>Table1[[#This Row],[Date ]]</f>
        <v>45316</v>
      </c>
      <c r="N2671" s="5">
        <f>Table1[[#This Row],[Ordered]]-Table1[[#This Row],[Date ]]</f>
        <v>0.41666666666424135</v>
      </c>
      <c r="O2671">
        <f>Table1[[#This Row],[Company]]</f>
        <v>10</v>
      </c>
      <c r="P26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2" spans="1:16" x14ac:dyDescent="0.45">
      <c r="A2672" s="3">
        <v>45316.416666666664</v>
      </c>
      <c r="B2672" t="s">
        <v>14</v>
      </c>
      <c r="C2672">
        <v>10</v>
      </c>
      <c r="D2672">
        <v>1002</v>
      </c>
      <c r="E2672" t="s">
        <v>15</v>
      </c>
      <c r="F2672">
        <v>7</v>
      </c>
      <c r="G2672">
        <v>6000</v>
      </c>
      <c r="H2672">
        <v>42000</v>
      </c>
      <c r="I2672" s="3">
        <v>45316.416666666664</v>
      </c>
      <c r="J2672">
        <v>84</v>
      </c>
      <c r="K2672" s="3">
        <v>45319.416666666664</v>
      </c>
      <c r="L2672" s="4">
        <f>ROUNDDOWN(Table1[[#This Row],[Ordered]],0)</f>
        <v>45316</v>
      </c>
      <c r="M2672" s="4">
        <f>Table1[[#This Row],[Date ]]</f>
        <v>45316</v>
      </c>
      <c r="N2672" s="5">
        <f>Table1[[#This Row],[Ordered]]-Table1[[#This Row],[Date ]]</f>
        <v>0.41666666666424135</v>
      </c>
      <c r="O2672">
        <f>Table1[[#This Row],[Company]]</f>
        <v>10</v>
      </c>
      <c r="P26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3" spans="1:16" x14ac:dyDescent="0.45">
      <c r="A2673" s="3">
        <v>45316.416666666664</v>
      </c>
      <c r="B2673" t="s">
        <v>14</v>
      </c>
      <c r="C2673">
        <v>15</v>
      </c>
      <c r="D2673">
        <v>1010</v>
      </c>
      <c r="E2673" t="s">
        <v>15</v>
      </c>
      <c r="F2673">
        <v>19</v>
      </c>
      <c r="G2673">
        <v>6450</v>
      </c>
      <c r="H2673">
        <v>122550</v>
      </c>
      <c r="I2673" s="3">
        <v>45316.458333333336</v>
      </c>
      <c r="J2673">
        <v>64</v>
      </c>
      <c r="K2673" s="3">
        <v>45318.583333333336</v>
      </c>
      <c r="L2673" s="4">
        <f>ROUNDDOWN(Table1[[#This Row],[Ordered]],0)</f>
        <v>45316</v>
      </c>
      <c r="M2673" s="4">
        <f>Table1[[#This Row],[Date ]]</f>
        <v>45316</v>
      </c>
      <c r="N2673" s="5">
        <f>Table1[[#This Row],[Ordered]]-Table1[[#This Row],[Date ]]</f>
        <v>0.41666666666424135</v>
      </c>
      <c r="O2673">
        <f>Table1[[#This Row],[Company]]</f>
        <v>15</v>
      </c>
      <c r="P26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4" spans="1:16" x14ac:dyDescent="0.45">
      <c r="A2674" s="3">
        <v>45316.416666666664</v>
      </c>
      <c r="B2674" t="s">
        <v>14</v>
      </c>
      <c r="C2674">
        <v>9</v>
      </c>
      <c r="D2674">
        <v>1010</v>
      </c>
      <c r="E2674" t="s">
        <v>15</v>
      </c>
      <c r="F2674">
        <v>8</v>
      </c>
      <c r="G2674">
        <v>6360</v>
      </c>
      <c r="H2674">
        <v>50880</v>
      </c>
      <c r="I2674" s="3">
        <v>45316.416666666664</v>
      </c>
      <c r="J2674">
        <v>76</v>
      </c>
      <c r="K2674" s="3">
        <v>45319.458333333336</v>
      </c>
      <c r="L2674" s="4">
        <f>ROUNDDOWN(Table1[[#This Row],[Ordered]],0)</f>
        <v>45316</v>
      </c>
      <c r="M2674" s="4">
        <f>Table1[[#This Row],[Date ]]</f>
        <v>45316</v>
      </c>
      <c r="N2674" s="5">
        <f>Table1[[#This Row],[Ordered]]-Table1[[#This Row],[Date ]]</f>
        <v>0.41666666666424135</v>
      </c>
      <c r="O2674">
        <f>Table1[[#This Row],[Company]]</f>
        <v>9</v>
      </c>
      <c r="P26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5" spans="1:16" x14ac:dyDescent="0.45">
      <c r="A2675" s="3">
        <v>45316.416666666664</v>
      </c>
      <c r="B2675" t="s">
        <v>14</v>
      </c>
      <c r="C2675">
        <v>14</v>
      </c>
      <c r="D2675">
        <v>1002</v>
      </c>
      <c r="E2675" t="s">
        <v>15</v>
      </c>
      <c r="F2675">
        <v>6</v>
      </c>
      <c r="G2675">
        <v>6650</v>
      </c>
      <c r="H2675">
        <v>39900</v>
      </c>
      <c r="I2675" s="3">
        <v>45316.416666666664</v>
      </c>
      <c r="J2675">
        <v>84</v>
      </c>
      <c r="K2675" s="3">
        <v>45319.416666666664</v>
      </c>
      <c r="L2675" s="4">
        <f>ROUNDDOWN(Table1[[#This Row],[Ordered]],0)</f>
        <v>45316</v>
      </c>
      <c r="M2675" s="4">
        <f>Table1[[#This Row],[Date ]]</f>
        <v>45316</v>
      </c>
      <c r="N2675" s="5">
        <f>Table1[[#This Row],[Ordered]]-Table1[[#This Row],[Date ]]</f>
        <v>0.41666666666424135</v>
      </c>
      <c r="O2675">
        <f>Table1[[#This Row],[Company]]</f>
        <v>14</v>
      </c>
      <c r="P26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6" spans="1:16" x14ac:dyDescent="0.45">
      <c r="A2676" s="3">
        <v>45316.416666666664</v>
      </c>
      <c r="B2676" t="s">
        <v>14</v>
      </c>
      <c r="C2676">
        <v>15</v>
      </c>
      <c r="D2676">
        <v>1002</v>
      </c>
      <c r="E2676" t="s">
        <v>15</v>
      </c>
      <c r="F2676">
        <v>18</v>
      </c>
      <c r="G2676">
        <v>6450</v>
      </c>
      <c r="H2676">
        <v>116100</v>
      </c>
      <c r="I2676" s="3">
        <v>45316.458333333336</v>
      </c>
      <c r="J2676">
        <v>64</v>
      </c>
      <c r="K2676" s="3">
        <v>45318.458333333336</v>
      </c>
      <c r="L2676" s="4">
        <f>ROUNDDOWN(Table1[[#This Row],[Ordered]],0)</f>
        <v>45316</v>
      </c>
      <c r="M2676" s="4">
        <f>Table1[[#This Row],[Date ]]</f>
        <v>45316</v>
      </c>
      <c r="N2676" s="5">
        <f>Table1[[#This Row],[Ordered]]-Table1[[#This Row],[Date ]]</f>
        <v>0.41666666666424135</v>
      </c>
      <c r="O2676">
        <f>Table1[[#This Row],[Company]]</f>
        <v>15</v>
      </c>
      <c r="P26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7" spans="1:16" x14ac:dyDescent="0.45">
      <c r="A2677" s="3">
        <v>45316.416666666664</v>
      </c>
      <c r="B2677" t="s">
        <v>14</v>
      </c>
      <c r="C2677">
        <v>12</v>
      </c>
      <c r="D2677">
        <v>1002</v>
      </c>
      <c r="E2677" t="s">
        <v>15</v>
      </c>
      <c r="F2677">
        <v>14</v>
      </c>
      <c r="G2677">
        <v>6750</v>
      </c>
      <c r="H2677">
        <v>94500</v>
      </c>
      <c r="I2677" s="3">
        <v>45316.583333333336</v>
      </c>
      <c r="J2677">
        <v>96</v>
      </c>
      <c r="K2677" s="3">
        <v>45319.708333333336</v>
      </c>
      <c r="L2677" s="4">
        <f>ROUNDDOWN(Table1[[#This Row],[Ordered]],0)</f>
        <v>45316</v>
      </c>
      <c r="M2677" s="4">
        <f>Table1[[#This Row],[Date ]]</f>
        <v>45316</v>
      </c>
      <c r="N2677" s="5">
        <f>Table1[[#This Row],[Ordered]]-Table1[[#This Row],[Date ]]</f>
        <v>0.41666666666424135</v>
      </c>
      <c r="O2677">
        <f>Table1[[#This Row],[Company]]</f>
        <v>12</v>
      </c>
      <c r="P26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8" spans="1:16" x14ac:dyDescent="0.45">
      <c r="A2678" s="3">
        <v>45316.416666666664</v>
      </c>
      <c r="B2678" t="s">
        <v>14</v>
      </c>
      <c r="C2678">
        <v>12</v>
      </c>
      <c r="D2678">
        <v>1010</v>
      </c>
      <c r="E2678" t="s">
        <v>15</v>
      </c>
      <c r="F2678">
        <v>13</v>
      </c>
      <c r="G2678">
        <v>6750</v>
      </c>
      <c r="H2678">
        <v>87750</v>
      </c>
      <c r="I2678" s="3">
        <v>45316.625</v>
      </c>
      <c r="J2678">
        <v>96</v>
      </c>
      <c r="K2678" s="3">
        <v>45319.625</v>
      </c>
      <c r="L2678" s="4">
        <f>ROUNDDOWN(Table1[[#This Row],[Ordered]],0)</f>
        <v>45316</v>
      </c>
      <c r="M2678" s="4">
        <f>Table1[[#This Row],[Date ]]</f>
        <v>45316</v>
      </c>
      <c r="N2678" s="5">
        <f>Table1[[#This Row],[Ordered]]-Table1[[#This Row],[Date ]]</f>
        <v>0.41666666666424135</v>
      </c>
      <c r="O2678">
        <f>Table1[[#This Row],[Company]]</f>
        <v>12</v>
      </c>
      <c r="P26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9" spans="1:16" x14ac:dyDescent="0.45">
      <c r="A2679" s="3">
        <v>45316.416666666664</v>
      </c>
      <c r="B2679" t="s">
        <v>14</v>
      </c>
      <c r="C2679">
        <v>11</v>
      </c>
      <c r="D2679">
        <v>1010</v>
      </c>
      <c r="E2679" t="s">
        <v>15</v>
      </c>
      <c r="F2679">
        <v>15</v>
      </c>
      <c r="G2679">
        <v>6400</v>
      </c>
      <c r="H2679">
        <v>96000</v>
      </c>
      <c r="I2679" s="3">
        <v>45316.666666666664</v>
      </c>
      <c r="J2679">
        <v>72</v>
      </c>
      <c r="K2679" s="3">
        <v>45318.666666666664</v>
      </c>
      <c r="L2679" s="4">
        <f>ROUNDDOWN(Table1[[#This Row],[Ordered]],0)</f>
        <v>45316</v>
      </c>
      <c r="M2679" s="4">
        <f>Table1[[#This Row],[Date ]]</f>
        <v>45316</v>
      </c>
      <c r="N2679" s="5">
        <f>Table1[[#This Row],[Ordered]]-Table1[[#This Row],[Date ]]</f>
        <v>0.41666666666424135</v>
      </c>
      <c r="O2679">
        <f>Table1[[#This Row],[Company]]</f>
        <v>11</v>
      </c>
      <c r="P26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0" spans="1:16" x14ac:dyDescent="0.45">
      <c r="A2680" s="3">
        <v>45316.416666666664</v>
      </c>
      <c r="B2680" t="s">
        <v>14</v>
      </c>
      <c r="C2680">
        <v>11</v>
      </c>
      <c r="D2680">
        <v>1002</v>
      </c>
      <c r="E2680" t="s">
        <v>15</v>
      </c>
      <c r="F2680">
        <v>12</v>
      </c>
      <c r="G2680">
        <v>6400</v>
      </c>
      <c r="H2680">
        <v>76800</v>
      </c>
      <c r="I2680" s="3">
        <v>45316.666666666664</v>
      </c>
      <c r="J2680">
        <v>72</v>
      </c>
      <c r="K2680" s="3">
        <v>45318.666666666664</v>
      </c>
      <c r="L2680" s="4">
        <f>ROUNDDOWN(Table1[[#This Row],[Ordered]],0)</f>
        <v>45316</v>
      </c>
      <c r="M2680" s="4">
        <f>Table1[[#This Row],[Date ]]</f>
        <v>45316</v>
      </c>
      <c r="N2680" s="5">
        <f>Table1[[#This Row],[Ordered]]-Table1[[#This Row],[Date ]]</f>
        <v>0.41666666666424135</v>
      </c>
      <c r="O2680">
        <f>Table1[[#This Row],[Company]]</f>
        <v>11</v>
      </c>
      <c r="P26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1" spans="1:16" x14ac:dyDescent="0.45">
      <c r="A2681" s="3">
        <v>45316.416666666664</v>
      </c>
      <c r="B2681" t="s">
        <v>14</v>
      </c>
      <c r="C2681">
        <v>8</v>
      </c>
      <c r="D2681">
        <v>1002</v>
      </c>
      <c r="E2681" t="s">
        <v>15</v>
      </c>
      <c r="F2681">
        <v>10</v>
      </c>
      <c r="G2681">
        <v>6911</v>
      </c>
      <c r="H2681">
        <v>69110</v>
      </c>
      <c r="I2681" s="3">
        <v>45316.791666666664</v>
      </c>
      <c r="J2681">
        <v>84</v>
      </c>
      <c r="K2681" s="3">
        <v>45319.791666666664</v>
      </c>
      <c r="L2681" s="4">
        <f>ROUNDDOWN(Table1[[#This Row],[Ordered]],0)</f>
        <v>45316</v>
      </c>
      <c r="M2681" s="4">
        <f>Table1[[#This Row],[Date ]]</f>
        <v>45316</v>
      </c>
      <c r="N2681" s="5">
        <f>Table1[[#This Row],[Ordered]]-Table1[[#This Row],[Date ]]</f>
        <v>0.41666666666424135</v>
      </c>
      <c r="O2681">
        <f>Table1[[#This Row],[Company]]</f>
        <v>8</v>
      </c>
      <c r="P26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2" spans="1:16" x14ac:dyDescent="0.45">
      <c r="A2682" s="3">
        <v>45316.416666666664</v>
      </c>
      <c r="B2682" t="s">
        <v>14</v>
      </c>
      <c r="C2682">
        <v>16</v>
      </c>
      <c r="D2682">
        <v>1010</v>
      </c>
      <c r="E2682" t="s">
        <v>15</v>
      </c>
      <c r="F2682">
        <v>11</v>
      </c>
      <c r="G2682">
        <v>6050</v>
      </c>
      <c r="H2682">
        <v>66550</v>
      </c>
      <c r="I2682" s="3">
        <v>45316.625</v>
      </c>
      <c r="J2682">
        <v>96</v>
      </c>
      <c r="K2682" s="3">
        <v>45319.625</v>
      </c>
      <c r="L2682" s="4">
        <f>ROUNDDOWN(Table1[[#This Row],[Ordered]],0)</f>
        <v>45316</v>
      </c>
      <c r="M2682" s="4">
        <f>Table1[[#This Row],[Date ]]</f>
        <v>45316</v>
      </c>
      <c r="N2682" s="5">
        <f>Table1[[#This Row],[Ordered]]-Table1[[#This Row],[Date ]]</f>
        <v>0.41666666666424135</v>
      </c>
      <c r="O2682">
        <f>Table1[[#This Row],[Company]]</f>
        <v>16</v>
      </c>
      <c r="P26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3" spans="1:16" x14ac:dyDescent="0.45">
      <c r="A2683" s="3">
        <v>45316.416666666664</v>
      </c>
      <c r="B2683" t="s">
        <v>14</v>
      </c>
      <c r="C2683">
        <v>16</v>
      </c>
      <c r="D2683">
        <v>1002</v>
      </c>
      <c r="E2683" t="s">
        <v>15</v>
      </c>
      <c r="F2683">
        <v>9</v>
      </c>
      <c r="G2683">
        <v>6050</v>
      </c>
      <c r="H2683">
        <v>54450</v>
      </c>
      <c r="I2683" s="3">
        <v>45316.625</v>
      </c>
      <c r="J2683">
        <v>96</v>
      </c>
      <c r="K2683" s="3">
        <v>45319.625</v>
      </c>
      <c r="L2683" s="4">
        <f>ROUNDDOWN(Table1[[#This Row],[Ordered]],0)</f>
        <v>45316</v>
      </c>
      <c r="M2683" s="4">
        <f>Table1[[#This Row],[Date ]]</f>
        <v>45316</v>
      </c>
      <c r="N2683" s="5">
        <f>Table1[[#This Row],[Ordered]]-Table1[[#This Row],[Date ]]</f>
        <v>0.41666666666424135</v>
      </c>
      <c r="O2683">
        <f>Table1[[#This Row],[Company]]</f>
        <v>16</v>
      </c>
      <c r="P26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4" spans="1:16" x14ac:dyDescent="0.45">
      <c r="A2684" s="3">
        <v>45316.416666666664</v>
      </c>
      <c r="B2684" t="s">
        <v>19</v>
      </c>
      <c r="C2684">
        <v>16</v>
      </c>
      <c r="D2684">
        <v>3001</v>
      </c>
      <c r="E2684" t="s">
        <v>16</v>
      </c>
      <c r="F2684">
        <v>6</v>
      </c>
      <c r="G2684">
        <v>4500</v>
      </c>
      <c r="H2684">
        <v>27000</v>
      </c>
      <c r="I2684" s="3">
        <v>45316.708333333336</v>
      </c>
      <c r="J2684">
        <v>156</v>
      </c>
      <c r="K2684" s="3">
        <v>45321.708333333336</v>
      </c>
      <c r="L2684" s="4">
        <f>ROUNDDOWN(Table1[[#This Row],[Ordered]],0)</f>
        <v>45316</v>
      </c>
      <c r="M2684" s="4">
        <f>Table1[[#This Row],[Date ]]</f>
        <v>45316</v>
      </c>
      <c r="N2684" s="5">
        <f>Table1[[#This Row],[Ordered]]-Table1[[#This Row],[Date ]]</f>
        <v>0.41666666666424135</v>
      </c>
      <c r="O2684">
        <f>Table1[[#This Row],[Company]]</f>
        <v>16</v>
      </c>
      <c r="P26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5" spans="1:16" x14ac:dyDescent="0.45">
      <c r="A2685" s="3">
        <v>45316.416666666664</v>
      </c>
      <c r="B2685" t="s">
        <v>14</v>
      </c>
      <c r="C2685">
        <v>13</v>
      </c>
      <c r="D2685">
        <v>1002</v>
      </c>
      <c r="E2685" t="s">
        <v>15</v>
      </c>
      <c r="F2685">
        <v>16</v>
      </c>
      <c r="G2685">
        <v>6000</v>
      </c>
      <c r="H2685">
        <v>96000</v>
      </c>
      <c r="I2685" s="3">
        <v>45318.166666666664</v>
      </c>
      <c r="J2685">
        <v>96</v>
      </c>
      <c r="K2685" s="3">
        <v>45320.166666666664</v>
      </c>
      <c r="L2685" s="4">
        <f>ROUNDDOWN(Table1[[#This Row],[Ordered]],0)</f>
        <v>45316</v>
      </c>
      <c r="M2685" s="4">
        <f>Table1[[#This Row],[Date ]]</f>
        <v>45316</v>
      </c>
      <c r="N2685" s="5">
        <f>Table1[[#This Row],[Ordered]]-Table1[[#This Row],[Date ]]</f>
        <v>0.41666666666424135</v>
      </c>
      <c r="O2685">
        <f>Table1[[#This Row],[Company]]</f>
        <v>13</v>
      </c>
      <c r="P26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6" spans="1:16" hidden="1" x14ac:dyDescent="0.45">
      <c r="A2686" s="3">
        <v>45316.458333333336</v>
      </c>
      <c r="B2686" t="s">
        <v>12</v>
      </c>
      <c r="C2686">
        <v>4</v>
      </c>
      <c r="D2686">
        <v>13</v>
      </c>
      <c r="E2686" t="s">
        <v>13</v>
      </c>
      <c r="F2686">
        <v>3000</v>
      </c>
      <c r="G2686">
        <v>115</v>
      </c>
      <c r="H2686">
        <v>345000</v>
      </c>
      <c r="I2686" s="3">
        <v>45316.458333333336</v>
      </c>
      <c r="J2686">
        <v>48</v>
      </c>
      <c r="K2686" s="3">
        <v>45318.458333333336</v>
      </c>
      <c r="L2686" s="4">
        <f>ROUNDDOWN(Table1[[#This Row],[Ordered]],0)</f>
        <v>45316</v>
      </c>
      <c r="M2686" s="4">
        <f>Table1[[#This Row],[Date ]]</f>
        <v>45316</v>
      </c>
      <c r="N2686" s="5">
        <f>Table1[[#This Row],[Ordered]]-Table1[[#This Row],[Date ]]</f>
        <v>0.45833333333575865</v>
      </c>
      <c r="O2686">
        <f>Table1[[#This Row],[Company]]</f>
        <v>4</v>
      </c>
      <c r="P26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7" spans="1:16" x14ac:dyDescent="0.45">
      <c r="A2687" s="3">
        <v>45316.583333333336</v>
      </c>
      <c r="B2687" t="s">
        <v>14</v>
      </c>
      <c r="C2687">
        <v>16</v>
      </c>
      <c r="D2687">
        <v>1011</v>
      </c>
      <c r="E2687" t="s">
        <v>16</v>
      </c>
      <c r="F2687">
        <v>22</v>
      </c>
      <c r="G2687">
        <v>3750</v>
      </c>
      <c r="H2687">
        <v>82500</v>
      </c>
      <c r="I2687" s="3">
        <v>45316.666666666664</v>
      </c>
      <c r="J2687">
        <v>96</v>
      </c>
      <c r="K2687" s="3">
        <v>45319.75</v>
      </c>
      <c r="L2687" s="4">
        <f>ROUNDDOWN(Table1[[#This Row],[Ordered]],0)</f>
        <v>45316</v>
      </c>
      <c r="M2687" s="4">
        <f>Table1[[#This Row],[Date ]]</f>
        <v>45316</v>
      </c>
      <c r="N2687" s="5">
        <f>Table1[[#This Row],[Ordered]]-Table1[[#This Row],[Date ]]</f>
        <v>0.58333333333575865</v>
      </c>
      <c r="O2687">
        <f>Table1[[#This Row],[Company]]</f>
        <v>16</v>
      </c>
      <c r="P26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8" spans="1:16" x14ac:dyDescent="0.45">
      <c r="A2688" s="3">
        <v>45316.583333333336</v>
      </c>
      <c r="B2688" t="s">
        <v>14</v>
      </c>
      <c r="C2688">
        <v>15</v>
      </c>
      <c r="D2688">
        <v>1011</v>
      </c>
      <c r="E2688" t="s">
        <v>16</v>
      </c>
      <c r="F2688">
        <v>33</v>
      </c>
      <c r="G2688">
        <v>3500</v>
      </c>
      <c r="H2688">
        <v>115500</v>
      </c>
      <c r="I2688" s="3">
        <v>45316.666666666664</v>
      </c>
      <c r="J2688">
        <v>88</v>
      </c>
      <c r="K2688" s="3">
        <v>45319.666666666664</v>
      </c>
      <c r="L2688" s="4">
        <f>ROUNDDOWN(Table1[[#This Row],[Ordered]],0)</f>
        <v>45316</v>
      </c>
      <c r="M2688" s="4">
        <f>Table1[[#This Row],[Date ]]</f>
        <v>45316</v>
      </c>
      <c r="N2688" s="5">
        <f>Table1[[#This Row],[Ordered]]-Table1[[#This Row],[Date ]]</f>
        <v>0.58333333333575865</v>
      </c>
      <c r="O2688">
        <f>Table1[[#This Row],[Company]]</f>
        <v>15</v>
      </c>
      <c r="P26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9" spans="1:16" x14ac:dyDescent="0.45">
      <c r="A2689" s="3">
        <v>45316.583333333336</v>
      </c>
      <c r="B2689" t="s">
        <v>14</v>
      </c>
      <c r="C2689">
        <v>11</v>
      </c>
      <c r="D2689">
        <v>1011</v>
      </c>
      <c r="E2689" t="s">
        <v>16</v>
      </c>
      <c r="F2689">
        <v>17</v>
      </c>
      <c r="G2689">
        <v>4000</v>
      </c>
      <c r="H2689">
        <v>68000</v>
      </c>
      <c r="I2689" s="3">
        <v>45318.041666666664</v>
      </c>
      <c r="J2689">
        <v>96</v>
      </c>
      <c r="K2689" s="3">
        <v>45320.041666666664</v>
      </c>
      <c r="L2689" s="4">
        <f>ROUNDDOWN(Table1[[#This Row],[Ordered]],0)</f>
        <v>45316</v>
      </c>
      <c r="M2689" s="4">
        <f>Table1[[#This Row],[Date ]]</f>
        <v>45316</v>
      </c>
      <c r="N2689" s="5">
        <f>Table1[[#This Row],[Ordered]]-Table1[[#This Row],[Date ]]</f>
        <v>0.58333333333575865</v>
      </c>
      <c r="O2689">
        <f>Table1[[#This Row],[Company]]</f>
        <v>11</v>
      </c>
      <c r="P26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0" spans="1:16" x14ac:dyDescent="0.45">
      <c r="A2690" s="3">
        <v>45316.583333333336</v>
      </c>
      <c r="B2690" t="s">
        <v>14</v>
      </c>
      <c r="C2690">
        <v>14</v>
      </c>
      <c r="D2690">
        <v>1011</v>
      </c>
      <c r="E2690" t="s">
        <v>16</v>
      </c>
      <c r="F2690">
        <v>25</v>
      </c>
      <c r="G2690">
        <v>3650</v>
      </c>
      <c r="H2690">
        <v>91250</v>
      </c>
      <c r="I2690" s="3">
        <v>45316.75</v>
      </c>
      <c r="J2690">
        <v>84</v>
      </c>
      <c r="K2690" s="3">
        <v>45319.75</v>
      </c>
      <c r="L2690" s="4">
        <f>ROUNDDOWN(Table1[[#This Row],[Ordered]],0)</f>
        <v>45316</v>
      </c>
      <c r="M2690" s="4">
        <f>Table1[[#This Row],[Date ]]</f>
        <v>45316</v>
      </c>
      <c r="N2690" s="5">
        <f>Table1[[#This Row],[Ordered]]-Table1[[#This Row],[Date ]]</f>
        <v>0.58333333333575865</v>
      </c>
      <c r="O2690">
        <f>Table1[[#This Row],[Company]]</f>
        <v>14</v>
      </c>
      <c r="P26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1" spans="1:16" x14ac:dyDescent="0.45">
      <c r="A2691" s="3">
        <v>45316.583333333336</v>
      </c>
      <c r="B2691" t="s">
        <v>14</v>
      </c>
      <c r="C2691">
        <v>13</v>
      </c>
      <c r="D2691">
        <v>1011</v>
      </c>
      <c r="E2691" t="s">
        <v>16</v>
      </c>
      <c r="F2691">
        <v>30</v>
      </c>
      <c r="G2691">
        <v>3100</v>
      </c>
      <c r="H2691">
        <v>93000</v>
      </c>
      <c r="I2691" s="3">
        <v>45317.25</v>
      </c>
      <c r="J2691">
        <v>96</v>
      </c>
      <c r="K2691" s="3">
        <v>45320.25</v>
      </c>
      <c r="L2691" s="4">
        <f>ROUNDDOWN(Table1[[#This Row],[Ordered]],0)</f>
        <v>45316</v>
      </c>
      <c r="M2691" s="4">
        <f>Table1[[#This Row],[Date ]]</f>
        <v>45316</v>
      </c>
      <c r="N2691" s="5">
        <f>Table1[[#This Row],[Ordered]]-Table1[[#This Row],[Date ]]</f>
        <v>0.58333333333575865</v>
      </c>
      <c r="O2691">
        <f>Table1[[#This Row],[Company]]</f>
        <v>13</v>
      </c>
      <c r="P26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2" spans="1:16" x14ac:dyDescent="0.45">
      <c r="A2692" s="3">
        <v>45316.583333333336</v>
      </c>
      <c r="B2692" t="s">
        <v>14</v>
      </c>
      <c r="C2692">
        <v>10</v>
      </c>
      <c r="D2692">
        <v>1011</v>
      </c>
      <c r="E2692" t="s">
        <v>16</v>
      </c>
      <c r="F2692">
        <v>14</v>
      </c>
      <c r="G2692">
        <v>4100</v>
      </c>
      <c r="H2692">
        <v>57400</v>
      </c>
      <c r="I2692" s="3">
        <v>45316.583333333336</v>
      </c>
      <c r="J2692">
        <v>84</v>
      </c>
      <c r="K2692" s="3">
        <v>45319.583333333336</v>
      </c>
      <c r="L2692" s="4">
        <f>ROUNDDOWN(Table1[[#This Row],[Ordered]],0)</f>
        <v>45316</v>
      </c>
      <c r="M2692" s="4">
        <f>Table1[[#This Row],[Date ]]</f>
        <v>45316</v>
      </c>
      <c r="N2692" s="5">
        <f>Table1[[#This Row],[Ordered]]-Table1[[#This Row],[Date ]]</f>
        <v>0.58333333333575865</v>
      </c>
      <c r="O2692">
        <f>Table1[[#This Row],[Company]]</f>
        <v>10</v>
      </c>
      <c r="P26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3" spans="1:16" x14ac:dyDescent="0.45">
      <c r="A2693" s="3">
        <v>45316.583333333336</v>
      </c>
      <c r="B2693" t="s">
        <v>14</v>
      </c>
      <c r="C2693">
        <v>12</v>
      </c>
      <c r="D2693">
        <v>1011</v>
      </c>
      <c r="E2693" t="s">
        <v>16</v>
      </c>
      <c r="F2693">
        <v>19</v>
      </c>
      <c r="G2693">
        <v>3850</v>
      </c>
      <c r="H2693">
        <v>73150</v>
      </c>
      <c r="I2693" s="3">
        <v>45318.5</v>
      </c>
      <c r="J2693">
        <v>96</v>
      </c>
      <c r="K2693" s="3">
        <v>45320.5</v>
      </c>
      <c r="L2693" s="4">
        <f>ROUNDDOWN(Table1[[#This Row],[Ordered]],0)</f>
        <v>45316</v>
      </c>
      <c r="M2693" s="4">
        <f>Table1[[#This Row],[Date ]]</f>
        <v>45316</v>
      </c>
      <c r="N2693" s="5">
        <f>Table1[[#This Row],[Ordered]]-Table1[[#This Row],[Date ]]</f>
        <v>0.58333333333575865</v>
      </c>
      <c r="O2693">
        <f>Table1[[#This Row],[Company]]</f>
        <v>12</v>
      </c>
      <c r="P26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4" spans="1:16" hidden="1" x14ac:dyDescent="0.45">
      <c r="A2694" s="3">
        <v>45316.666666666664</v>
      </c>
      <c r="B2694" t="s">
        <v>12</v>
      </c>
      <c r="C2694">
        <v>4</v>
      </c>
      <c r="D2694">
        <v>13</v>
      </c>
      <c r="E2694" t="s">
        <v>17</v>
      </c>
      <c r="F2694">
        <v>600</v>
      </c>
      <c r="G2694">
        <v>1355</v>
      </c>
      <c r="H2694">
        <v>813000</v>
      </c>
      <c r="I2694" s="3">
        <v>45316.833333333336</v>
      </c>
      <c r="J2694">
        <v>48</v>
      </c>
      <c r="K2694" s="3">
        <v>45318.833333333336</v>
      </c>
      <c r="L2694" s="4">
        <f>ROUNDDOWN(Table1[[#This Row],[Ordered]],0)</f>
        <v>45316</v>
      </c>
      <c r="M2694" s="4">
        <f>Table1[[#This Row],[Date ]]</f>
        <v>45316</v>
      </c>
      <c r="N2694" s="5">
        <f>Table1[[#This Row],[Ordered]]-Table1[[#This Row],[Date ]]</f>
        <v>0.66666666666424135</v>
      </c>
      <c r="O2694">
        <f>Table1[[#This Row],[Company]]</f>
        <v>4</v>
      </c>
      <c r="P26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5" spans="1:16" hidden="1" x14ac:dyDescent="0.45">
      <c r="A2695" s="3">
        <v>45316.666666666664</v>
      </c>
      <c r="B2695" t="s">
        <v>12</v>
      </c>
      <c r="C2695">
        <v>2</v>
      </c>
      <c r="D2695">
        <v>7</v>
      </c>
      <c r="E2695" t="s">
        <v>17</v>
      </c>
      <c r="F2695">
        <v>768</v>
      </c>
      <c r="G2695">
        <v>1600</v>
      </c>
      <c r="H2695">
        <v>1228800</v>
      </c>
      <c r="I2695" s="3">
        <v>45316.833333333336</v>
      </c>
      <c r="J2695">
        <v>72</v>
      </c>
      <c r="K2695" s="3">
        <v>45319.833333333336</v>
      </c>
      <c r="L2695" s="4">
        <f>ROUNDDOWN(Table1[[#This Row],[Ordered]],0)</f>
        <v>45316</v>
      </c>
      <c r="M2695" s="4">
        <f>Table1[[#This Row],[Date ]]</f>
        <v>45316</v>
      </c>
      <c r="N2695" s="5">
        <f>Table1[[#This Row],[Ordered]]-Table1[[#This Row],[Date ]]</f>
        <v>0.66666666666424135</v>
      </c>
      <c r="O2695">
        <f>Table1[[#This Row],[Company]]</f>
        <v>2</v>
      </c>
      <c r="P26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6" spans="1:16" x14ac:dyDescent="0.45">
      <c r="A2696" s="3">
        <v>45316.75</v>
      </c>
      <c r="B2696" t="s">
        <v>0</v>
      </c>
      <c r="C2696">
        <v>11</v>
      </c>
      <c r="D2696">
        <v>2006</v>
      </c>
      <c r="E2696" t="s">
        <v>16</v>
      </c>
      <c r="F2696">
        <v>40</v>
      </c>
      <c r="G2696">
        <v>4000</v>
      </c>
      <c r="H2696">
        <v>160000</v>
      </c>
      <c r="I2696" s="3">
        <v>45318.5</v>
      </c>
      <c r="J2696">
        <v>132</v>
      </c>
      <c r="K2696" s="3">
        <v>45321.5</v>
      </c>
      <c r="L2696" s="4">
        <f>ROUNDDOWN(Table1[[#This Row],[Ordered]],0)</f>
        <v>45316</v>
      </c>
      <c r="M2696" s="4">
        <f>Table1[[#This Row],[Date ]]</f>
        <v>45316</v>
      </c>
      <c r="N2696" s="5">
        <f>Table1[[#This Row],[Ordered]]-Table1[[#This Row],[Date ]]</f>
        <v>0.75</v>
      </c>
      <c r="O2696">
        <f>Table1[[#This Row],[Company]]</f>
        <v>11</v>
      </c>
      <c r="P26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7" spans="1:16" x14ac:dyDescent="0.45">
      <c r="A2697" s="3">
        <v>45316.75</v>
      </c>
      <c r="B2697" t="s">
        <v>0</v>
      </c>
      <c r="C2697">
        <v>13</v>
      </c>
      <c r="D2697">
        <v>2006</v>
      </c>
      <c r="E2697" t="s">
        <v>16</v>
      </c>
      <c r="F2697">
        <v>30</v>
      </c>
      <c r="G2697">
        <v>3000</v>
      </c>
      <c r="H2697">
        <v>90000</v>
      </c>
      <c r="I2697" s="3">
        <v>45318.916666666664</v>
      </c>
      <c r="J2697">
        <v>132</v>
      </c>
      <c r="K2697" s="3">
        <v>45321.916666666664</v>
      </c>
      <c r="L2697" s="4">
        <f>ROUNDDOWN(Table1[[#This Row],[Ordered]],0)</f>
        <v>45316</v>
      </c>
      <c r="M2697" s="4">
        <f>Table1[[#This Row],[Date ]]</f>
        <v>45316</v>
      </c>
      <c r="N2697" s="5">
        <f>Table1[[#This Row],[Ordered]]-Table1[[#This Row],[Date ]]</f>
        <v>0.75</v>
      </c>
      <c r="O2697">
        <f>Table1[[#This Row],[Company]]</f>
        <v>13</v>
      </c>
      <c r="P26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8" spans="1:16" x14ac:dyDescent="0.45">
      <c r="A2698" s="3">
        <v>45316.75</v>
      </c>
      <c r="B2698" t="s">
        <v>14</v>
      </c>
      <c r="C2698">
        <v>10</v>
      </c>
      <c r="D2698">
        <v>1007</v>
      </c>
      <c r="E2698" t="s">
        <v>16</v>
      </c>
      <c r="F2698">
        <v>49</v>
      </c>
      <c r="G2698">
        <v>4200</v>
      </c>
      <c r="H2698">
        <v>205800</v>
      </c>
      <c r="I2698" s="3">
        <v>45316.75</v>
      </c>
      <c r="J2698">
        <v>60</v>
      </c>
      <c r="K2698" s="3">
        <v>45318.75</v>
      </c>
      <c r="L2698" s="4">
        <f>ROUNDDOWN(Table1[[#This Row],[Ordered]],0)</f>
        <v>45316</v>
      </c>
      <c r="M2698" s="4">
        <f>Table1[[#This Row],[Date ]]</f>
        <v>45316</v>
      </c>
      <c r="N2698" s="5">
        <f>Table1[[#This Row],[Ordered]]-Table1[[#This Row],[Date ]]</f>
        <v>0.75</v>
      </c>
      <c r="O2698">
        <f>Table1[[#This Row],[Company]]</f>
        <v>10</v>
      </c>
      <c r="P26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9" spans="1:16" x14ac:dyDescent="0.45">
      <c r="A2699" s="3">
        <v>45316.75</v>
      </c>
      <c r="B2699" t="s">
        <v>14</v>
      </c>
      <c r="C2699">
        <v>13</v>
      </c>
      <c r="D2699">
        <v>1010</v>
      </c>
      <c r="E2699" t="s">
        <v>16</v>
      </c>
      <c r="F2699">
        <v>30</v>
      </c>
      <c r="G2699">
        <v>3100</v>
      </c>
      <c r="H2699">
        <v>93000</v>
      </c>
      <c r="I2699" s="3">
        <v>45317.458333333336</v>
      </c>
      <c r="J2699">
        <v>96</v>
      </c>
      <c r="K2699" s="3">
        <v>45320.458333333336</v>
      </c>
      <c r="L2699" s="4">
        <f>ROUNDDOWN(Table1[[#This Row],[Ordered]],0)</f>
        <v>45316</v>
      </c>
      <c r="M2699" s="4">
        <f>Table1[[#This Row],[Date ]]</f>
        <v>45316</v>
      </c>
      <c r="N2699" s="5">
        <f>Table1[[#This Row],[Ordered]]-Table1[[#This Row],[Date ]]</f>
        <v>0.75</v>
      </c>
      <c r="O2699">
        <f>Table1[[#This Row],[Company]]</f>
        <v>13</v>
      </c>
      <c r="P26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0" spans="1:16" x14ac:dyDescent="0.45">
      <c r="A2700" s="3">
        <v>45316.75</v>
      </c>
      <c r="B2700" t="s">
        <v>0</v>
      </c>
      <c r="C2700">
        <v>8</v>
      </c>
      <c r="D2700">
        <v>2006</v>
      </c>
      <c r="E2700" t="s">
        <v>15</v>
      </c>
      <c r="F2700">
        <v>30</v>
      </c>
      <c r="G2700">
        <v>6555</v>
      </c>
      <c r="H2700">
        <v>196650</v>
      </c>
      <c r="I2700" s="3">
        <v>45317.416666666664</v>
      </c>
      <c r="J2700">
        <v>132</v>
      </c>
      <c r="K2700" s="3">
        <v>45321.916666666664</v>
      </c>
      <c r="L2700" s="4">
        <f>ROUNDDOWN(Table1[[#This Row],[Ordered]],0)</f>
        <v>45316</v>
      </c>
      <c r="M2700" s="4">
        <f>Table1[[#This Row],[Date ]]</f>
        <v>45316</v>
      </c>
      <c r="N2700" s="5">
        <f>Table1[[#This Row],[Ordered]]-Table1[[#This Row],[Date ]]</f>
        <v>0.75</v>
      </c>
      <c r="O2700">
        <f>Table1[[#This Row],[Company]]</f>
        <v>8</v>
      </c>
      <c r="P27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1" spans="1:16" x14ac:dyDescent="0.45">
      <c r="A2701" s="3">
        <v>45316.75</v>
      </c>
      <c r="B2701" t="s">
        <v>14</v>
      </c>
      <c r="C2701">
        <v>12</v>
      </c>
      <c r="D2701">
        <v>1007</v>
      </c>
      <c r="E2701" t="s">
        <v>16</v>
      </c>
      <c r="F2701">
        <v>30</v>
      </c>
      <c r="G2701">
        <v>3850</v>
      </c>
      <c r="H2701">
        <v>115500</v>
      </c>
      <c r="I2701" s="3">
        <v>45318.541666666664</v>
      </c>
      <c r="J2701">
        <v>96</v>
      </c>
      <c r="K2701" s="3">
        <v>45320.541666666664</v>
      </c>
      <c r="L2701" s="4">
        <f>ROUNDDOWN(Table1[[#This Row],[Ordered]],0)</f>
        <v>45316</v>
      </c>
      <c r="M2701" s="4">
        <f>Table1[[#This Row],[Date ]]</f>
        <v>45316</v>
      </c>
      <c r="N2701" s="5">
        <f>Table1[[#This Row],[Ordered]]-Table1[[#This Row],[Date ]]</f>
        <v>0.75</v>
      </c>
      <c r="O2701">
        <f>Table1[[#This Row],[Company]]</f>
        <v>12</v>
      </c>
      <c r="P27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2" spans="1:16" x14ac:dyDescent="0.45">
      <c r="A2702" s="3">
        <v>45316.75</v>
      </c>
      <c r="B2702" t="s">
        <v>0</v>
      </c>
      <c r="C2702">
        <v>15</v>
      </c>
      <c r="D2702">
        <v>2006</v>
      </c>
      <c r="E2702" t="s">
        <v>15</v>
      </c>
      <c r="F2702">
        <v>50</v>
      </c>
      <c r="G2702">
        <v>6450</v>
      </c>
      <c r="H2702">
        <v>322500</v>
      </c>
      <c r="I2702" s="3">
        <v>45316.75</v>
      </c>
      <c r="J2702">
        <v>48</v>
      </c>
      <c r="K2702" s="3">
        <v>45318.25</v>
      </c>
      <c r="L2702" s="4">
        <f>ROUNDDOWN(Table1[[#This Row],[Ordered]],0)</f>
        <v>45316</v>
      </c>
      <c r="M2702" s="4">
        <f>Table1[[#This Row],[Date ]]</f>
        <v>45316</v>
      </c>
      <c r="N2702" s="5">
        <f>Table1[[#This Row],[Ordered]]-Table1[[#This Row],[Date ]]</f>
        <v>0.75</v>
      </c>
      <c r="O2702">
        <f>Table1[[#This Row],[Company]]</f>
        <v>15</v>
      </c>
      <c r="P27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3" spans="1:16" x14ac:dyDescent="0.45">
      <c r="A2703" s="3">
        <v>45316.75</v>
      </c>
      <c r="B2703" t="s">
        <v>0</v>
      </c>
      <c r="C2703">
        <v>12</v>
      </c>
      <c r="D2703">
        <v>2006</v>
      </c>
      <c r="E2703" t="s">
        <v>16</v>
      </c>
      <c r="F2703">
        <v>30</v>
      </c>
      <c r="G2703">
        <v>3900</v>
      </c>
      <c r="H2703">
        <v>117000</v>
      </c>
      <c r="I2703" s="3">
        <v>45318.541666666664</v>
      </c>
      <c r="J2703">
        <v>120</v>
      </c>
      <c r="K2703" s="3">
        <v>45321.625</v>
      </c>
      <c r="L2703" s="4">
        <f>ROUNDDOWN(Table1[[#This Row],[Ordered]],0)</f>
        <v>45316</v>
      </c>
      <c r="M2703" s="4">
        <f>Table1[[#This Row],[Date ]]</f>
        <v>45316</v>
      </c>
      <c r="N2703" s="5">
        <f>Table1[[#This Row],[Ordered]]-Table1[[#This Row],[Date ]]</f>
        <v>0.75</v>
      </c>
      <c r="O2703">
        <f>Table1[[#This Row],[Company]]</f>
        <v>12</v>
      </c>
      <c r="P27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4" spans="1:16" x14ac:dyDescent="0.45">
      <c r="A2704" s="3">
        <v>45316.75</v>
      </c>
      <c r="B2704" t="s">
        <v>0</v>
      </c>
      <c r="C2704">
        <v>9</v>
      </c>
      <c r="D2704">
        <v>2006</v>
      </c>
      <c r="E2704" t="s">
        <v>16</v>
      </c>
      <c r="F2704">
        <v>30</v>
      </c>
      <c r="G2704">
        <v>3599</v>
      </c>
      <c r="H2704">
        <v>107970</v>
      </c>
      <c r="I2704" s="3">
        <v>45316.75</v>
      </c>
      <c r="J2704">
        <v>112</v>
      </c>
      <c r="K2704" s="3">
        <v>45321.25</v>
      </c>
      <c r="L2704" s="4">
        <f>ROUNDDOWN(Table1[[#This Row],[Ordered]],0)</f>
        <v>45316</v>
      </c>
      <c r="M2704" s="4">
        <f>Table1[[#This Row],[Date ]]</f>
        <v>45316</v>
      </c>
      <c r="N2704" s="5">
        <f>Table1[[#This Row],[Ordered]]-Table1[[#This Row],[Date ]]</f>
        <v>0.75</v>
      </c>
      <c r="O2704">
        <f>Table1[[#This Row],[Company]]</f>
        <v>9</v>
      </c>
      <c r="P27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5" spans="1:16" x14ac:dyDescent="0.45">
      <c r="A2705" s="3">
        <v>45316.75</v>
      </c>
      <c r="B2705" t="s">
        <v>14</v>
      </c>
      <c r="C2705">
        <v>14</v>
      </c>
      <c r="D2705">
        <v>1010</v>
      </c>
      <c r="E2705" t="s">
        <v>16</v>
      </c>
      <c r="F2705">
        <v>40</v>
      </c>
      <c r="G2705">
        <v>3650</v>
      </c>
      <c r="H2705">
        <v>146000</v>
      </c>
      <c r="I2705" s="3">
        <v>45316.875</v>
      </c>
      <c r="J2705">
        <v>84</v>
      </c>
      <c r="K2705" s="3">
        <v>45319.875</v>
      </c>
      <c r="L2705" s="4">
        <f>ROUNDDOWN(Table1[[#This Row],[Ordered]],0)</f>
        <v>45316</v>
      </c>
      <c r="M2705" s="4">
        <f>Table1[[#This Row],[Date ]]</f>
        <v>45316</v>
      </c>
      <c r="N2705" s="5">
        <f>Table1[[#This Row],[Ordered]]-Table1[[#This Row],[Date ]]</f>
        <v>0.75</v>
      </c>
      <c r="O2705">
        <f>Table1[[#This Row],[Company]]</f>
        <v>14</v>
      </c>
      <c r="P27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6" spans="1:16" x14ac:dyDescent="0.45">
      <c r="A2706" s="3">
        <v>45316.75</v>
      </c>
      <c r="B2706" t="s">
        <v>14</v>
      </c>
      <c r="C2706">
        <v>9</v>
      </c>
      <c r="D2706">
        <v>1010</v>
      </c>
      <c r="E2706" t="s">
        <v>16</v>
      </c>
      <c r="F2706">
        <v>35</v>
      </c>
      <c r="G2706">
        <v>3599</v>
      </c>
      <c r="H2706">
        <v>125965</v>
      </c>
      <c r="I2706" s="3">
        <v>45316.75</v>
      </c>
      <c r="J2706">
        <v>76</v>
      </c>
      <c r="K2706" s="3">
        <v>45319.75</v>
      </c>
      <c r="L2706" s="4">
        <f>ROUNDDOWN(Table1[[#This Row],[Ordered]],0)</f>
        <v>45316</v>
      </c>
      <c r="M2706" s="4">
        <f>Table1[[#This Row],[Date ]]</f>
        <v>45316</v>
      </c>
      <c r="N2706" s="5">
        <f>Table1[[#This Row],[Ordered]]-Table1[[#This Row],[Date ]]</f>
        <v>0.75</v>
      </c>
      <c r="O2706">
        <f>Table1[[#This Row],[Company]]</f>
        <v>9</v>
      </c>
      <c r="P27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7" spans="1:16" x14ac:dyDescent="0.45">
      <c r="A2707" s="3">
        <v>45316.75</v>
      </c>
      <c r="B2707" t="s">
        <v>14</v>
      </c>
      <c r="C2707">
        <v>16</v>
      </c>
      <c r="D2707">
        <v>1008</v>
      </c>
      <c r="E2707" t="s">
        <v>15</v>
      </c>
      <c r="F2707">
        <v>26</v>
      </c>
      <c r="G2707">
        <v>5950</v>
      </c>
      <c r="H2707">
        <v>154700</v>
      </c>
      <c r="I2707" s="3">
        <v>45317.75</v>
      </c>
      <c r="J2707">
        <v>120</v>
      </c>
      <c r="K2707" s="3">
        <v>45320.75</v>
      </c>
      <c r="L2707" s="4">
        <f>ROUNDDOWN(Table1[[#This Row],[Ordered]],0)</f>
        <v>45316</v>
      </c>
      <c r="M2707" s="4">
        <f>Table1[[#This Row],[Date ]]</f>
        <v>45316</v>
      </c>
      <c r="N2707" s="5">
        <f>Table1[[#This Row],[Ordered]]-Table1[[#This Row],[Date ]]</f>
        <v>0.75</v>
      </c>
      <c r="O2707">
        <f>Table1[[#This Row],[Company]]</f>
        <v>16</v>
      </c>
      <c r="P27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8" spans="1:16" x14ac:dyDescent="0.45">
      <c r="A2708" s="3">
        <v>45316.75</v>
      </c>
      <c r="B2708" t="s">
        <v>14</v>
      </c>
      <c r="C2708">
        <v>16</v>
      </c>
      <c r="D2708">
        <v>1007</v>
      </c>
      <c r="E2708" t="s">
        <v>16</v>
      </c>
      <c r="F2708">
        <v>30</v>
      </c>
      <c r="G2708">
        <v>3750</v>
      </c>
      <c r="H2708">
        <v>112500</v>
      </c>
      <c r="I2708" s="3">
        <v>45316.833333333336</v>
      </c>
      <c r="J2708">
        <v>96</v>
      </c>
      <c r="K2708" s="3">
        <v>45319.833333333336</v>
      </c>
      <c r="L2708" s="4">
        <f>ROUNDDOWN(Table1[[#This Row],[Ordered]],0)</f>
        <v>45316</v>
      </c>
      <c r="M2708" s="4">
        <f>Table1[[#This Row],[Date ]]</f>
        <v>45316</v>
      </c>
      <c r="N2708" s="5">
        <f>Table1[[#This Row],[Ordered]]-Table1[[#This Row],[Date ]]</f>
        <v>0.75</v>
      </c>
      <c r="O2708">
        <f>Table1[[#This Row],[Company]]</f>
        <v>16</v>
      </c>
      <c r="P27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9" spans="1:16" x14ac:dyDescent="0.45">
      <c r="A2709" s="3">
        <v>45316.75</v>
      </c>
      <c r="B2709" t="s">
        <v>14</v>
      </c>
      <c r="C2709">
        <v>14</v>
      </c>
      <c r="D2709">
        <v>1007</v>
      </c>
      <c r="E2709" t="s">
        <v>16</v>
      </c>
      <c r="F2709">
        <v>40</v>
      </c>
      <c r="G2709">
        <v>3650</v>
      </c>
      <c r="H2709">
        <v>146000</v>
      </c>
      <c r="I2709" s="3">
        <v>45316.875</v>
      </c>
      <c r="J2709">
        <v>84</v>
      </c>
      <c r="K2709" s="3">
        <v>45319.875</v>
      </c>
      <c r="L2709" s="4">
        <f>ROUNDDOWN(Table1[[#This Row],[Ordered]],0)</f>
        <v>45316</v>
      </c>
      <c r="M2709" s="4">
        <f>Table1[[#This Row],[Date ]]</f>
        <v>45316</v>
      </c>
      <c r="N2709" s="5">
        <f>Table1[[#This Row],[Ordered]]-Table1[[#This Row],[Date ]]</f>
        <v>0.75</v>
      </c>
      <c r="O2709">
        <f>Table1[[#This Row],[Company]]</f>
        <v>14</v>
      </c>
      <c r="P27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0" spans="1:16" x14ac:dyDescent="0.45">
      <c r="A2710" s="3">
        <v>45316.75</v>
      </c>
      <c r="B2710" t="s">
        <v>0</v>
      </c>
      <c r="C2710">
        <v>10</v>
      </c>
      <c r="D2710">
        <v>2006</v>
      </c>
      <c r="E2710" t="s">
        <v>16</v>
      </c>
      <c r="F2710">
        <v>92</v>
      </c>
      <c r="G2710">
        <v>4000</v>
      </c>
      <c r="H2710">
        <v>368000</v>
      </c>
      <c r="I2710" s="3">
        <v>45316.833333333336</v>
      </c>
      <c r="J2710">
        <v>84</v>
      </c>
      <c r="K2710" s="3">
        <v>45319.833333333336</v>
      </c>
      <c r="L2710" s="4">
        <f>ROUNDDOWN(Table1[[#This Row],[Ordered]],0)</f>
        <v>45316</v>
      </c>
      <c r="M2710" s="4">
        <f>Table1[[#This Row],[Date ]]</f>
        <v>45316</v>
      </c>
      <c r="N2710" s="5">
        <f>Table1[[#This Row],[Ordered]]-Table1[[#This Row],[Date ]]</f>
        <v>0.75</v>
      </c>
      <c r="O2710">
        <f>Table1[[#This Row],[Company]]</f>
        <v>10</v>
      </c>
      <c r="P27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1" spans="1:16" x14ac:dyDescent="0.45">
      <c r="A2711" s="3">
        <v>45316.75</v>
      </c>
      <c r="B2711" t="s">
        <v>0</v>
      </c>
      <c r="C2711">
        <v>16</v>
      </c>
      <c r="D2711">
        <v>2006</v>
      </c>
      <c r="E2711" t="s">
        <v>16</v>
      </c>
      <c r="F2711">
        <v>30</v>
      </c>
      <c r="G2711">
        <v>3750</v>
      </c>
      <c r="H2711">
        <v>112500</v>
      </c>
      <c r="I2711" s="3">
        <v>45316.958333333336</v>
      </c>
      <c r="J2711">
        <v>132</v>
      </c>
      <c r="K2711" s="3">
        <v>45321.458333333336</v>
      </c>
      <c r="L2711" s="4">
        <f>ROUNDDOWN(Table1[[#This Row],[Ordered]],0)</f>
        <v>45316</v>
      </c>
      <c r="M2711" s="4">
        <f>Table1[[#This Row],[Date ]]</f>
        <v>45316</v>
      </c>
      <c r="N2711" s="5">
        <f>Table1[[#This Row],[Ordered]]-Table1[[#This Row],[Date ]]</f>
        <v>0.75</v>
      </c>
      <c r="O2711">
        <f>Table1[[#This Row],[Company]]</f>
        <v>16</v>
      </c>
      <c r="P27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2" spans="1:16" x14ac:dyDescent="0.45">
      <c r="A2712" s="3">
        <v>45316.75</v>
      </c>
      <c r="B2712" t="s">
        <v>0</v>
      </c>
      <c r="C2712">
        <v>16</v>
      </c>
      <c r="D2712">
        <v>2006</v>
      </c>
      <c r="E2712" t="s">
        <v>15</v>
      </c>
      <c r="F2712">
        <v>30</v>
      </c>
      <c r="G2712">
        <v>6050</v>
      </c>
      <c r="H2712">
        <v>181500</v>
      </c>
      <c r="I2712" s="3">
        <v>45316.958333333336</v>
      </c>
      <c r="J2712">
        <v>132</v>
      </c>
      <c r="K2712" s="3">
        <v>45321.458333333336</v>
      </c>
      <c r="L2712" s="4">
        <f>ROUNDDOWN(Table1[[#This Row],[Ordered]],0)</f>
        <v>45316</v>
      </c>
      <c r="M2712" s="4">
        <f>Table1[[#This Row],[Date ]]</f>
        <v>45316</v>
      </c>
      <c r="N2712" s="5">
        <f>Table1[[#This Row],[Ordered]]-Table1[[#This Row],[Date ]]</f>
        <v>0.75</v>
      </c>
      <c r="O2712">
        <f>Table1[[#This Row],[Company]]</f>
        <v>16</v>
      </c>
      <c r="P27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3" spans="1:16" x14ac:dyDescent="0.45">
      <c r="A2713" s="3">
        <v>45316.75</v>
      </c>
      <c r="B2713" t="s">
        <v>14</v>
      </c>
      <c r="C2713">
        <v>9</v>
      </c>
      <c r="D2713">
        <v>1007</v>
      </c>
      <c r="E2713" t="s">
        <v>16</v>
      </c>
      <c r="F2713">
        <v>100</v>
      </c>
      <c r="G2713">
        <v>3250</v>
      </c>
      <c r="H2713">
        <v>325000</v>
      </c>
      <c r="I2713" s="3">
        <v>45317.208333333336</v>
      </c>
      <c r="J2713">
        <v>96</v>
      </c>
      <c r="K2713" s="3">
        <v>45320.208333333336</v>
      </c>
      <c r="L2713" s="4">
        <f>ROUNDDOWN(Table1[[#This Row],[Ordered]],0)</f>
        <v>45316</v>
      </c>
      <c r="M2713" s="4">
        <f>Table1[[#This Row],[Date ]]</f>
        <v>45316</v>
      </c>
      <c r="N2713" s="5">
        <f>Table1[[#This Row],[Ordered]]-Table1[[#This Row],[Date ]]</f>
        <v>0.75</v>
      </c>
      <c r="O2713">
        <f>Table1[[#This Row],[Company]]</f>
        <v>9</v>
      </c>
      <c r="P27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4" spans="1:16" x14ac:dyDescent="0.45">
      <c r="A2714" s="3">
        <v>45316.75</v>
      </c>
      <c r="B2714" t="s">
        <v>0</v>
      </c>
      <c r="C2714">
        <v>9</v>
      </c>
      <c r="D2714">
        <v>2006</v>
      </c>
      <c r="E2714" t="s">
        <v>15</v>
      </c>
      <c r="F2714">
        <v>30</v>
      </c>
      <c r="G2714">
        <v>6255</v>
      </c>
      <c r="H2714">
        <v>187650</v>
      </c>
      <c r="I2714" s="3">
        <v>45317.208333333336</v>
      </c>
      <c r="J2714">
        <v>132</v>
      </c>
      <c r="K2714" s="3">
        <v>45321.708333333336</v>
      </c>
      <c r="L2714" s="4">
        <f>ROUNDDOWN(Table1[[#This Row],[Ordered]],0)</f>
        <v>45316</v>
      </c>
      <c r="M2714" s="4">
        <f>Table1[[#This Row],[Date ]]</f>
        <v>45316</v>
      </c>
      <c r="N2714" s="5">
        <f>Table1[[#This Row],[Ordered]]-Table1[[#This Row],[Date ]]</f>
        <v>0.75</v>
      </c>
      <c r="O2714">
        <f>Table1[[#This Row],[Company]]</f>
        <v>9</v>
      </c>
      <c r="P27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5" spans="1:16" x14ac:dyDescent="0.45">
      <c r="A2715" s="3">
        <v>45316.75</v>
      </c>
      <c r="B2715" t="s">
        <v>14</v>
      </c>
      <c r="C2715">
        <v>12</v>
      </c>
      <c r="D2715">
        <v>1008</v>
      </c>
      <c r="E2715" t="s">
        <v>15</v>
      </c>
      <c r="F2715">
        <v>34</v>
      </c>
      <c r="G2715">
        <v>6700</v>
      </c>
      <c r="H2715">
        <v>227800</v>
      </c>
      <c r="I2715" s="3">
        <v>45317.875</v>
      </c>
      <c r="J2715">
        <v>120</v>
      </c>
      <c r="K2715" s="3">
        <v>45320.875</v>
      </c>
      <c r="L2715" s="4">
        <f>ROUNDDOWN(Table1[[#This Row],[Ordered]],0)</f>
        <v>45316</v>
      </c>
      <c r="M2715" s="4">
        <f>Table1[[#This Row],[Date ]]</f>
        <v>45316</v>
      </c>
      <c r="N2715" s="5">
        <f>Table1[[#This Row],[Ordered]]-Table1[[#This Row],[Date ]]</f>
        <v>0.75</v>
      </c>
      <c r="O2715">
        <f>Table1[[#This Row],[Company]]</f>
        <v>12</v>
      </c>
      <c r="P27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6" spans="1:16" x14ac:dyDescent="0.45">
      <c r="A2716" s="3">
        <v>45316.75</v>
      </c>
      <c r="B2716" t="s">
        <v>14</v>
      </c>
      <c r="C2716">
        <v>11</v>
      </c>
      <c r="D2716">
        <v>1010</v>
      </c>
      <c r="E2716" t="s">
        <v>16</v>
      </c>
      <c r="F2716">
        <v>23</v>
      </c>
      <c r="G2716">
        <v>4000</v>
      </c>
      <c r="H2716">
        <v>92000</v>
      </c>
      <c r="I2716" s="3">
        <v>45318.208333333336</v>
      </c>
      <c r="J2716">
        <v>96</v>
      </c>
      <c r="K2716" s="3">
        <v>45320.208333333336</v>
      </c>
      <c r="L2716" s="4">
        <f>ROUNDDOWN(Table1[[#This Row],[Ordered]],0)</f>
        <v>45316</v>
      </c>
      <c r="M2716" s="4">
        <f>Table1[[#This Row],[Date ]]</f>
        <v>45316</v>
      </c>
      <c r="N2716" s="5">
        <f>Table1[[#This Row],[Ordered]]-Table1[[#This Row],[Date ]]</f>
        <v>0.75</v>
      </c>
      <c r="O2716">
        <f>Table1[[#This Row],[Company]]</f>
        <v>11</v>
      </c>
      <c r="P27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7" spans="1:16" x14ac:dyDescent="0.45">
      <c r="A2717" s="3">
        <v>45316.75</v>
      </c>
      <c r="B2717" t="s">
        <v>0</v>
      </c>
      <c r="C2717">
        <v>8</v>
      </c>
      <c r="D2717">
        <v>2006</v>
      </c>
      <c r="E2717" t="s">
        <v>16</v>
      </c>
      <c r="F2717">
        <v>50</v>
      </c>
      <c r="G2717">
        <v>4155</v>
      </c>
      <c r="H2717">
        <v>207750</v>
      </c>
      <c r="I2717" s="3">
        <v>45318.416666666664</v>
      </c>
      <c r="J2717">
        <v>120</v>
      </c>
      <c r="K2717" s="3">
        <v>45321.416666666664</v>
      </c>
      <c r="L2717" s="4">
        <f>ROUNDDOWN(Table1[[#This Row],[Ordered]],0)</f>
        <v>45316</v>
      </c>
      <c r="M2717" s="4">
        <f>Table1[[#This Row],[Date ]]</f>
        <v>45316</v>
      </c>
      <c r="N2717" s="5">
        <f>Table1[[#This Row],[Ordered]]-Table1[[#This Row],[Date ]]</f>
        <v>0.75</v>
      </c>
      <c r="O2717">
        <f>Table1[[#This Row],[Company]]</f>
        <v>8</v>
      </c>
      <c r="P27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8" spans="1:16" x14ac:dyDescent="0.45">
      <c r="A2718" s="3">
        <v>45316.75</v>
      </c>
      <c r="B2718" t="s">
        <v>14</v>
      </c>
      <c r="C2718">
        <v>12</v>
      </c>
      <c r="D2718">
        <v>1010</v>
      </c>
      <c r="E2718" t="s">
        <v>16</v>
      </c>
      <c r="F2718">
        <v>20</v>
      </c>
      <c r="G2718">
        <v>3850</v>
      </c>
      <c r="H2718">
        <v>77000</v>
      </c>
      <c r="I2718" s="3">
        <v>45318.541666666664</v>
      </c>
      <c r="J2718">
        <v>96</v>
      </c>
      <c r="K2718" s="3">
        <v>45320.541666666664</v>
      </c>
      <c r="L2718" s="4">
        <f>ROUNDDOWN(Table1[[#This Row],[Ordered]],0)</f>
        <v>45316</v>
      </c>
      <c r="M2718" s="4">
        <f>Table1[[#This Row],[Date ]]</f>
        <v>45316</v>
      </c>
      <c r="N2718" s="5">
        <f>Table1[[#This Row],[Ordered]]-Table1[[#This Row],[Date ]]</f>
        <v>0.75</v>
      </c>
      <c r="O2718">
        <f>Table1[[#This Row],[Company]]</f>
        <v>12</v>
      </c>
      <c r="P27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9" spans="1:16" x14ac:dyDescent="0.45">
      <c r="A2719" s="3">
        <v>45316.75</v>
      </c>
      <c r="B2719" t="s">
        <v>0</v>
      </c>
      <c r="C2719">
        <v>11</v>
      </c>
      <c r="D2719">
        <v>2006</v>
      </c>
      <c r="E2719" t="s">
        <v>15</v>
      </c>
      <c r="F2719">
        <v>10</v>
      </c>
      <c r="G2719">
        <v>6800</v>
      </c>
      <c r="H2719">
        <v>68000</v>
      </c>
      <c r="I2719" s="3">
        <v>45316.75</v>
      </c>
      <c r="J2719">
        <v>84</v>
      </c>
      <c r="K2719" s="3">
        <v>45319.75</v>
      </c>
      <c r="L2719" s="4">
        <f>ROUNDDOWN(Table1[[#This Row],[Ordered]],0)</f>
        <v>45316</v>
      </c>
      <c r="M2719" s="4">
        <f>Table1[[#This Row],[Date ]]</f>
        <v>45316</v>
      </c>
      <c r="N2719" s="5">
        <f>Table1[[#This Row],[Ordered]]-Table1[[#This Row],[Date ]]</f>
        <v>0.75</v>
      </c>
      <c r="O2719">
        <f>Table1[[#This Row],[Company]]</f>
        <v>11</v>
      </c>
      <c r="P27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0" spans="1:16" x14ac:dyDescent="0.45">
      <c r="A2720" s="3">
        <v>45316.75</v>
      </c>
      <c r="B2720" t="s">
        <v>14</v>
      </c>
      <c r="C2720">
        <v>11</v>
      </c>
      <c r="D2720">
        <v>1007</v>
      </c>
      <c r="E2720" t="s">
        <v>16</v>
      </c>
      <c r="F2720">
        <v>30</v>
      </c>
      <c r="G2720">
        <v>4000</v>
      </c>
      <c r="H2720">
        <v>120000</v>
      </c>
      <c r="I2720" s="3">
        <v>45318.333333333336</v>
      </c>
      <c r="J2720">
        <v>96</v>
      </c>
      <c r="K2720" s="3">
        <v>45320.333333333336</v>
      </c>
      <c r="L2720" s="4">
        <f>ROUNDDOWN(Table1[[#This Row],[Ordered]],0)</f>
        <v>45316</v>
      </c>
      <c r="M2720" s="4">
        <f>Table1[[#This Row],[Date ]]</f>
        <v>45316</v>
      </c>
      <c r="N2720" s="5">
        <f>Table1[[#This Row],[Ordered]]-Table1[[#This Row],[Date ]]</f>
        <v>0.75</v>
      </c>
      <c r="O2720">
        <f>Table1[[#This Row],[Company]]</f>
        <v>11</v>
      </c>
      <c r="P27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1" spans="1:16" x14ac:dyDescent="0.45">
      <c r="A2721" s="3">
        <v>45316.75</v>
      </c>
      <c r="B2721" t="s">
        <v>0</v>
      </c>
      <c r="C2721">
        <v>14</v>
      </c>
      <c r="D2721">
        <v>2006</v>
      </c>
      <c r="E2721" t="s">
        <v>16</v>
      </c>
      <c r="F2721">
        <v>40</v>
      </c>
      <c r="G2721">
        <v>3750</v>
      </c>
      <c r="H2721">
        <v>150000</v>
      </c>
      <c r="I2721" s="3">
        <v>45316.916666666664</v>
      </c>
      <c r="J2721">
        <v>120</v>
      </c>
      <c r="K2721" s="3">
        <v>45321.416666666664</v>
      </c>
      <c r="L2721" s="4">
        <f>ROUNDDOWN(Table1[[#This Row],[Ordered]],0)</f>
        <v>45316</v>
      </c>
      <c r="M2721" s="4">
        <f>Table1[[#This Row],[Date ]]</f>
        <v>45316</v>
      </c>
      <c r="N2721" s="5">
        <f>Table1[[#This Row],[Ordered]]-Table1[[#This Row],[Date ]]</f>
        <v>0.75</v>
      </c>
      <c r="O2721">
        <f>Table1[[#This Row],[Company]]</f>
        <v>14</v>
      </c>
      <c r="P27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2" spans="1:16" x14ac:dyDescent="0.45">
      <c r="A2722" s="3">
        <v>45316.75</v>
      </c>
      <c r="B2722" t="s">
        <v>0</v>
      </c>
      <c r="C2722">
        <v>14</v>
      </c>
      <c r="D2722">
        <v>2006</v>
      </c>
      <c r="E2722" t="s">
        <v>15</v>
      </c>
      <c r="F2722">
        <v>30</v>
      </c>
      <c r="G2722">
        <v>6650</v>
      </c>
      <c r="H2722">
        <v>199500</v>
      </c>
      <c r="I2722" s="3">
        <v>45316.791666666664</v>
      </c>
      <c r="J2722">
        <v>120</v>
      </c>
      <c r="K2722" s="3">
        <v>45321.291666666664</v>
      </c>
      <c r="L2722" s="4">
        <f>ROUNDDOWN(Table1[[#This Row],[Ordered]],0)</f>
        <v>45316</v>
      </c>
      <c r="M2722" s="4">
        <f>Table1[[#This Row],[Date ]]</f>
        <v>45316</v>
      </c>
      <c r="N2722" s="5">
        <f>Table1[[#This Row],[Ordered]]-Table1[[#This Row],[Date ]]</f>
        <v>0.75</v>
      </c>
      <c r="O2722">
        <f>Table1[[#This Row],[Company]]</f>
        <v>14</v>
      </c>
      <c r="P27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3" spans="1:16" x14ac:dyDescent="0.45">
      <c r="A2723" s="3">
        <v>45316.75</v>
      </c>
      <c r="B2723" t="s">
        <v>0</v>
      </c>
      <c r="C2723">
        <v>7</v>
      </c>
      <c r="D2723">
        <v>2006</v>
      </c>
      <c r="E2723" t="s">
        <v>15</v>
      </c>
      <c r="F2723">
        <v>50</v>
      </c>
      <c r="G2723">
        <v>6900</v>
      </c>
      <c r="H2723">
        <v>345000</v>
      </c>
      <c r="I2723" s="3">
        <v>45316.75</v>
      </c>
      <c r="J2723">
        <v>132</v>
      </c>
      <c r="K2723" s="3">
        <v>45321.25</v>
      </c>
      <c r="L2723" s="4">
        <f>ROUNDDOWN(Table1[[#This Row],[Ordered]],0)</f>
        <v>45316</v>
      </c>
      <c r="M2723" s="4">
        <f>Table1[[#This Row],[Date ]]</f>
        <v>45316</v>
      </c>
      <c r="N2723" s="5">
        <f>Table1[[#This Row],[Ordered]]-Table1[[#This Row],[Date ]]</f>
        <v>0.75</v>
      </c>
      <c r="O2723">
        <f>Table1[[#This Row],[Company]]</f>
        <v>7</v>
      </c>
      <c r="P27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4" spans="1:16" x14ac:dyDescent="0.45">
      <c r="A2724" s="3">
        <v>45316.75</v>
      </c>
      <c r="B2724" t="s">
        <v>14</v>
      </c>
      <c r="C2724">
        <v>10</v>
      </c>
      <c r="D2724">
        <v>1008</v>
      </c>
      <c r="E2724" t="s">
        <v>15</v>
      </c>
      <c r="F2724">
        <v>17</v>
      </c>
      <c r="G2724">
        <v>6000</v>
      </c>
      <c r="H2724">
        <v>102000</v>
      </c>
      <c r="I2724" s="3">
        <v>45316.75</v>
      </c>
      <c r="J2724">
        <v>84</v>
      </c>
      <c r="K2724" s="3">
        <v>45319.75</v>
      </c>
      <c r="L2724" s="4">
        <f>ROUNDDOWN(Table1[[#This Row],[Ordered]],0)</f>
        <v>45316</v>
      </c>
      <c r="M2724" s="4">
        <f>Table1[[#This Row],[Date ]]</f>
        <v>45316</v>
      </c>
      <c r="N2724" s="5">
        <f>Table1[[#This Row],[Ordered]]-Table1[[#This Row],[Date ]]</f>
        <v>0.75</v>
      </c>
      <c r="O2724">
        <f>Table1[[#This Row],[Company]]</f>
        <v>10</v>
      </c>
      <c r="P27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5" spans="1:16" x14ac:dyDescent="0.45">
      <c r="A2725" s="3">
        <v>45316.75</v>
      </c>
      <c r="B2725" t="s">
        <v>14</v>
      </c>
      <c r="C2725">
        <v>11</v>
      </c>
      <c r="D2725">
        <v>1008</v>
      </c>
      <c r="E2725" t="s">
        <v>15</v>
      </c>
      <c r="F2725">
        <v>22</v>
      </c>
      <c r="G2725">
        <v>6200</v>
      </c>
      <c r="H2725">
        <v>136400</v>
      </c>
      <c r="I2725" s="3">
        <v>45317.666666666664</v>
      </c>
      <c r="J2725">
        <v>108</v>
      </c>
      <c r="K2725" s="3">
        <v>45320.666666666664</v>
      </c>
      <c r="L2725" s="4">
        <f>ROUNDDOWN(Table1[[#This Row],[Ordered]],0)</f>
        <v>45316</v>
      </c>
      <c r="M2725" s="4">
        <f>Table1[[#This Row],[Date ]]</f>
        <v>45316</v>
      </c>
      <c r="N2725" s="5">
        <f>Table1[[#This Row],[Ordered]]-Table1[[#This Row],[Date ]]</f>
        <v>0.75</v>
      </c>
      <c r="O2725">
        <f>Table1[[#This Row],[Company]]</f>
        <v>11</v>
      </c>
      <c r="P27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6" spans="1:16" x14ac:dyDescent="0.45">
      <c r="A2726" s="3">
        <v>45316.75</v>
      </c>
      <c r="B2726" t="s">
        <v>0</v>
      </c>
      <c r="C2726">
        <v>7</v>
      </c>
      <c r="D2726">
        <v>2006</v>
      </c>
      <c r="E2726" t="s">
        <v>16</v>
      </c>
      <c r="F2726">
        <v>70</v>
      </c>
      <c r="G2726">
        <v>4200</v>
      </c>
      <c r="H2726">
        <v>294000</v>
      </c>
      <c r="I2726" s="3">
        <v>45316.75</v>
      </c>
      <c r="J2726">
        <v>132</v>
      </c>
      <c r="K2726" s="3">
        <v>45321.25</v>
      </c>
      <c r="L2726" s="4">
        <f>ROUNDDOWN(Table1[[#This Row],[Ordered]],0)</f>
        <v>45316</v>
      </c>
      <c r="M2726" s="4">
        <f>Table1[[#This Row],[Date ]]</f>
        <v>45316</v>
      </c>
      <c r="N2726" s="5">
        <f>Table1[[#This Row],[Ordered]]-Table1[[#This Row],[Date ]]</f>
        <v>0.75</v>
      </c>
      <c r="O2726">
        <f>Table1[[#This Row],[Company]]</f>
        <v>7</v>
      </c>
      <c r="P27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7" spans="1:16" x14ac:dyDescent="0.45">
      <c r="A2727" s="3">
        <v>45316.75</v>
      </c>
      <c r="B2727" t="s">
        <v>14</v>
      </c>
      <c r="C2727">
        <v>15</v>
      </c>
      <c r="D2727">
        <v>1007</v>
      </c>
      <c r="E2727" t="s">
        <v>16</v>
      </c>
      <c r="F2727">
        <v>50</v>
      </c>
      <c r="G2727">
        <v>3500</v>
      </c>
      <c r="H2727">
        <v>175000</v>
      </c>
      <c r="I2727" s="3">
        <v>45316.833333333336</v>
      </c>
      <c r="J2727">
        <v>88</v>
      </c>
      <c r="K2727" s="3">
        <v>45319.833333333336</v>
      </c>
      <c r="L2727" s="4">
        <f>ROUNDDOWN(Table1[[#This Row],[Ordered]],0)</f>
        <v>45316</v>
      </c>
      <c r="M2727" s="4">
        <f>Table1[[#This Row],[Date ]]</f>
        <v>45316</v>
      </c>
      <c r="N2727" s="5">
        <f>Table1[[#This Row],[Ordered]]-Table1[[#This Row],[Date ]]</f>
        <v>0.75</v>
      </c>
      <c r="O2727">
        <f>Table1[[#This Row],[Company]]</f>
        <v>15</v>
      </c>
      <c r="P27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8" spans="1:16" x14ac:dyDescent="0.45">
      <c r="A2728" s="3">
        <v>45316.75</v>
      </c>
      <c r="B2728" t="s">
        <v>14</v>
      </c>
      <c r="C2728">
        <v>10</v>
      </c>
      <c r="D2728">
        <v>1010</v>
      </c>
      <c r="E2728" t="s">
        <v>16</v>
      </c>
      <c r="F2728">
        <v>30</v>
      </c>
      <c r="G2728">
        <v>4200</v>
      </c>
      <c r="H2728">
        <v>126000</v>
      </c>
      <c r="I2728" s="3">
        <v>45316.75</v>
      </c>
      <c r="J2728">
        <v>60</v>
      </c>
      <c r="K2728" s="3">
        <v>45318.75</v>
      </c>
      <c r="L2728" s="4">
        <f>ROUNDDOWN(Table1[[#This Row],[Ordered]],0)</f>
        <v>45316</v>
      </c>
      <c r="M2728" s="4">
        <f>Table1[[#This Row],[Date ]]</f>
        <v>45316</v>
      </c>
      <c r="N2728" s="5">
        <f>Table1[[#This Row],[Ordered]]-Table1[[#This Row],[Date ]]</f>
        <v>0.75</v>
      </c>
      <c r="O2728">
        <f>Table1[[#This Row],[Company]]</f>
        <v>10</v>
      </c>
      <c r="P27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9" spans="1:16" x14ac:dyDescent="0.45">
      <c r="A2729" s="3">
        <v>45316.75</v>
      </c>
      <c r="B2729" t="s">
        <v>14</v>
      </c>
      <c r="C2729">
        <v>13</v>
      </c>
      <c r="D2729">
        <v>1007</v>
      </c>
      <c r="E2729" t="s">
        <v>16</v>
      </c>
      <c r="F2729">
        <v>30</v>
      </c>
      <c r="G2729">
        <v>3100</v>
      </c>
      <c r="H2729">
        <v>93000</v>
      </c>
      <c r="I2729" s="3">
        <v>45317.458333333336</v>
      </c>
      <c r="J2729">
        <v>96</v>
      </c>
      <c r="K2729" s="3">
        <v>45320.458333333336</v>
      </c>
      <c r="L2729" s="4">
        <f>ROUNDDOWN(Table1[[#This Row],[Ordered]],0)</f>
        <v>45316</v>
      </c>
      <c r="M2729" s="4">
        <f>Table1[[#This Row],[Date ]]</f>
        <v>45316</v>
      </c>
      <c r="N2729" s="5">
        <f>Table1[[#This Row],[Ordered]]-Table1[[#This Row],[Date ]]</f>
        <v>0.75</v>
      </c>
      <c r="O2729">
        <f>Table1[[#This Row],[Company]]</f>
        <v>13</v>
      </c>
      <c r="P27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0" spans="1:16" x14ac:dyDescent="0.45">
      <c r="A2730" s="3">
        <v>45316.75</v>
      </c>
      <c r="B2730" t="s">
        <v>14</v>
      </c>
      <c r="C2730">
        <v>16</v>
      </c>
      <c r="D2730">
        <v>1010</v>
      </c>
      <c r="E2730" t="s">
        <v>16</v>
      </c>
      <c r="F2730">
        <v>26</v>
      </c>
      <c r="G2730">
        <v>3750</v>
      </c>
      <c r="H2730">
        <v>97500</v>
      </c>
      <c r="I2730" s="3">
        <v>45316.833333333336</v>
      </c>
      <c r="J2730">
        <v>96</v>
      </c>
      <c r="K2730" s="3">
        <v>45319.833333333336</v>
      </c>
      <c r="L2730" s="4">
        <f>ROUNDDOWN(Table1[[#This Row],[Ordered]],0)</f>
        <v>45316</v>
      </c>
      <c r="M2730" s="4">
        <f>Table1[[#This Row],[Date ]]</f>
        <v>45316</v>
      </c>
      <c r="N2730" s="5">
        <f>Table1[[#This Row],[Ordered]]-Table1[[#This Row],[Date ]]</f>
        <v>0.75</v>
      </c>
      <c r="O2730">
        <f>Table1[[#This Row],[Company]]</f>
        <v>16</v>
      </c>
      <c r="P27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1" spans="1:16" x14ac:dyDescent="0.45">
      <c r="A2731" s="3">
        <v>45316.75</v>
      </c>
      <c r="B2731" t="s">
        <v>14</v>
      </c>
      <c r="C2731">
        <v>15</v>
      </c>
      <c r="D2731">
        <v>1008</v>
      </c>
      <c r="E2731" t="s">
        <v>15</v>
      </c>
      <c r="F2731">
        <v>44</v>
      </c>
      <c r="G2731">
        <v>6350</v>
      </c>
      <c r="H2731">
        <v>279400</v>
      </c>
      <c r="I2731" s="3">
        <v>45316.833333333336</v>
      </c>
      <c r="J2731">
        <v>89</v>
      </c>
      <c r="K2731" s="3">
        <v>45319.833333333336</v>
      </c>
      <c r="L2731" s="4">
        <f>ROUNDDOWN(Table1[[#This Row],[Ordered]],0)</f>
        <v>45316</v>
      </c>
      <c r="M2731" s="4">
        <f>Table1[[#This Row],[Date ]]</f>
        <v>45316</v>
      </c>
      <c r="N2731" s="5">
        <f>Table1[[#This Row],[Ordered]]-Table1[[#This Row],[Date ]]</f>
        <v>0.75</v>
      </c>
      <c r="O2731">
        <f>Table1[[#This Row],[Company]]</f>
        <v>15</v>
      </c>
      <c r="P27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2" spans="1:16" x14ac:dyDescent="0.45">
      <c r="A2732" s="3">
        <v>45316.75</v>
      </c>
      <c r="B2732" t="s">
        <v>14</v>
      </c>
      <c r="C2732">
        <v>13</v>
      </c>
      <c r="D2732">
        <v>1008</v>
      </c>
      <c r="E2732" t="s">
        <v>15</v>
      </c>
      <c r="F2732">
        <v>38</v>
      </c>
      <c r="G2732">
        <v>5900</v>
      </c>
      <c r="H2732">
        <v>224200</v>
      </c>
      <c r="I2732" s="3">
        <v>45318.375</v>
      </c>
      <c r="J2732">
        <v>120</v>
      </c>
      <c r="K2732" s="3">
        <v>45321.375</v>
      </c>
      <c r="L2732" s="4">
        <f>ROUNDDOWN(Table1[[#This Row],[Ordered]],0)</f>
        <v>45316</v>
      </c>
      <c r="M2732" s="4">
        <f>Table1[[#This Row],[Date ]]</f>
        <v>45316</v>
      </c>
      <c r="N2732" s="5">
        <f>Table1[[#This Row],[Ordered]]-Table1[[#This Row],[Date ]]</f>
        <v>0.75</v>
      </c>
      <c r="O2732">
        <f>Table1[[#This Row],[Company]]</f>
        <v>13</v>
      </c>
      <c r="P27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3" spans="1:16" x14ac:dyDescent="0.45">
      <c r="A2733" s="3">
        <v>45316.75</v>
      </c>
      <c r="B2733" t="s">
        <v>0</v>
      </c>
      <c r="C2733">
        <v>12</v>
      </c>
      <c r="D2733">
        <v>2006</v>
      </c>
      <c r="E2733" t="s">
        <v>15</v>
      </c>
      <c r="F2733">
        <v>30</v>
      </c>
      <c r="G2733">
        <v>6800</v>
      </c>
      <c r="H2733">
        <v>204000</v>
      </c>
      <c r="I2733" s="3">
        <v>45316.833333333336</v>
      </c>
      <c r="J2733">
        <v>120</v>
      </c>
      <c r="K2733" s="3">
        <v>45321.333333333336</v>
      </c>
      <c r="L2733" s="4">
        <f>ROUNDDOWN(Table1[[#This Row],[Ordered]],0)</f>
        <v>45316</v>
      </c>
      <c r="M2733" s="4">
        <f>Table1[[#This Row],[Date ]]</f>
        <v>45316</v>
      </c>
      <c r="N2733" s="5">
        <f>Table1[[#This Row],[Ordered]]-Table1[[#This Row],[Date ]]</f>
        <v>0.75</v>
      </c>
      <c r="O2733">
        <f>Table1[[#This Row],[Company]]</f>
        <v>12</v>
      </c>
      <c r="P27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4" spans="1:16" x14ac:dyDescent="0.45">
      <c r="A2734" s="3">
        <v>45316.75</v>
      </c>
      <c r="B2734" t="s">
        <v>14</v>
      </c>
      <c r="C2734">
        <v>15</v>
      </c>
      <c r="D2734">
        <v>1010</v>
      </c>
      <c r="E2734" t="s">
        <v>16</v>
      </c>
      <c r="F2734">
        <v>50</v>
      </c>
      <c r="G2734">
        <v>3500</v>
      </c>
      <c r="H2734">
        <v>175000</v>
      </c>
      <c r="I2734" s="3">
        <v>45316.833333333336</v>
      </c>
      <c r="J2734">
        <v>88</v>
      </c>
      <c r="K2734" s="3">
        <v>45319.833333333336</v>
      </c>
      <c r="L2734" s="4">
        <f>ROUNDDOWN(Table1[[#This Row],[Ordered]],0)</f>
        <v>45316</v>
      </c>
      <c r="M2734" s="4">
        <f>Table1[[#This Row],[Date ]]</f>
        <v>45316</v>
      </c>
      <c r="N2734" s="5">
        <f>Table1[[#This Row],[Ordered]]-Table1[[#This Row],[Date ]]</f>
        <v>0.75</v>
      </c>
      <c r="O2734">
        <f>Table1[[#This Row],[Company]]</f>
        <v>15</v>
      </c>
      <c r="P27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5" spans="1:16" x14ac:dyDescent="0.45">
      <c r="A2735" s="3">
        <v>45316.75</v>
      </c>
      <c r="B2735" t="s">
        <v>0</v>
      </c>
      <c r="C2735">
        <v>15</v>
      </c>
      <c r="D2735">
        <v>2006</v>
      </c>
      <c r="E2735" t="s">
        <v>16</v>
      </c>
      <c r="F2735">
        <v>45</v>
      </c>
      <c r="G2735">
        <v>3750</v>
      </c>
      <c r="H2735">
        <v>168750</v>
      </c>
      <c r="I2735" s="3">
        <v>45316.791666666664</v>
      </c>
      <c r="J2735">
        <v>120</v>
      </c>
      <c r="K2735" s="3">
        <v>45321.291666666664</v>
      </c>
      <c r="L2735" s="4">
        <f>ROUNDDOWN(Table1[[#This Row],[Ordered]],0)</f>
        <v>45316</v>
      </c>
      <c r="M2735" s="4">
        <f>Table1[[#This Row],[Date ]]</f>
        <v>45316</v>
      </c>
      <c r="N2735" s="5">
        <f>Table1[[#This Row],[Ordered]]-Table1[[#This Row],[Date ]]</f>
        <v>0.75</v>
      </c>
      <c r="O2735">
        <f>Table1[[#This Row],[Company]]</f>
        <v>15</v>
      </c>
      <c r="P27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6" spans="1:16" x14ac:dyDescent="0.45">
      <c r="A2736" s="3">
        <v>45316.75</v>
      </c>
      <c r="B2736" t="s">
        <v>0</v>
      </c>
      <c r="C2736">
        <v>10</v>
      </c>
      <c r="D2736">
        <v>2006</v>
      </c>
      <c r="E2736" t="s">
        <v>15</v>
      </c>
      <c r="F2736">
        <v>30</v>
      </c>
      <c r="G2736">
        <v>6100</v>
      </c>
      <c r="H2736">
        <v>183000</v>
      </c>
      <c r="I2736" s="3">
        <v>45316.791666666664</v>
      </c>
      <c r="J2736">
        <v>84</v>
      </c>
      <c r="K2736" s="3">
        <v>45319.791666666664</v>
      </c>
      <c r="L2736" s="4">
        <f>ROUNDDOWN(Table1[[#This Row],[Ordered]],0)</f>
        <v>45316</v>
      </c>
      <c r="M2736" s="4">
        <f>Table1[[#This Row],[Date ]]</f>
        <v>45316</v>
      </c>
      <c r="N2736" s="5">
        <f>Table1[[#This Row],[Ordered]]-Table1[[#This Row],[Date ]]</f>
        <v>0.75</v>
      </c>
      <c r="O2736">
        <f>Table1[[#This Row],[Company]]</f>
        <v>10</v>
      </c>
      <c r="P27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7" spans="1:16" hidden="1" x14ac:dyDescent="0.45">
      <c r="A2737" s="3">
        <v>45316.875</v>
      </c>
      <c r="B2737" t="s">
        <v>12</v>
      </c>
      <c r="C2737">
        <v>5</v>
      </c>
      <c r="D2737">
        <v>16</v>
      </c>
      <c r="E2737" t="s">
        <v>13</v>
      </c>
      <c r="F2737">
        <v>1700</v>
      </c>
      <c r="G2737">
        <v>120</v>
      </c>
      <c r="H2737">
        <v>204000</v>
      </c>
      <c r="I2737" s="3">
        <v>45316.916666666664</v>
      </c>
      <c r="J2737">
        <v>24</v>
      </c>
      <c r="K2737" s="3">
        <v>45317.916666666664</v>
      </c>
      <c r="L2737" s="4">
        <f>ROUNDDOWN(Table1[[#This Row],[Ordered]],0)</f>
        <v>45316</v>
      </c>
      <c r="M2737" s="4">
        <f>Table1[[#This Row],[Date ]]</f>
        <v>45316</v>
      </c>
      <c r="N2737" s="5">
        <f>Table1[[#This Row],[Ordered]]-Table1[[#This Row],[Date ]]</f>
        <v>0.875</v>
      </c>
      <c r="O2737">
        <f>Table1[[#This Row],[Company]]</f>
        <v>5</v>
      </c>
      <c r="P27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8" spans="1:16" hidden="1" x14ac:dyDescent="0.45">
      <c r="A2738" s="3">
        <v>45316.916666666664</v>
      </c>
      <c r="B2738" t="s">
        <v>12</v>
      </c>
      <c r="C2738">
        <v>15</v>
      </c>
      <c r="D2738">
        <v>4</v>
      </c>
      <c r="E2738" t="s">
        <v>20</v>
      </c>
      <c r="F2738">
        <v>292</v>
      </c>
      <c r="G2738">
        <v>6</v>
      </c>
      <c r="H2738">
        <v>1752</v>
      </c>
      <c r="I2738" s="3">
        <v>45316.958333333336</v>
      </c>
      <c r="J2738">
        <v>72</v>
      </c>
      <c r="K2738" s="3">
        <v>45319.958333333336</v>
      </c>
      <c r="L2738" s="4">
        <f>ROUNDDOWN(Table1[[#This Row],[Ordered]],0)</f>
        <v>45316</v>
      </c>
      <c r="M2738" s="4">
        <f>Table1[[#This Row],[Date ]]</f>
        <v>45316</v>
      </c>
      <c r="N2738" s="5">
        <f>Table1[[#This Row],[Ordered]]-Table1[[#This Row],[Date ]]</f>
        <v>0.91666666666424135</v>
      </c>
      <c r="O2738">
        <f>Table1[[#This Row],[Company]]</f>
        <v>15</v>
      </c>
      <c r="P27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9" spans="1:16" hidden="1" x14ac:dyDescent="0.45">
      <c r="A2739" s="3">
        <v>45316.958333333336</v>
      </c>
      <c r="B2739" t="s">
        <v>12</v>
      </c>
      <c r="C2739">
        <v>6</v>
      </c>
      <c r="D2739">
        <v>15</v>
      </c>
      <c r="E2739" t="s">
        <v>17</v>
      </c>
      <c r="F2739">
        <v>350</v>
      </c>
      <c r="G2739">
        <v>1500</v>
      </c>
      <c r="H2739">
        <v>525000</v>
      </c>
      <c r="I2739" s="3">
        <v>45317.041666666664</v>
      </c>
      <c r="J2739">
        <v>48</v>
      </c>
      <c r="K2739" s="3">
        <v>45319.041666666664</v>
      </c>
      <c r="L2739" s="4">
        <f>ROUNDDOWN(Table1[[#This Row],[Ordered]],0)</f>
        <v>45316</v>
      </c>
      <c r="M2739" s="4">
        <f>Table1[[#This Row],[Date ]]</f>
        <v>45316</v>
      </c>
      <c r="N2739" s="5">
        <f>Table1[[#This Row],[Ordered]]-Table1[[#This Row],[Date ]]</f>
        <v>0.95833333333575865</v>
      </c>
      <c r="O2739">
        <f>Table1[[#This Row],[Company]]</f>
        <v>6</v>
      </c>
      <c r="P27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0" spans="1:16" hidden="1" x14ac:dyDescent="0.45">
      <c r="A2740" s="3">
        <v>45316.958333333336</v>
      </c>
      <c r="B2740" t="s">
        <v>12</v>
      </c>
      <c r="C2740">
        <v>12</v>
      </c>
      <c r="D2740">
        <v>3</v>
      </c>
      <c r="E2740" t="s">
        <v>20</v>
      </c>
      <c r="F2740">
        <v>225</v>
      </c>
      <c r="G2740">
        <v>10</v>
      </c>
      <c r="H2740">
        <v>2250</v>
      </c>
      <c r="I2740" s="3">
        <v>45317.375</v>
      </c>
      <c r="J2740">
        <v>72</v>
      </c>
      <c r="K2740" s="3">
        <v>45320.375</v>
      </c>
      <c r="L2740" s="4">
        <f>ROUNDDOWN(Table1[[#This Row],[Ordered]],0)</f>
        <v>45316</v>
      </c>
      <c r="M2740" s="4">
        <f>Table1[[#This Row],[Date ]]</f>
        <v>45316</v>
      </c>
      <c r="N2740" s="5">
        <f>Table1[[#This Row],[Ordered]]-Table1[[#This Row],[Date ]]</f>
        <v>0.95833333333575865</v>
      </c>
      <c r="O2740">
        <f>Table1[[#This Row],[Company]]</f>
        <v>12</v>
      </c>
      <c r="P27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1" spans="1:16" hidden="1" x14ac:dyDescent="0.45">
      <c r="A2741" s="3">
        <v>45316.958333333336</v>
      </c>
      <c r="B2741" t="s">
        <v>12</v>
      </c>
      <c r="C2741">
        <v>6</v>
      </c>
      <c r="D2741">
        <v>15</v>
      </c>
      <c r="E2741" t="s">
        <v>17</v>
      </c>
      <c r="F2741">
        <v>350</v>
      </c>
      <c r="G2741">
        <v>1500</v>
      </c>
      <c r="H2741">
        <v>525000</v>
      </c>
      <c r="I2741" s="3">
        <v>45317.041666666664</v>
      </c>
      <c r="J2741">
        <v>48</v>
      </c>
      <c r="K2741" s="3">
        <v>45319.041666666664</v>
      </c>
      <c r="L2741" s="4">
        <f>ROUNDDOWN(Table1[[#This Row],[Ordered]],0)</f>
        <v>45316</v>
      </c>
      <c r="M2741" s="4">
        <f>Table1[[#This Row],[Date ]]</f>
        <v>45316</v>
      </c>
      <c r="N2741" s="5">
        <f>Table1[[#This Row],[Ordered]]-Table1[[#This Row],[Date ]]</f>
        <v>0.95833333333575865</v>
      </c>
      <c r="O2741">
        <f>Table1[[#This Row],[Company]]</f>
        <v>6</v>
      </c>
      <c r="P27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2" spans="1:16" hidden="1" x14ac:dyDescent="0.45">
      <c r="A2742" s="3">
        <v>45316.958333333336</v>
      </c>
      <c r="B2742" t="s">
        <v>12</v>
      </c>
      <c r="C2742">
        <v>6</v>
      </c>
      <c r="D2742">
        <v>15</v>
      </c>
      <c r="E2742" t="s">
        <v>17</v>
      </c>
      <c r="F2742">
        <v>350</v>
      </c>
      <c r="G2742">
        <v>1500</v>
      </c>
      <c r="H2742">
        <v>525000</v>
      </c>
      <c r="I2742" s="3">
        <v>45317.041666666664</v>
      </c>
      <c r="J2742">
        <v>48</v>
      </c>
      <c r="K2742" s="3">
        <v>45319.041666666664</v>
      </c>
      <c r="L2742" s="4">
        <f>ROUNDDOWN(Table1[[#This Row],[Ordered]],0)</f>
        <v>45316</v>
      </c>
      <c r="M2742" s="4">
        <f>Table1[[#This Row],[Date ]]</f>
        <v>45316</v>
      </c>
      <c r="N2742" s="5">
        <f>Table1[[#This Row],[Ordered]]-Table1[[#This Row],[Date ]]</f>
        <v>0.95833333333575865</v>
      </c>
      <c r="O2742">
        <f>Table1[[#This Row],[Company]]</f>
        <v>6</v>
      </c>
      <c r="P27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3" spans="1:16" hidden="1" x14ac:dyDescent="0.45">
      <c r="A2743" s="3">
        <v>45316.958333333336</v>
      </c>
      <c r="B2743" t="s">
        <v>12</v>
      </c>
      <c r="C2743">
        <v>6</v>
      </c>
      <c r="D2743">
        <v>15</v>
      </c>
      <c r="E2743" t="s">
        <v>17</v>
      </c>
      <c r="F2743">
        <v>350</v>
      </c>
      <c r="G2743">
        <v>1500</v>
      </c>
      <c r="H2743">
        <v>525000</v>
      </c>
      <c r="I2743" s="3">
        <v>45317.041666666664</v>
      </c>
      <c r="J2743">
        <v>48</v>
      </c>
      <c r="K2743" s="3">
        <v>45319.041666666664</v>
      </c>
      <c r="L2743" s="4">
        <f>ROUNDDOWN(Table1[[#This Row],[Ordered]],0)</f>
        <v>45316</v>
      </c>
      <c r="M2743" s="4">
        <f>Table1[[#This Row],[Date ]]</f>
        <v>45316</v>
      </c>
      <c r="N2743" s="5">
        <f>Table1[[#This Row],[Ordered]]-Table1[[#This Row],[Date ]]</f>
        <v>0.95833333333575865</v>
      </c>
      <c r="O2743">
        <f>Table1[[#This Row],[Company]]</f>
        <v>6</v>
      </c>
      <c r="P27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4" spans="1:16" x14ac:dyDescent="0.45">
      <c r="A2744" s="3">
        <v>45317.041666666664</v>
      </c>
      <c r="B2744" t="s">
        <v>14</v>
      </c>
      <c r="C2744">
        <v>12</v>
      </c>
      <c r="D2744">
        <v>1005</v>
      </c>
      <c r="E2744" t="s">
        <v>16</v>
      </c>
      <c r="F2744">
        <v>30</v>
      </c>
      <c r="G2744">
        <v>3850</v>
      </c>
      <c r="H2744">
        <v>115500</v>
      </c>
      <c r="I2744" s="3">
        <v>45318.541666666664</v>
      </c>
      <c r="J2744">
        <v>96</v>
      </c>
      <c r="K2744" s="3">
        <v>45320.541666666664</v>
      </c>
      <c r="L2744" s="4">
        <f>ROUNDDOWN(Table1[[#This Row],[Ordered]],0)</f>
        <v>45317</v>
      </c>
      <c r="M2744" s="4">
        <f>Table1[[#This Row],[Date ]]</f>
        <v>45317</v>
      </c>
      <c r="N2744" s="5">
        <f>Table1[[#This Row],[Ordered]]-Table1[[#This Row],[Date ]]</f>
        <v>4.1666666664241347E-2</v>
      </c>
      <c r="O2744">
        <f>Table1[[#This Row],[Company]]</f>
        <v>12</v>
      </c>
      <c r="P27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5" spans="1:16" x14ac:dyDescent="0.45">
      <c r="A2745" s="3">
        <v>45317.041666666664</v>
      </c>
      <c r="B2745" t="s">
        <v>14</v>
      </c>
      <c r="C2745">
        <v>11</v>
      </c>
      <c r="D2745">
        <v>1005</v>
      </c>
      <c r="E2745" t="s">
        <v>16</v>
      </c>
      <c r="F2745">
        <v>30</v>
      </c>
      <c r="G2745">
        <v>4000</v>
      </c>
      <c r="H2745">
        <v>120000</v>
      </c>
      <c r="I2745" s="3">
        <v>45318.666666666664</v>
      </c>
      <c r="J2745">
        <v>96</v>
      </c>
      <c r="K2745" s="3">
        <v>45320.666666666664</v>
      </c>
      <c r="L2745" s="4">
        <f>ROUNDDOWN(Table1[[#This Row],[Ordered]],0)</f>
        <v>45317</v>
      </c>
      <c r="M2745" s="4">
        <f>Table1[[#This Row],[Date ]]</f>
        <v>45317</v>
      </c>
      <c r="N2745" s="5">
        <f>Table1[[#This Row],[Ordered]]-Table1[[#This Row],[Date ]]</f>
        <v>4.1666666664241347E-2</v>
      </c>
      <c r="O2745">
        <f>Table1[[#This Row],[Company]]</f>
        <v>11</v>
      </c>
      <c r="P27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6" spans="1:16" hidden="1" x14ac:dyDescent="0.45">
      <c r="A2746" s="3">
        <v>45317.041666666664</v>
      </c>
      <c r="B2746" t="s">
        <v>12</v>
      </c>
      <c r="C2746">
        <v>5</v>
      </c>
      <c r="D2746">
        <v>16</v>
      </c>
      <c r="E2746" t="s">
        <v>17</v>
      </c>
      <c r="F2746">
        <v>350</v>
      </c>
      <c r="G2746">
        <v>1450</v>
      </c>
      <c r="H2746">
        <v>507500</v>
      </c>
      <c r="I2746" s="3">
        <v>45317.166666666664</v>
      </c>
      <c r="J2746">
        <v>48</v>
      </c>
      <c r="K2746" s="3">
        <v>45319.166666666664</v>
      </c>
      <c r="L2746" s="4">
        <f>ROUNDDOWN(Table1[[#This Row],[Ordered]],0)</f>
        <v>45317</v>
      </c>
      <c r="M2746" s="4">
        <f>Table1[[#This Row],[Date ]]</f>
        <v>45317</v>
      </c>
      <c r="N2746" s="5">
        <f>Table1[[#This Row],[Ordered]]-Table1[[#This Row],[Date ]]</f>
        <v>4.1666666664241347E-2</v>
      </c>
      <c r="O2746">
        <f>Table1[[#This Row],[Company]]</f>
        <v>5</v>
      </c>
      <c r="P27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7" spans="1:16" x14ac:dyDescent="0.45">
      <c r="A2747" s="3">
        <v>45317.041666666664</v>
      </c>
      <c r="B2747" t="s">
        <v>14</v>
      </c>
      <c r="C2747">
        <v>16</v>
      </c>
      <c r="D2747">
        <v>1005</v>
      </c>
      <c r="E2747" t="s">
        <v>16</v>
      </c>
      <c r="F2747">
        <v>30</v>
      </c>
      <c r="G2747">
        <v>3750</v>
      </c>
      <c r="H2747">
        <v>112500</v>
      </c>
      <c r="I2747" s="3">
        <v>45317.416666666664</v>
      </c>
      <c r="J2747">
        <v>96</v>
      </c>
      <c r="K2747" s="3">
        <v>45320.416666666664</v>
      </c>
      <c r="L2747" s="4">
        <f>ROUNDDOWN(Table1[[#This Row],[Ordered]],0)</f>
        <v>45317</v>
      </c>
      <c r="M2747" s="4">
        <f>Table1[[#This Row],[Date ]]</f>
        <v>45317</v>
      </c>
      <c r="N2747" s="5">
        <f>Table1[[#This Row],[Ordered]]-Table1[[#This Row],[Date ]]</f>
        <v>4.1666666664241347E-2</v>
      </c>
      <c r="O2747">
        <f>Table1[[#This Row],[Company]]</f>
        <v>16</v>
      </c>
      <c r="P27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8" spans="1:16" x14ac:dyDescent="0.45">
      <c r="A2748" s="3">
        <v>45317.041666666664</v>
      </c>
      <c r="B2748" t="s">
        <v>14</v>
      </c>
      <c r="C2748">
        <v>10</v>
      </c>
      <c r="D2748">
        <v>1005</v>
      </c>
      <c r="E2748" t="s">
        <v>16</v>
      </c>
      <c r="F2748">
        <v>43</v>
      </c>
      <c r="G2748">
        <v>4200</v>
      </c>
      <c r="H2748">
        <v>180600</v>
      </c>
      <c r="I2748" s="3">
        <v>45317.041666666664</v>
      </c>
      <c r="J2748">
        <v>60</v>
      </c>
      <c r="K2748" s="3">
        <v>45319.083333333336</v>
      </c>
      <c r="L2748" s="4">
        <f>ROUNDDOWN(Table1[[#This Row],[Ordered]],0)</f>
        <v>45317</v>
      </c>
      <c r="M2748" s="4">
        <f>Table1[[#This Row],[Date ]]</f>
        <v>45317</v>
      </c>
      <c r="N2748" s="5">
        <f>Table1[[#This Row],[Ordered]]-Table1[[#This Row],[Date ]]</f>
        <v>4.1666666664241347E-2</v>
      </c>
      <c r="O2748">
        <f>Table1[[#This Row],[Company]]</f>
        <v>10</v>
      </c>
      <c r="P27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9" spans="1:16" x14ac:dyDescent="0.45">
      <c r="A2749" s="3">
        <v>45317.041666666664</v>
      </c>
      <c r="B2749" t="s">
        <v>14</v>
      </c>
      <c r="C2749">
        <v>14</v>
      </c>
      <c r="D2749">
        <v>1005</v>
      </c>
      <c r="E2749" t="s">
        <v>16</v>
      </c>
      <c r="F2749">
        <v>40</v>
      </c>
      <c r="G2749">
        <v>3650</v>
      </c>
      <c r="H2749">
        <v>146000</v>
      </c>
      <c r="I2749" s="3">
        <v>45317.208333333336</v>
      </c>
      <c r="J2749">
        <v>84</v>
      </c>
      <c r="K2749" s="3">
        <v>45320.208333333336</v>
      </c>
      <c r="L2749" s="4">
        <f>ROUNDDOWN(Table1[[#This Row],[Ordered]],0)</f>
        <v>45317</v>
      </c>
      <c r="M2749" s="4">
        <f>Table1[[#This Row],[Date ]]</f>
        <v>45317</v>
      </c>
      <c r="N2749" s="5">
        <f>Table1[[#This Row],[Ordered]]-Table1[[#This Row],[Date ]]</f>
        <v>4.1666666664241347E-2</v>
      </c>
      <c r="O2749">
        <f>Table1[[#This Row],[Company]]</f>
        <v>14</v>
      </c>
      <c r="P27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0" spans="1:16" x14ac:dyDescent="0.45">
      <c r="A2750" s="3">
        <v>45317.041666666664</v>
      </c>
      <c r="B2750" t="s">
        <v>14</v>
      </c>
      <c r="C2750">
        <v>15</v>
      </c>
      <c r="D2750">
        <v>1005</v>
      </c>
      <c r="E2750" t="s">
        <v>16</v>
      </c>
      <c r="F2750">
        <v>50</v>
      </c>
      <c r="G2750">
        <v>3500</v>
      </c>
      <c r="H2750">
        <v>175000</v>
      </c>
      <c r="I2750" s="3">
        <v>45317.125</v>
      </c>
      <c r="J2750">
        <v>88</v>
      </c>
      <c r="K2750" s="3">
        <v>45320.125</v>
      </c>
      <c r="L2750" s="4">
        <f>ROUNDDOWN(Table1[[#This Row],[Ordered]],0)</f>
        <v>45317</v>
      </c>
      <c r="M2750" s="4">
        <f>Table1[[#This Row],[Date ]]</f>
        <v>45317</v>
      </c>
      <c r="N2750" s="5">
        <f>Table1[[#This Row],[Ordered]]-Table1[[#This Row],[Date ]]</f>
        <v>4.1666666664241347E-2</v>
      </c>
      <c r="O2750">
        <f>Table1[[#This Row],[Company]]</f>
        <v>15</v>
      </c>
      <c r="P27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1" spans="1:16" x14ac:dyDescent="0.45">
      <c r="A2751" s="3">
        <v>45317.041666666664</v>
      </c>
      <c r="B2751" t="s">
        <v>14</v>
      </c>
      <c r="C2751">
        <v>9</v>
      </c>
      <c r="D2751">
        <v>1005</v>
      </c>
      <c r="E2751" t="s">
        <v>16</v>
      </c>
      <c r="F2751">
        <v>84</v>
      </c>
      <c r="G2751">
        <v>3250</v>
      </c>
      <c r="H2751">
        <v>273000</v>
      </c>
      <c r="I2751" s="3">
        <v>45317.541666666664</v>
      </c>
      <c r="J2751">
        <v>96</v>
      </c>
      <c r="K2751" s="3">
        <v>45320.541666666664</v>
      </c>
      <c r="L2751" s="4">
        <f>ROUNDDOWN(Table1[[#This Row],[Ordered]],0)</f>
        <v>45317</v>
      </c>
      <c r="M2751" s="4">
        <f>Table1[[#This Row],[Date ]]</f>
        <v>45317</v>
      </c>
      <c r="N2751" s="5">
        <f>Table1[[#This Row],[Ordered]]-Table1[[#This Row],[Date ]]</f>
        <v>4.1666666664241347E-2</v>
      </c>
      <c r="O2751">
        <f>Table1[[#This Row],[Company]]</f>
        <v>9</v>
      </c>
      <c r="P27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2" spans="1:16" x14ac:dyDescent="0.45">
      <c r="A2752" s="3">
        <v>45317.041666666664</v>
      </c>
      <c r="B2752" t="s">
        <v>14</v>
      </c>
      <c r="C2752">
        <v>13</v>
      </c>
      <c r="D2752">
        <v>1005</v>
      </c>
      <c r="E2752" t="s">
        <v>16</v>
      </c>
      <c r="F2752">
        <v>30</v>
      </c>
      <c r="G2752">
        <v>3100</v>
      </c>
      <c r="H2752">
        <v>93000</v>
      </c>
      <c r="I2752" s="3">
        <v>45317.666666666664</v>
      </c>
      <c r="J2752">
        <v>96</v>
      </c>
      <c r="K2752" s="3">
        <v>45320.666666666664</v>
      </c>
      <c r="L2752" s="4">
        <f>ROUNDDOWN(Table1[[#This Row],[Ordered]],0)</f>
        <v>45317</v>
      </c>
      <c r="M2752" s="4">
        <f>Table1[[#This Row],[Date ]]</f>
        <v>45317</v>
      </c>
      <c r="N2752" s="5">
        <f>Table1[[#This Row],[Ordered]]-Table1[[#This Row],[Date ]]</f>
        <v>4.1666666664241347E-2</v>
      </c>
      <c r="O2752">
        <f>Table1[[#This Row],[Company]]</f>
        <v>13</v>
      </c>
      <c r="P27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3" spans="1:16" x14ac:dyDescent="0.45">
      <c r="A2753" s="3">
        <v>45317.166666666664</v>
      </c>
      <c r="B2753" t="s">
        <v>14</v>
      </c>
      <c r="C2753">
        <v>10</v>
      </c>
      <c r="D2753">
        <v>1003</v>
      </c>
      <c r="E2753" t="s">
        <v>16</v>
      </c>
      <c r="F2753">
        <v>22</v>
      </c>
      <c r="G2753">
        <v>4200</v>
      </c>
      <c r="H2753">
        <v>92400</v>
      </c>
      <c r="I2753" s="3">
        <v>45317.208333333336</v>
      </c>
      <c r="J2753">
        <v>60</v>
      </c>
      <c r="K2753" s="3">
        <v>45319.208333333336</v>
      </c>
      <c r="L2753" s="4">
        <f>ROUNDDOWN(Table1[[#This Row],[Ordered]],0)</f>
        <v>45317</v>
      </c>
      <c r="M2753" s="4">
        <f>Table1[[#This Row],[Date ]]</f>
        <v>45317</v>
      </c>
      <c r="N2753" s="5">
        <f>Table1[[#This Row],[Ordered]]-Table1[[#This Row],[Date ]]</f>
        <v>0.16666666666424135</v>
      </c>
      <c r="O2753">
        <f>Table1[[#This Row],[Company]]</f>
        <v>10</v>
      </c>
      <c r="P27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4" spans="1:16" x14ac:dyDescent="0.45">
      <c r="A2754" s="3">
        <v>45317.166666666664</v>
      </c>
      <c r="B2754" t="s">
        <v>14</v>
      </c>
      <c r="C2754">
        <v>13</v>
      </c>
      <c r="D2754">
        <v>1003</v>
      </c>
      <c r="E2754" t="s">
        <v>16</v>
      </c>
      <c r="F2754">
        <v>30</v>
      </c>
      <c r="G2754">
        <v>3100</v>
      </c>
      <c r="H2754">
        <v>93000</v>
      </c>
      <c r="I2754" s="3">
        <v>45317.916666666664</v>
      </c>
      <c r="J2754">
        <v>96</v>
      </c>
      <c r="K2754" s="3">
        <v>45320.916666666664</v>
      </c>
      <c r="L2754" s="4">
        <f>ROUNDDOWN(Table1[[#This Row],[Ordered]],0)</f>
        <v>45317</v>
      </c>
      <c r="M2754" s="4">
        <f>Table1[[#This Row],[Date ]]</f>
        <v>45317</v>
      </c>
      <c r="N2754" s="5">
        <f>Table1[[#This Row],[Ordered]]-Table1[[#This Row],[Date ]]</f>
        <v>0.16666666666424135</v>
      </c>
      <c r="O2754">
        <f>Table1[[#This Row],[Company]]</f>
        <v>13</v>
      </c>
      <c r="P27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5" spans="1:16" x14ac:dyDescent="0.45">
      <c r="A2755" s="3">
        <v>45317.166666666664</v>
      </c>
      <c r="B2755" t="s">
        <v>0</v>
      </c>
      <c r="C2755">
        <v>12</v>
      </c>
      <c r="D2755">
        <v>2007</v>
      </c>
      <c r="E2755" t="s">
        <v>15</v>
      </c>
      <c r="F2755">
        <v>23</v>
      </c>
      <c r="G2755">
        <v>6800</v>
      </c>
      <c r="H2755">
        <v>156400</v>
      </c>
      <c r="I2755" s="3">
        <v>45317.5</v>
      </c>
      <c r="J2755">
        <v>120</v>
      </c>
      <c r="K2755" s="3">
        <v>45322</v>
      </c>
      <c r="L2755" s="4">
        <f>ROUNDDOWN(Table1[[#This Row],[Ordered]],0)</f>
        <v>45317</v>
      </c>
      <c r="M2755" s="4">
        <f>Table1[[#This Row],[Date ]]</f>
        <v>45317</v>
      </c>
      <c r="N2755" s="5">
        <f>Table1[[#This Row],[Ordered]]-Table1[[#This Row],[Date ]]</f>
        <v>0.16666666666424135</v>
      </c>
      <c r="O2755">
        <f>Table1[[#This Row],[Company]]</f>
        <v>12</v>
      </c>
      <c r="P27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6" spans="1:16" hidden="1" x14ac:dyDescent="0.45">
      <c r="A2756" s="3">
        <v>45317.166666666664</v>
      </c>
      <c r="B2756" t="s">
        <v>12</v>
      </c>
      <c r="C2756">
        <v>1</v>
      </c>
      <c r="D2756">
        <v>14</v>
      </c>
      <c r="E2756" t="s">
        <v>17</v>
      </c>
      <c r="F2756">
        <v>400</v>
      </c>
      <c r="G2756">
        <v>1350</v>
      </c>
      <c r="H2756">
        <v>540000</v>
      </c>
      <c r="I2756" s="3">
        <v>45317.375</v>
      </c>
      <c r="J2756">
        <v>24</v>
      </c>
      <c r="K2756" s="3">
        <v>45318.375</v>
      </c>
      <c r="L2756" s="4">
        <f>ROUNDDOWN(Table1[[#This Row],[Ordered]],0)</f>
        <v>45317</v>
      </c>
      <c r="M2756" s="4">
        <f>Table1[[#This Row],[Date ]]</f>
        <v>45317</v>
      </c>
      <c r="N2756" s="5">
        <f>Table1[[#This Row],[Ordered]]-Table1[[#This Row],[Date ]]</f>
        <v>0.16666666666424135</v>
      </c>
      <c r="O2756">
        <f>Table1[[#This Row],[Company]]</f>
        <v>1</v>
      </c>
      <c r="P27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7" spans="1:16" x14ac:dyDescent="0.45">
      <c r="A2757" s="3">
        <v>45317.166666666664</v>
      </c>
      <c r="B2757" t="s">
        <v>0</v>
      </c>
      <c r="C2757">
        <v>9</v>
      </c>
      <c r="D2757">
        <v>2007</v>
      </c>
      <c r="E2757" t="s">
        <v>15</v>
      </c>
      <c r="F2757">
        <v>15</v>
      </c>
      <c r="G2757">
        <v>6364</v>
      </c>
      <c r="H2757">
        <v>95460</v>
      </c>
      <c r="I2757" s="3">
        <v>45317.166666666664</v>
      </c>
      <c r="J2757">
        <v>119</v>
      </c>
      <c r="K2757" s="3">
        <v>45321.666666666664</v>
      </c>
      <c r="L2757" s="4">
        <f>ROUNDDOWN(Table1[[#This Row],[Ordered]],0)</f>
        <v>45317</v>
      </c>
      <c r="M2757" s="4">
        <f>Table1[[#This Row],[Date ]]</f>
        <v>45317</v>
      </c>
      <c r="N2757" s="5">
        <f>Table1[[#This Row],[Ordered]]-Table1[[#This Row],[Date ]]</f>
        <v>0.16666666666424135</v>
      </c>
      <c r="O2757">
        <f>Table1[[#This Row],[Company]]</f>
        <v>9</v>
      </c>
      <c r="P27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8" spans="1:16" x14ac:dyDescent="0.45">
      <c r="A2758" s="3">
        <v>45317.166666666664</v>
      </c>
      <c r="B2758" t="s">
        <v>0</v>
      </c>
      <c r="C2758">
        <v>15</v>
      </c>
      <c r="D2758">
        <v>2007</v>
      </c>
      <c r="E2758" t="s">
        <v>16</v>
      </c>
      <c r="F2758">
        <v>45</v>
      </c>
      <c r="G2758">
        <v>4150</v>
      </c>
      <c r="H2758">
        <v>186750</v>
      </c>
      <c r="I2758" s="3">
        <v>45317.166666666664</v>
      </c>
      <c r="J2758">
        <v>48</v>
      </c>
      <c r="K2758" s="3">
        <v>45318.666666666664</v>
      </c>
      <c r="L2758" s="4">
        <f>ROUNDDOWN(Table1[[#This Row],[Ordered]],0)</f>
        <v>45317</v>
      </c>
      <c r="M2758" s="4">
        <f>Table1[[#This Row],[Date ]]</f>
        <v>45317</v>
      </c>
      <c r="N2758" s="5">
        <f>Table1[[#This Row],[Ordered]]-Table1[[#This Row],[Date ]]</f>
        <v>0.16666666666424135</v>
      </c>
      <c r="O2758">
        <f>Table1[[#This Row],[Company]]</f>
        <v>15</v>
      </c>
      <c r="P27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9" spans="1:16" x14ac:dyDescent="0.45">
      <c r="A2759" s="3">
        <v>45317.166666666664</v>
      </c>
      <c r="B2759" t="s">
        <v>14</v>
      </c>
      <c r="C2759">
        <v>12</v>
      </c>
      <c r="D2759">
        <v>1003</v>
      </c>
      <c r="E2759" t="s">
        <v>15</v>
      </c>
      <c r="F2759">
        <v>5</v>
      </c>
      <c r="G2759">
        <v>6750</v>
      </c>
      <c r="H2759">
        <v>33750</v>
      </c>
      <c r="I2759" s="3">
        <v>45318.083333333336</v>
      </c>
      <c r="J2759">
        <v>96</v>
      </c>
      <c r="K2759" s="3">
        <v>45321.083333333336</v>
      </c>
      <c r="L2759" s="4">
        <f>ROUNDDOWN(Table1[[#This Row],[Ordered]],0)</f>
        <v>45317</v>
      </c>
      <c r="M2759" s="4">
        <f>Table1[[#This Row],[Date ]]</f>
        <v>45317</v>
      </c>
      <c r="N2759" s="5">
        <f>Table1[[#This Row],[Ordered]]-Table1[[#This Row],[Date ]]</f>
        <v>0.16666666666424135</v>
      </c>
      <c r="O2759">
        <f>Table1[[#This Row],[Company]]</f>
        <v>12</v>
      </c>
      <c r="P27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0" spans="1:16" x14ac:dyDescent="0.45">
      <c r="A2760" s="3">
        <v>45317.166666666664</v>
      </c>
      <c r="B2760" t="s">
        <v>0</v>
      </c>
      <c r="C2760">
        <v>12</v>
      </c>
      <c r="D2760">
        <v>2007</v>
      </c>
      <c r="E2760" t="s">
        <v>16</v>
      </c>
      <c r="F2760">
        <v>28</v>
      </c>
      <c r="G2760">
        <v>3900</v>
      </c>
      <c r="H2760">
        <v>109200</v>
      </c>
      <c r="I2760" s="3">
        <v>45318.666666666664</v>
      </c>
      <c r="J2760">
        <v>120</v>
      </c>
      <c r="K2760" s="3">
        <v>45321.666666666664</v>
      </c>
      <c r="L2760" s="4">
        <f>ROUNDDOWN(Table1[[#This Row],[Ordered]],0)</f>
        <v>45317</v>
      </c>
      <c r="M2760" s="4">
        <f>Table1[[#This Row],[Date ]]</f>
        <v>45317</v>
      </c>
      <c r="N2760" s="5">
        <f>Table1[[#This Row],[Ordered]]-Table1[[#This Row],[Date ]]</f>
        <v>0.16666666666424135</v>
      </c>
      <c r="O2760">
        <f>Table1[[#This Row],[Company]]</f>
        <v>12</v>
      </c>
      <c r="P27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1" spans="1:16" x14ac:dyDescent="0.45">
      <c r="A2761" s="3">
        <v>45317.166666666664</v>
      </c>
      <c r="B2761" t="s">
        <v>0</v>
      </c>
      <c r="C2761">
        <v>10</v>
      </c>
      <c r="D2761">
        <v>2007</v>
      </c>
      <c r="E2761" t="s">
        <v>16</v>
      </c>
      <c r="F2761">
        <v>32</v>
      </c>
      <c r="G2761">
        <v>4000</v>
      </c>
      <c r="H2761">
        <v>128000</v>
      </c>
      <c r="I2761" s="3">
        <v>45317.375</v>
      </c>
      <c r="J2761">
        <v>84</v>
      </c>
      <c r="K2761" s="3">
        <v>45320.375</v>
      </c>
      <c r="L2761" s="4">
        <f>ROUNDDOWN(Table1[[#This Row],[Ordered]],0)</f>
        <v>45317</v>
      </c>
      <c r="M2761" s="4">
        <f>Table1[[#This Row],[Date ]]</f>
        <v>45317</v>
      </c>
      <c r="N2761" s="5">
        <f>Table1[[#This Row],[Ordered]]-Table1[[#This Row],[Date ]]</f>
        <v>0.16666666666424135</v>
      </c>
      <c r="O2761">
        <f>Table1[[#This Row],[Company]]</f>
        <v>10</v>
      </c>
      <c r="P27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2" spans="1:16" x14ac:dyDescent="0.45">
      <c r="A2762" s="3">
        <v>45317.166666666664</v>
      </c>
      <c r="B2762" t="s">
        <v>0</v>
      </c>
      <c r="C2762">
        <v>8</v>
      </c>
      <c r="D2762">
        <v>2007</v>
      </c>
      <c r="E2762" t="s">
        <v>15</v>
      </c>
      <c r="F2762">
        <v>10</v>
      </c>
      <c r="G2762">
        <v>6805</v>
      </c>
      <c r="H2762">
        <v>68050</v>
      </c>
      <c r="I2762" s="3">
        <v>45317.375</v>
      </c>
      <c r="J2762">
        <v>110</v>
      </c>
      <c r="K2762" s="3">
        <v>45321.875</v>
      </c>
      <c r="L2762" s="4">
        <f>ROUNDDOWN(Table1[[#This Row],[Ordered]],0)</f>
        <v>45317</v>
      </c>
      <c r="M2762" s="4">
        <f>Table1[[#This Row],[Date ]]</f>
        <v>45317</v>
      </c>
      <c r="N2762" s="5">
        <f>Table1[[#This Row],[Ordered]]-Table1[[#This Row],[Date ]]</f>
        <v>0.16666666666424135</v>
      </c>
      <c r="O2762">
        <f>Table1[[#This Row],[Company]]</f>
        <v>8</v>
      </c>
      <c r="P27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3" spans="1:16" x14ac:dyDescent="0.45">
      <c r="A2763" s="3">
        <v>45317.166666666664</v>
      </c>
      <c r="B2763" t="s">
        <v>14</v>
      </c>
      <c r="C2763">
        <v>16</v>
      </c>
      <c r="D2763">
        <v>1003</v>
      </c>
      <c r="E2763" t="s">
        <v>16</v>
      </c>
      <c r="F2763">
        <v>29</v>
      </c>
      <c r="G2763">
        <v>3750</v>
      </c>
      <c r="H2763">
        <v>108750</v>
      </c>
      <c r="I2763" s="3">
        <v>45317.458333333336</v>
      </c>
      <c r="J2763">
        <v>96</v>
      </c>
      <c r="K2763" s="3">
        <v>45320.458333333336</v>
      </c>
      <c r="L2763" s="4">
        <f>ROUNDDOWN(Table1[[#This Row],[Ordered]],0)</f>
        <v>45317</v>
      </c>
      <c r="M2763" s="4">
        <f>Table1[[#This Row],[Date ]]</f>
        <v>45317</v>
      </c>
      <c r="N2763" s="5">
        <f>Table1[[#This Row],[Ordered]]-Table1[[#This Row],[Date ]]</f>
        <v>0.16666666666424135</v>
      </c>
      <c r="O2763">
        <f>Table1[[#This Row],[Company]]</f>
        <v>16</v>
      </c>
      <c r="P27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4" spans="1:16" x14ac:dyDescent="0.45">
      <c r="A2764" s="3">
        <v>45317.166666666664</v>
      </c>
      <c r="B2764" t="s">
        <v>14</v>
      </c>
      <c r="C2764">
        <v>9</v>
      </c>
      <c r="D2764">
        <v>1003</v>
      </c>
      <c r="E2764" t="s">
        <v>16</v>
      </c>
      <c r="F2764">
        <v>50</v>
      </c>
      <c r="G2764">
        <v>3250</v>
      </c>
      <c r="H2764">
        <v>162500</v>
      </c>
      <c r="I2764" s="3">
        <v>45317.583333333336</v>
      </c>
      <c r="J2764">
        <v>96</v>
      </c>
      <c r="K2764" s="3">
        <v>45320.625</v>
      </c>
      <c r="L2764" s="4">
        <f>ROUNDDOWN(Table1[[#This Row],[Ordered]],0)</f>
        <v>45317</v>
      </c>
      <c r="M2764" s="4">
        <f>Table1[[#This Row],[Date ]]</f>
        <v>45317</v>
      </c>
      <c r="N2764" s="5">
        <f>Table1[[#This Row],[Ordered]]-Table1[[#This Row],[Date ]]</f>
        <v>0.16666666666424135</v>
      </c>
      <c r="O2764">
        <f>Table1[[#This Row],[Company]]</f>
        <v>9</v>
      </c>
      <c r="P27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5" spans="1:16" x14ac:dyDescent="0.45">
      <c r="A2765" s="3">
        <v>45317.166666666664</v>
      </c>
      <c r="B2765" t="s">
        <v>0</v>
      </c>
      <c r="C2765">
        <v>10</v>
      </c>
      <c r="D2765">
        <v>2007</v>
      </c>
      <c r="E2765" t="s">
        <v>15</v>
      </c>
      <c r="F2765">
        <v>20</v>
      </c>
      <c r="G2765">
        <v>6100</v>
      </c>
      <c r="H2765">
        <v>122000</v>
      </c>
      <c r="I2765" s="3">
        <v>45317.208333333336</v>
      </c>
      <c r="J2765">
        <v>84</v>
      </c>
      <c r="K2765" s="3">
        <v>45320.208333333336</v>
      </c>
      <c r="L2765" s="4">
        <f>ROUNDDOWN(Table1[[#This Row],[Ordered]],0)</f>
        <v>45317</v>
      </c>
      <c r="M2765" s="4">
        <f>Table1[[#This Row],[Date ]]</f>
        <v>45317</v>
      </c>
      <c r="N2765" s="5">
        <f>Table1[[#This Row],[Ordered]]-Table1[[#This Row],[Date ]]</f>
        <v>0.16666666666424135</v>
      </c>
      <c r="O2765">
        <f>Table1[[#This Row],[Company]]</f>
        <v>10</v>
      </c>
      <c r="P27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6" spans="1:16" x14ac:dyDescent="0.45">
      <c r="A2766" s="3">
        <v>45317.166666666664</v>
      </c>
      <c r="B2766" t="s">
        <v>0</v>
      </c>
      <c r="C2766">
        <v>11</v>
      </c>
      <c r="D2766">
        <v>2007</v>
      </c>
      <c r="E2766" t="s">
        <v>16</v>
      </c>
      <c r="F2766">
        <v>20</v>
      </c>
      <c r="G2766">
        <v>4300</v>
      </c>
      <c r="H2766">
        <v>86000</v>
      </c>
      <c r="I2766" s="3">
        <v>45318.083333333336</v>
      </c>
      <c r="J2766">
        <v>96</v>
      </c>
      <c r="K2766" s="3">
        <v>45321.083333333336</v>
      </c>
      <c r="L2766" s="4">
        <f>ROUNDDOWN(Table1[[#This Row],[Ordered]],0)</f>
        <v>45317</v>
      </c>
      <c r="M2766" s="4">
        <f>Table1[[#This Row],[Date ]]</f>
        <v>45317</v>
      </c>
      <c r="N2766" s="5">
        <f>Table1[[#This Row],[Ordered]]-Table1[[#This Row],[Date ]]</f>
        <v>0.16666666666424135</v>
      </c>
      <c r="O2766">
        <f>Table1[[#This Row],[Company]]</f>
        <v>11</v>
      </c>
      <c r="P27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7" spans="1:16" x14ac:dyDescent="0.45">
      <c r="A2767" s="3">
        <v>45317.166666666664</v>
      </c>
      <c r="B2767" t="s">
        <v>0</v>
      </c>
      <c r="C2767">
        <v>14</v>
      </c>
      <c r="D2767">
        <v>2007</v>
      </c>
      <c r="E2767" t="s">
        <v>16</v>
      </c>
      <c r="F2767">
        <v>37</v>
      </c>
      <c r="G2767">
        <v>4100</v>
      </c>
      <c r="H2767">
        <v>151700</v>
      </c>
      <c r="I2767" s="3">
        <v>45317.208333333336</v>
      </c>
      <c r="J2767">
        <v>82</v>
      </c>
      <c r="K2767" s="3">
        <v>45320.208333333336</v>
      </c>
      <c r="L2767" s="4">
        <f>ROUNDDOWN(Table1[[#This Row],[Ordered]],0)</f>
        <v>45317</v>
      </c>
      <c r="M2767" s="4">
        <f>Table1[[#This Row],[Date ]]</f>
        <v>45317</v>
      </c>
      <c r="N2767" s="5">
        <f>Table1[[#This Row],[Ordered]]-Table1[[#This Row],[Date ]]</f>
        <v>0.16666666666424135</v>
      </c>
      <c r="O2767">
        <f>Table1[[#This Row],[Company]]</f>
        <v>14</v>
      </c>
      <c r="P27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8" spans="1:16" hidden="1" x14ac:dyDescent="0.45">
      <c r="A2768" s="3">
        <v>45317.166666666664</v>
      </c>
      <c r="B2768" t="s">
        <v>12</v>
      </c>
      <c r="C2768">
        <v>3</v>
      </c>
      <c r="D2768">
        <v>12</v>
      </c>
      <c r="E2768" t="s">
        <v>13</v>
      </c>
      <c r="F2768">
        <v>3400</v>
      </c>
      <c r="G2768">
        <v>120</v>
      </c>
      <c r="H2768">
        <v>408000</v>
      </c>
      <c r="I2768" s="3">
        <v>45317.25</v>
      </c>
      <c r="J2768">
        <v>72</v>
      </c>
      <c r="K2768" s="3">
        <v>45320.25</v>
      </c>
      <c r="L2768" s="4">
        <f>ROUNDDOWN(Table1[[#This Row],[Ordered]],0)</f>
        <v>45317</v>
      </c>
      <c r="M2768" s="4">
        <f>Table1[[#This Row],[Date ]]</f>
        <v>45317</v>
      </c>
      <c r="N2768" s="5">
        <f>Table1[[#This Row],[Ordered]]-Table1[[#This Row],[Date ]]</f>
        <v>0.16666666666424135</v>
      </c>
      <c r="O2768">
        <f>Table1[[#This Row],[Company]]</f>
        <v>3</v>
      </c>
      <c r="P27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9" spans="1:16" x14ac:dyDescent="0.45">
      <c r="A2769" s="3">
        <v>45317.166666666664</v>
      </c>
      <c r="B2769" t="s">
        <v>14</v>
      </c>
      <c r="C2769">
        <v>13</v>
      </c>
      <c r="D2769">
        <v>1003</v>
      </c>
      <c r="E2769" t="s">
        <v>15</v>
      </c>
      <c r="F2769">
        <v>7</v>
      </c>
      <c r="G2769">
        <v>6000</v>
      </c>
      <c r="H2769">
        <v>42000</v>
      </c>
      <c r="I2769" s="3">
        <v>45317.791666666664</v>
      </c>
      <c r="J2769">
        <v>96</v>
      </c>
      <c r="K2769" s="3">
        <v>45320.833333333336</v>
      </c>
      <c r="L2769" s="4">
        <f>ROUNDDOWN(Table1[[#This Row],[Ordered]],0)</f>
        <v>45317</v>
      </c>
      <c r="M2769" s="4">
        <f>Table1[[#This Row],[Date ]]</f>
        <v>45317</v>
      </c>
      <c r="N2769" s="5">
        <f>Table1[[#This Row],[Ordered]]-Table1[[#This Row],[Date ]]</f>
        <v>0.16666666666424135</v>
      </c>
      <c r="O2769">
        <f>Table1[[#This Row],[Company]]</f>
        <v>13</v>
      </c>
      <c r="P27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0" spans="1:16" x14ac:dyDescent="0.45">
      <c r="A2770" s="3">
        <v>45317.166666666664</v>
      </c>
      <c r="B2770" t="s">
        <v>0</v>
      </c>
      <c r="C2770">
        <v>15</v>
      </c>
      <c r="D2770">
        <v>2007</v>
      </c>
      <c r="E2770" t="s">
        <v>15</v>
      </c>
      <c r="F2770">
        <v>44</v>
      </c>
      <c r="G2770">
        <v>6450</v>
      </c>
      <c r="H2770">
        <v>283800</v>
      </c>
      <c r="I2770" s="3">
        <v>45317.166666666664</v>
      </c>
      <c r="J2770">
        <v>48</v>
      </c>
      <c r="K2770" s="3">
        <v>45318.666666666664</v>
      </c>
      <c r="L2770" s="4">
        <f>ROUNDDOWN(Table1[[#This Row],[Ordered]],0)</f>
        <v>45317</v>
      </c>
      <c r="M2770" s="4">
        <f>Table1[[#This Row],[Date ]]</f>
        <v>45317</v>
      </c>
      <c r="N2770" s="5">
        <f>Table1[[#This Row],[Ordered]]-Table1[[#This Row],[Date ]]</f>
        <v>0.16666666666424135</v>
      </c>
      <c r="O2770">
        <f>Table1[[#This Row],[Company]]</f>
        <v>15</v>
      </c>
      <c r="P27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1" spans="1:16" x14ac:dyDescent="0.45">
      <c r="A2771" s="3">
        <v>45317.166666666664</v>
      </c>
      <c r="B2771" t="s">
        <v>0</v>
      </c>
      <c r="C2771">
        <v>7</v>
      </c>
      <c r="D2771">
        <v>2007</v>
      </c>
      <c r="E2771" t="s">
        <v>16</v>
      </c>
      <c r="F2771">
        <v>21</v>
      </c>
      <c r="G2771">
        <v>4200</v>
      </c>
      <c r="H2771">
        <v>88200</v>
      </c>
      <c r="I2771" s="3">
        <v>45317.25</v>
      </c>
      <c r="J2771">
        <v>132</v>
      </c>
      <c r="K2771" s="3">
        <v>45321.75</v>
      </c>
      <c r="L2771" s="4">
        <f>ROUNDDOWN(Table1[[#This Row],[Ordered]],0)</f>
        <v>45317</v>
      </c>
      <c r="M2771" s="4">
        <f>Table1[[#This Row],[Date ]]</f>
        <v>45317</v>
      </c>
      <c r="N2771" s="5">
        <f>Table1[[#This Row],[Ordered]]-Table1[[#This Row],[Date ]]</f>
        <v>0.16666666666424135</v>
      </c>
      <c r="O2771">
        <f>Table1[[#This Row],[Company]]</f>
        <v>7</v>
      </c>
      <c r="P27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2" spans="1:16" x14ac:dyDescent="0.45">
      <c r="A2772" s="3">
        <v>45317.166666666664</v>
      </c>
      <c r="B2772" t="s">
        <v>14</v>
      </c>
      <c r="C2772">
        <v>15</v>
      </c>
      <c r="D2772">
        <v>1003</v>
      </c>
      <c r="E2772" t="s">
        <v>15</v>
      </c>
      <c r="F2772">
        <v>8</v>
      </c>
      <c r="G2772">
        <v>6450</v>
      </c>
      <c r="H2772">
        <v>51600</v>
      </c>
      <c r="I2772" s="3">
        <v>45317.291666666664</v>
      </c>
      <c r="J2772">
        <v>64</v>
      </c>
      <c r="K2772" s="3">
        <v>45319.291666666664</v>
      </c>
      <c r="L2772" s="4">
        <f>ROUNDDOWN(Table1[[#This Row],[Ordered]],0)</f>
        <v>45317</v>
      </c>
      <c r="M2772" s="4">
        <f>Table1[[#This Row],[Date ]]</f>
        <v>45317</v>
      </c>
      <c r="N2772" s="5">
        <f>Table1[[#This Row],[Ordered]]-Table1[[#This Row],[Date ]]</f>
        <v>0.16666666666424135</v>
      </c>
      <c r="O2772">
        <f>Table1[[#This Row],[Company]]</f>
        <v>15</v>
      </c>
      <c r="P27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3" spans="1:16" x14ac:dyDescent="0.45">
      <c r="A2773" s="3">
        <v>45317.166666666664</v>
      </c>
      <c r="B2773" t="s">
        <v>14</v>
      </c>
      <c r="C2773">
        <v>15</v>
      </c>
      <c r="D2773">
        <v>1003</v>
      </c>
      <c r="E2773" t="s">
        <v>16</v>
      </c>
      <c r="F2773">
        <v>50</v>
      </c>
      <c r="G2773">
        <v>3500</v>
      </c>
      <c r="H2773">
        <v>175000</v>
      </c>
      <c r="I2773" s="3">
        <v>45317.291666666664</v>
      </c>
      <c r="J2773">
        <v>88</v>
      </c>
      <c r="K2773" s="3">
        <v>45320.291666666664</v>
      </c>
      <c r="L2773" s="4">
        <f>ROUNDDOWN(Table1[[#This Row],[Ordered]],0)</f>
        <v>45317</v>
      </c>
      <c r="M2773" s="4">
        <f>Table1[[#This Row],[Date ]]</f>
        <v>45317</v>
      </c>
      <c r="N2773" s="5">
        <f>Table1[[#This Row],[Ordered]]-Table1[[#This Row],[Date ]]</f>
        <v>0.16666666666424135</v>
      </c>
      <c r="O2773">
        <f>Table1[[#This Row],[Company]]</f>
        <v>15</v>
      </c>
      <c r="P27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4" spans="1:16" x14ac:dyDescent="0.45">
      <c r="A2774" s="3">
        <v>45317.166666666664</v>
      </c>
      <c r="B2774" t="s">
        <v>14</v>
      </c>
      <c r="C2774">
        <v>16</v>
      </c>
      <c r="D2774">
        <v>1003</v>
      </c>
      <c r="E2774" t="s">
        <v>15</v>
      </c>
      <c r="F2774">
        <v>5</v>
      </c>
      <c r="G2774">
        <v>6050</v>
      </c>
      <c r="H2774">
        <v>30250</v>
      </c>
      <c r="I2774" s="3">
        <v>45317.416666666664</v>
      </c>
      <c r="J2774">
        <v>96</v>
      </c>
      <c r="K2774" s="3">
        <v>45320.416666666664</v>
      </c>
      <c r="L2774" s="4">
        <f>ROUNDDOWN(Table1[[#This Row],[Ordered]],0)</f>
        <v>45317</v>
      </c>
      <c r="M2774" s="4">
        <f>Table1[[#This Row],[Date ]]</f>
        <v>45317</v>
      </c>
      <c r="N2774" s="5">
        <f>Table1[[#This Row],[Ordered]]-Table1[[#This Row],[Date ]]</f>
        <v>0.16666666666424135</v>
      </c>
      <c r="O2774">
        <f>Table1[[#This Row],[Company]]</f>
        <v>16</v>
      </c>
      <c r="P27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5" spans="1:16" x14ac:dyDescent="0.45">
      <c r="A2775" s="3">
        <v>45317.166666666664</v>
      </c>
      <c r="B2775" t="s">
        <v>14</v>
      </c>
      <c r="C2775">
        <v>14</v>
      </c>
      <c r="D2775">
        <v>1003</v>
      </c>
      <c r="E2775" t="s">
        <v>16</v>
      </c>
      <c r="F2775">
        <v>40</v>
      </c>
      <c r="G2775">
        <v>3650</v>
      </c>
      <c r="H2775">
        <v>146000</v>
      </c>
      <c r="I2775" s="3">
        <v>45317.333333333336</v>
      </c>
      <c r="J2775">
        <v>84</v>
      </c>
      <c r="K2775" s="3">
        <v>45320.333333333336</v>
      </c>
      <c r="L2775" s="4">
        <f>ROUNDDOWN(Table1[[#This Row],[Ordered]],0)</f>
        <v>45317</v>
      </c>
      <c r="M2775" s="4">
        <f>Table1[[#This Row],[Date ]]</f>
        <v>45317</v>
      </c>
      <c r="N2775" s="5">
        <f>Table1[[#This Row],[Ordered]]-Table1[[#This Row],[Date ]]</f>
        <v>0.16666666666424135</v>
      </c>
      <c r="O2775">
        <f>Table1[[#This Row],[Company]]</f>
        <v>14</v>
      </c>
      <c r="P27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6" spans="1:16" x14ac:dyDescent="0.45">
      <c r="A2776" s="3">
        <v>45317.166666666664</v>
      </c>
      <c r="B2776" t="s">
        <v>0</v>
      </c>
      <c r="C2776">
        <v>9</v>
      </c>
      <c r="D2776">
        <v>2007</v>
      </c>
      <c r="E2776" t="s">
        <v>16</v>
      </c>
      <c r="F2776">
        <v>30</v>
      </c>
      <c r="G2776">
        <v>3599</v>
      </c>
      <c r="H2776">
        <v>107970</v>
      </c>
      <c r="I2776" s="3">
        <v>45317.166666666664</v>
      </c>
      <c r="J2776">
        <v>112</v>
      </c>
      <c r="K2776" s="3">
        <v>45321.666666666664</v>
      </c>
      <c r="L2776" s="4">
        <f>ROUNDDOWN(Table1[[#This Row],[Ordered]],0)</f>
        <v>45317</v>
      </c>
      <c r="M2776" s="4">
        <f>Table1[[#This Row],[Date ]]</f>
        <v>45317</v>
      </c>
      <c r="N2776" s="5">
        <f>Table1[[#This Row],[Ordered]]-Table1[[#This Row],[Date ]]</f>
        <v>0.16666666666424135</v>
      </c>
      <c r="O2776">
        <f>Table1[[#This Row],[Company]]</f>
        <v>9</v>
      </c>
      <c r="P27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7" spans="1:16" x14ac:dyDescent="0.45">
      <c r="A2777" s="3">
        <v>45317.166666666664</v>
      </c>
      <c r="B2777" t="s">
        <v>14</v>
      </c>
      <c r="C2777">
        <v>11</v>
      </c>
      <c r="D2777">
        <v>1003</v>
      </c>
      <c r="E2777" t="s">
        <v>16</v>
      </c>
      <c r="F2777">
        <v>30</v>
      </c>
      <c r="G2777">
        <v>4000</v>
      </c>
      <c r="H2777">
        <v>120000</v>
      </c>
      <c r="I2777" s="3">
        <v>45318.708333333336</v>
      </c>
      <c r="J2777">
        <v>96</v>
      </c>
      <c r="K2777" s="3">
        <v>45320.708333333336</v>
      </c>
      <c r="L2777" s="4">
        <f>ROUNDDOWN(Table1[[#This Row],[Ordered]],0)</f>
        <v>45317</v>
      </c>
      <c r="M2777" s="4">
        <f>Table1[[#This Row],[Date ]]</f>
        <v>45317</v>
      </c>
      <c r="N2777" s="5">
        <f>Table1[[#This Row],[Ordered]]-Table1[[#This Row],[Date ]]</f>
        <v>0.16666666666424135</v>
      </c>
      <c r="O2777">
        <f>Table1[[#This Row],[Company]]</f>
        <v>11</v>
      </c>
      <c r="P27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8" spans="1:16" x14ac:dyDescent="0.45">
      <c r="A2778" s="3">
        <v>45317.166666666664</v>
      </c>
      <c r="B2778" t="s">
        <v>0</v>
      </c>
      <c r="C2778">
        <v>7</v>
      </c>
      <c r="D2778">
        <v>2007</v>
      </c>
      <c r="E2778" t="s">
        <v>15</v>
      </c>
      <c r="F2778">
        <v>13</v>
      </c>
      <c r="G2778">
        <v>6900</v>
      </c>
      <c r="H2778">
        <v>89700</v>
      </c>
      <c r="I2778" s="3">
        <v>45317.208333333336</v>
      </c>
      <c r="J2778">
        <v>132</v>
      </c>
      <c r="K2778" s="3">
        <v>45321.708333333336</v>
      </c>
      <c r="L2778" s="4">
        <f>ROUNDDOWN(Table1[[#This Row],[Ordered]],0)</f>
        <v>45317</v>
      </c>
      <c r="M2778" s="4">
        <f>Table1[[#This Row],[Date ]]</f>
        <v>45317</v>
      </c>
      <c r="N2778" s="5">
        <f>Table1[[#This Row],[Ordered]]-Table1[[#This Row],[Date ]]</f>
        <v>0.16666666666424135</v>
      </c>
      <c r="O2778">
        <f>Table1[[#This Row],[Company]]</f>
        <v>7</v>
      </c>
      <c r="P27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9" spans="1:16" x14ac:dyDescent="0.45">
      <c r="A2779" s="3">
        <v>45317.166666666664</v>
      </c>
      <c r="B2779" t="s">
        <v>0</v>
      </c>
      <c r="C2779">
        <v>14</v>
      </c>
      <c r="D2779">
        <v>2007</v>
      </c>
      <c r="E2779" t="s">
        <v>15</v>
      </c>
      <c r="F2779">
        <v>17</v>
      </c>
      <c r="G2779">
        <v>6650</v>
      </c>
      <c r="H2779">
        <v>113050</v>
      </c>
      <c r="I2779" s="3">
        <v>45317.333333333336</v>
      </c>
      <c r="J2779">
        <v>120</v>
      </c>
      <c r="K2779" s="3">
        <v>45321.833333333336</v>
      </c>
      <c r="L2779" s="4">
        <f>ROUNDDOWN(Table1[[#This Row],[Ordered]],0)</f>
        <v>45317</v>
      </c>
      <c r="M2779" s="4">
        <f>Table1[[#This Row],[Date ]]</f>
        <v>45317</v>
      </c>
      <c r="N2779" s="5">
        <f>Table1[[#This Row],[Ordered]]-Table1[[#This Row],[Date ]]</f>
        <v>0.16666666666424135</v>
      </c>
      <c r="O2779">
        <f>Table1[[#This Row],[Company]]</f>
        <v>14</v>
      </c>
      <c r="P27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0" spans="1:16" x14ac:dyDescent="0.45">
      <c r="A2780" s="3">
        <v>45317.166666666664</v>
      </c>
      <c r="B2780" t="s">
        <v>14</v>
      </c>
      <c r="C2780">
        <v>11</v>
      </c>
      <c r="D2780">
        <v>1003</v>
      </c>
      <c r="E2780" t="s">
        <v>15</v>
      </c>
      <c r="F2780">
        <v>4</v>
      </c>
      <c r="G2780">
        <v>6400</v>
      </c>
      <c r="H2780">
        <v>25600</v>
      </c>
      <c r="I2780" s="3">
        <v>45317.333333333336</v>
      </c>
      <c r="J2780">
        <v>72</v>
      </c>
      <c r="K2780" s="3">
        <v>45319.333333333336</v>
      </c>
      <c r="L2780" s="4">
        <f>ROUNDDOWN(Table1[[#This Row],[Ordered]],0)</f>
        <v>45317</v>
      </c>
      <c r="M2780" s="4">
        <f>Table1[[#This Row],[Date ]]</f>
        <v>45317</v>
      </c>
      <c r="N2780" s="5">
        <f>Table1[[#This Row],[Ordered]]-Table1[[#This Row],[Date ]]</f>
        <v>0.16666666666424135</v>
      </c>
      <c r="O2780">
        <f>Table1[[#This Row],[Company]]</f>
        <v>11</v>
      </c>
      <c r="P27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1" spans="1:16" x14ac:dyDescent="0.45">
      <c r="A2781" s="3">
        <v>45317.166666666664</v>
      </c>
      <c r="B2781" t="s">
        <v>14</v>
      </c>
      <c r="C2781">
        <v>12</v>
      </c>
      <c r="D2781">
        <v>1003</v>
      </c>
      <c r="E2781" t="s">
        <v>16</v>
      </c>
      <c r="F2781">
        <v>30</v>
      </c>
      <c r="G2781">
        <v>3850</v>
      </c>
      <c r="H2781">
        <v>115500</v>
      </c>
      <c r="I2781" s="3">
        <v>45319.458333333336</v>
      </c>
      <c r="J2781">
        <v>96</v>
      </c>
      <c r="K2781" s="3">
        <v>45320.458333333336</v>
      </c>
      <c r="L2781" s="4">
        <f>ROUNDDOWN(Table1[[#This Row],[Ordered]],0)</f>
        <v>45317</v>
      </c>
      <c r="M2781" s="4">
        <f>Table1[[#This Row],[Date ]]</f>
        <v>45317</v>
      </c>
      <c r="N2781" s="5">
        <f>Table1[[#This Row],[Ordered]]-Table1[[#This Row],[Date ]]</f>
        <v>0.16666666666424135</v>
      </c>
      <c r="O2781">
        <f>Table1[[#This Row],[Company]]</f>
        <v>12</v>
      </c>
      <c r="P27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2" spans="1:16" x14ac:dyDescent="0.45">
      <c r="A2782" s="3">
        <v>45317.166666666664</v>
      </c>
      <c r="B2782" t="s">
        <v>0</v>
      </c>
      <c r="C2782">
        <v>11</v>
      </c>
      <c r="D2782">
        <v>2007</v>
      </c>
      <c r="E2782" t="s">
        <v>15</v>
      </c>
      <c r="F2782">
        <v>10</v>
      </c>
      <c r="G2782">
        <v>6800</v>
      </c>
      <c r="H2782">
        <v>68000</v>
      </c>
      <c r="I2782" s="3">
        <v>45317.291666666664</v>
      </c>
      <c r="J2782">
        <v>84</v>
      </c>
      <c r="K2782" s="3">
        <v>45320.291666666664</v>
      </c>
      <c r="L2782" s="4">
        <f>ROUNDDOWN(Table1[[#This Row],[Ordered]],0)</f>
        <v>45317</v>
      </c>
      <c r="M2782" s="4">
        <f>Table1[[#This Row],[Date ]]</f>
        <v>45317</v>
      </c>
      <c r="N2782" s="5">
        <f>Table1[[#This Row],[Ordered]]-Table1[[#This Row],[Date ]]</f>
        <v>0.16666666666424135</v>
      </c>
      <c r="O2782">
        <f>Table1[[#This Row],[Company]]</f>
        <v>11</v>
      </c>
      <c r="P27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3" spans="1:16" hidden="1" x14ac:dyDescent="0.45">
      <c r="A2783" s="3">
        <v>45317.208333333336</v>
      </c>
      <c r="B2783" t="s">
        <v>12</v>
      </c>
      <c r="C2783">
        <v>5</v>
      </c>
      <c r="D2783">
        <v>9</v>
      </c>
      <c r="E2783" t="s">
        <v>17</v>
      </c>
      <c r="F2783">
        <v>200</v>
      </c>
      <c r="G2783">
        <v>1450</v>
      </c>
      <c r="H2783">
        <v>290000</v>
      </c>
      <c r="I2783" s="3">
        <v>45317.25</v>
      </c>
      <c r="J2783">
        <v>72</v>
      </c>
      <c r="K2783" s="3">
        <v>45320.25</v>
      </c>
      <c r="L2783" s="4">
        <f>ROUNDDOWN(Table1[[#This Row],[Ordered]],0)</f>
        <v>45317</v>
      </c>
      <c r="M2783" s="4">
        <f>Table1[[#This Row],[Date ]]</f>
        <v>45317</v>
      </c>
      <c r="N2783" s="5">
        <f>Table1[[#This Row],[Ordered]]-Table1[[#This Row],[Date ]]</f>
        <v>0.20833333333575865</v>
      </c>
      <c r="O2783">
        <f>Table1[[#This Row],[Company]]</f>
        <v>5</v>
      </c>
      <c r="P27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4" spans="1:16" hidden="1" x14ac:dyDescent="0.45">
      <c r="A2784" s="3">
        <v>45317.208333333336</v>
      </c>
      <c r="B2784" t="s">
        <v>12</v>
      </c>
      <c r="C2784">
        <v>3</v>
      </c>
      <c r="D2784">
        <v>12</v>
      </c>
      <c r="E2784" t="s">
        <v>17</v>
      </c>
      <c r="F2784">
        <v>740</v>
      </c>
      <c r="G2784">
        <v>1300</v>
      </c>
      <c r="H2784">
        <v>962000</v>
      </c>
      <c r="I2784" s="3">
        <v>45317.25</v>
      </c>
      <c r="J2784">
        <v>72</v>
      </c>
      <c r="K2784" s="3">
        <v>45320.25</v>
      </c>
      <c r="L2784" s="4">
        <f>ROUNDDOWN(Table1[[#This Row],[Ordered]],0)</f>
        <v>45317</v>
      </c>
      <c r="M2784" s="4">
        <f>Table1[[#This Row],[Date ]]</f>
        <v>45317</v>
      </c>
      <c r="N2784" s="5">
        <f>Table1[[#This Row],[Ordered]]-Table1[[#This Row],[Date ]]</f>
        <v>0.20833333333575865</v>
      </c>
      <c r="O2784">
        <f>Table1[[#This Row],[Company]]</f>
        <v>3</v>
      </c>
      <c r="P27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5" spans="1:16" hidden="1" x14ac:dyDescent="0.45">
      <c r="A2785" s="3">
        <v>45317.208333333336</v>
      </c>
      <c r="B2785" t="s">
        <v>12</v>
      </c>
      <c r="C2785">
        <v>1</v>
      </c>
      <c r="D2785">
        <v>13</v>
      </c>
      <c r="E2785" t="s">
        <v>17</v>
      </c>
      <c r="F2785">
        <v>300</v>
      </c>
      <c r="G2785">
        <v>1400</v>
      </c>
      <c r="H2785">
        <v>420000</v>
      </c>
      <c r="I2785" s="3">
        <v>45317.208333333336</v>
      </c>
      <c r="J2785">
        <v>72</v>
      </c>
      <c r="K2785" s="3">
        <v>45320.208333333336</v>
      </c>
      <c r="L2785" s="4">
        <f>ROUNDDOWN(Table1[[#This Row],[Ordered]],0)</f>
        <v>45317</v>
      </c>
      <c r="M2785" s="4">
        <f>Table1[[#This Row],[Date ]]</f>
        <v>45317</v>
      </c>
      <c r="N2785" s="5">
        <f>Table1[[#This Row],[Ordered]]-Table1[[#This Row],[Date ]]</f>
        <v>0.20833333333575865</v>
      </c>
      <c r="O2785">
        <f>Table1[[#This Row],[Company]]</f>
        <v>1</v>
      </c>
      <c r="P27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6" spans="1:16" hidden="1" x14ac:dyDescent="0.45">
      <c r="A2786" s="3">
        <v>45317.25</v>
      </c>
      <c r="B2786" t="s">
        <v>12</v>
      </c>
      <c r="C2786">
        <v>3</v>
      </c>
      <c r="D2786">
        <v>13</v>
      </c>
      <c r="E2786" t="s">
        <v>13</v>
      </c>
      <c r="F2786">
        <v>2000</v>
      </c>
      <c r="G2786">
        <v>125</v>
      </c>
      <c r="H2786">
        <v>250000</v>
      </c>
      <c r="I2786" s="3">
        <v>45317.333333333336</v>
      </c>
      <c r="J2786">
        <v>72</v>
      </c>
      <c r="K2786" s="3">
        <v>45320.333333333336</v>
      </c>
      <c r="L2786" s="4">
        <f>ROUNDDOWN(Table1[[#This Row],[Ordered]],0)</f>
        <v>45317</v>
      </c>
      <c r="M2786" s="4">
        <f>Table1[[#This Row],[Date ]]</f>
        <v>45317</v>
      </c>
      <c r="N2786" s="5">
        <f>Table1[[#This Row],[Ordered]]-Table1[[#This Row],[Date ]]</f>
        <v>0.25</v>
      </c>
      <c r="O2786">
        <f>Table1[[#This Row],[Company]]</f>
        <v>3</v>
      </c>
      <c r="P27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7" spans="1:16" x14ac:dyDescent="0.45">
      <c r="A2787" s="3">
        <v>45317.25</v>
      </c>
      <c r="B2787" t="s">
        <v>14</v>
      </c>
      <c r="C2787">
        <v>15</v>
      </c>
      <c r="D2787">
        <v>1001</v>
      </c>
      <c r="E2787" t="s">
        <v>16</v>
      </c>
      <c r="F2787">
        <v>50</v>
      </c>
      <c r="G2787">
        <v>3500</v>
      </c>
      <c r="H2787">
        <v>175000</v>
      </c>
      <c r="I2787" s="3">
        <v>45317.291666666664</v>
      </c>
      <c r="J2787">
        <v>88</v>
      </c>
      <c r="K2787" s="3">
        <v>45320.291666666664</v>
      </c>
      <c r="L2787" s="4">
        <f>ROUNDDOWN(Table1[[#This Row],[Ordered]],0)</f>
        <v>45317</v>
      </c>
      <c r="M2787" s="4">
        <f>Table1[[#This Row],[Date ]]</f>
        <v>45317</v>
      </c>
      <c r="N2787" s="5">
        <f>Table1[[#This Row],[Ordered]]-Table1[[#This Row],[Date ]]</f>
        <v>0.25</v>
      </c>
      <c r="O2787">
        <f>Table1[[#This Row],[Company]]</f>
        <v>15</v>
      </c>
      <c r="P27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8" spans="1:16" x14ac:dyDescent="0.45">
      <c r="A2788" s="3">
        <v>45317.25</v>
      </c>
      <c r="B2788" t="s">
        <v>14</v>
      </c>
      <c r="C2788">
        <v>10</v>
      </c>
      <c r="D2788">
        <v>1001</v>
      </c>
      <c r="E2788" t="s">
        <v>16</v>
      </c>
      <c r="F2788">
        <v>27</v>
      </c>
      <c r="G2788">
        <v>4200</v>
      </c>
      <c r="H2788">
        <v>113400</v>
      </c>
      <c r="I2788" s="3">
        <v>45317.416666666664</v>
      </c>
      <c r="J2788">
        <v>60</v>
      </c>
      <c r="K2788" s="3">
        <v>45319.416666666664</v>
      </c>
      <c r="L2788" s="4">
        <f>ROUNDDOWN(Table1[[#This Row],[Ordered]],0)</f>
        <v>45317</v>
      </c>
      <c r="M2788" s="4">
        <f>Table1[[#This Row],[Date ]]</f>
        <v>45317</v>
      </c>
      <c r="N2788" s="5">
        <f>Table1[[#This Row],[Ordered]]-Table1[[#This Row],[Date ]]</f>
        <v>0.25</v>
      </c>
      <c r="O2788">
        <f>Table1[[#This Row],[Company]]</f>
        <v>10</v>
      </c>
      <c r="P27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9" spans="1:16" x14ac:dyDescent="0.45">
      <c r="A2789" s="3">
        <v>45317.25</v>
      </c>
      <c r="B2789" t="s">
        <v>14</v>
      </c>
      <c r="C2789">
        <v>14</v>
      </c>
      <c r="D2789">
        <v>1001</v>
      </c>
      <c r="E2789" t="s">
        <v>16</v>
      </c>
      <c r="F2789">
        <v>40</v>
      </c>
      <c r="G2789">
        <v>3650</v>
      </c>
      <c r="H2789">
        <v>146000</v>
      </c>
      <c r="I2789" s="3">
        <v>45317.416666666664</v>
      </c>
      <c r="J2789">
        <v>84</v>
      </c>
      <c r="K2789" s="3">
        <v>45320.416666666664</v>
      </c>
      <c r="L2789" s="4">
        <f>ROUNDDOWN(Table1[[#This Row],[Ordered]],0)</f>
        <v>45317</v>
      </c>
      <c r="M2789" s="4">
        <f>Table1[[#This Row],[Date ]]</f>
        <v>45317</v>
      </c>
      <c r="N2789" s="5">
        <f>Table1[[#This Row],[Ordered]]-Table1[[#This Row],[Date ]]</f>
        <v>0.25</v>
      </c>
      <c r="O2789">
        <f>Table1[[#This Row],[Company]]</f>
        <v>14</v>
      </c>
      <c r="P27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0" spans="1:16" x14ac:dyDescent="0.45">
      <c r="A2790" s="3">
        <v>45317.25</v>
      </c>
      <c r="B2790" t="s">
        <v>14</v>
      </c>
      <c r="C2790">
        <v>12</v>
      </c>
      <c r="D2790">
        <v>1001</v>
      </c>
      <c r="E2790" t="s">
        <v>16</v>
      </c>
      <c r="F2790">
        <v>30</v>
      </c>
      <c r="G2790">
        <v>3850</v>
      </c>
      <c r="H2790">
        <v>115500</v>
      </c>
      <c r="I2790" s="3">
        <v>45319.5</v>
      </c>
      <c r="J2790">
        <v>96</v>
      </c>
      <c r="K2790" s="3">
        <v>45320.5</v>
      </c>
      <c r="L2790" s="4">
        <f>ROUNDDOWN(Table1[[#This Row],[Ordered]],0)</f>
        <v>45317</v>
      </c>
      <c r="M2790" s="4">
        <f>Table1[[#This Row],[Date ]]</f>
        <v>45317</v>
      </c>
      <c r="N2790" s="5">
        <f>Table1[[#This Row],[Ordered]]-Table1[[#This Row],[Date ]]</f>
        <v>0.25</v>
      </c>
      <c r="O2790">
        <f>Table1[[#This Row],[Company]]</f>
        <v>12</v>
      </c>
      <c r="P27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1" spans="1:16" x14ac:dyDescent="0.45">
      <c r="A2791" s="3">
        <v>45317.25</v>
      </c>
      <c r="B2791" t="s">
        <v>14</v>
      </c>
      <c r="C2791">
        <v>9</v>
      </c>
      <c r="D2791">
        <v>1001</v>
      </c>
      <c r="E2791" t="s">
        <v>16</v>
      </c>
      <c r="F2791">
        <v>52</v>
      </c>
      <c r="G2791">
        <v>3250</v>
      </c>
      <c r="H2791">
        <v>169000</v>
      </c>
      <c r="I2791" s="3">
        <v>45317.625</v>
      </c>
      <c r="J2791">
        <v>96</v>
      </c>
      <c r="K2791" s="3">
        <v>45320.625</v>
      </c>
      <c r="L2791" s="4">
        <f>ROUNDDOWN(Table1[[#This Row],[Ordered]],0)</f>
        <v>45317</v>
      </c>
      <c r="M2791" s="4">
        <f>Table1[[#This Row],[Date ]]</f>
        <v>45317</v>
      </c>
      <c r="N2791" s="5">
        <f>Table1[[#This Row],[Ordered]]-Table1[[#This Row],[Date ]]</f>
        <v>0.25</v>
      </c>
      <c r="O2791">
        <f>Table1[[#This Row],[Company]]</f>
        <v>9</v>
      </c>
      <c r="P27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2" spans="1:16" x14ac:dyDescent="0.45">
      <c r="A2792" s="3">
        <v>45317.25</v>
      </c>
      <c r="B2792" t="s">
        <v>14</v>
      </c>
      <c r="C2792">
        <v>11</v>
      </c>
      <c r="D2792">
        <v>1001</v>
      </c>
      <c r="E2792" t="s">
        <v>16</v>
      </c>
      <c r="F2792">
        <v>30</v>
      </c>
      <c r="G2792">
        <v>3900</v>
      </c>
      <c r="H2792">
        <v>117000</v>
      </c>
      <c r="I2792" s="3">
        <v>45318.375</v>
      </c>
      <c r="J2792">
        <v>108</v>
      </c>
      <c r="K2792" s="3">
        <v>45321.375</v>
      </c>
      <c r="L2792" s="4">
        <f>ROUNDDOWN(Table1[[#This Row],[Ordered]],0)</f>
        <v>45317</v>
      </c>
      <c r="M2792" s="4">
        <f>Table1[[#This Row],[Date ]]</f>
        <v>45317</v>
      </c>
      <c r="N2792" s="5">
        <f>Table1[[#This Row],[Ordered]]-Table1[[#This Row],[Date ]]</f>
        <v>0.25</v>
      </c>
      <c r="O2792">
        <f>Table1[[#This Row],[Company]]</f>
        <v>11</v>
      </c>
      <c r="P27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3" spans="1:16" x14ac:dyDescent="0.45">
      <c r="A2793" s="3">
        <v>45317.25</v>
      </c>
      <c r="B2793" t="s">
        <v>14</v>
      </c>
      <c r="C2793">
        <v>13</v>
      </c>
      <c r="D2793">
        <v>1001</v>
      </c>
      <c r="E2793" t="s">
        <v>16</v>
      </c>
      <c r="F2793">
        <v>30</v>
      </c>
      <c r="G2793">
        <v>3100</v>
      </c>
      <c r="H2793">
        <v>93000</v>
      </c>
      <c r="I2793" s="3">
        <v>45318.875</v>
      </c>
      <c r="J2793">
        <v>96</v>
      </c>
      <c r="K2793" s="3">
        <v>45320.875</v>
      </c>
      <c r="L2793" s="4">
        <f>ROUNDDOWN(Table1[[#This Row],[Ordered]],0)</f>
        <v>45317</v>
      </c>
      <c r="M2793" s="4">
        <f>Table1[[#This Row],[Date ]]</f>
        <v>45317</v>
      </c>
      <c r="N2793" s="5">
        <f>Table1[[#This Row],[Ordered]]-Table1[[#This Row],[Date ]]</f>
        <v>0.25</v>
      </c>
      <c r="O2793">
        <f>Table1[[#This Row],[Company]]</f>
        <v>13</v>
      </c>
      <c r="P27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4" spans="1:16" x14ac:dyDescent="0.45">
      <c r="A2794" s="3">
        <v>45317.25</v>
      </c>
      <c r="B2794" t="s">
        <v>14</v>
      </c>
      <c r="C2794">
        <v>16</v>
      </c>
      <c r="D2794">
        <v>1001</v>
      </c>
      <c r="E2794" t="s">
        <v>16</v>
      </c>
      <c r="F2794">
        <v>30</v>
      </c>
      <c r="G2794">
        <v>3750</v>
      </c>
      <c r="H2794">
        <v>112500</v>
      </c>
      <c r="I2794" s="3">
        <v>45317.625</v>
      </c>
      <c r="J2794">
        <v>96</v>
      </c>
      <c r="K2794" s="3">
        <v>45320.625</v>
      </c>
      <c r="L2794" s="4">
        <f>ROUNDDOWN(Table1[[#This Row],[Ordered]],0)</f>
        <v>45317</v>
      </c>
      <c r="M2794" s="4">
        <f>Table1[[#This Row],[Date ]]</f>
        <v>45317</v>
      </c>
      <c r="N2794" s="5">
        <f>Table1[[#This Row],[Ordered]]-Table1[[#This Row],[Date ]]</f>
        <v>0.25</v>
      </c>
      <c r="O2794">
        <f>Table1[[#This Row],[Company]]</f>
        <v>16</v>
      </c>
      <c r="P27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5" spans="1:16" hidden="1" x14ac:dyDescent="0.45">
      <c r="A2795" s="3">
        <v>45317.291666666664</v>
      </c>
      <c r="B2795" t="s">
        <v>12</v>
      </c>
      <c r="C2795">
        <v>2</v>
      </c>
      <c r="D2795">
        <v>15</v>
      </c>
      <c r="E2795" t="s">
        <v>13</v>
      </c>
      <c r="F2795">
        <v>2800</v>
      </c>
      <c r="G2795">
        <v>125</v>
      </c>
      <c r="H2795">
        <v>350000</v>
      </c>
      <c r="I2795" s="3">
        <v>45317.333333333336</v>
      </c>
      <c r="J2795">
        <v>72</v>
      </c>
      <c r="K2795" s="3">
        <v>45320.333333333336</v>
      </c>
      <c r="L2795" s="4">
        <f>ROUNDDOWN(Table1[[#This Row],[Ordered]],0)</f>
        <v>45317</v>
      </c>
      <c r="M2795" s="4">
        <f>Table1[[#This Row],[Date ]]</f>
        <v>45317</v>
      </c>
      <c r="N2795" s="5">
        <f>Table1[[#This Row],[Ordered]]-Table1[[#This Row],[Date ]]</f>
        <v>0.29166666666424135</v>
      </c>
      <c r="O2795">
        <f>Table1[[#This Row],[Company]]</f>
        <v>2</v>
      </c>
      <c r="P27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6" spans="1:16" hidden="1" x14ac:dyDescent="0.45">
      <c r="A2796" s="3">
        <v>45317.291666666664</v>
      </c>
      <c r="B2796" t="s">
        <v>12</v>
      </c>
      <c r="C2796">
        <v>13</v>
      </c>
      <c r="D2796">
        <v>4</v>
      </c>
      <c r="E2796" t="s">
        <v>20</v>
      </c>
      <c r="F2796">
        <v>263</v>
      </c>
      <c r="G2796">
        <v>5</v>
      </c>
      <c r="H2796">
        <v>1315</v>
      </c>
      <c r="I2796" s="3">
        <v>45317.833333333336</v>
      </c>
      <c r="J2796">
        <v>72</v>
      </c>
      <c r="K2796" s="3">
        <v>45320.833333333336</v>
      </c>
      <c r="L2796" s="4">
        <f>ROUNDDOWN(Table1[[#This Row],[Ordered]],0)</f>
        <v>45317</v>
      </c>
      <c r="M2796" s="4">
        <f>Table1[[#This Row],[Date ]]</f>
        <v>45317</v>
      </c>
      <c r="N2796" s="5">
        <f>Table1[[#This Row],[Ordered]]-Table1[[#This Row],[Date ]]</f>
        <v>0.29166666666424135</v>
      </c>
      <c r="O2796">
        <f>Table1[[#This Row],[Company]]</f>
        <v>13</v>
      </c>
      <c r="P27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7" spans="1:16" hidden="1" x14ac:dyDescent="0.45">
      <c r="A2797" s="3">
        <v>45317.291666666664</v>
      </c>
      <c r="B2797" t="s">
        <v>12</v>
      </c>
      <c r="C2797">
        <v>3</v>
      </c>
      <c r="D2797">
        <v>13</v>
      </c>
      <c r="E2797" t="s">
        <v>17</v>
      </c>
      <c r="F2797">
        <v>150</v>
      </c>
      <c r="G2797">
        <v>1300</v>
      </c>
      <c r="H2797">
        <v>195000</v>
      </c>
      <c r="I2797" s="3">
        <v>45317.291666666664</v>
      </c>
      <c r="J2797">
        <v>72</v>
      </c>
      <c r="K2797" s="3">
        <v>45320.291666666664</v>
      </c>
      <c r="L2797" s="4">
        <f>ROUNDDOWN(Table1[[#This Row],[Ordered]],0)</f>
        <v>45317</v>
      </c>
      <c r="M2797" s="4">
        <f>Table1[[#This Row],[Date ]]</f>
        <v>45317</v>
      </c>
      <c r="N2797" s="5">
        <f>Table1[[#This Row],[Ordered]]-Table1[[#This Row],[Date ]]</f>
        <v>0.29166666666424135</v>
      </c>
      <c r="O2797">
        <f>Table1[[#This Row],[Company]]</f>
        <v>3</v>
      </c>
      <c r="P27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8" spans="1:16" x14ac:dyDescent="0.45">
      <c r="A2798" s="3">
        <v>45317.416666666664</v>
      </c>
      <c r="B2798" t="s">
        <v>14</v>
      </c>
      <c r="C2798">
        <v>12</v>
      </c>
      <c r="D2798">
        <v>1007</v>
      </c>
      <c r="E2798" t="s">
        <v>15</v>
      </c>
      <c r="F2798">
        <v>25</v>
      </c>
      <c r="G2798">
        <v>6750</v>
      </c>
      <c r="H2798">
        <v>168750</v>
      </c>
      <c r="I2798" s="3">
        <v>45318.083333333336</v>
      </c>
      <c r="J2798">
        <v>96</v>
      </c>
      <c r="K2798" s="3">
        <v>45321.083333333336</v>
      </c>
      <c r="L2798" s="4">
        <f>ROUNDDOWN(Table1[[#This Row],[Ordered]],0)</f>
        <v>45317</v>
      </c>
      <c r="M2798" s="4">
        <f>Table1[[#This Row],[Date ]]</f>
        <v>45317</v>
      </c>
      <c r="N2798" s="5">
        <f>Table1[[#This Row],[Ordered]]-Table1[[#This Row],[Date ]]</f>
        <v>0.41666666666424135</v>
      </c>
      <c r="O2798">
        <f>Table1[[#This Row],[Company]]</f>
        <v>12</v>
      </c>
      <c r="P27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9" spans="1:16" x14ac:dyDescent="0.45">
      <c r="A2799" s="3">
        <v>45317.416666666664</v>
      </c>
      <c r="B2799" t="s">
        <v>14</v>
      </c>
      <c r="C2799">
        <v>10</v>
      </c>
      <c r="D2799">
        <v>1009</v>
      </c>
      <c r="E2799" t="s">
        <v>15</v>
      </c>
      <c r="F2799">
        <v>5</v>
      </c>
      <c r="G2799">
        <v>6000</v>
      </c>
      <c r="H2799">
        <v>30000</v>
      </c>
      <c r="I2799" s="3">
        <v>45317.458333333336</v>
      </c>
      <c r="J2799">
        <v>84</v>
      </c>
      <c r="K2799" s="3">
        <v>45320.458333333336</v>
      </c>
      <c r="L2799" s="4">
        <f>ROUNDDOWN(Table1[[#This Row],[Ordered]],0)</f>
        <v>45317</v>
      </c>
      <c r="M2799" s="4">
        <f>Table1[[#This Row],[Date ]]</f>
        <v>45317</v>
      </c>
      <c r="N2799" s="5">
        <f>Table1[[#This Row],[Ordered]]-Table1[[#This Row],[Date ]]</f>
        <v>0.41666666666424135</v>
      </c>
      <c r="O2799">
        <f>Table1[[#This Row],[Company]]</f>
        <v>10</v>
      </c>
      <c r="P27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0" spans="1:16" x14ac:dyDescent="0.45">
      <c r="A2800" s="3">
        <v>45317.416666666664</v>
      </c>
      <c r="B2800" t="s">
        <v>14</v>
      </c>
      <c r="C2800">
        <v>14</v>
      </c>
      <c r="D2800">
        <v>1009</v>
      </c>
      <c r="E2800" t="s">
        <v>15</v>
      </c>
      <c r="F2800">
        <v>5</v>
      </c>
      <c r="G2800">
        <v>6650</v>
      </c>
      <c r="H2800">
        <v>33250</v>
      </c>
      <c r="I2800" s="3">
        <v>45317.583333333336</v>
      </c>
      <c r="J2800">
        <v>84</v>
      </c>
      <c r="K2800" s="3">
        <v>45320.583333333336</v>
      </c>
      <c r="L2800" s="4">
        <f>ROUNDDOWN(Table1[[#This Row],[Ordered]],0)</f>
        <v>45317</v>
      </c>
      <c r="M2800" s="4">
        <f>Table1[[#This Row],[Date ]]</f>
        <v>45317</v>
      </c>
      <c r="N2800" s="5">
        <f>Table1[[#This Row],[Ordered]]-Table1[[#This Row],[Date ]]</f>
        <v>0.41666666666424135</v>
      </c>
      <c r="O2800">
        <f>Table1[[#This Row],[Company]]</f>
        <v>14</v>
      </c>
      <c r="P28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1" spans="1:16" x14ac:dyDescent="0.45">
      <c r="A2801" s="3">
        <v>45317.416666666664</v>
      </c>
      <c r="B2801" t="s">
        <v>14</v>
      </c>
      <c r="C2801">
        <v>14</v>
      </c>
      <c r="D2801">
        <v>1007</v>
      </c>
      <c r="E2801" t="s">
        <v>15</v>
      </c>
      <c r="F2801">
        <v>13</v>
      </c>
      <c r="G2801">
        <v>6650</v>
      </c>
      <c r="H2801">
        <v>86450</v>
      </c>
      <c r="I2801" s="3">
        <v>45317.583333333336</v>
      </c>
      <c r="J2801">
        <v>84</v>
      </c>
      <c r="K2801" s="3">
        <v>45320.583333333336</v>
      </c>
      <c r="L2801" s="4">
        <f>ROUNDDOWN(Table1[[#This Row],[Ordered]],0)</f>
        <v>45317</v>
      </c>
      <c r="M2801" s="4">
        <f>Table1[[#This Row],[Date ]]</f>
        <v>45317</v>
      </c>
      <c r="N2801" s="5">
        <f>Table1[[#This Row],[Ordered]]-Table1[[#This Row],[Date ]]</f>
        <v>0.41666666666424135</v>
      </c>
      <c r="O2801">
        <f>Table1[[#This Row],[Company]]</f>
        <v>14</v>
      </c>
      <c r="P28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2" spans="1:16" x14ac:dyDescent="0.45">
      <c r="A2802" s="3">
        <v>45317.416666666664</v>
      </c>
      <c r="B2802" t="s">
        <v>14</v>
      </c>
      <c r="C2802">
        <v>15</v>
      </c>
      <c r="D2802">
        <v>1007</v>
      </c>
      <c r="E2802" t="s">
        <v>15</v>
      </c>
      <c r="F2802">
        <v>14</v>
      </c>
      <c r="G2802">
        <v>6500</v>
      </c>
      <c r="H2802">
        <v>91000</v>
      </c>
      <c r="I2802" s="3">
        <v>45317.583333333336</v>
      </c>
      <c r="J2802">
        <v>64</v>
      </c>
      <c r="K2802" s="3">
        <v>45319.583333333336</v>
      </c>
      <c r="L2802" s="4">
        <f>ROUNDDOWN(Table1[[#This Row],[Ordered]],0)</f>
        <v>45317</v>
      </c>
      <c r="M2802" s="4">
        <f>Table1[[#This Row],[Date ]]</f>
        <v>45317</v>
      </c>
      <c r="N2802" s="5">
        <f>Table1[[#This Row],[Ordered]]-Table1[[#This Row],[Date ]]</f>
        <v>0.41666666666424135</v>
      </c>
      <c r="O2802">
        <f>Table1[[#This Row],[Company]]</f>
        <v>15</v>
      </c>
      <c r="P28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3" spans="1:16" x14ac:dyDescent="0.45">
      <c r="A2803" s="3">
        <v>45317.416666666664</v>
      </c>
      <c r="B2803" t="s">
        <v>14</v>
      </c>
      <c r="C2803">
        <v>11</v>
      </c>
      <c r="D2803">
        <v>1009</v>
      </c>
      <c r="E2803" t="s">
        <v>15</v>
      </c>
      <c r="F2803">
        <v>9</v>
      </c>
      <c r="G2803">
        <v>6400</v>
      </c>
      <c r="H2803">
        <v>57600</v>
      </c>
      <c r="I2803" s="3">
        <v>45318</v>
      </c>
      <c r="J2803">
        <v>72</v>
      </c>
      <c r="K2803" s="3">
        <v>45320</v>
      </c>
      <c r="L2803" s="4">
        <f>ROUNDDOWN(Table1[[#This Row],[Ordered]],0)</f>
        <v>45317</v>
      </c>
      <c r="M2803" s="4">
        <f>Table1[[#This Row],[Date ]]</f>
        <v>45317</v>
      </c>
      <c r="N2803" s="5">
        <f>Table1[[#This Row],[Ordered]]-Table1[[#This Row],[Date ]]</f>
        <v>0.41666666666424135</v>
      </c>
      <c r="O2803">
        <f>Table1[[#This Row],[Company]]</f>
        <v>11</v>
      </c>
      <c r="P28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4" spans="1:16" x14ac:dyDescent="0.45">
      <c r="A2804" s="3">
        <v>45317.416666666664</v>
      </c>
      <c r="B2804" t="s">
        <v>14</v>
      </c>
      <c r="C2804">
        <v>7</v>
      </c>
      <c r="D2804">
        <v>1007</v>
      </c>
      <c r="E2804" t="s">
        <v>15</v>
      </c>
      <c r="F2804">
        <v>11</v>
      </c>
      <c r="G2804">
        <v>7050</v>
      </c>
      <c r="H2804">
        <v>77550</v>
      </c>
      <c r="I2804" s="3">
        <v>45317.416666666664</v>
      </c>
      <c r="J2804">
        <v>96</v>
      </c>
      <c r="K2804" s="3">
        <v>45320.416666666664</v>
      </c>
      <c r="L2804" s="4">
        <f>ROUNDDOWN(Table1[[#This Row],[Ordered]],0)</f>
        <v>45317</v>
      </c>
      <c r="M2804" s="4">
        <f>Table1[[#This Row],[Date ]]</f>
        <v>45317</v>
      </c>
      <c r="N2804" s="5">
        <f>Table1[[#This Row],[Ordered]]-Table1[[#This Row],[Date ]]</f>
        <v>0.41666666666424135</v>
      </c>
      <c r="O2804">
        <f>Table1[[#This Row],[Company]]</f>
        <v>7</v>
      </c>
      <c r="P28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5" spans="1:16" x14ac:dyDescent="0.45">
      <c r="A2805" s="3">
        <v>45317.416666666664</v>
      </c>
      <c r="B2805" t="s">
        <v>14</v>
      </c>
      <c r="C2805">
        <v>16</v>
      </c>
      <c r="D2805">
        <v>1009</v>
      </c>
      <c r="E2805" t="s">
        <v>15</v>
      </c>
      <c r="F2805">
        <v>11</v>
      </c>
      <c r="G2805">
        <v>6050</v>
      </c>
      <c r="H2805">
        <v>66550</v>
      </c>
      <c r="I2805" s="3">
        <v>45317.5</v>
      </c>
      <c r="J2805">
        <v>96</v>
      </c>
      <c r="K2805" s="3">
        <v>45320.5</v>
      </c>
      <c r="L2805" s="4">
        <f>ROUNDDOWN(Table1[[#This Row],[Ordered]],0)</f>
        <v>45317</v>
      </c>
      <c r="M2805" s="4">
        <f>Table1[[#This Row],[Date ]]</f>
        <v>45317</v>
      </c>
      <c r="N2805" s="5">
        <f>Table1[[#This Row],[Ordered]]-Table1[[#This Row],[Date ]]</f>
        <v>0.41666666666424135</v>
      </c>
      <c r="O2805">
        <f>Table1[[#This Row],[Company]]</f>
        <v>16</v>
      </c>
      <c r="P28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6" spans="1:16" x14ac:dyDescent="0.45">
      <c r="A2806" s="3">
        <v>45317.416666666664</v>
      </c>
      <c r="B2806" t="s">
        <v>14</v>
      </c>
      <c r="C2806">
        <v>11</v>
      </c>
      <c r="D2806">
        <v>1007</v>
      </c>
      <c r="E2806" t="s">
        <v>15</v>
      </c>
      <c r="F2806">
        <v>20</v>
      </c>
      <c r="G2806">
        <v>6400</v>
      </c>
      <c r="H2806">
        <v>128000</v>
      </c>
      <c r="I2806" s="3">
        <v>45317.958333333336</v>
      </c>
      <c r="J2806">
        <v>72</v>
      </c>
      <c r="K2806" s="3">
        <v>45319.958333333336</v>
      </c>
      <c r="L2806" s="4">
        <f>ROUNDDOWN(Table1[[#This Row],[Ordered]],0)</f>
        <v>45317</v>
      </c>
      <c r="M2806" s="4">
        <f>Table1[[#This Row],[Date ]]</f>
        <v>45317</v>
      </c>
      <c r="N2806" s="5">
        <f>Table1[[#This Row],[Ordered]]-Table1[[#This Row],[Date ]]</f>
        <v>0.41666666666424135</v>
      </c>
      <c r="O2806">
        <f>Table1[[#This Row],[Company]]</f>
        <v>11</v>
      </c>
      <c r="P28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7" spans="1:16" x14ac:dyDescent="0.45">
      <c r="A2807" s="3">
        <v>45317.416666666664</v>
      </c>
      <c r="B2807" t="s">
        <v>14</v>
      </c>
      <c r="C2807">
        <v>13</v>
      </c>
      <c r="D2807">
        <v>1007</v>
      </c>
      <c r="E2807" t="s">
        <v>15</v>
      </c>
      <c r="F2807">
        <v>22</v>
      </c>
      <c r="G2807">
        <v>6000</v>
      </c>
      <c r="H2807">
        <v>132000</v>
      </c>
      <c r="I2807" s="3">
        <v>45318.166666666664</v>
      </c>
      <c r="J2807">
        <v>96</v>
      </c>
      <c r="K2807" s="3">
        <v>45321.166666666664</v>
      </c>
      <c r="L2807" s="4">
        <f>ROUNDDOWN(Table1[[#This Row],[Ordered]],0)</f>
        <v>45317</v>
      </c>
      <c r="M2807" s="4">
        <f>Table1[[#This Row],[Date ]]</f>
        <v>45317</v>
      </c>
      <c r="N2807" s="5">
        <f>Table1[[#This Row],[Ordered]]-Table1[[#This Row],[Date ]]</f>
        <v>0.41666666666424135</v>
      </c>
      <c r="O2807">
        <f>Table1[[#This Row],[Company]]</f>
        <v>13</v>
      </c>
      <c r="P28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8" spans="1:16" x14ac:dyDescent="0.45">
      <c r="A2808" s="3">
        <v>45317.416666666664</v>
      </c>
      <c r="B2808" t="s">
        <v>14</v>
      </c>
      <c r="C2808">
        <v>13</v>
      </c>
      <c r="D2808">
        <v>1009</v>
      </c>
      <c r="E2808" t="s">
        <v>15</v>
      </c>
      <c r="F2808">
        <v>12</v>
      </c>
      <c r="G2808">
        <v>6000</v>
      </c>
      <c r="H2808">
        <v>72000</v>
      </c>
      <c r="I2808" s="3">
        <v>45318.166666666664</v>
      </c>
      <c r="J2808">
        <v>96</v>
      </c>
      <c r="K2808" s="3">
        <v>45321.166666666664</v>
      </c>
      <c r="L2808" s="4">
        <f>ROUNDDOWN(Table1[[#This Row],[Ordered]],0)</f>
        <v>45317</v>
      </c>
      <c r="M2808" s="4">
        <f>Table1[[#This Row],[Date ]]</f>
        <v>45317</v>
      </c>
      <c r="N2808" s="5">
        <f>Table1[[#This Row],[Ordered]]-Table1[[#This Row],[Date ]]</f>
        <v>0.41666666666424135</v>
      </c>
      <c r="O2808">
        <f>Table1[[#This Row],[Company]]</f>
        <v>13</v>
      </c>
      <c r="P28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9" spans="1:16" x14ac:dyDescent="0.45">
      <c r="A2809" s="3">
        <v>45317.416666666664</v>
      </c>
      <c r="B2809" t="s">
        <v>14</v>
      </c>
      <c r="C2809">
        <v>10</v>
      </c>
      <c r="D2809">
        <v>1007</v>
      </c>
      <c r="E2809" t="s">
        <v>15</v>
      </c>
      <c r="F2809">
        <v>19</v>
      </c>
      <c r="G2809">
        <v>6000</v>
      </c>
      <c r="H2809">
        <v>114000</v>
      </c>
      <c r="I2809" s="3">
        <v>45317.458333333336</v>
      </c>
      <c r="J2809">
        <v>84</v>
      </c>
      <c r="K2809" s="3">
        <v>45320.458333333336</v>
      </c>
      <c r="L2809" s="4">
        <f>ROUNDDOWN(Table1[[#This Row],[Ordered]],0)</f>
        <v>45317</v>
      </c>
      <c r="M2809" s="4">
        <f>Table1[[#This Row],[Date ]]</f>
        <v>45317</v>
      </c>
      <c r="N2809" s="5">
        <f>Table1[[#This Row],[Ordered]]-Table1[[#This Row],[Date ]]</f>
        <v>0.41666666666424135</v>
      </c>
      <c r="O2809">
        <f>Table1[[#This Row],[Company]]</f>
        <v>10</v>
      </c>
      <c r="P28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0" spans="1:16" x14ac:dyDescent="0.45">
      <c r="A2810" s="3">
        <v>45317.416666666664</v>
      </c>
      <c r="B2810" t="s">
        <v>14</v>
      </c>
      <c r="C2810">
        <v>16</v>
      </c>
      <c r="D2810">
        <v>1007</v>
      </c>
      <c r="E2810" t="s">
        <v>15</v>
      </c>
      <c r="F2810">
        <v>30</v>
      </c>
      <c r="G2810">
        <v>6050</v>
      </c>
      <c r="H2810">
        <v>181500</v>
      </c>
      <c r="I2810" s="3">
        <v>45317.541666666664</v>
      </c>
      <c r="J2810">
        <v>96</v>
      </c>
      <c r="K2810" s="3">
        <v>45320.541666666664</v>
      </c>
      <c r="L2810" s="4">
        <f>ROUNDDOWN(Table1[[#This Row],[Ordered]],0)</f>
        <v>45317</v>
      </c>
      <c r="M2810" s="4">
        <f>Table1[[#This Row],[Date ]]</f>
        <v>45317</v>
      </c>
      <c r="N2810" s="5">
        <f>Table1[[#This Row],[Ordered]]-Table1[[#This Row],[Date ]]</f>
        <v>0.41666666666424135</v>
      </c>
      <c r="O2810">
        <f>Table1[[#This Row],[Company]]</f>
        <v>16</v>
      </c>
      <c r="P28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1" spans="1:16" x14ac:dyDescent="0.45">
      <c r="A2811" s="3">
        <v>45317.416666666664</v>
      </c>
      <c r="B2811" t="s">
        <v>14</v>
      </c>
      <c r="C2811">
        <v>12</v>
      </c>
      <c r="D2811">
        <v>1009</v>
      </c>
      <c r="E2811" t="s">
        <v>15</v>
      </c>
      <c r="F2811">
        <v>6</v>
      </c>
      <c r="G2811">
        <v>6750</v>
      </c>
      <c r="H2811">
        <v>40500</v>
      </c>
      <c r="I2811" s="3">
        <v>45318.083333333336</v>
      </c>
      <c r="J2811">
        <v>96</v>
      </c>
      <c r="K2811" s="3">
        <v>45321.083333333336</v>
      </c>
      <c r="L2811" s="4">
        <f>ROUNDDOWN(Table1[[#This Row],[Ordered]],0)</f>
        <v>45317</v>
      </c>
      <c r="M2811" s="4">
        <f>Table1[[#This Row],[Date ]]</f>
        <v>45317</v>
      </c>
      <c r="N2811" s="5">
        <f>Table1[[#This Row],[Ordered]]-Table1[[#This Row],[Date ]]</f>
        <v>0.41666666666424135</v>
      </c>
      <c r="O2811">
        <f>Table1[[#This Row],[Company]]</f>
        <v>12</v>
      </c>
      <c r="P28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2" spans="1:16" x14ac:dyDescent="0.45">
      <c r="A2812" s="3">
        <v>45317.416666666664</v>
      </c>
      <c r="B2812" t="s">
        <v>14</v>
      </c>
      <c r="C2812">
        <v>15</v>
      </c>
      <c r="D2812">
        <v>1009</v>
      </c>
      <c r="E2812" t="s">
        <v>15</v>
      </c>
      <c r="F2812">
        <v>14</v>
      </c>
      <c r="G2812">
        <v>6500</v>
      </c>
      <c r="H2812">
        <v>91000</v>
      </c>
      <c r="I2812" s="3">
        <v>45317.583333333336</v>
      </c>
      <c r="J2812">
        <v>64</v>
      </c>
      <c r="K2812" s="3">
        <v>45319.583333333336</v>
      </c>
      <c r="L2812" s="4">
        <f>ROUNDDOWN(Table1[[#This Row],[Ordered]],0)</f>
        <v>45317</v>
      </c>
      <c r="M2812" s="4">
        <f>Table1[[#This Row],[Date ]]</f>
        <v>45317</v>
      </c>
      <c r="N2812" s="5">
        <f>Table1[[#This Row],[Ordered]]-Table1[[#This Row],[Date ]]</f>
        <v>0.41666666666424135</v>
      </c>
      <c r="O2812">
        <f>Table1[[#This Row],[Company]]</f>
        <v>15</v>
      </c>
      <c r="P28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3" spans="1:16" x14ac:dyDescent="0.45">
      <c r="A2813" s="3">
        <v>45317.416666666664</v>
      </c>
      <c r="B2813" t="s">
        <v>14</v>
      </c>
      <c r="C2813">
        <v>9</v>
      </c>
      <c r="D2813">
        <v>1007</v>
      </c>
      <c r="E2813" t="s">
        <v>15</v>
      </c>
      <c r="F2813">
        <v>33</v>
      </c>
      <c r="G2813">
        <v>6170</v>
      </c>
      <c r="H2813">
        <v>203610</v>
      </c>
      <c r="I2813" s="3">
        <v>45317.416666666664</v>
      </c>
      <c r="J2813">
        <v>84</v>
      </c>
      <c r="K2813" s="3">
        <v>45320.416666666664</v>
      </c>
      <c r="L2813" s="4">
        <f>ROUNDDOWN(Table1[[#This Row],[Ordered]],0)</f>
        <v>45317</v>
      </c>
      <c r="M2813" s="4">
        <f>Table1[[#This Row],[Date ]]</f>
        <v>45317</v>
      </c>
      <c r="N2813" s="5">
        <f>Table1[[#This Row],[Ordered]]-Table1[[#This Row],[Date ]]</f>
        <v>0.41666666666424135</v>
      </c>
      <c r="O2813">
        <f>Table1[[#This Row],[Company]]</f>
        <v>9</v>
      </c>
      <c r="P28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4" spans="1:16" hidden="1" x14ac:dyDescent="0.45">
      <c r="A2814" s="3">
        <v>45317.5</v>
      </c>
      <c r="B2814" t="s">
        <v>12</v>
      </c>
      <c r="C2814">
        <v>2</v>
      </c>
      <c r="D2814">
        <v>7</v>
      </c>
      <c r="E2814" t="s">
        <v>17</v>
      </c>
      <c r="F2814">
        <v>500</v>
      </c>
      <c r="G2814">
        <v>1600</v>
      </c>
      <c r="H2814">
        <v>800000</v>
      </c>
      <c r="I2814" s="3">
        <v>45317.541666666664</v>
      </c>
      <c r="J2814">
        <v>72</v>
      </c>
      <c r="K2814" s="3">
        <v>45320.541666666664</v>
      </c>
      <c r="L2814" s="4">
        <f>ROUNDDOWN(Table1[[#This Row],[Ordered]],0)</f>
        <v>45317</v>
      </c>
      <c r="M2814" s="4">
        <f>Table1[[#This Row],[Date ]]</f>
        <v>45317</v>
      </c>
      <c r="N2814" s="5">
        <f>Table1[[#This Row],[Ordered]]-Table1[[#This Row],[Date ]]</f>
        <v>0.5</v>
      </c>
      <c r="O2814">
        <f>Table1[[#This Row],[Company]]</f>
        <v>2</v>
      </c>
      <c r="P28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5" spans="1:16" hidden="1" x14ac:dyDescent="0.45">
      <c r="A2815" s="3">
        <v>45317.5</v>
      </c>
      <c r="B2815" t="s">
        <v>12</v>
      </c>
      <c r="C2815">
        <v>4</v>
      </c>
      <c r="D2815">
        <v>8</v>
      </c>
      <c r="E2815" t="s">
        <v>13</v>
      </c>
      <c r="F2815">
        <v>3200</v>
      </c>
      <c r="G2815">
        <v>125</v>
      </c>
      <c r="H2815">
        <v>400000</v>
      </c>
      <c r="I2815" s="3">
        <v>45317.541666666664</v>
      </c>
      <c r="J2815">
        <v>48</v>
      </c>
      <c r="K2815" s="3">
        <v>45319.541666666664</v>
      </c>
      <c r="L2815" s="4">
        <f>ROUNDDOWN(Table1[[#This Row],[Ordered]],0)</f>
        <v>45317</v>
      </c>
      <c r="M2815" s="4">
        <f>Table1[[#This Row],[Date ]]</f>
        <v>45317</v>
      </c>
      <c r="N2815" s="5">
        <f>Table1[[#This Row],[Ordered]]-Table1[[#This Row],[Date ]]</f>
        <v>0.5</v>
      </c>
      <c r="O2815">
        <f>Table1[[#This Row],[Company]]</f>
        <v>4</v>
      </c>
      <c r="P28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6" spans="1:16" x14ac:dyDescent="0.45">
      <c r="A2816" s="3">
        <v>45317.583333333336</v>
      </c>
      <c r="B2816" t="s">
        <v>0</v>
      </c>
      <c r="C2816">
        <v>10</v>
      </c>
      <c r="D2816">
        <v>2008</v>
      </c>
      <c r="E2816" t="s">
        <v>15</v>
      </c>
      <c r="F2816">
        <v>30</v>
      </c>
      <c r="G2816">
        <v>6100</v>
      </c>
      <c r="H2816">
        <v>183000</v>
      </c>
      <c r="I2816" s="3">
        <v>45317.583333333336</v>
      </c>
      <c r="J2816">
        <v>84</v>
      </c>
      <c r="K2816" s="3">
        <v>45320.583333333336</v>
      </c>
      <c r="L2816" s="4">
        <f>ROUNDDOWN(Table1[[#This Row],[Ordered]],0)</f>
        <v>45317</v>
      </c>
      <c r="M2816" s="4">
        <f>Table1[[#This Row],[Date ]]</f>
        <v>45317</v>
      </c>
      <c r="N2816" s="5">
        <f>Table1[[#This Row],[Ordered]]-Table1[[#This Row],[Date ]]</f>
        <v>0.58333333333575865</v>
      </c>
      <c r="O2816">
        <f>Table1[[#This Row],[Company]]</f>
        <v>10</v>
      </c>
      <c r="P28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7" spans="1:16" x14ac:dyDescent="0.45">
      <c r="A2817" s="3">
        <v>45317.583333333336</v>
      </c>
      <c r="B2817" t="s">
        <v>0</v>
      </c>
      <c r="C2817">
        <v>15</v>
      </c>
      <c r="D2817">
        <v>2008</v>
      </c>
      <c r="E2817" t="s">
        <v>15</v>
      </c>
      <c r="F2817">
        <v>50</v>
      </c>
      <c r="G2817">
        <v>6500</v>
      </c>
      <c r="H2817">
        <v>325000</v>
      </c>
      <c r="I2817" s="3">
        <v>45317.625</v>
      </c>
      <c r="J2817">
        <v>48</v>
      </c>
      <c r="K2817" s="3">
        <v>45319.125</v>
      </c>
      <c r="L2817" s="4">
        <f>ROUNDDOWN(Table1[[#This Row],[Ordered]],0)</f>
        <v>45317</v>
      </c>
      <c r="M2817" s="4">
        <f>Table1[[#This Row],[Date ]]</f>
        <v>45317</v>
      </c>
      <c r="N2817" s="5">
        <f>Table1[[#This Row],[Ordered]]-Table1[[#This Row],[Date ]]</f>
        <v>0.58333333333575865</v>
      </c>
      <c r="O2817">
        <f>Table1[[#This Row],[Company]]</f>
        <v>15</v>
      </c>
      <c r="P28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8" spans="1:16" x14ac:dyDescent="0.45">
      <c r="A2818" s="3">
        <v>45317.583333333336</v>
      </c>
      <c r="B2818" t="s">
        <v>0</v>
      </c>
      <c r="C2818">
        <v>11</v>
      </c>
      <c r="D2818">
        <v>2008</v>
      </c>
      <c r="E2818" t="s">
        <v>15</v>
      </c>
      <c r="F2818">
        <v>10</v>
      </c>
      <c r="G2818">
        <v>6800</v>
      </c>
      <c r="H2818">
        <v>68000</v>
      </c>
      <c r="I2818" s="3">
        <v>45317.875</v>
      </c>
      <c r="J2818">
        <v>84</v>
      </c>
      <c r="K2818" s="3">
        <v>45320.916666666664</v>
      </c>
      <c r="L2818" s="4">
        <f>ROUNDDOWN(Table1[[#This Row],[Ordered]],0)</f>
        <v>45317</v>
      </c>
      <c r="M2818" s="4">
        <f>Table1[[#This Row],[Date ]]</f>
        <v>45317</v>
      </c>
      <c r="N2818" s="5">
        <f>Table1[[#This Row],[Ordered]]-Table1[[#This Row],[Date ]]</f>
        <v>0.58333333333575865</v>
      </c>
      <c r="O2818">
        <f>Table1[[#This Row],[Company]]</f>
        <v>11</v>
      </c>
      <c r="P28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9" spans="1:16" x14ac:dyDescent="0.45">
      <c r="A2819" s="3">
        <v>45317.583333333336</v>
      </c>
      <c r="B2819" t="s">
        <v>0</v>
      </c>
      <c r="C2819">
        <v>14</v>
      </c>
      <c r="D2819">
        <v>2008</v>
      </c>
      <c r="E2819" t="s">
        <v>16</v>
      </c>
      <c r="F2819">
        <v>40</v>
      </c>
      <c r="G2819">
        <v>4100</v>
      </c>
      <c r="H2819">
        <v>164000</v>
      </c>
      <c r="I2819" s="3">
        <v>45317.708333333336</v>
      </c>
      <c r="J2819">
        <v>82</v>
      </c>
      <c r="K2819" s="3">
        <v>45320.708333333336</v>
      </c>
      <c r="L2819" s="4">
        <f>ROUNDDOWN(Table1[[#This Row],[Ordered]],0)</f>
        <v>45317</v>
      </c>
      <c r="M2819" s="4">
        <f>Table1[[#This Row],[Date ]]</f>
        <v>45317</v>
      </c>
      <c r="N2819" s="5">
        <f>Table1[[#This Row],[Ordered]]-Table1[[#This Row],[Date ]]</f>
        <v>0.58333333333575865</v>
      </c>
      <c r="O2819">
        <f>Table1[[#This Row],[Company]]</f>
        <v>14</v>
      </c>
      <c r="P28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0" spans="1:16" x14ac:dyDescent="0.45">
      <c r="A2820" s="3">
        <v>45317.583333333336</v>
      </c>
      <c r="B2820" t="s">
        <v>0</v>
      </c>
      <c r="C2820">
        <v>16</v>
      </c>
      <c r="D2820">
        <v>2008</v>
      </c>
      <c r="E2820" t="s">
        <v>15</v>
      </c>
      <c r="F2820">
        <v>30</v>
      </c>
      <c r="G2820">
        <v>5950</v>
      </c>
      <c r="H2820">
        <v>178500</v>
      </c>
      <c r="I2820" s="3">
        <v>45317.666666666664</v>
      </c>
      <c r="J2820">
        <v>96</v>
      </c>
      <c r="K2820" s="3">
        <v>45320.666666666664</v>
      </c>
      <c r="L2820" s="4">
        <f>ROUNDDOWN(Table1[[#This Row],[Ordered]],0)</f>
        <v>45317</v>
      </c>
      <c r="M2820" s="4">
        <f>Table1[[#This Row],[Date ]]</f>
        <v>45317</v>
      </c>
      <c r="N2820" s="5">
        <f>Table1[[#This Row],[Ordered]]-Table1[[#This Row],[Date ]]</f>
        <v>0.58333333333575865</v>
      </c>
      <c r="O2820">
        <f>Table1[[#This Row],[Company]]</f>
        <v>16</v>
      </c>
      <c r="P28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1" spans="1:16" x14ac:dyDescent="0.45">
      <c r="A2821" s="3">
        <v>45317.583333333336</v>
      </c>
      <c r="B2821" t="s">
        <v>0</v>
      </c>
      <c r="C2821">
        <v>15</v>
      </c>
      <c r="D2821">
        <v>2008</v>
      </c>
      <c r="E2821" t="s">
        <v>16</v>
      </c>
      <c r="F2821">
        <v>45</v>
      </c>
      <c r="G2821">
        <v>4200</v>
      </c>
      <c r="H2821">
        <v>189000</v>
      </c>
      <c r="I2821" s="3">
        <v>45317.625</v>
      </c>
      <c r="J2821">
        <v>48</v>
      </c>
      <c r="K2821" s="3">
        <v>45319.125</v>
      </c>
      <c r="L2821" s="4">
        <f>ROUNDDOWN(Table1[[#This Row],[Ordered]],0)</f>
        <v>45317</v>
      </c>
      <c r="M2821" s="4">
        <f>Table1[[#This Row],[Date ]]</f>
        <v>45317</v>
      </c>
      <c r="N2821" s="5">
        <f>Table1[[#This Row],[Ordered]]-Table1[[#This Row],[Date ]]</f>
        <v>0.58333333333575865</v>
      </c>
      <c r="O2821">
        <f>Table1[[#This Row],[Company]]</f>
        <v>15</v>
      </c>
      <c r="P28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2" spans="1:16" x14ac:dyDescent="0.45">
      <c r="A2822" s="3">
        <v>45317.583333333336</v>
      </c>
      <c r="B2822" t="s">
        <v>0</v>
      </c>
      <c r="C2822">
        <v>11</v>
      </c>
      <c r="D2822">
        <v>2008</v>
      </c>
      <c r="E2822" t="s">
        <v>16</v>
      </c>
      <c r="F2822">
        <v>20</v>
      </c>
      <c r="G2822">
        <v>4300</v>
      </c>
      <c r="H2822">
        <v>86000</v>
      </c>
      <c r="I2822" s="3">
        <v>45318.125</v>
      </c>
      <c r="J2822">
        <v>96</v>
      </c>
      <c r="K2822" s="3">
        <v>45321.125</v>
      </c>
      <c r="L2822" s="4">
        <f>ROUNDDOWN(Table1[[#This Row],[Ordered]],0)</f>
        <v>45317</v>
      </c>
      <c r="M2822" s="4">
        <f>Table1[[#This Row],[Date ]]</f>
        <v>45317</v>
      </c>
      <c r="N2822" s="5">
        <f>Table1[[#This Row],[Ordered]]-Table1[[#This Row],[Date ]]</f>
        <v>0.58333333333575865</v>
      </c>
      <c r="O2822">
        <f>Table1[[#This Row],[Company]]</f>
        <v>11</v>
      </c>
      <c r="P28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3" spans="1:16" x14ac:dyDescent="0.45">
      <c r="A2823" s="3">
        <v>45317.583333333336</v>
      </c>
      <c r="B2823" t="s">
        <v>0</v>
      </c>
      <c r="C2823">
        <v>10</v>
      </c>
      <c r="D2823">
        <v>2008</v>
      </c>
      <c r="E2823" t="s">
        <v>16</v>
      </c>
      <c r="F2823">
        <v>30</v>
      </c>
      <c r="G2823">
        <v>4100</v>
      </c>
      <c r="H2823">
        <v>123000</v>
      </c>
      <c r="I2823" s="3">
        <v>45317.583333333336</v>
      </c>
      <c r="J2823">
        <v>84</v>
      </c>
      <c r="K2823" s="3">
        <v>45320.666666666664</v>
      </c>
      <c r="L2823" s="4">
        <f>ROUNDDOWN(Table1[[#This Row],[Ordered]],0)</f>
        <v>45317</v>
      </c>
      <c r="M2823" s="4">
        <f>Table1[[#This Row],[Date ]]</f>
        <v>45317</v>
      </c>
      <c r="N2823" s="5">
        <f>Table1[[#This Row],[Ordered]]-Table1[[#This Row],[Date ]]</f>
        <v>0.58333333333575865</v>
      </c>
      <c r="O2823">
        <f>Table1[[#This Row],[Company]]</f>
        <v>10</v>
      </c>
      <c r="P28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4" spans="1:16" hidden="1" x14ac:dyDescent="0.45">
      <c r="A2824" s="3">
        <v>45317.625</v>
      </c>
      <c r="B2824" t="s">
        <v>12</v>
      </c>
      <c r="C2824">
        <v>4</v>
      </c>
      <c r="D2824">
        <v>8</v>
      </c>
      <c r="E2824" t="s">
        <v>17</v>
      </c>
      <c r="F2824">
        <v>800</v>
      </c>
      <c r="G2824">
        <v>1350</v>
      </c>
      <c r="H2824">
        <v>1080000</v>
      </c>
      <c r="I2824" s="3">
        <v>45317.708333333336</v>
      </c>
      <c r="J2824">
        <v>48</v>
      </c>
      <c r="K2824" s="3">
        <v>45319.708333333336</v>
      </c>
      <c r="L2824" s="4">
        <f>ROUNDDOWN(Table1[[#This Row],[Ordered]],0)</f>
        <v>45317</v>
      </c>
      <c r="M2824" s="4">
        <f>Table1[[#This Row],[Date ]]</f>
        <v>45317</v>
      </c>
      <c r="N2824" s="5">
        <f>Table1[[#This Row],[Ordered]]-Table1[[#This Row],[Date ]]</f>
        <v>0.625</v>
      </c>
      <c r="O2824">
        <f>Table1[[#This Row],[Company]]</f>
        <v>4</v>
      </c>
      <c r="P28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5" spans="1:16" x14ac:dyDescent="0.45">
      <c r="A2825" s="3">
        <v>45317.708333333336</v>
      </c>
      <c r="B2825" t="s">
        <v>14</v>
      </c>
      <c r="C2825">
        <v>16</v>
      </c>
      <c r="D2825">
        <v>1001</v>
      </c>
      <c r="E2825" t="s">
        <v>15</v>
      </c>
      <c r="F2825">
        <v>10</v>
      </c>
      <c r="G2825">
        <v>6050</v>
      </c>
      <c r="H2825">
        <v>60500</v>
      </c>
      <c r="I2825" s="3">
        <v>45317.75</v>
      </c>
      <c r="J2825">
        <v>96</v>
      </c>
      <c r="K2825" s="3">
        <v>45320.75</v>
      </c>
      <c r="L2825" s="4">
        <f>ROUNDDOWN(Table1[[#This Row],[Ordered]],0)</f>
        <v>45317</v>
      </c>
      <c r="M2825" s="4">
        <f>Table1[[#This Row],[Date ]]</f>
        <v>45317</v>
      </c>
      <c r="N2825" s="5">
        <f>Table1[[#This Row],[Ordered]]-Table1[[#This Row],[Date ]]</f>
        <v>0.70833333333575865</v>
      </c>
      <c r="O2825">
        <f>Table1[[#This Row],[Company]]</f>
        <v>16</v>
      </c>
      <c r="P28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6" spans="1:16" x14ac:dyDescent="0.45">
      <c r="A2826" s="3">
        <v>45317.708333333336</v>
      </c>
      <c r="B2826" t="s">
        <v>14</v>
      </c>
      <c r="C2826">
        <v>10</v>
      </c>
      <c r="D2826">
        <v>1001</v>
      </c>
      <c r="E2826" t="s">
        <v>15</v>
      </c>
      <c r="F2826">
        <v>6</v>
      </c>
      <c r="G2826">
        <v>6000</v>
      </c>
      <c r="H2826">
        <v>36000</v>
      </c>
      <c r="I2826" s="3">
        <v>45317.708333333336</v>
      </c>
      <c r="J2826">
        <v>84</v>
      </c>
      <c r="K2826" s="3">
        <v>45320.708333333336</v>
      </c>
      <c r="L2826" s="4">
        <f>ROUNDDOWN(Table1[[#This Row],[Ordered]],0)</f>
        <v>45317</v>
      </c>
      <c r="M2826" s="4">
        <f>Table1[[#This Row],[Date ]]</f>
        <v>45317</v>
      </c>
      <c r="N2826" s="5">
        <f>Table1[[#This Row],[Ordered]]-Table1[[#This Row],[Date ]]</f>
        <v>0.70833333333575865</v>
      </c>
      <c r="O2826">
        <f>Table1[[#This Row],[Company]]</f>
        <v>10</v>
      </c>
      <c r="P28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7" spans="1:16" x14ac:dyDescent="0.45">
      <c r="A2827" s="3">
        <v>45317.708333333336</v>
      </c>
      <c r="B2827" t="s">
        <v>14</v>
      </c>
      <c r="C2827">
        <v>15</v>
      </c>
      <c r="D2827">
        <v>1005</v>
      </c>
      <c r="E2827" t="s">
        <v>15</v>
      </c>
      <c r="F2827">
        <v>30</v>
      </c>
      <c r="G2827">
        <v>6500</v>
      </c>
      <c r="H2827">
        <v>195000</v>
      </c>
      <c r="I2827" s="3">
        <v>45317.791666666664</v>
      </c>
      <c r="J2827">
        <v>64</v>
      </c>
      <c r="K2827" s="3">
        <v>45319.791666666664</v>
      </c>
      <c r="L2827" s="4">
        <f>ROUNDDOWN(Table1[[#This Row],[Ordered]],0)</f>
        <v>45317</v>
      </c>
      <c r="M2827" s="4">
        <f>Table1[[#This Row],[Date ]]</f>
        <v>45317</v>
      </c>
      <c r="N2827" s="5">
        <f>Table1[[#This Row],[Ordered]]-Table1[[#This Row],[Date ]]</f>
        <v>0.70833333333575865</v>
      </c>
      <c r="O2827">
        <f>Table1[[#This Row],[Company]]</f>
        <v>15</v>
      </c>
      <c r="P28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8" spans="1:16" x14ac:dyDescent="0.45">
      <c r="A2828" s="3">
        <v>45317.708333333336</v>
      </c>
      <c r="B2828" t="s">
        <v>14</v>
      </c>
      <c r="C2828">
        <v>10</v>
      </c>
      <c r="D2828">
        <v>1005</v>
      </c>
      <c r="E2828" t="s">
        <v>15</v>
      </c>
      <c r="F2828">
        <v>13</v>
      </c>
      <c r="G2828">
        <v>6000</v>
      </c>
      <c r="H2828">
        <v>78000</v>
      </c>
      <c r="I2828" s="3">
        <v>45317.708333333336</v>
      </c>
      <c r="J2828">
        <v>84</v>
      </c>
      <c r="K2828" s="3">
        <v>45320.708333333336</v>
      </c>
      <c r="L2828" s="4">
        <f>ROUNDDOWN(Table1[[#This Row],[Ordered]],0)</f>
        <v>45317</v>
      </c>
      <c r="M2828" s="4">
        <f>Table1[[#This Row],[Date ]]</f>
        <v>45317</v>
      </c>
      <c r="N2828" s="5">
        <f>Table1[[#This Row],[Ordered]]-Table1[[#This Row],[Date ]]</f>
        <v>0.70833333333575865</v>
      </c>
      <c r="O2828">
        <f>Table1[[#This Row],[Company]]</f>
        <v>10</v>
      </c>
      <c r="P28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9" spans="1:16" x14ac:dyDescent="0.45">
      <c r="A2829" s="3">
        <v>45317.708333333336</v>
      </c>
      <c r="B2829" t="s">
        <v>14</v>
      </c>
      <c r="C2829">
        <v>15</v>
      </c>
      <c r="D2829">
        <v>1001</v>
      </c>
      <c r="E2829" t="s">
        <v>15</v>
      </c>
      <c r="F2829">
        <v>13</v>
      </c>
      <c r="G2829">
        <v>6500</v>
      </c>
      <c r="H2829">
        <v>84500</v>
      </c>
      <c r="I2829" s="3">
        <v>45317.791666666664</v>
      </c>
      <c r="J2829">
        <v>64</v>
      </c>
      <c r="K2829" s="3">
        <v>45319.791666666664</v>
      </c>
      <c r="L2829" s="4">
        <f>ROUNDDOWN(Table1[[#This Row],[Ordered]],0)</f>
        <v>45317</v>
      </c>
      <c r="M2829" s="4">
        <f>Table1[[#This Row],[Date ]]</f>
        <v>45317</v>
      </c>
      <c r="N2829" s="5">
        <f>Table1[[#This Row],[Ordered]]-Table1[[#This Row],[Date ]]</f>
        <v>0.70833333333575865</v>
      </c>
      <c r="O2829">
        <f>Table1[[#This Row],[Company]]</f>
        <v>15</v>
      </c>
      <c r="P28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0" spans="1:16" x14ac:dyDescent="0.45">
      <c r="A2830" s="3">
        <v>45317.708333333336</v>
      </c>
      <c r="B2830" t="s">
        <v>14</v>
      </c>
      <c r="C2830">
        <v>11</v>
      </c>
      <c r="D2830">
        <v>1001</v>
      </c>
      <c r="E2830" t="s">
        <v>15</v>
      </c>
      <c r="F2830">
        <v>9</v>
      </c>
      <c r="G2830">
        <v>6500</v>
      </c>
      <c r="H2830">
        <v>58500</v>
      </c>
      <c r="I2830" s="3">
        <v>45317.875</v>
      </c>
      <c r="J2830">
        <v>60</v>
      </c>
      <c r="K2830" s="3">
        <v>45319.875</v>
      </c>
      <c r="L2830" s="4">
        <f>ROUNDDOWN(Table1[[#This Row],[Ordered]],0)</f>
        <v>45317</v>
      </c>
      <c r="M2830" s="4">
        <f>Table1[[#This Row],[Date ]]</f>
        <v>45317</v>
      </c>
      <c r="N2830" s="5">
        <f>Table1[[#This Row],[Ordered]]-Table1[[#This Row],[Date ]]</f>
        <v>0.70833333333575865</v>
      </c>
      <c r="O2830">
        <f>Table1[[#This Row],[Company]]</f>
        <v>11</v>
      </c>
      <c r="P28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1" spans="1:16" x14ac:dyDescent="0.45">
      <c r="A2831" s="3">
        <v>45317.708333333336</v>
      </c>
      <c r="B2831" t="s">
        <v>14</v>
      </c>
      <c r="C2831">
        <v>14</v>
      </c>
      <c r="D2831">
        <v>1005</v>
      </c>
      <c r="E2831" t="s">
        <v>15</v>
      </c>
      <c r="F2831">
        <v>10</v>
      </c>
      <c r="G2831">
        <v>6650</v>
      </c>
      <c r="H2831">
        <v>66500</v>
      </c>
      <c r="I2831" s="3">
        <v>45317.875</v>
      </c>
      <c r="J2831">
        <v>84</v>
      </c>
      <c r="K2831" s="3">
        <v>45320.875</v>
      </c>
      <c r="L2831" s="4">
        <f>ROUNDDOWN(Table1[[#This Row],[Ordered]],0)</f>
        <v>45317</v>
      </c>
      <c r="M2831" s="4">
        <f>Table1[[#This Row],[Date ]]</f>
        <v>45317</v>
      </c>
      <c r="N2831" s="5">
        <f>Table1[[#This Row],[Ordered]]-Table1[[#This Row],[Date ]]</f>
        <v>0.70833333333575865</v>
      </c>
      <c r="O2831">
        <f>Table1[[#This Row],[Company]]</f>
        <v>14</v>
      </c>
      <c r="P28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2" spans="1:16" x14ac:dyDescent="0.45">
      <c r="A2832" s="3">
        <v>45317.708333333336</v>
      </c>
      <c r="B2832" t="s">
        <v>14</v>
      </c>
      <c r="C2832">
        <v>13</v>
      </c>
      <c r="D2832">
        <v>1005</v>
      </c>
      <c r="E2832" t="s">
        <v>15</v>
      </c>
      <c r="F2832">
        <v>26</v>
      </c>
      <c r="G2832">
        <v>6000</v>
      </c>
      <c r="H2832">
        <v>156000</v>
      </c>
      <c r="I2832" s="3">
        <v>45318.333333333336</v>
      </c>
      <c r="J2832">
        <v>96</v>
      </c>
      <c r="K2832" s="3">
        <v>45321.333333333336</v>
      </c>
      <c r="L2832" s="4">
        <f>ROUNDDOWN(Table1[[#This Row],[Ordered]],0)</f>
        <v>45317</v>
      </c>
      <c r="M2832" s="4">
        <f>Table1[[#This Row],[Date ]]</f>
        <v>45317</v>
      </c>
      <c r="N2832" s="5">
        <f>Table1[[#This Row],[Ordered]]-Table1[[#This Row],[Date ]]</f>
        <v>0.70833333333575865</v>
      </c>
      <c r="O2832">
        <f>Table1[[#This Row],[Company]]</f>
        <v>13</v>
      </c>
      <c r="P28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3" spans="1:16" x14ac:dyDescent="0.45">
      <c r="A2833" s="3">
        <v>45317.708333333336</v>
      </c>
      <c r="B2833" t="s">
        <v>14</v>
      </c>
      <c r="C2833">
        <v>13</v>
      </c>
      <c r="D2833">
        <v>1001</v>
      </c>
      <c r="E2833" t="s">
        <v>15</v>
      </c>
      <c r="F2833">
        <v>11</v>
      </c>
      <c r="G2833">
        <v>6000</v>
      </c>
      <c r="H2833">
        <v>66000</v>
      </c>
      <c r="I2833" s="3">
        <v>45318.333333333336</v>
      </c>
      <c r="J2833">
        <v>96</v>
      </c>
      <c r="K2833" s="3">
        <v>45321.333333333336</v>
      </c>
      <c r="L2833" s="4">
        <f>ROUNDDOWN(Table1[[#This Row],[Ordered]],0)</f>
        <v>45317</v>
      </c>
      <c r="M2833" s="4">
        <f>Table1[[#This Row],[Date ]]</f>
        <v>45317</v>
      </c>
      <c r="N2833" s="5">
        <f>Table1[[#This Row],[Ordered]]-Table1[[#This Row],[Date ]]</f>
        <v>0.70833333333575865</v>
      </c>
      <c r="O2833">
        <f>Table1[[#This Row],[Company]]</f>
        <v>13</v>
      </c>
      <c r="P28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4" spans="1:16" x14ac:dyDescent="0.45">
      <c r="A2834" s="3">
        <v>45317.708333333336</v>
      </c>
      <c r="B2834" t="s">
        <v>14</v>
      </c>
      <c r="C2834">
        <v>16</v>
      </c>
      <c r="D2834">
        <v>1005</v>
      </c>
      <c r="E2834" t="s">
        <v>15</v>
      </c>
      <c r="F2834">
        <v>20</v>
      </c>
      <c r="G2834">
        <v>6050</v>
      </c>
      <c r="H2834">
        <v>121000</v>
      </c>
      <c r="I2834" s="3">
        <v>45317.75</v>
      </c>
      <c r="J2834">
        <v>96</v>
      </c>
      <c r="K2834" s="3">
        <v>45320.75</v>
      </c>
      <c r="L2834" s="4">
        <f>ROUNDDOWN(Table1[[#This Row],[Ordered]],0)</f>
        <v>45317</v>
      </c>
      <c r="M2834" s="4">
        <f>Table1[[#This Row],[Date ]]</f>
        <v>45317</v>
      </c>
      <c r="N2834" s="5">
        <f>Table1[[#This Row],[Ordered]]-Table1[[#This Row],[Date ]]</f>
        <v>0.70833333333575865</v>
      </c>
      <c r="O2834">
        <f>Table1[[#This Row],[Company]]</f>
        <v>16</v>
      </c>
      <c r="P28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5" spans="1:16" x14ac:dyDescent="0.45">
      <c r="A2835" s="3">
        <v>45317.708333333336</v>
      </c>
      <c r="B2835" t="s">
        <v>14</v>
      </c>
      <c r="C2835">
        <v>11</v>
      </c>
      <c r="D2835">
        <v>1005</v>
      </c>
      <c r="E2835" t="s">
        <v>15</v>
      </c>
      <c r="F2835">
        <v>10</v>
      </c>
      <c r="G2835">
        <v>6500</v>
      </c>
      <c r="H2835">
        <v>65000</v>
      </c>
      <c r="I2835" s="3">
        <v>45317.833333333336</v>
      </c>
      <c r="J2835">
        <v>60</v>
      </c>
      <c r="K2835" s="3">
        <v>45319.833333333336</v>
      </c>
      <c r="L2835" s="4">
        <f>ROUNDDOWN(Table1[[#This Row],[Ordered]],0)</f>
        <v>45317</v>
      </c>
      <c r="M2835" s="4">
        <f>Table1[[#This Row],[Date ]]</f>
        <v>45317</v>
      </c>
      <c r="N2835" s="5">
        <f>Table1[[#This Row],[Ordered]]-Table1[[#This Row],[Date ]]</f>
        <v>0.70833333333575865</v>
      </c>
      <c r="O2835">
        <f>Table1[[#This Row],[Company]]</f>
        <v>11</v>
      </c>
      <c r="P28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6" spans="1:16" hidden="1" x14ac:dyDescent="0.45">
      <c r="A2836" s="3">
        <v>45317.791666666664</v>
      </c>
      <c r="B2836" t="s">
        <v>12</v>
      </c>
      <c r="C2836">
        <v>5</v>
      </c>
      <c r="D2836">
        <v>10</v>
      </c>
      <c r="E2836" t="s">
        <v>17</v>
      </c>
      <c r="F2836">
        <v>600</v>
      </c>
      <c r="G2836">
        <v>1500</v>
      </c>
      <c r="H2836">
        <v>900000</v>
      </c>
      <c r="I2836" s="3">
        <v>45317.791666666664</v>
      </c>
      <c r="J2836">
        <v>24</v>
      </c>
      <c r="K2836" s="3">
        <v>45318.791666666664</v>
      </c>
      <c r="L2836" s="4">
        <f>ROUNDDOWN(Table1[[#This Row],[Ordered]],0)</f>
        <v>45317</v>
      </c>
      <c r="M2836" s="4">
        <f>Table1[[#This Row],[Date ]]</f>
        <v>45317</v>
      </c>
      <c r="N2836" s="5">
        <f>Table1[[#This Row],[Ordered]]-Table1[[#This Row],[Date ]]</f>
        <v>0.79166666666424135</v>
      </c>
      <c r="O2836">
        <f>Table1[[#This Row],[Company]]</f>
        <v>5</v>
      </c>
      <c r="P28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7" spans="1:16" hidden="1" x14ac:dyDescent="0.45">
      <c r="A2837" s="3">
        <v>45317.833333333336</v>
      </c>
      <c r="B2837" t="s">
        <v>12</v>
      </c>
      <c r="C2837">
        <v>6</v>
      </c>
      <c r="D2837">
        <v>7</v>
      </c>
      <c r="E2837" t="s">
        <v>13</v>
      </c>
      <c r="F2837">
        <v>4088</v>
      </c>
      <c r="G2837">
        <v>130</v>
      </c>
      <c r="H2837">
        <v>531440</v>
      </c>
      <c r="I2837" s="3">
        <v>45318.375</v>
      </c>
      <c r="J2837">
        <v>72</v>
      </c>
      <c r="K2837" s="3">
        <v>45321.375</v>
      </c>
      <c r="L2837" s="4">
        <f>ROUNDDOWN(Table1[[#This Row],[Ordered]],0)</f>
        <v>45317</v>
      </c>
      <c r="M2837" s="4">
        <f>Table1[[#This Row],[Date ]]</f>
        <v>45317</v>
      </c>
      <c r="N2837" s="5">
        <f>Table1[[#This Row],[Ordered]]-Table1[[#This Row],[Date ]]</f>
        <v>0.83333333333575865</v>
      </c>
      <c r="O2837">
        <f>Table1[[#This Row],[Company]]</f>
        <v>6</v>
      </c>
      <c r="P28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8" spans="1:16" hidden="1" x14ac:dyDescent="0.45">
      <c r="A2838" s="3">
        <v>45317.916666666664</v>
      </c>
      <c r="B2838" t="s">
        <v>12</v>
      </c>
      <c r="C2838">
        <v>5</v>
      </c>
      <c r="D2838">
        <v>16</v>
      </c>
      <c r="E2838" t="s">
        <v>17</v>
      </c>
      <c r="F2838">
        <v>350</v>
      </c>
      <c r="G2838">
        <v>1450</v>
      </c>
      <c r="H2838">
        <v>507500</v>
      </c>
      <c r="I2838" s="3">
        <v>45318.083333333336</v>
      </c>
      <c r="J2838">
        <v>48</v>
      </c>
      <c r="K2838" s="3">
        <v>45320.083333333336</v>
      </c>
      <c r="L2838" s="4">
        <f>ROUNDDOWN(Table1[[#This Row],[Ordered]],0)</f>
        <v>45317</v>
      </c>
      <c r="M2838" s="4">
        <f>Table1[[#This Row],[Date ]]</f>
        <v>45317</v>
      </c>
      <c r="N2838" s="5">
        <f>Table1[[#This Row],[Ordered]]-Table1[[#This Row],[Date ]]</f>
        <v>0.91666666666424135</v>
      </c>
      <c r="O2838">
        <f>Table1[[#This Row],[Company]]</f>
        <v>5</v>
      </c>
      <c r="P28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9" spans="1:16" hidden="1" x14ac:dyDescent="0.45">
      <c r="A2839" s="3">
        <v>45318</v>
      </c>
      <c r="B2839" t="s">
        <v>12</v>
      </c>
      <c r="C2839">
        <v>4</v>
      </c>
      <c r="D2839">
        <v>11</v>
      </c>
      <c r="E2839" t="s">
        <v>13</v>
      </c>
      <c r="F2839">
        <v>3000</v>
      </c>
      <c r="G2839">
        <v>125</v>
      </c>
      <c r="H2839">
        <v>375000</v>
      </c>
      <c r="I2839" s="3">
        <v>45318.041666666664</v>
      </c>
      <c r="J2839">
        <v>72</v>
      </c>
      <c r="K2839" s="3">
        <v>45321.041666666664</v>
      </c>
      <c r="L2839" s="4">
        <f>ROUNDDOWN(Table1[[#This Row],[Ordered]],0)</f>
        <v>45318</v>
      </c>
      <c r="M2839" s="4">
        <f>Table1[[#This Row],[Date ]]</f>
        <v>45318</v>
      </c>
      <c r="N2839" s="5">
        <f>Table1[[#This Row],[Ordered]]-Table1[[#This Row],[Date ]]</f>
        <v>0</v>
      </c>
      <c r="O2839">
        <f>Table1[[#This Row],[Company]]</f>
        <v>4</v>
      </c>
      <c r="P28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0" spans="1:16" hidden="1" x14ac:dyDescent="0.45">
      <c r="A2840" s="3">
        <v>45318.041666666664</v>
      </c>
      <c r="B2840" t="s">
        <v>12</v>
      </c>
      <c r="C2840">
        <v>4</v>
      </c>
      <c r="D2840">
        <v>11</v>
      </c>
      <c r="E2840" t="s">
        <v>17</v>
      </c>
      <c r="F2840">
        <v>600</v>
      </c>
      <c r="G2840">
        <v>1350</v>
      </c>
      <c r="H2840">
        <v>810000</v>
      </c>
      <c r="I2840" s="3">
        <v>45318.083333333336</v>
      </c>
      <c r="J2840">
        <v>72</v>
      </c>
      <c r="K2840" s="3">
        <v>45321.083333333336</v>
      </c>
      <c r="L2840" s="4">
        <f>ROUNDDOWN(Table1[[#This Row],[Ordered]],0)</f>
        <v>45318</v>
      </c>
      <c r="M2840" s="4">
        <f>Table1[[#This Row],[Date ]]</f>
        <v>45318</v>
      </c>
      <c r="N2840" s="5">
        <f>Table1[[#This Row],[Ordered]]-Table1[[#This Row],[Date ]]</f>
        <v>4.1666666664241347E-2</v>
      </c>
      <c r="O2840">
        <f>Table1[[#This Row],[Company]]</f>
        <v>4</v>
      </c>
      <c r="P28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1" spans="1:16" hidden="1" x14ac:dyDescent="0.45">
      <c r="A2841" s="3">
        <v>45318.083333333336</v>
      </c>
      <c r="B2841" t="s">
        <v>12</v>
      </c>
      <c r="C2841">
        <v>1</v>
      </c>
      <c r="D2841">
        <v>14</v>
      </c>
      <c r="E2841" t="s">
        <v>13</v>
      </c>
      <c r="F2841">
        <v>3500</v>
      </c>
      <c r="G2841">
        <v>125</v>
      </c>
      <c r="H2841">
        <v>437500</v>
      </c>
      <c r="I2841" s="3">
        <v>45318.083333333336</v>
      </c>
      <c r="J2841">
        <v>72</v>
      </c>
      <c r="K2841" s="3">
        <v>45321.083333333336</v>
      </c>
      <c r="L2841" s="4">
        <f>ROUNDDOWN(Table1[[#This Row],[Ordered]],0)</f>
        <v>45318</v>
      </c>
      <c r="M2841" s="4">
        <f>Table1[[#This Row],[Date ]]</f>
        <v>45318</v>
      </c>
      <c r="N2841" s="5">
        <f>Table1[[#This Row],[Ordered]]-Table1[[#This Row],[Date ]]</f>
        <v>8.3333333335758653E-2</v>
      </c>
      <c r="O2841">
        <f>Table1[[#This Row],[Company]]</f>
        <v>1</v>
      </c>
      <c r="P28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2" spans="1:16" hidden="1" x14ac:dyDescent="0.45">
      <c r="A2842" s="3">
        <v>45318.125</v>
      </c>
      <c r="B2842" t="s">
        <v>12</v>
      </c>
      <c r="C2842">
        <v>5</v>
      </c>
      <c r="D2842">
        <v>7</v>
      </c>
      <c r="E2842" t="s">
        <v>17</v>
      </c>
      <c r="F2842">
        <v>300</v>
      </c>
      <c r="G2842">
        <v>1600</v>
      </c>
      <c r="H2842">
        <v>480000</v>
      </c>
      <c r="I2842" s="3">
        <v>45318.333333333336</v>
      </c>
      <c r="J2842">
        <v>24</v>
      </c>
      <c r="K2842" s="3">
        <v>45319.333333333336</v>
      </c>
      <c r="L2842" s="4">
        <f>ROUNDDOWN(Table1[[#This Row],[Ordered]],0)</f>
        <v>45318</v>
      </c>
      <c r="M2842" s="4">
        <f>Table1[[#This Row],[Date ]]</f>
        <v>45318</v>
      </c>
      <c r="N2842" s="5">
        <f>Table1[[#This Row],[Ordered]]-Table1[[#This Row],[Date ]]</f>
        <v>0.125</v>
      </c>
      <c r="O2842">
        <f>Table1[[#This Row],[Company]]</f>
        <v>5</v>
      </c>
      <c r="P28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3" spans="1:16" hidden="1" x14ac:dyDescent="0.45">
      <c r="A2843" s="3">
        <v>45318.125</v>
      </c>
      <c r="B2843" t="s">
        <v>12</v>
      </c>
      <c r="C2843">
        <v>1</v>
      </c>
      <c r="D2843">
        <v>10</v>
      </c>
      <c r="E2843" t="s">
        <v>17</v>
      </c>
      <c r="F2843">
        <v>600</v>
      </c>
      <c r="G2843">
        <v>1500</v>
      </c>
      <c r="H2843">
        <v>900000</v>
      </c>
      <c r="I2843" s="3">
        <v>45318.166666666664</v>
      </c>
      <c r="J2843">
        <v>24</v>
      </c>
      <c r="K2843" s="3">
        <v>45319.166666666664</v>
      </c>
      <c r="L2843" s="4">
        <f>ROUNDDOWN(Table1[[#This Row],[Ordered]],0)</f>
        <v>45318</v>
      </c>
      <c r="M2843" s="4">
        <f>Table1[[#This Row],[Date ]]</f>
        <v>45318</v>
      </c>
      <c r="N2843" s="5">
        <f>Table1[[#This Row],[Ordered]]-Table1[[#This Row],[Date ]]</f>
        <v>0.125</v>
      </c>
      <c r="O2843">
        <f>Table1[[#This Row],[Company]]</f>
        <v>1</v>
      </c>
      <c r="P28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4" spans="1:16" x14ac:dyDescent="0.45">
      <c r="A2844" s="3">
        <v>45318.166666666664</v>
      </c>
      <c r="B2844" t="s">
        <v>14</v>
      </c>
      <c r="C2844">
        <v>15</v>
      </c>
      <c r="D2844">
        <v>1011</v>
      </c>
      <c r="E2844" t="s">
        <v>15</v>
      </c>
      <c r="F2844">
        <v>17</v>
      </c>
      <c r="G2844">
        <v>6500</v>
      </c>
      <c r="H2844">
        <v>110500</v>
      </c>
      <c r="I2844" s="3">
        <v>45318.208333333336</v>
      </c>
      <c r="J2844">
        <v>64</v>
      </c>
      <c r="K2844" s="3">
        <v>45320.208333333336</v>
      </c>
      <c r="L2844" s="4">
        <f>ROUNDDOWN(Table1[[#This Row],[Ordered]],0)</f>
        <v>45318</v>
      </c>
      <c r="M2844" s="4">
        <f>Table1[[#This Row],[Date ]]</f>
        <v>45318</v>
      </c>
      <c r="N2844" s="5">
        <f>Table1[[#This Row],[Ordered]]-Table1[[#This Row],[Date ]]</f>
        <v>0.16666666666424135</v>
      </c>
      <c r="O2844">
        <f>Table1[[#This Row],[Company]]</f>
        <v>15</v>
      </c>
      <c r="P28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5" spans="1:16" x14ac:dyDescent="0.45">
      <c r="A2845" s="3">
        <v>45318.166666666664</v>
      </c>
      <c r="B2845" t="s">
        <v>14</v>
      </c>
      <c r="C2845">
        <v>14</v>
      </c>
      <c r="D2845">
        <v>1011</v>
      </c>
      <c r="E2845" t="s">
        <v>15</v>
      </c>
      <c r="F2845">
        <v>6</v>
      </c>
      <c r="G2845">
        <v>6650</v>
      </c>
      <c r="H2845">
        <v>39900</v>
      </c>
      <c r="I2845" s="3">
        <v>45318.375</v>
      </c>
      <c r="J2845">
        <v>84</v>
      </c>
      <c r="K2845" s="3">
        <v>45321.375</v>
      </c>
      <c r="L2845" s="4">
        <f>ROUNDDOWN(Table1[[#This Row],[Ordered]],0)</f>
        <v>45318</v>
      </c>
      <c r="M2845" s="4">
        <f>Table1[[#This Row],[Date ]]</f>
        <v>45318</v>
      </c>
      <c r="N2845" s="5">
        <f>Table1[[#This Row],[Ordered]]-Table1[[#This Row],[Date ]]</f>
        <v>0.16666666666424135</v>
      </c>
      <c r="O2845">
        <f>Table1[[#This Row],[Company]]</f>
        <v>14</v>
      </c>
      <c r="P28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6" spans="1:16" hidden="1" x14ac:dyDescent="0.45">
      <c r="A2846" s="3">
        <v>45318.166666666664</v>
      </c>
      <c r="B2846" t="s">
        <v>12</v>
      </c>
      <c r="C2846">
        <v>5</v>
      </c>
      <c r="D2846">
        <v>16</v>
      </c>
      <c r="E2846" t="s">
        <v>13</v>
      </c>
      <c r="F2846">
        <v>1700</v>
      </c>
      <c r="G2846">
        <v>120</v>
      </c>
      <c r="H2846">
        <v>204000</v>
      </c>
      <c r="I2846" s="3">
        <v>45318.208333333336</v>
      </c>
      <c r="J2846">
        <v>48</v>
      </c>
      <c r="K2846" s="3">
        <v>45320.208333333336</v>
      </c>
      <c r="L2846" s="4">
        <f>ROUNDDOWN(Table1[[#This Row],[Ordered]],0)</f>
        <v>45318</v>
      </c>
      <c r="M2846" s="4">
        <f>Table1[[#This Row],[Date ]]</f>
        <v>45318</v>
      </c>
      <c r="N2846" s="5">
        <f>Table1[[#This Row],[Ordered]]-Table1[[#This Row],[Date ]]</f>
        <v>0.16666666666424135</v>
      </c>
      <c r="O2846">
        <f>Table1[[#This Row],[Company]]</f>
        <v>5</v>
      </c>
      <c r="P28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7" spans="1:16" x14ac:dyDescent="0.45">
      <c r="A2847" s="3">
        <v>45318.166666666664</v>
      </c>
      <c r="B2847" t="s">
        <v>14</v>
      </c>
      <c r="C2847">
        <v>13</v>
      </c>
      <c r="D2847">
        <v>1011</v>
      </c>
      <c r="E2847" t="s">
        <v>15</v>
      </c>
      <c r="F2847">
        <v>15</v>
      </c>
      <c r="G2847">
        <v>6000</v>
      </c>
      <c r="H2847">
        <v>90000</v>
      </c>
      <c r="I2847" s="3">
        <v>45319.833333333336</v>
      </c>
      <c r="J2847">
        <v>96</v>
      </c>
      <c r="K2847" s="3">
        <v>45321.833333333336</v>
      </c>
      <c r="L2847" s="4">
        <f>ROUNDDOWN(Table1[[#This Row],[Ordered]],0)</f>
        <v>45318</v>
      </c>
      <c r="M2847" s="4">
        <f>Table1[[#This Row],[Date ]]</f>
        <v>45318</v>
      </c>
      <c r="N2847" s="5">
        <f>Table1[[#This Row],[Ordered]]-Table1[[#This Row],[Date ]]</f>
        <v>0.16666666666424135</v>
      </c>
      <c r="O2847">
        <f>Table1[[#This Row],[Company]]</f>
        <v>13</v>
      </c>
      <c r="P28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8" spans="1:16" x14ac:dyDescent="0.45">
      <c r="A2848" s="3">
        <v>45318.166666666664</v>
      </c>
      <c r="B2848" t="s">
        <v>14</v>
      </c>
      <c r="C2848">
        <v>11</v>
      </c>
      <c r="D2848">
        <v>1011</v>
      </c>
      <c r="E2848" t="s">
        <v>15</v>
      </c>
      <c r="F2848">
        <v>10</v>
      </c>
      <c r="G2848">
        <v>6500</v>
      </c>
      <c r="H2848">
        <v>65000</v>
      </c>
      <c r="I2848" s="3">
        <v>45318.166666666664</v>
      </c>
      <c r="J2848">
        <v>60</v>
      </c>
      <c r="K2848" s="3">
        <v>45320.166666666664</v>
      </c>
      <c r="L2848" s="4">
        <f>ROUNDDOWN(Table1[[#This Row],[Ordered]],0)</f>
        <v>45318</v>
      </c>
      <c r="M2848" s="4">
        <f>Table1[[#This Row],[Date ]]</f>
        <v>45318</v>
      </c>
      <c r="N2848" s="5">
        <f>Table1[[#This Row],[Ordered]]-Table1[[#This Row],[Date ]]</f>
        <v>0.16666666666424135</v>
      </c>
      <c r="O2848">
        <f>Table1[[#This Row],[Company]]</f>
        <v>11</v>
      </c>
      <c r="P28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9" spans="1:16" x14ac:dyDescent="0.45">
      <c r="A2849" s="3">
        <v>45318.166666666664</v>
      </c>
      <c r="B2849" t="s">
        <v>14</v>
      </c>
      <c r="C2849">
        <v>16</v>
      </c>
      <c r="D2849">
        <v>1011</v>
      </c>
      <c r="E2849" t="s">
        <v>15</v>
      </c>
      <c r="F2849">
        <v>13</v>
      </c>
      <c r="G2849">
        <v>6050</v>
      </c>
      <c r="H2849">
        <v>78650</v>
      </c>
      <c r="I2849" s="3">
        <v>45318.291666666664</v>
      </c>
      <c r="J2849">
        <v>96</v>
      </c>
      <c r="K2849" s="3">
        <v>45321.291666666664</v>
      </c>
      <c r="L2849" s="4">
        <f>ROUNDDOWN(Table1[[#This Row],[Ordered]],0)</f>
        <v>45318</v>
      </c>
      <c r="M2849" s="4">
        <f>Table1[[#This Row],[Date ]]</f>
        <v>45318</v>
      </c>
      <c r="N2849" s="5">
        <f>Table1[[#This Row],[Ordered]]-Table1[[#This Row],[Date ]]</f>
        <v>0.16666666666424135</v>
      </c>
      <c r="O2849">
        <f>Table1[[#This Row],[Company]]</f>
        <v>16</v>
      </c>
      <c r="P28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0" spans="1:16" x14ac:dyDescent="0.45">
      <c r="A2850" s="3">
        <v>45318.166666666664</v>
      </c>
      <c r="B2850" t="s">
        <v>14</v>
      </c>
      <c r="C2850">
        <v>10</v>
      </c>
      <c r="D2850">
        <v>1011</v>
      </c>
      <c r="E2850" t="s">
        <v>15</v>
      </c>
      <c r="F2850">
        <v>6</v>
      </c>
      <c r="G2850">
        <v>6000</v>
      </c>
      <c r="H2850">
        <v>36000</v>
      </c>
      <c r="I2850" s="3">
        <v>45318.208333333336</v>
      </c>
      <c r="J2850">
        <v>84</v>
      </c>
      <c r="K2850" s="3">
        <v>45321.208333333336</v>
      </c>
      <c r="L2850" s="4">
        <f>ROUNDDOWN(Table1[[#This Row],[Ordered]],0)</f>
        <v>45318</v>
      </c>
      <c r="M2850" s="4">
        <f>Table1[[#This Row],[Date ]]</f>
        <v>45318</v>
      </c>
      <c r="N2850" s="5">
        <f>Table1[[#This Row],[Ordered]]-Table1[[#This Row],[Date ]]</f>
        <v>0.16666666666424135</v>
      </c>
      <c r="O2850">
        <f>Table1[[#This Row],[Company]]</f>
        <v>10</v>
      </c>
      <c r="P28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1" spans="1:16" hidden="1" x14ac:dyDescent="0.45">
      <c r="A2851" s="3">
        <v>45318.208333333336</v>
      </c>
      <c r="B2851" t="s">
        <v>12</v>
      </c>
      <c r="C2851">
        <v>2</v>
      </c>
      <c r="D2851">
        <v>15</v>
      </c>
      <c r="E2851" t="s">
        <v>13</v>
      </c>
      <c r="F2851">
        <v>2800</v>
      </c>
      <c r="G2851">
        <v>125</v>
      </c>
      <c r="H2851">
        <v>350000</v>
      </c>
      <c r="I2851" s="3">
        <v>45318.208333333336</v>
      </c>
      <c r="J2851">
        <v>72</v>
      </c>
      <c r="K2851" s="3">
        <v>45321.208333333336</v>
      </c>
      <c r="L2851" s="4">
        <f>ROUNDDOWN(Table1[[#This Row],[Ordered]],0)</f>
        <v>45318</v>
      </c>
      <c r="M2851" s="4">
        <f>Table1[[#This Row],[Date ]]</f>
        <v>45318</v>
      </c>
      <c r="N2851" s="5">
        <f>Table1[[#This Row],[Ordered]]-Table1[[#This Row],[Date ]]</f>
        <v>0.20833333333575865</v>
      </c>
      <c r="O2851">
        <f>Table1[[#This Row],[Company]]</f>
        <v>2</v>
      </c>
      <c r="P28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2" spans="1:16" hidden="1" x14ac:dyDescent="0.45">
      <c r="A2852" s="3">
        <v>45318.208333333336</v>
      </c>
      <c r="B2852" t="s">
        <v>12</v>
      </c>
      <c r="C2852">
        <v>6</v>
      </c>
      <c r="D2852">
        <v>15</v>
      </c>
      <c r="E2852" t="s">
        <v>17</v>
      </c>
      <c r="F2852">
        <v>272</v>
      </c>
      <c r="G2852">
        <v>1450</v>
      </c>
      <c r="H2852">
        <v>394400</v>
      </c>
      <c r="I2852" s="3">
        <v>45318.25</v>
      </c>
      <c r="J2852">
        <v>72</v>
      </c>
      <c r="K2852" s="3">
        <v>45321.25</v>
      </c>
      <c r="L2852" s="4">
        <f>ROUNDDOWN(Table1[[#This Row],[Ordered]],0)</f>
        <v>45318</v>
      </c>
      <c r="M2852" s="4">
        <f>Table1[[#This Row],[Date ]]</f>
        <v>45318</v>
      </c>
      <c r="N2852" s="5">
        <f>Table1[[#This Row],[Ordered]]-Table1[[#This Row],[Date ]]</f>
        <v>0.20833333333575865</v>
      </c>
      <c r="O2852">
        <f>Table1[[#This Row],[Company]]</f>
        <v>6</v>
      </c>
      <c r="P28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3" spans="1:16" hidden="1" x14ac:dyDescent="0.45">
      <c r="A2853" s="3">
        <v>45318.208333333336</v>
      </c>
      <c r="B2853" t="s">
        <v>12</v>
      </c>
      <c r="C2853">
        <v>6</v>
      </c>
      <c r="D2853">
        <v>15</v>
      </c>
      <c r="E2853" t="s">
        <v>17</v>
      </c>
      <c r="F2853">
        <v>272</v>
      </c>
      <c r="G2853">
        <v>1450</v>
      </c>
      <c r="H2853">
        <v>394400</v>
      </c>
      <c r="I2853" s="3">
        <v>45318.25</v>
      </c>
      <c r="J2853">
        <v>72</v>
      </c>
      <c r="K2853" s="3">
        <v>45321.25</v>
      </c>
      <c r="L2853" s="4">
        <f>ROUNDDOWN(Table1[[#This Row],[Ordered]],0)</f>
        <v>45318</v>
      </c>
      <c r="M2853" s="4">
        <f>Table1[[#This Row],[Date ]]</f>
        <v>45318</v>
      </c>
      <c r="N2853" s="5">
        <f>Table1[[#This Row],[Ordered]]-Table1[[#This Row],[Date ]]</f>
        <v>0.20833333333575865</v>
      </c>
      <c r="O2853">
        <f>Table1[[#This Row],[Company]]</f>
        <v>6</v>
      </c>
      <c r="P28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4" spans="1:16" hidden="1" x14ac:dyDescent="0.45">
      <c r="A2854" s="3">
        <v>45318.208333333336</v>
      </c>
      <c r="B2854" t="s">
        <v>12</v>
      </c>
      <c r="C2854">
        <v>4</v>
      </c>
      <c r="D2854">
        <v>13</v>
      </c>
      <c r="E2854" t="s">
        <v>17</v>
      </c>
      <c r="F2854">
        <v>300</v>
      </c>
      <c r="G2854">
        <v>1450</v>
      </c>
      <c r="H2854">
        <v>435000</v>
      </c>
      <c r="I2854" s="3">
        <v>45318.208333333336</v>
      </c>
      <c r="J2854">
        <v>48</v>
      </c>
      <c r="K2854" s="3">
        <v>45320.208333333336</v>
      </c>
      <c r="L2854" s="4">
        <f>ROUNDDOWN(Table1[[#This Row],[Ordered]],0)</f>
        <v>45318</v>
      </c>
      <c r="M2854" s="4">
        <f>Table1[[#This Row],[Date ]]</f>
        <v>45318</v>
      </c>
      <c r="N2854" s="5">
        <f>Table1[[#This Row],[Ordered]]-Table1[[#This Row],[Date ]]</f>
        <v>0.20833333333575865</v>
      </c>
      <c r="O2854">
        <f>Table1[[#This Row],[Company]]</f>
        <v>4</v>
      </c>
      <c r="P28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5" spans="1:16" hidden="1" x14ac:dyDescent="0.45">
      <c r="A2855" s="3">
        <v>45318.208333333336</v>
      </c>
      <c r="B2855" t="s">
        <v>12</v>
      </c>
      <c r="C2855">
        <v>6</v>
      </c>
      <c r="D2855">
        <v>15</v>
      </c>
      <c r="E2855" t="s">
        <v>17</v>
      </c>
      <c r="F2855">
        <v>272</v>
      </c>
      <c r="G2855">
        <v>1450</v>
      </c>
      <c r="H2855">
        <v>394400</v>
      </c>
      <c r="I2855" s="3">
        <v>45318.25</v>
      </c>
      <c r="J2855">
        <v>72</v>
      </c>
      <c r="K2855" s="3">
        <v>45321.25</v>
      </c>
      <c r="L2855" s="4">
        <f>ROUNDDOWN(Table1[[#This Row],[Ordered]],0)</f>
        <v>45318</v>
      </c>
      <c r="M2855" s="4">
        <f>Table1[[#This Row],[Date ]]</f>
        <v>45318</v>
      </c>
      <c r="N2855" s="5">
        <f>Table1[[#This Row],[Ordered]]-Table1[[#This Row],[Date ]]</f>
        <v>0.20833333333575865</v>
      </c>
      <c r="O2855">
        <f>Table1[[#This Row],[Company]]</f>
        <v>6</v>
      </c>
      <c r="P28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6" spans="1:16" hidden="1" x14ac:dyDescent="0.45">
      <c r="A2856" s="3">
        <v>45318.208333333336</v>
      </c>
      <c r="B2856" t="s">
        <v>12</v>
      </c>
      <c r="C2856">
        <v>2</v>
      </c>
      <c r="D2856">
        <v>7</v>
      </c>
      <c r="E2856" t="s">
        <v>17</v>
      </c>
      <c r="F2856">
        <v>500</v>
      </c>
      <c r="G2856">
        <v>1600</v>
      </c>
      <c r="H2856">
        <v>800000</v>
      </c>
      <c r="I2856" s="3">
        <v>45318.333333333336</v>
      </c>
      <c r="J2856">
        <v>72</v>
      </c>
      <c r="K2856" s="3">
        <v>45321.333333333336</v>
      </c>
      <c r="L2856" s="4">
        <f>ROUNDDOWN(Table1[[#This Row],[Ordered]],0)</f>
        <v>45318</v>
      </c>
      <c r="M2856" s="4">
        <f>Table1[[#This Row],[Date ]]</f>
        <v>45318</v>
      </c>
      <c r="N2856" s="5">
        <f>Table1[[#This Row],[Ordered]]-Table1[[#This Row],[Date ]]</f>
        <v>0.20833333333575865</v>
      </c>
      <c r="O2856">
        <f>Table1[[#This Row],[Company]]</f>
        <v>2</v>
      </c>
      <c r="P28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7" spans="1:16" hidden="1" x14ac:dyDescent="0.45">
      <c r="A2857" s="3">
        <v>45318.208333333336</v>
      </c>
      <c r="B2857" t="s">
        <v>12</v>
      </c>
      <c r="C2857">
        <v>6</v>
      </c>
      <c r="D2857">
        <v>15</v>
      </c>
      <c r="E2857" t="s">
        <v>17</v>
      </c>
      <c r="F2857">
        <v>272</v>
      </c>
      <c r="G2857">
        <v>1450</v>
      </c>
      <c r="H2857">
        <v>394400</v>
      </c>
      <c r="I2857" s="3">
        <v>45318.25</v>
      </c>
      <c r="J2857">
        <v>72</v>
      </c>
      <c r="K2857" s="3">
        <v>45321.25</v>
      </c>
      <c r="L2857" s="4">
        <f>ROUNDDOWN(Table1[[#This Row],[Ordered]],0)</f>
        <v>45318</v>
      </c>
      <c r="M2857" s="4">
        <f>Table1[[#This Row],[Date ]]</f>
        <v>45318</v>
      </c>
      <c r="N2857" s="5">
        <f>Table1[[#This Row],[Ordered]]-Table1[[#This Row],[Date ]]</f>
        <v>0.20833333333575865</v>
      </c>
      <c r="O2857">
        <f>Table1[[#This Row],[Company]]</f>
        <v>6</v>
      </c>
      <c r="P28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8" spans="1:16" x14ac:dyDescent="0.45">
      <c r="A2858" s="3">
        <v>45318.25</v>
      </c>
      <c r="B2858" t="s">
        <v>14</v>
      </c>
      <c r="C2858">
        <v>13</v>
      </c>
      <c r="D2858">
        <v>1009</v>
      </c>
      <c r="E2858" t="s">
        <v>16</v>
      </c>
      <c r="F2858">
        <v>30</v>
      </c>
      <c r="G2858">
        <v>3100</v>
      </c>
      <c r="H2858">
        <v>93000</v>
      </c>
      <c r="I2858" s="3">
        <v>45319</v>
      </c>
      <c r="J2858">
        <v>96</v>
      </c>
      <c r="K2858" s="3">
        <v>45322</v>
      </c>
      <c r="L2858" s="4">
        <f>ROUNDDOWN(Table1[[#This Row],[Ordered]],0)</f>
        <v>45318</v>
      </c>
      <c r="M2858" s="4">
        <f>Table1[[#This Row],[Date ]]</f>
        <v>45318</v>
      </c>
      <c r="N2858" s="5">
        <f>Table1[[#This Row],[Ordered]]-Table1[[#This Row],[Date ]]</f>
        <v>0.25</v>
      </c>
      <c r="O2858">
        <f>Table1[[#This Row],[Company]]</f>
        <v>13</v>
      </c>
      <c r="P28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9" spans="1:16" x14ac:dyDescent="0.45">
      <c r="A2859" s="3">
        <v>45318.25</v>
      </c>
      <c r="B2859" t="s">
        <v>14</v>
      </c>
      <c r="C2859">
        <v>10</v>
      </c>
      <c r="D2859">
        <v>1009</v>
      </c>
      <c r="E2859" t="s">
        <v>16</v>
      </c>
      <c r="F2859">
        <v>17</v>
      </c>
      <c r="G2859">
        <v>4000</v>
      </c>
      <c r="H2859">
        <v>68000</v>
      </c>
      <c r="I2859" s="3">
        <v>45318.291666666664</v>
      </c>
      <c r="J2859">
        <v>36</v>
      </c>
      <c r="K2859" s="3">
        <v>45319.291666666664</v>
      </c>
      <c r="L2859" s="4">
        <f>ROUNDDOWN(Table1[[#This Row],[Ordered]],0)</f>
        <v>45318</v>
      </c>
      <c r="M2859" s="4">
        <f>Table1[[#This Row],[Date ]]</f>
        <v>45318</v>
      </c>
      <c r="N2859" s="5">
        <f>Table1[[#This Row],[Ordered]]-Table1[[#This Row],[Date ]]</f>
        <v>0.25</v>
      </c>
      <c r="O2859">
        <f>Table1[[#This Row],[Company]]</f>
        <v>10</v>
      </c>
      <c r="P28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0" spans="1:16" hidden="1" x14ac:dyDescent="0.45">
      <c r="A2860" s="3">
        <v>45318.25</v>
      </c>
      <c r="B2860" t="s">
        <v>12</v>
      </c>
      <c r="C2860">
        <v>4</v>
      </c>
      <c r="D2860">
        <v>13</v>
      </c>
      <c r="E2860" t="s">
        <v>17</v>
      </c>
      <c r="F2860">
        <v>300</v>
      </c>
      <c r="G2860">
        <v>1450</v>
      </c>
      <c r="H2860">
        <v>435000</v>
      </c>
      <c r="I2860" s="3">
        <v>45318.416666666664</v>
      </c>
      <c r="J2860">
        <v>72</v>
      </c>
      <c r="K2860" s="3">
        <v>45321.416666666664</v>
      </c>
      <c r="L2860" s="4">
        <f>ROUNDDOWN(Table1[[#This Row],[Ordered]],0)</f>
        <v>45318</v>
      </c>
      <c r="M2860" s="4">
        <f>Table1[[#This Row],[Date ]]</f>
        <v>45318</v>
      </c>
      <c r="N2860" s="5">
        <f>Table1[[#This Row],[Ordered]]-Table1[[#This Row],[Date ]]</f>
        <v>0.25</v>
      </c>
      <c r="O2860">
        <f>Table1[[#This Row],[Company]]</f>
        <v>4</v>
      </c>
      <c r="P28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1" spans="1:16" hidden="1" x14ac:dyDescent="0.45">
      <c r="A2861" s="3">
        <v>45318.25</v>
      </c>
      <c r="B2861" t="s">
        <v>12</v>
      </c>
      <c r="C2861">
        <v>5</v>
      </c>
      <c r="D2861">
        <v>14</v>
      </c>
      <c r="E2861" t="s">
        <v>13</v>
      </c>
      <c r="F2861">
        <v>1500</v>
      </c>
      <c r="G2861">
        <v>125</v>
      </c>
      <c r="H2861">
        <v>187500</v>
      </c>
      <c r="I2861" s="3">
        <v>45318.291666666664</v>
      </c>
      <c r="J2861">
        <v>72</v>
      </c>
      <c r="K2861" s="3">
        <v>45321.291666666664</v>
      </c>
      <c r="L2861" s="4">
        <f>ROUNDDOWN(Table1[[#This Row],[Ordered]],0)</f>
        <v>45318</v>
      </c>
      <c r="M2861" s="4">
        <f>Table1[[#This Row],[Date ]]</f>
        <v>45318</v>
      </c>
      <c r="N2861" s="5">
        <f>Table1[[#This Row],[Ordered]]-Table1[[#This Row],[Date ]]</f>
        <v>0.25</v>
      </c>
      <c r="O2861">
        <f>Table1[[#This Row],[Company]]</f>
        <v>5</v>
      </c>
      <c r="P28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2" spans="1:16" x14ac:dyDescent="0.45">
      <c r="A2862" s="3">
        <v>45318.25</v>
      </c>
      <c r="B2862" t="s">
        <v>14</v>
      </c>
      <c r="C2862">
        <v>15</v>
      </c>
      <c r="D2862">
        <v>1009</v>
      </c>
      <c r="E2862" t="s">
        <v>16</v>
      </c>
      <c r="F2862">
        <v>34</v>
      </c>
      <c r="G2862">
        <v>3850</v>
      </c>
      <c r="H2862">
        <v>130900</v>
      </c>
      <c r="I2862" s="3">
        <v>45319.166666666664</v>
      </c>
      <c r="J2862">
        <v>88</v>
      </c>
      <c r="K2862" s="3">
        <v>45321.166666666664</v>
      </c>
      <c r="L2862" s="4">
        <f>ROUNDDOWN(Table1[[#This Row],[Ordered]],0)</f>
        <v>45318</v>
      </c>
      <c r="M2862" s="4">
        <f>Table1[[#This Row],[Date ]]</f>
        <v>45318</v>
      </c>
      <c r="N2862" s="5">
        <f>Table1[[#This Row],[Ordered]]-Table1[[#This Row],[Date ]]</f>
        <v>0.25</v>
      </c>
      <c r="O2862">
        <f>Table1[[#This Row],[Company]]</f>
        <v>15</v>
      </c>
      <c r="P28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3" spans="1:16" x14ac:dyDescent="0.45">
      <c r="A2863" s="3">
        <v>45318.25</v>
      </c>
      <c r="B2863" t="s">
        <v>14</v>
      </c>
      <c r="C2863">
        <v>16</v>
      </c>
      <c r="D2863">
        <v>1009</v>
      </c>
      <c r="E2863" t="s">
        <v>16</v>
      </c>
      <c r="F2863">
        <v>20</v>
      </c>
      <c r="G2863">
        <v>3750</v>
      </c>
      <c r="H2863">
        <v>75000</v>
      </c>
      <c r="I2863" s="3">
        <v>45318.291666666664</v>
      </c>
      <c r="J2863">
        <v>96</v>
      </c>
      <c r="K2863" s="3">
        <v>45321.291666666664</v>
      </c>
      <c r="L2863" s="4">
        <f>ROUNDDOWN(Table1[[#This Row],[Ordered]],0)</f>
        <v>45318</v>
      </c>
      <c r="M2863" s="4">
        <f>Table1[[#This Row],[Date ]]</f>
        <v>45318</v>
      </c>
      <c r="N2863" s="5">
        <f>Table1[[#This Row],[Ordered]]-Table1[[#This Row],[Date ]]</f>
        <v>0.25</v>
      </c>
      <c r="O2863">
        <f>Table1[[#This Row],[Company]]</f>
        <v>16</v>
      </c>
      <c r="P28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4" spans="1:16" x14ac:dyDescent="0.45">
      <c r="A2864" s="3">
        <v>45318.25</v>
      </c>
      <c r="B2864" t="s">
        <v>14</v>
      </c>
      <c r="C2864">
        <v>12</v>
      </c>
      <c r="D2864">
        <v>1009</v>
      </c>
      <c r="E2864" t="s">
        <v>16</v>
      </c>
      <c r="F2864">
        <v>13</v>
      </c>
      <c r="G2864">
        <v>3850</v>
      </c>
      <c r="H2864">
        <v>50050</v>
      </c>
      <c r="I2864" s="3">
        <v>45319.5</v>
      </c>
      <c r="J2864">
        <v>96</v>
      </c>
      <c r="K2864" s="3">
        <v>45321.5</v>
      </c>
      <c r="L2864" s="4">
        <f>ROUNDDOWN(Table1[[#This Row],[Ordered]],0)</f>
        <v>45318</v>
      </c>
      <c r="M2864" s="4">
        <f>Table1[[#This Row],[Date ]]</f>
        <v>45318</v>
      </c>
      <c r="N2864" s="5">
        <f>Table1[[#This Row],[Ordered]]-Table1[[#This Row],[Date ]]</f>
        <v>0.25</v>
      </c>
      <c r="O2864">
        <f>Table1[[#This Row],[Company]]</f>
        <v>12</v>
      </c>
      <c r="P28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5" spans="1:16" x14ac:dyDescent="0.45">
      <c r="A2865" s="3">
        <v>45318.25</v>
      </c>
      <c r="B2865" t="s">
        <v>14</v>
      </c>
      <c r="C2865">
        <v>14</v>
      </c>
      <c r="D2865">
        <v>1009</v>
      </c>
      <c r="E2865" t="s">
        <v>16</v>
      </c>
      <c r="F2865">
        <v>23</v>
      </c>
      <c r="G2865">
        <v>3650</v>
      </c>
      <c r="H2865">
        <v>83950</v>
      </c>
      <c r="I2865" s="3">
        <v>45318.583333333336</v>
      </c>
      <c r="J2865">
        <v>87</v>
      </c>
      <c r="K2865" s="3">
        <v>45321.583333333336</v>
      </c>
      <c r="L2865" s="4">
        <f>ROUNDDOWN(Table1[[#This Row],[Ordered]],0)</f>
        <v>45318</v>
      </c>
      <c r="M2865" s="4">
        <f>Table1[[#This Row],[Date ]]</f>
        <v>45318</v>
      </c>
      <c r="N2865" s="5">
        <f>Table1[[#This Row],[Ordered]]-Table1[[#This Row],[Date ]]</f>
        <v>0.25</v>
      </c>
      <c r="O2865">
        <f>Table1[[#This Row],[Company]]</f>
        <v>14</v>
      </c>
      <c r="P28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6" spans="1:16" x14ac:dyDescent="0.45">
      <c r="A2866" s="3">
        <v>45318.291666666664</v>
      </c>
      <c r="B2866" t="s">
        <v>14</v>
      </c>
      <c r="C2866">
        <v>16</v>
      </c>
      <c r="D2866">
        <v>1002</v>
      </c>
      <c r="E2866" t="s">
        <v>16</v>
      </c>
      <c r="F2866">
        <v>19</v>
      </c>
      <c r="G2866">
        <v>3750</v>
      </c>
      <c r="H2866">
        <v>71250</v>
      </c>
      <c r="I2866" s="3">
        <v>45318.333333333336</v>
      </c>
      <c r="J2866">
        <v>96</v>
      </c>
      <c r="K2866" s="3">
        <v>45321.333333333336</v>
      </c>
      <c r="L2866" s="4">
        <f>ROUNDDOWN(Table1[[#This Row],[Ordered]],0)</f>
        <v>45318</v>
      </c>
      <c r="M2866" s="4">
        <f>Table1[[#This Row],[Date ]]</f>
        <v>45318</v>
      </c>
      <c r="N2866" s="5">
        <f>Table1[[#This Row],[Ordered]]-Table1[[#This Row],[Date ]]</f>
        <v>0.29166666666424135</v>
      </c>
      <c r="O2866">
        <f>Table1[[#This Row],[Company]]</f>
        <v>16</v>
      </c>
      <c r="P28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7" spans="1:16" x14ac:dyDescent="0.45">
      <c r="A2867" s="3">
        <v>45318.291666666664</v>
      </c>
      <c r="B2867" t="s">
        <v>14</v>
      </c>
      <c r="C2867">
        <v>14</v>
      </c>
      <c r="D2867">
        <v>1002</v>
      </c>
      <c r="E2867" t="s">
        <v>16</v>
      </c>
      <c r="F2867">
        <v>30</v>
      </c>
      <c r="G2867">
        <v>3800</v>
      </c>
      <c r="H2867">
        <v>114000</v>
      </c>
      <c r="I2867" s="3">
        <v>45318.375</v>
      </c>
      <c r="J2867">
        <v>82</v>
      </c>
      <c r="K2867" s="3">
        <v>45321.375</v>
      </c>
      <c r="L2867" s="4">
        <f>ROUNDDOWN(Table1[[#This Row],[Ordered]],0)</f>
        <v>45318</v>
      </c>
      <c r="M2867" s="4">
        <f>Table1[[#This Row],[Date ]]</f>
        <v>45318</v>
      </c>
      <c r="N2867" s="5">
        <f>Table1[[#This Row],[Ordered]]-Table1[[#This Row],[Date ]]</f>
        <v>0.29166666666424135</v>
      </c>
      <c r="O2867">
        <f>Table1[[#This Row],[Company]]</f>
        <v>14</v>
      </c>
      <c r="P28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8" spans="1:16" x14ac:dyDescent="0.45">
      <c r="A2868" s="3">
        <v>45318.291666666664</v>
      </c>
      <c r="B2868" t="s">
        <v>14</v>
      </c>
      <c r="C2868">
        <v>13</v>
      </c>
      <c r="D2868">
        <v>1002</v>
      </c>
      <c r="E2868" t="s">
        <v>16</v>
      </c>
      <c r="F2868">
        <v>30</v>
      </c>
      <c r="G2868">
        <v>3100</v>
      </c>
      <c r="H2868">
        <v>93000</v>
      </c>
      <c r="I2868" s="3">
        <v>45320</v>
      </c>
      <c r="J2868">
        <v>96</v>
      </c>
      <c r="K2868" s="3">
        <v>45322</v>
      </c>
      <c r="L2868" s="4">
        <f>ROUNDDOWN(Table1[[#This Row],[Ordered]],0)</f>
        <v>45318</v>
      </c>
      <c r="M2868" s="4">
        <f>Table1[[#This Row],[Date ]]</f>
        <v>45318</v>
      </c>
      <c r="N2868" s="5">
        <f>Table1[[#This Row],[Ordered]]-Table1[[#This Row],[Date ]]</f>
        <v>0.29166666666424135</v>
      </c>
      <c r="O2868">
        <f>Table1[[#This Row],[Company]]</f>
        <v>13</v>
      </c>
      <c r="P28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9" spans="1:16" x14ac:dyDescent="0.45">
      <c r="A2869" s="3">
        <v>45318.291666666664</v>
      </c>
      <c r="B2869" t="s">
        <v>14</v>
      </c>
      <c r="C2869">
        <v>11</v>
      </c>
      <c r="D2869">
        <v>1002</v>
      </c>
      <c r="E2869" t="s">
        <v>16</v>
      </c>
      <c r="F2869">
        <v>25</v>
      </c>
      <c r="G2869">
        <v>4000</v>
      </c>
      <c r="H2869">
        <v>100000</v>
      </c>
      <c r="I2869" s="3">
        <v>45318.75</v>
      </c>
      <c r="J2869">
        <v>96</v>
      </c>
      <c r="K2869" s="3">
        <v>45321.75</v>
      </c>
      <c r="L2869" s="4">
        <f>ROUNDDOWN(Table1[[#This Row],[Ordered]],0)</f>
        <v>45318</v>
      </c>
      <c r="M2869" s="4">
        <f>Table1[[#This Row],[Date ]]</f>
        <v>45318</v>
      </c>
      <c r="N2869" s="5">
        <f>Table1[[#This Row],[Ordered]]-Table1[[#This Row],[Date ]]</f>
        <v>0.29166666666424135</v>
      </c>
      <c r="O2869">
        <f>Table1[[#This Row],[Company]]</f>
        <v>11</v>
      </c>
      <c r="P28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0" spans="1:16" x14ac:dyDescent="0.45">
      <c r="A2870" s="3">
        <v>45318.291666666664</v>
      </c>
      <c r="B2870" t="s">
        <v>14</v>
      </c>
      <c r="C2870">
        <v>15</v>
      </c>
      <c r="D2870">
        <v>1004</v>
      </c>
      <c r="E2870" t="s">
        <v>16</v>
      </c>
      <c r="F2870">
        <v>30</v>
      </c>
      <c r="G2870">
        <v>3950</v>
      </c>
      <c r="H2870">
        <v>118500</v>
      </c>
      <c r="I2870" s="3">
        <v>45319.208333333336</v>
      </c>
      <c r="J2870">
        <v>87</v>
      </c>
      <c r="K2870" s="3">
        <v>45321.291666666664</v>
      </c>
      <c r="L2870" s="4">
        <f>ROUNDDOWN(Table1[[#This Row],[Ordered]],0)</f>
        <v>45318</v>
      </c>
      <c r="M2870" s="4">
        <f>Table1[[#This Row],[Date ]]</f>
        <v>45318</v>
      </c>
      <c r="N2870" s="5">
        <f>Table1[[#This Row],[Ordered]]-Table1[[#This Row],[Date ]]</f>
        <v>0.29166666666424135</v>
      </c>
      <c r="O2870">
        <f>Table1[[#This Row],[Company]]</f>
        <v>15</v>
      </c>
      <c r="P28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1" spans="1:16" x14ac:dyDescent="0.45">
      <c r="A2871" s="3">
        <v>45318.291666666664</v>
      </c>
      <c r="B2871" t="s">
        <v>14</v>
      </c>
      <c r="C2871">
        <v>11</v>
      </c>
      <c r="D2871">
        <v>1004</v>
      </c>
      <c r="E2871" t="s">
        <v>16</v>
      </c>
      <c r="F2871">
        <v>30</v>
      </c>
      <c r="G2871">
        <v>4000</v>
      </c>
      <c r="H2871">
        <v>120000</v>
      </c>
      <c r="I2871" s="3">
        <v>45318.708333333336</v>
      </c>
      <c r="J2871">
        <v>96</v>
      </c>
      <c r="K2871" s="3">
        <v>45321.708333333336</v>
      </c>
      <c r="L2871" s="4">
        <f>ROUNDDOWN(Table1[[#This Row],[Ordered]],0)</f>
        <v>45318</v>
      </c>
      <c r="M2871" s="4">
        <f>Table1[[#This Row],[Date ]]</f>
        <v>45318</v>
      </c>
      <c r="N2871" s="5">
        <f>Table1[[#This Row],[Ordered]]-Table1[[#This Row],[Date ]]</f>
        <v>0.29166666666424135</v>
      </c>
      <c r="O2871">
        <f>Table1[[#This Row],[Company]]</f>
        <v>11</v>
      </c>
      <c r="P28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2" spans="1:16" x14ac:dyDescent="0.45">
      <c r="A2872" s="3">
        <v>45318.291666666664</v>
      </c>
      <c r="B2872" t="s">
        <v>14</v>
      </c>
      <c r="C2872">
        <v>14</v>
      </c>
      <c r="D2872">
        <v>1004</v>
      </c>
      <c r="E2872" t="s">
        <v>16</v>
      </c>
      <c r="F2872">
        <v>39</v>
      </c>
      <c r="G2872">
        <v>3750</v>
      </c>
      <c r="H2872">
        <v>146250</v>
      </c>
      <c r="I2872" s="3">
        <v>45318.458333333336</v>
      </c>
      <c r="J2872">
        <v>84</v>
      </c>
      <c r="K2872" s="3">
        <v>45321.458333333336</v>
      </c>
      <c r="L2872" s="4">
        <f>ROUNDDOWN(Table1[[#This Row],[Ordered]],0)</f>
        <v>45318</v>
      </c>
      <c r="M2872" s="4">
        <f>Table1[[#This Row],[Date ]]</f>
        <v>45318</v>
      </c>
      <c r="N2872" s="5">
        <f>Table1[[#This Row],[Ordered]]-Table1[[#This Row],[Date ]]</f>
        <v>0.29166666666424135</v>
      </c>
      <c r="O2872">
        <f>Table1[[#This Row],[Company]]</f>
        <v>14</v>
      </c>
      <c r="P28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3" spans="1:16" x14ac:dyDescent="0.45">
      <c r="A2873" s="3">
        <v>45318.291666666664</v>
      </c>
      <c r="B2873" t="s">
        <v>14</v>
      </c>
      <c r="C2873">
        <v>13</v>
      </c>
      <c r="D2873">
        <v>1004</v>
      </c>
      <c r="E2873" t="s">
        <v>16</v>
      </c>
      <c r="F2873">
        <v>30</v>
      </c>
      <c r="G2873">
        <v>3100</v>
      </c>
      <c r="H2873">
        <v>93000</v>
      </c>
      <c r="I2873" s="3">
        <v>45320</v>
      </c>
      <c r="J2873">
        <v>96</v>
      </c>
      <c r="K2873" s="3">
        <v>45322</v>
      </c>
      <c r="L2873" s="4">
        <f>ROUNDDOWN(Table1[[#This Row],[Ordered]],0)</f>
        <v>45318</v>
      </c>
      <c r="M2873" s="4">
        <f>Table1[[#This Row],[Date ]]</f>
        <v>45318</v>
      </c>
      <c r="N2873" s="5">
        <f>Table1[[#This Row],[Ordered]]-Table1[[#This Row],[Date ]]</f>
        <v>0.29166666666424135</v>
      </c>
      <c r="O2873">
        <f>Table1[[#This Row],[Company]]</f>
        <v>13</v>
      </c>
      <c r="P28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4" spans="1:16" x14ac:dyDescent="0.45">
      <c r="A2874" s="3">
        <v>45318.291666666664</v>
      </c>
      <c r="B2874" t="s">
        <v>14</v>
      </c>
      <c r="C2874">
        <v>10</v>
      </c>
      <c r="D2874">
        <v>1004</v>
      </c>
      <c r="E2874" t="s">
        <v>16</v>
      </c>
      <c r="F2874">
        <v>23</v>
      </c>
      <c r="G2874">
        <v>3800</v>
      </c>
      <c r="H2874">
        <v>87400</v>
      </c>
      <c r="I2874" s="3">
        <v>45318.291666666664</v>
      </c>
      <c r="J2874">
        <v>84</v>
      </c>
      <c r="K2874" s="3">
        <v>45321.291666666664</v>
      </c>
      <c r="L2874" s="4">
        <f>ROUNDDOWN(Table1[[#This Row],[Ordered]],0)</f>
        <v>45318</v>
      </c>
      <c r="M2874" s="4">
        <f>Table1[[#This Row],[Date ]]</f>
        <v>45318</v>
      </c>
      <c r="N2874" s="5">
        <f>Table1[[#This Row],[Ordered]]-Table1[[#This Row],[Date ]]</f>
        <v>0.29166666666424135</v>
      </c>
      <c r="O2874">
        <f>Table1[[#This Row],[Company]]</f>
        <v>10</v>
      </c>
      <c r="P28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5" spans="1:16" x14ac:dyDescent="0.45">
      <c r="A2875" s="3">
        <v>45318.291666666664</v>
      </c>
      <c r="B2875" t="s">
        <v>14</v>
      </c>
      <c r="C2875">
        <v>15</v>
      </c>
      <c r="D2875">
        <v>1002</v>
      </c>
      <c r="E2875" t="s">
        <v>16</v>
      </c>
      <c r="F2875">
        <v>30</v>
      </c>
      <c r="G2875">
        <v>3950</v>
      </c>
      <c r="H2875">
        <v>118500</v>
      </c>
      <c r="I2875" s="3">
        <v>45319.291666666664</v>
      </c>
      <c r="J2875">
        <v>87</v>
      </c>
      <c r="K2875" s="3">
        <v>45321.291666666664</v>
      </c>
      <c r="L2875" s="4">
        <f>ROUNDDOWN(Table1[[#This Row],[Ordered]],0)</f>
        <v>45318</v>
      </c>
      <c r="M2875" s="4">
        <f>Table1[[#This Row],[Date ]]</f>
        <v>45318</v>
      </c>
      <c r="N2875" s="5">
        <f>Table1[[#This Row],[Ordered]]-Table1[[#This Row],[Date ]]</f>
        <v>0.29166666666424135</v>
      </c>
      <c r="O2875">
        <f>Table1[[#This Row],[Company]]</f>
        <v>15</v>
      </c>
      <c r="P28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6" spans="1:16" x14ac:dyDescent="0.45">
      <c r="A2876" s="3">
        <v>45318.291666666664</v>
      </c>
      <c r="B2876" t="s">
        <v>14</v>
      </c>
      <c r="C2876">
        <v>9</v>
      </c>
      <c r="D2876">
        <v>1002</v>
      </c>
      <c r="E2876" t="s">
        <v>16</v>
      </c>
      <c r="F2876">
        <v>15</v>
      </c>
      <c r="G2876">
        <v>3499</v>
      </c>
      <c r="H2876">
        <v>52485</v>
      </c>
      <c r="I2876" s="3">
        <v>45318.291666666664</v>
      </c>
      <c r="J2876">
        <v>76</v>
      </c>
      <c r="K2876" s="3">
        <v>45321.291666666664</v>
      </c>
      <c r="L2876" s="4">
        <f>ROUNDDOWN(Table1[[#This Row],[Ordered]],0)</f>
        <v>45318</v>
      </c>
      <c r="M2876" s="4">
        <f>Table1[[#This Row],[Date ]]</f>
        <v>45318</v>
      </c>
      <c r="N2876" s="5">
        <f>Table1[[#This Row],[Ordered]]-Table1[[#This Row],[Date ]]</f>
        <v>0.29166666666424135</v>
      </c>
      <c r="O2876">
        <f>Table1[[#This Row],[Company]]</f>
        <v>9</v>
      </c>
      <c r="P28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7" spans="1:16" x14ac:dyDescent="0.45">
      <c r="A2877" s="3">
        <v>45318.291666666664</v>
      </c>
      <c r="B2877" t="s">
        <v>14</v>
      </c>
      <c r="C2877">
        <v>12</v>
      </c>
      <c r="D2877">
        <v>1002</v>
      </c>
      <c r="E2877" t="s">
        <v>16</v>
      </c>
      <c r="F2877">
        <v>22</v>
      </c>
      <c r="G2877">
        <v>3850</v>
      </c>
      <c r="H2877">
        <v>84700</v>
      </c>
      <c r="I2877" s="3">
        <v>45319.5</v>
      </c>
      <c r="J2877">
        <v>96</v>
      </c>
      <c r="K2877" s="3">
        <v>45321.5</v>
      </c>
      <c r="L2877" s="4">
        <f>ROUNDDOWN(Table1[[#This Row],[Ordered]],0)</f>
        <v>45318</v>
      </c>
      <c r="M2877" s="4">
        <f>Table1[[#This Row],[Date ]]</f>
        <v>45318</v>
      </c>
      <c r="N2877" s="5">
        <f>Table1[[#This Row],[Ordered]]-Table1[[#This Row],[Date ]]</f>
        <v>0.29166666666424135</v>
      </c>
      <c r="O2877">
        <f>Table1[[#This Row],[Company]]</f>
        <v>12</v>
      </c>
      <c r="P28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8" spans="1:16" x14ac:dyDescent="0.45">
      <c r="A2878" s="3">
        <v>45318.291666666664</v>
      </c>
      <c r="B2878" t="s">
        <v>14</v>
      </c>
      <c r="C2878">
        <v>10</v>
      </c>
      <c r="D2878">
        <v>1002</v>
      </c>
      <c r="E2878" t="s">
        <v>16</v>
      </c>
      <c r="F2878">
        <v>38</v>
      </c>
      <c r="G2878">
        <v>3900</v>
      </c>
      <c r="H2878">
        <v>148200</v>
      </c>
      <c r="I2878" s="3">
        <v>45318.291666666664</v>
      </c>
      <c r="J2878">
        <v>36</v>
      </c>
      <c r="K2878" s="3">
        <v>45319.291666666664</v>
      </c>
      <c r="L2878" s="4">
        <f>ROUNDDOWN(Table1[[#This Row],[Ordered]],0)</f>
        <v>45318</v>
      </c>
      <c r="M2878" s="4">
        <f>Table1[[#This Row],[Date ]]</f>
        <v>45318</v>
      </c>
      <c r="N2878" s="5">
        <f>Table1[[#This Row],[Ordered]]-Table1[[#This Row],[Date ]]</f>
        <v>0.29166666666424135</v>
      </c>
      <c r="O2878">
        <f>Table1[[#This Row],[Company]]</f>
        <v>10</v>
      </c>
      <c r="P28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9" spans="1:16" x14ac:dyDescent="0.45">
      <c r="A2879" s="3">
        <v>45318.291666666664</v>
      </c>
      <c r="B2879" t="s">
        <v>14</v>
      </c>
      <c r="C2879">
        <v>16</v>
      </c>
      <c r="D2879">
        <v>1004</v>
      </c>
      <c r="E2879" t="s">
        <v>16</v>
      </c>
      <c r="F2879">
        <v>30</v>
      </c>
      <c r="G2879">
        <v>3750</v>
      </c>
      <c r="H2879">
        <v>112500</v>
      </c>
      <c r="I2879" s="3">
        <v>45318.333333333336</v>
      </c>
      <c r="J2879">
        <v>96</v>
      </c>
      <c r="K2879" s="3">
        <v>45321.333333333336</v>
      </c>
      <c r="L2879" s="4">
        <f>ROUNDDOWN(Table1[[#This Row],[Ordered]],0)</f>
        <v>45318</v>
      </c>
      <c r="M2879" s="4">
        <f>Table1[[#This Row],[Date ]]</f>
        <v>45318</v>
      </c>
      <c r="N2879" s="5">
        <f>Table1[[#This Row],[Ordered]]-Table1[[#This Row],[Date ]]</f>
        <v>0.29166666666424135</v>
      </c>
      <c r="O2879">
        <f>Table1[[#This Row],[Company]]</f>
        <v>16</v>
      </c>
      <c r="P28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0" spans="1:16" hidden="1" x14ac:dyDescent="0.45">
      <c r="A2880" s="3">
        <v>45318.333333333336</v>
      </c>
      <c r="B2880" t="s">
        <v>12</v>
      </c>
      <c r="C2880">
        <v>4</v>
      </c>
      <c r="D2880">
        <v>13</v>
      </c>
      <c r="E2880" t="s">
        <v>13</v>
      </c>
      <c r="F2880">
        <v>3000</v>
      </c>
      <c r="G2880">
        <v>125</v>
      </c>
      <c r="H2880">
        <v>375000</v>
      </c>
      <c r="I2880" s="3">
        <v>45318.416666666664</v>
      </c>
      <c r="J2880">
        <v>48</v>
      </c>
      <c r="K2880" s="3">
        <v>45320.416666666664</v>
      </c>
      <c r="L2880" s="4">
        <f>ROUNDDOWN(Table1[[#This Row],[Ordered]],0)</f>
        <v>45318</v>
      </c>
      <c r="M2880" s="4">
        <f>Table1[[#This Row],[Date ]]</f>
        <v>45318</v>
      </c>
      <c r="N2880" s="5">
        <f>Table1[[#This Row],[Ordered]]-Table1[[#This Row],[Date ]]</f>
        <v>0.33333333333575865</v>
      </c>
      <c r="O2880">
        <f>Table1[[#This Row],[Company]]</f>
        <v>4</v>
      </c>
      <c r="P28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1" spans="1:16" x14ac:dyDescent="0.45">
      <c r="A2881" s="3">
        <v>45318.375</v>
      </c>
      <c r="B2881" t="s">
        <v>14</v>
      </c>
      <c r="C2881">
        <v>11</v>
      </c>
      <c r="D2881">
        <v>1006</v>
      </c>
      <c r="E2881" t="s">
        <v>16</v>
      </c>
      <c r="F2881">
        <v>30</v>
      </c>
      <c r="G2881">
        <v>4000</v>
      </c>
      <c r="H2881">
        <v>120000</v>
      </c>
      <c r="I2881" s="3">
        <v>45318.75</v>
      </c>
      <c r="J2881">
        <v>96</v>
      </c>
      <c r="K2881" s="3">
        <v>45321.75</v>
      </c>
      <c r="L2881" s="4">
        <f>ROUNDDOWN(Table1[[#This Row],[Ordered]],0)</f>
        <v>45318</v>
      </c>
      <c r="M2881" s="4">
        <f>Table1[[#This Row],[Date ]]</f>
        <v>45318</v>
      </c>
      <c r="N2881" s="5">
        <f>Table1[[#This Row],[Ordered]]-Table1[[#This Row],[Date ]]</f>
        <v>0.375</v>
      </c>
      <c r="O2881">
        <f>Table1[[#This Row],[Company]]</f>
        <v>11</v>
      </c>
      <c r="P28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2" spans="1:16" x14ac:dyDescent="0.45">
      <c r="A2882" s="3">
        <v>45318.375</v>
      </c>
      <c r="B2882" t="s">
        <v>14</v>
      </c>
      <c r="C2882">
        <v>10</v>
      </c>
      <c r="D2882">
        <v>1006</v>
      </c>
      <c r="E2882" t="s">
        <v>16</v>
      </c>
      <c r="F2882">
        <v>67</v>
      </c>
      <c r="G2882">
        <v>3900</v>
      </c>
      <c r="H2882">
        <v>261300</v>
      </c>
      <c r="I2882" s="3">
        <v>45318.375</v>
      </c>
      <c r="J2882">
        <v>36</v>
      </c>
      <c r="K2882" s="3">
        <v>45319.375</v>
      </c>
      <c r="L2882" s="4">
        <f>ROUNDDOWN(Table1[[#This Row],[Ordered]],0)</f>
        <v>45318</v>
      </c>
      <c r="M2882" s="4">
        <f>Table1[[#This Row],[Date ]]</f>
        <v>45318</v>
      </c>
      <c r="N2882" s="5">
        <f>Table1[[#This Row],[Ordered]]-Table1[[#This Row],[Date ]]</f>
        <v>0.375</v>
      </c>
      <c r="O2882">
        <f>Table1[[#This Row],[Company]]</f>
        <v>10</v>
      </c>
      <c r="P28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3" spans="1:16" x14ac:dyDescent="0.45">
      <c r="A2883" s="3">
        <v>45318.375</v>
      </c>
      <c r="B2883" t="s">
        <v>14</v>
      </c>
      <c r="C2883">
        <v>15</v>
      </c>
      <c r="D2883">
        <v>1006</v>
      </c>
      <c r="E2883" t="s">
        <v>16</v>
      </c>
      <c r="F2883">
        <v>50</v>
      </c>
      <c r="G2883">
        <v>3850</v>
      </c>
      <c r="H2883">
        <v>192500</v>
      </c>
      <c r="I2883" s="3">
        <v>45318.958333333336</v>
      </c>
      <c r="J2883">
        <v>88</v>
      </c>
      <c r="K2883" s="3">
        <v>45321.958333333336</v>
      </c>
      <c r="L2883" s="4">
        <f>ROUNDDOWN(Table1[[#This Row],[Ordered]],0)</f>
        <v>45318</v>
      </c>
      <c r="M2883" s="4">
        <f>Table1[[#This Row],[Date ]]</f>
        <v>45318</v>
      </c>
      <c r="N2883" s="5">
        <f>Table1[[#This Row],[Ordered]]-Table1[[#This Row],[Date ]]</f>
        <v>0.375</v>
      </c>
      <c r="O2883">
        <f>Table1[[#This Row],[Company]]</f>
        <v>15</v>
      </c>
      <c r="P28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4" spans="1:16" x14ac:dyDescent="0.45">
      <c r="A2884" s="3">
        <v>45318.375</v>
      </c>
      <c r="B2884" t="s">
        <v>14</v>
      </c>
      <c r="C2884">
        <v>14</v>
      </c>
      <c r="D2884">
        <v>1006</v>
      </c>
      <c r="E2884" t="s">
        <v>16</v>
      </c>
      <c r="F2884">
        <v>40</v>
      </c>
      <c r="G2884">
        <v>3650</v>
      </c>
      <c r="H2884">
        <v>146000</v>
      </c>
      <c r="I2884" s="3">
        <v>45318.666666666664</v>
      </c>
      <c r="J2884">
        <v>87</v>
      </c>
      <c r="K2884" s="3">
        <v>45321.666666666664</v>
      </c>
      <c r="L2884" s="4">
        <f>ROUNDDOWN(Table1[[#This Row],[Ordered]],0)</f>
        <v>45318</v>
      </c>
      <c r="M2884" s="4">
        <f>Table1[[#This Row],[Date ]]</f>
        <v>45318</v>
      </c>
      <c r="N2884" s="5">
        <f>Table1[[#This Row],[Ordered]]-Table1[[#This Row],[Date ]]</f>
        <v>0.375</v>
      </c>
      <c r="O2884">
        <f>Table1[[#This Row],[Company]]</f>
        <v>14</v>
      </c>
      <c r="P28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5" spans="1:16" x14ac:dyDescent="0.45">
      <c r="A2885" s="3">
        <v>45318.375</v>
      </c>
      <c r="B2885" t="s">
        <v>14</v>
      </c>
      <c r="C2885">
        <v>12</v>
      </c>
      <c r="D2885">
        <v>1006</v>
      </c>
      <c r="E2885" t="s">
        <v>16</v>
      </c>
      <c r="F2885">
        <v>30</v>
      </c>
      <c r="G2885">
        <v>3850</v>
      </c>
      <c r="H2885">
        <v>115500</v>
      </c>
      <c r="I2885" s="3">
        <v>45320.666666666664</v>
      </c>
      <c r="J2885">
        <v>96</v>
      </c>
      <c r="K2885" s="3">
        <v>45321.666666666664</v>
      </c>
      <c r="L2885" s="4">
        <f>ROUNDDOWN(Table1[[#This Row],[Ordered]],0)</f>
        <v>45318</v>
      </c>
      <c r="M2885" s="4">
        <f>Table1[[#This Row],[Date ]]</f>
        <v>45318</v>
      </c>
      <c r="N2885" s="5">
        <f>Table1[[#This Row],[Ordered]]-Table1[[#This Row],[Date ]]</f>
        <v>0.375</v>
      </c>
      <c r="O2885">
        <f>Table1[[#This Row],[Company]]</f>
        <v>12</v>
      </c>
      <c r="P28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6" spans="1:16" x14ac:dyDescent="0.45">
      <c r="A2886" s="3">
        <v>45318.375</v>
      </c>
      <c r="B2886" t="s">
        <v>14</v>
      </c>
      <c r="C2886">
        <v>9</v>
      </c>
      <c r="D2886">
        <v>1006</v>
      </c>
      <c r="E2886" t="s">
        <v>16</v>
      </c>
      <c r="F2886">
        <v>51</v>
      </c>
      <c r="G2886">
        <v>3250</v>
      </c>
      <c r="H2886">
        <v>165750</v>
      </c>
      <c r="I2886" s="3">
        <v>45318.708333333336</v>
      </c>
      <c r="J2886">
        <v>96</v>
      </c>
      <c r="K2886" s="3">
        <v>45321.708333333336</v>
      </c>
      <c r="L2886" s="4">
        <f>ROUNDDOWN(Table1[[#This Row],[Ordered]],0)</f>
        <v>45318</v>
      </c>
      <c r="M2886" s="4">
        <f>Table1[[#This Row],[Date ]]</f>
        <v>45318</v>
      </c>
      <c r="N2886" s="5">
        <f>Table1[[#This Row],[Ordered]]-Table1[[#This Row],[Date ]]</f>
        <v>0.375</v>
      </c>
      <c r="O2886">
        <f>Table1[[#This Row],[Company]]</f>
        <v>9</v>
      </c>
      <c r="P28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7" spans="1:16" x14ac:dyDescent="0.45">
      <c r="A2887" s="3">
        <v>45318.375</v>
      </c>
      <c r="B2887" t="s">
        <v>14</v>
      </c>
      <c r="C2887">
        <v>16</v>
      </c>
      <c r="D2887">
        <v>1006</v>
      </c>
      <c r="E2887" t="s">
        <v>16</v>
      </c>
      <c r="F2887">
        <v>30</v>
      </c>
      <c r="G2887">
        <v>3750</v>
      </c>
      <c r="H2887">
        <v>112500</v>
      </c>
      <c r="I2887" s="3">
        <v>45318.458333333336</v>
      </c>
      <c r="J2887">
        <v>96</v>
      </c>
      <c r="K2887" s="3">
        <v>45321.5</v>
      </c>
      <c r="L2887" s="4">
        <f>ROUNDDOWN(Table1[[#This Row],[Ordered]],0)</f>
        <v>45318</v>
      </c>
      <c r="M2887" s="4">
        <f>Table1[[#This Row],[Date ]]</f>
        <v>45318</v>
      </c>
      <c r="N2887" s="5">
        <f>Table1[[#This Row],[Ordered]]-Table1[[#This Row],[Date ]]</f>
        <v>0.375</v>
      </c>
      <c r="O2887">
        <f>Table1[[#This Row],[Company]]</f>
        <v>16</v>
      </c>
      <c r="P28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8" spans="1:16" x14ac:dyDescent="0.45">
      <c r="A2888" s="3">
        <v>45318.416666666664</v>
      </c>
      <c r="B2888" t="s">
        <v>0</v>
      </c>
      <c r="C2888">
        <v>11</v>
      </c>
      <c r="D2888">
        <v>2009</v>
      </c>
      <c r="E2888" t="s">
        <v>15</v>
      </c>
      <c r="F2888">
        <v>10</v>
      </c>
      <c r="G2888">
        <v>6800</v>
      </c>
      <c r="H2888">
        <v>68000</v>
      </c>
      <c r="I2888" s="3">
        <v>45319.666666666664</v>
      </c>
      <c r="J2888">
        <v>84</v>
      </c>
      <c r="K2888" s="3">
        <v>45321.166666666664</v>
      </c>
      <c r="L2888" s="4">
        <f>ROUNDDOWN(Table1[[#This Row],[Ordered]],0)</f>
        <v>45318</v>
      </c>
      <c r="M2888" s="4">
        <f>Table1[[#This Row],[Date ]]</f>
        <v>45318</v>
      </c>
      <c r="N2888" s="5">
        <f>Table1[[#This Row],[Ordered]]-Table1[[#This Row],[Date ]]</f>
        <v>0.41666666666424135</v>
      </c>
      <c r="O2888">
        <f>Table1[[#This Row],[Company]]</f>
        <v>11</v>
      </c>
      <c r="P28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9" spans="1:16" x14ac:dyDescent="0.45">
      <c r="A2889" s="3">
        <v>45318.416666666664</v>
      </c>
      <c r="B2889" t="s">
        <v>0</v>
      </c>
      <c r="C2889">
        <v>10</v>
      </c>
      <c r="D2889">
        <v>2009</v>
      </c>
      <c r="E2889" t="s">
        <v>16</v>
      </c>
      <c r="F2889">
        <v>10</v>
      </c>
      <c r="G2889">
        <v>4100</v>
      </c>
      <c r="H2889">
        <v>41000</v>
      </c>
      <c r="I2889" s="3">
        <v>45318.416666666664</v>
      </c>
      <c r="J2889">
        <v>84</v>
      </c>
      <c r="K2889" s="3">
        <v>45321.416666666664</v>
      </c>
      <c r="L2889" s="4">
        <f>ROUNDDOWN(Table1[[#This Row],[Ordered]],0)</f>
        <v>45318</v>
      </c>
      <c r="M2889" s="4">
        <f>Table1[[#This Row],[Date ]]</f>
        <v>45318</v>
      </c>
      <c r="N2889" s="5">
        <f>Table1[[#This Row],[Ordered]]-Table1[[#This Row],[Date ]]</f>
        <v>0.41666666666424135</v>
      </c>
      <c r="O2889">
        <f>Table1[[#This Row],[Company]]</f>
        <v>10</v>
      </c>
      <c r="P28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0" spans="1:16" x14ac:dyDescent="0.45">
      <c r="A2890" s="3">
        <v>45318.416666666664</v>
      </c>
      <c r="B2890" t="s">
        <v>0</v>
      </c>
      <c r="C2890">
        <v>10</v>
      </c>
      <c r="D2890">
        <v>2009</v>
      </c>
      <c r="E2890" t="s">
        <v>15</v>
      </c>
      <c r="F2890">
        <v>10</v>
      </c>
      <c r="G2890">
        <v>6100</v>
      </c>
      <c r="H2890">
        <v>61000</v>
      </c>
      <c r="I2890" s="3">
        <v>45318.416666666664</v>
      </c>
      <c r="J2890">
        <v>84</v>
      </c>
      <c r="K2890" s="3">
        <v>45321.416666666664</v>
      </c>
      <c r="L2890" s="4">
        <f>ROUNDDOWN(Table1[[#This Row],[Ordered]],0)</f>
        <v>45318</v>
      </c>
      <c r="M2890" s="4">
        <f>Table1[[#This Row],[Date ]]</f>
        <v>45318</v>
      </c>
      <c r="N2890" s="5">
        <f>Table1[[#This Row],[Ordered]]-Table1[[#This Row],[Date ]]</f>
        <v>0.41666666666424135</v>
      </c>
      <c r="O2890">
        <f>Table1[[#This Row],[Company]]</f>
        <v>10</v>
      </c>
      <c r="P28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1" spans="1:16" x14ac:dyDescent="0.45">
      <c r="A2891" s="3">
        <v>45318.416666666664</v>
      </c>
      <c r="B2891" t="s">
        <v>0</v>
      </c>
      <c r="C2891">
        <v>15</v>
      </c>
      <c r="D2891">
        <v>2009</v>
      </c>
      <c r="E2891" t="s">
        <v>16</v>
      </c>
      <c r="F2891">
        <v>45</v>
      </c>
      <c r="G2891">
        <v>4400</v>
      </c>
      <c r="H2891">
        <v>198000</v>
      </c>
      <c r="I2891" s="3">
        <v>45318.666666666664</v>
      </c>
      <c r="J2891">
        <v>48</v>
      </c>
      <c r="K2891" s="3">
        <v>45320.166666666664</v>
      </c>
      <c r="L2891" s="4">
        <f>ROUNDDOWN(Table1[[#This Row],[Ordered]],0)</f>
        <v>45318</v>
      </c>
      <c r="M2891" s="4">
        <f>Table1[[#This Row],[Date ]]</f>
        <v>45318</v>
      </c>
      <c r="N2891" s="5">
        <f>Table1[[#This Row],[Ordered]]-Table1[[#This Row],[Date ]]</f>
        <v>0.41666666666424135</v>
      </c>
      <c r="O2891">
        <f>Table1[[#This Row],[Company]]</f>
        <v>15</v>
      </c>
      <c r="P28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2" spans="1:16" x14ac:dyDescent="0.45">
      <c r="A2892" s="3">
        <v>45318.416666666664</v>
      </c>
      <c r="B2892" t="s">
        <v>0</v>
      </c>
      <c r="C2892">
        <v>15</v>
      </c>
      <c r="D2892">
        <v>2009</v>
      </c>
      <c r="E2892" t="s">
        <v>15</v>
      </c>
      <c r="F2892">
        <v>50</v>
      </c>
      <c r="G2892">
        <v>6500</v>
      </c>
      <c r="H2892">
        <v>325000</v>
      </c>
      <c r="I2892" s="3">
        <v>45318.416666666664</v>
      </c>
      <c r="J2892">
        <v>48</v>
      </c>
      <c r="K2892" s="3">
        <v>45319.916666666664</v>
      </c>
      <c r="L2892" s="4">
        <f>ROUNDDOWN(Table1[[#This Row],[Ordered]],0)</f>
        <v>45318</v>
      </c>
      <c r="M2892" s="4">
        <f>Table1[[#This Row],[Date ]]</f>
        <v>45318</v>
      </c>
      <c r="N2892" s="5">
        <f>Table1[[#This Row],[Ordered]]-Table1[[#This Row],[Date ]]</f>
        <v>0.41666666666424135</v>
      </c>
      <c r="O2892">
        <f>Table1[[#This Row],[Company]]</f>
        <v>15</v>
      </c>
      <c r="P28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3" spans="1:16" x14ac:dyDescent="0.45">
      <c r="A2893" s="3">
        <v>45318.416666666664</v>
      </c>
      <c r="B2893" t="s">
        <v>0</v>
      </c>
      <c r="C2893">
        <v>14</v>
      </c>
      <c r="D2893">
        <v>2009</v>
      </c>
      <c r="E2893" t="s">
        <v>16</v>
      </c>
      <c r="F2893">
        <v>40</v>
      </c>
      <c r="G2893">
        <v>4100</v>
      </c>
      <c r="H2893">
        <v>164000</v>
      </c>
      <c r="I2893" s="3">
        <v>45318.541666666664</v>
      </c>
      <c r="J2893">
        <v>82</v>
      </c>
      <c r="K2893" s="3">
        <v>45321.541666666664</v>
      </c>
      <c r="L2893" s="4">
        <f>ROUNDDOWN(Table1[[#This Row],[Ordered]],0)</f>
        <v>45318</v>
      </c>
      <c r="M2893" s="4">
        <f>Table1[[#This Row],[Date ]]</f>
        <v>45318</v>
      </c>
      <c r="N2893" s="5">
        <f>Table1[[#This Row],[Ordered]]-Table1[[#This Row],[Date ]]</f>
        <v>0.41666666666424135</v>
      </c>
      <c r="O2893">
        <f>Table1[[#This Row],[Company]]</f>
        <v>14</v>
      </c>
      <c r="P28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4" spans="1:16" x14ac:dyDescent="0.45">
      <c r="A2894" s="3">
        <v>45318.416666666664</v>
      </c>
      <c r="B2894" t="s">
        <v>0</v>
      </c>
      <c r="C2894">
        <v>16</v>
      </c>
      <c r="D2894">
        <v>2009</v>
      </c>
      <c r="E2894" t="s">
        <v>15</v>
      </c>
      <c r="F2894">
        <v>30</v>
      </c>
      <c r="G2894">
        <v>6250</v>
      </c>
      <c r="H2894">
        <v>187500</v>
      </c>
      <c r="I2894" s="3">
        <v>45318.541666666664</v>
      </c>
      <c r="J2894">
        <v>96</v>
      </c>
      <c r="K2894" s="3">
        <v>45321.541666666664</v>
      </c>
      <c r="L2894" s="4">
        <f>ROUNDDOWN(Table1[[#This Row],[Ordered]],0)</f>
        <v>45318</v>
      </c>
      <c r="M2894" s="4">
        <f>Table1[[#This Row],[Date ]]</f>
        <v>45318</v>
      </c>
      <c r="N2894" s="5">
        <f>Table1[[#This Row],[Ordered]]-Table1[[#This Row],[Date ]]</f>
        <v>0.41666666666424135</v>
      </c>
      <c r="O2894">
        <f>Table1[[#This Row],[Company]]</f>
        <v>16</v>
      </c>
      <c r="P28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5" spans="1:16" hidden="1" x14ac:dyDescent="0.45">
      <c r="A2895" s="3">
        <v>45318.416666666664</v>
      </c>
      <c r="B2895" t="s">
        <v>12</v>
      </c>
      <c r="C2895">
        <v>4</v>
      </c>
      <c r="D2895">
        <v>8</v>
      </c>
      <c r="E2895" t="s">
        <v>13</v>
      </c>
      <c r="F2895">
        <v>3200</v>
      </c>
      <c r="G2895">
        <v>125</v>
      </c>
      <c r="H2895">
        <v>400000</v>
      </c>
      <c r="I2895" s="3">
        <v>45318.416666666664</v>
      </c>
      <c r="J2895">
        <v>72</v>
      </c>
      <c r="K2895" s="3">
        <v>45321.416666666664</v>
      </c>
      <c r="L2895" s="4">
        <f>ROUNDDOWN(Table1[[#This Row],[Ordered]],0)</f>
        <v>45318</v>
      </c>
      <c r="M2895" s="4">
        <f>Table1[[#This Row],[Date ]]</f>
        <v>45318</v>
      </c>
      <c r="N2895" s="5">
        <f>Table1[[#This Row],[Ordered]]-Table1[[#This Row],[Date ]]</f>
        <v>0.41666666666424135</v>
      </c>
      <c r="O2895">
        <f>Table1[[#This Row],[Company]]</f>
        <v>4</v>
      </c>
      <c r="P28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6" spans="1:16" hidden="1" x14ac:dyDescent="0.45">
      <c r="A2896" s="3">
        <v>45318.416666666664</v>
      </c>
      <c r="B2896" t="s">
        <v>12</v>
      </c>
      <c r="C2896">
        <v>2</v>
      </c>
      <c r="D2896">
        <v>7</v>
      </c>
      <c r="E2896" t="s">
        <v>13</v>
      </c>
      <c r="F2896">
        <v>5000</v>
      </c>
      <c r="G2896">
        <v>125</v>
      </c>
      <c r="H2896">
        <v>625000</v>
      </c>
      <c r="I2896" s="3">
        <v>45318.458333333336</v>
      </c>
      <c r="J2896">
        <v>72</v>
      </c>
      <c r="K2896" s="3">
        <v>45321.458333333336</v>
      </c>
      <c r="L2896" s="4">
        <f>ROUNDDOWN(Table1[[#This Row],[Ordered]],0)</f>
        <v>45318</v>
      </c>
      <c r="M2896" s="4">
        <f>Table1[[#This Row],[Date ]]</f>
        <v>45318</v>
      </c>
      <c r="N2896" s="5">
        <f>Table1[[#This Row],[Ordered]]-Table1[[#This Row],[Date ]]</f>
        <v>0.41666666666424135</v>
      </c>
      <c r="O2896">
        <f>Table1[[#This Row],[Company]]</f>
        <v>2</v>
      </c>
      <c r="P28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7" spans="1:16" x14ac:dyDescent="0.45">
      <c r="A2897" s="3">
        <v>45318.416666666664</v>
      </c>
      <c r="B2897" t="s">
        <v>0</v>
      </c>
      <c r="C2897">
        <v>11</v>
      </c>
      <c r="D2897">
        <v>2009</v>
      </c>
      <c r="E2897" t="s">
        <v>16</v>
      </c>
      <c r="F2897">
        <v>20</v>
      </c>
      <c r="G2897">
        <v>4300</v>
      </c>
      <c r="H2897">
        <v>86000</v>
      </c>
      <c r="I2897" s="3">
        <v>45318.791666666664</v>
      </c>
      <c r="J2897">
        <v>96</v>
      </c>
      <c r="K2897" s="3">
        <v>45321.791666666664</v>
      </c>
      <c r="L2897" s="4">
        <f>ROUNDDOWN(Table1[[#This Row],[Ordered]],0)</f>
        <v>45318</v>
      </c>
      <c r="M2897" s="4">
        <f>Table1[[#This Row],[Date ]]</f>
        <v>45318</v>
      </c>
      <c r="N2897" s="5">
        <f>Table1[[#This Row],[Ordered]]-Table1[[#This Row],[Date ]]</f>
        <v>0.41666666666424135</v>
      </c>
      <c r="O2897">
        <f>Table1[[#This Row],[Company]]</f>
        <v>11</v>
      </c>
      <c r="P28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8" spans="1:16" hidden="1" x14ac:dyDescent="0.45">
      <c r="A2898" s="3">
        <v>45318.458333333336</v>
      </c>
      <c r="B2898" t="s">
        <v>12</v>
      </c>
      <c r="C2898">
        <v>4</v>
      </c>
      <c r="D2898">
        <v>8</v>
      </c>
      <c r="E2898" t="s">
        <v>17</v>
      </c>
      <c r="F2898">
        <v>800</v>
      </c>
      <c r="G2898">
        <v>1350</v>
      </c>
      <c r="H2898">
        <v>1080000</v>
      </c>
      <c r="I2898" s="3">
        <v>45318.458333333336</v>
      </c>
      <c r="J2898">
        <v>72</v>
      </c>
      <c r="K2898" s="3">
        <v>45321.458333333336</v>
      </c>
      <c r="L2898" s="4">
        <f>ROUNDDOWN(Table1[[#This Row],[Ordered]],0)</f>
        <v>45318</v>
      </c>
      <c r="M2898" s="4">
        <f>Table1[[#This Row],[Date ]]</f>
        <v>45318</v>
      </c>
      <c r="N2898" s="5">
        <f>Table1[[#This Row],[Ordered]]-Table1[[#This Row],[Date ]]</f>
        <v>0.45833333333575865</v>
      </c>
      <c r="O2898">
        <f>Table1[[#This Row],[Company]]</f>
        <v>4</v>
      </c>
      <c r="P28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9" spans="1:16" hidden="1" x14ac:dyDescent="0.45">
      <c r="A2899" s="3">
        <v>45318.458333333336</v>
      </c>
      <c r="B2899" t="s">
        <v>12</v>
      </c>
      <c r="C2899">
        <v>3</v>
      </c>
      <c r="D2899">
        <v>10</v>
      </c>
      <c r="E2899" t="s">
        <v>17</v>
      </c>
      <c r="F2899">
        <v>500</v>
      </c>
      <c r="G2899">
        <v>1354</v>
      </c>
      <c r="H2899">
        <v>677000</v>
      </c>
      <c r="I2899" s="3">
        <v>45318.625</v>
      </c>
      <c r="J2899">
        <v>48</v>
      </c>
      <c r="K2899" s="3">
        <v>45320.625</v>
      </c>
      <c r="L2899" s="4">
        <f>ROUNDDOWN(Table1[[#This Row],[Ordered]],0)</f>
        <v>45318</v>
      </c>
      <c r="M2899" s="4">
        <f>Table1[[#This Row],[Date ]]</f>
        <v>45318</v>
      </c>
      <c r="N2899" s="5">
        <f>Table1[[#This Row],[Ordered]]-Table1[[#This Row],[Date ]]</f>
        <v>0.45833333333575865</v>
      </c>
      <c r="O2899">
        <f>Table1[[#This Row],[Company]]</f>
        <v>3</v>
      </c>
      <c r="P28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0" spans="1:16" hidden="1" x14ac:dyDescent="0.45">
      <c r="A2900" s="3">
        <v>45318.5</v>
      </c>
      <c r="B2900" t="s">
        <v>12</v>
      </c>
      <c r="C2900">
        <v>1</v>
      </c>
      <c r="D2900">
        <v>14</v>
      </c>
      <c r="E2900" t="s">
        <v>17</v>
      </c>
      <c r="F2900">
        <v>400</v>
      </c>
      <c r="G2900">
        <v>1350</v>
      </c>
      <c r="H2900">
        <v>540000</v>
      </c>
      <c r="I2900" s="3">
        <v>45318.541666666664</v>
      </c>
      <c r="J2900">
        <v>24</v>
      </c>
      <c r="K2900" s="3">
        <v>45319.541666666664</v>
      </c>
      <c r="L2900" s="4">
        <f>ROUNDDOWN(Table1[[#This Row],[Ordered]],0)</f>
        <v>45318</v>
      </c>
      <c r="M2900" s="4">
        <f>Table1[[#This Row],[Date ]]</f>
        <v>45318</v>
      </c>
      <c r="N2900" s="5">
        <f>Table1[[#This Row],[Ordered]]-Table1[[#This Row],[Date ]]</f>
        <v>0.5</v>
      </c>
      <c r="O2900">
        <f>Table1[[#This Row],[Company]]</f>
        <v>1</v>
      </c>
      <c r="P29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1" spans="1:16" hidden="1" x14ac:dyDescent="0.45">
      <c r="A2901" s="3">
        <v>45318.5</v>
      </c>
      <c r="B2901" t="s">
        <v>12</v>
      </c>
      <c r="C2901">
        <v>3</v>
      </c>
      <c r="D2901">
        <v>10</v>
      </c>
      <c r="E2901" t="s">
        <v>13</v>
      </c>
      <c r="F2901">
        <v>5000</v>
      </c>
      <c r="G2901">
        <v>125</v>
      </c>
      <c r="H2901">
        <v>625000</v>
      </c>
      <c r="I2901" s="3">
        <v>45318.583333333336</v>
      </c>
      <c r="J2901">
        <v>72</v>
      </c>
      <c r="K2901" s="3">
        <v>45321.583333333336</v>
      </c>
      <c r="L2901" s="4">
        <f>ROUNDDOWN(Table1[[#This Row],[Ordered]],0)</f>
        <v>45318</v>
      </c>
      <c r="M2901" s="4">
        <f>Table1[[#This Row],[Date ]]</f>
        <v>45318</v>
      </c>
      <c r="N2901" s="5">
        <f>Table1[[#This Row],[Ordered]]-Table1[[#This Row],[Date ]]</f>
        <v>0.5</v>
      </c>
      <c r="O2901">
        <f>Table1[[#This Row],[Company]]</f>
        <v>3</v>
      </c>
      <c r="P29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2" spans="1:16" hidden="1" x14ac:dyDescent="0.45">
      <c r="A2902" s="3">
        <v>45318.708333333336</v>
      </c>
      <c r="B2902" t="s">
        <v>12</v>
      </c>
      <c r="C2902">
        <v>4</v>
      </c>
      <c r="D2902">
        <v>9</v>
      </c>
      <c r="E2902" t="s">
        <v>17</v>
      </c>
      <c r="F2902">
        <v>300</v>
      </c>
      <c r="G2902">
        <v>1455</v>
      </c>
      <c r="H2902">
        <v>436500</v>
      </c>
      <c r="I2902" s="3">
        <v>45318.75</v>
      </c>
      <c r="J2902">
        <v>48</v>
      </c>
      <c r="K2902" s="3">
        <v>45320.75</v>
      </c>
      <c r="L2902" s="4">
        <f>ROUNDDOWN(Table1[[#This Row],[Ordered]],0)</f>
        <v>45318</v>
      </c>
      <c r="M2902" s="4">
        <f>Table1[[#This Row],[Date ]]</f>
        <v>45318</v>
      </c>
      <c r="N2902" s="5">
        <f>Table1[[#This Row],[Ordered]]-Table1[[#This Row],[Date ]]</f>
        <v>0.70833333333575865</v>
      </c>
      <c r="O2902">
        <f>Table1[[#This Row],[Company]]</f>
        <v>4</v>
      </c>
      <c r="P29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3" spans="1:16" hidden="1" x14ac:dyDescent="0.45">
      <c r="A2903" s="3">
        <v>45318.791666666664</v>
      </c>
      <c r="B2903" t="s">
        <v>12</v>
      </c>
      <c r="C2903">
        <v>4</v>
      </c>
      <c r="D2903">
        <v>11</v>
      </c>
      <c r="E2903" t="s">
        <v>13</v>
      </c>
      <c r="F2903">
        <v>3000</v>
      </c>
      <c r="G2903">
        <v>125</v>
      </c>
      <c r="H2903">
        <v>375000</v>
      </c>
      <c r="I2903" s="3">
        <v>45318.833333333336</v>
      </c>
      <c r="J2903">
        <v>72</v>
      </c>
      <c r="K2903" s="3">
        <v>45321.833333333336</v>
      </c>
      <c r="L2903" s="4">
        <f>ROUNDDOWN(Table1[[#This Row],[Ordered]],0)</f>
        <v>45318</v>
      </c>
      <c r="M2903" s="4">
        <f>Table1[[#This Row],[Date ]]</f>
        <v>45318</v>
      </c>
      <c r="N2903" s="5">
        <f>Table1[[#This Row],[Ordered]]-Table1[[#This Row],[Date ]]</f>
        <v>0.79166666666424135</v>
      </c>
      <c r="O2903">
        <f>Table1[[#This Row],[Company]]</f>
        <v>4</v>
      </c>
      <c r="P29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4" spans="1:16" hidden="1" x14ac:dyDescent="0.45">
      <c r="A2904" s="3">
        <v>45318.916666666664</v>
      </c>
      <c r="B2904" t="s">
        <v>12</v>
      </c>
      <c r="C2904">
        <v>6</v>
      </c>
      <c r="D2904">
        <v>11</v>
      </c>
      <c r="E2904" t="s">
        <v>17</v>
      </c>
      <c r="F2904">
        <v>100</v>
      </c>
      <c r="G2904">
        <v>1550</v>
      </c>
      <c r="H2904">
        <v>155000</v>
      </c>
      <c r="I2904" s="3">
        <v>45318.916666666664</v>
      </c>
      <c r="J2904">
        <v>24</v>
      </c>
      <c r="K2904" s="3">
        <v>45319.916666666664</v>
      </c>
      <c r="L2904" s="4">
        <f>ROUNDDOWN(Table1[[#This Row],[Ordered]],0)</f>
        <v>45318</v>
      </c>
      <c r="M2904" s="4">
        <f>Table1[[#This Row],[Date ]]</f>
        <v>45318</v>
      </c>
      <c r="N2904" s="5">
        <f>Table1[[#This Row],[Ordered]]-Table1[[#This Row],[Date ]]</f>
        <v>0.91666666666424135</v>
      </c>
      <c r="O2904">
        <f>Table1[[#This Row],[Company]]</f>
        <v>6</v>
      </c>
      <c r="P29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5" spans="1:16" x14ac:dyDescent="0.45">
      <c r="A2905" s="3">
        <v>45319.041666666664</v>
      </c>
      <c r="B2905" t="s">
        <v>14</v>
      </c>
      <c r="C2905">
        <v>11</v>
      </c>
      <c r="D2905">
        <v>1006</v>
      </c>
      <c r="E2905" t="s">
        <v>15</v>
      </c>
      <c r="F2905">
        <v>10</v>
      </c>
      <c r="G2905">
        <v>6500</v>
      </c>
      <c r="H2905">
        <v>65000</v>
      </c>
      <c r="I2905" s="3">
        <v>45319.833333333336</v>
      </c>
      <c r="J2905">
        <v>60</v>
      </c>
      <c r="K2905" s="3">
        <v>45320.833333333336</v>
      </c>
      <c r="L2905" s="4">
        <f>ROUNDDOWN(Table1[[#This Row],[Ordered]],0)</f>
        <v>45319</v>
      </c>
      <c r="M2905" s="4">
        <f>Table1[[#This Row],[Date ]]</f>
        <v>45319</v>
      </c>
      <c r="N2905" s="5">
        <f>Table1[[#This Row],[Ordered]]-Table1[[#This Row],[Date ]]</f>
        <v>4.1666666664241347E-2</v>
      </c>
      <c r="O2905">
        <f>Table1[[#This Row],[Company]]</f>
        <v>11</v>
      </c>
      <c r="P29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6" spans="1:16" x14ac:dyDescent="0.45">
      <c r="A2906" s="3">
        <v>45319.041666666664</v>
      </c>
      <c r="B2906" t="s">
        <v>14</v>
      </c>
      <c r="C2906">
        <v>15</v>
      </c>
      <c r="D2906">
        <v>1006</v>
      </c>
      <c r="E2906" t="s">
        <v>15</v>
      </c>
      <c r="F2906">
        <v>30</v>
      </c>
      <c r="G2906">
        <v>6500</v>
      </c>
      <c r="H2906">
        <v>195000</v>
      </c>
      <c r="I2906" s="3">
        <v>45319.041666666664</v>
      </c>
      <c r="J2906">
        <v>64</v>
      </c>
      <c r="K2906" s="3">
        <v>45321.041666666664</v>
      </c>
      <c r="L2906" s="4">
        <f>ROUNDDOWN(Table1[[#This Row],[Ordered]],0)</f>
        <v>45319</v>
      </c>
      <c r="M2906" s="4">
        <f>Table1[[#This Row],[Date ]]</f>
        <v>45319</v>
      </c>
      <c r="N2906" s="5">
        <f>Table1[[#This Row],[Ordered]]-Table1[[#This Row],[Date ]]</f>
        <v>4.1666666664241347E-2</v>
      </c>
      <c r="O2906">
        <f>Table1[[#This Row],[Company]]</f>
        <v>15</v>
      </c>
      <c r="P29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7" spans="1:16" x14ac:dyDescent="0.45">
      <c r="A2907" s="3">
        <v>45319.041666666664</v>
      </c>
      <c r="B2907" t="s">
        <v>14</v>
      </c>
      <c r="C2907">
        <v>16</v>
      </c>
      <c r="D2907">
        <v>1006</v>
      </c>
      <c r="E2907" t="s">
        <v>15</v>
      </c>
      <c r="F2907">
        <v>29</v>
      </c>
      <c r="G2907">
        <v>6250</v>
      </c>
      <c r="H2907">
        <v>181250</v>
      </c>
      <c r="I2907" s="3">
        <v>45319.083333333336</v>
      </c>
      <c r="J2907">
        <v>72</v>
      </c>
      <c r="K2907" s="3">
        <v>45321.083333333336</v>
      </c>
      <c r="L2907" s="4">
        <f>ROUNDDOWN(Table1[[#This Row],[Ordered]],0)</f>
        <v>45319</v>
      </c>
      <c r="M2907" s="4">
        <f>Table1[[#This Row],[Date ]]</f>
        <v>45319</v>
      </c>
      <c r="N2907" s="5">
        <f>Table1[[#This Row],[Ordered]]-Table1[[#This Row],[Date ]]</f>
        <v>4.1666666664241347E-2</v>
      </c>
      <c r="O2907">
        <f>Table1[[#This Row],[Company]]</f>
        <v>16</v>
      </c>
      <c r="P29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8" spans="1:16" hidden="1" x14ac:dyDescent="0.45">
      <c r="A2908" s="3">
        <v>45319.041666666664</v>
      </c>
      <c r="B2908" t="s">
        <v>12</v>
      </c>
      <c r="C2908">
        <v>1</v>
      </c>
      <c r="D2908">
        <v>14</v>
      </c>
      <c r="E2908" t="s">
        <v>17</v>
      </c>
      <c r="F2908">
        <v>400</v>
      </c>
      <c r="G2908">
        <v>1350</v>
      </c>
      <c r="H2908">
        <v>540000</v>
      </c>
      <c r="I2908" s="3">
        <v>45319.041666666664</v>
      </c>
      <c r="J2908">
        <v>24</v>
      </c>
      <c r="K2908" s="3">
        <v>45320.041666666664</v>
      </c>
      <c r="L2908" s="4">
        <f>ROUNDDOWN(Table1[[#This Row],[Ordered]],0)</f>
        <v>45319</v>
      </c>
      <c r="M2908" s="4">
        <f>Table1[[#This Row],[Date ]]</f>
        <v>45319</v>
      </c>
      <c r="N2908" s="5">
        <f>Table1[[#This Row],[Ordered]]-Table1[[#This Row],[Date ]]</f>
        <v>4.1666666664241347E-2</v>
      </c>
      <c r="O2908">
        <f>Table1[[#This Row],[Company]]</f>
        <v>1</v>
      </c>
      <c r="P29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9" spans="1:16" x14ac:dyDescent="0.45">
      <c r="A2909" s="3">
        <v>45319.083333333336</v>
      </c>
      <c r="B2909" t="s">
        <v>14</v>
      </c>
      <c r="C2909">
        <v>10</v>
      </c>
      <c r="D2909">
        <v>1011</v>
      </c>
      <c r="E2909" t="s">
        <v>16</v>
      </c>
      <c r="F2909">
        <v>28</v>
      </c>
      <c r="G2909">
        <v>3600</v>
      </c>
      <c r="H2909">
        <v>100800</v>
      </c>
      <c r="I2909" s="3">
        <v>45319.083333333336</v>
      </c>
      <c r="J2909">
        <v>36</v>
      </c>
      <c r="K2909" s="3">
        <v>45320.083333333336</v>
      </c>
      <c r="L2909" s="4">
        <f>ROUNDDOWN(Table1[[#This Row],[Ordered]],0)</f>
        <v>45319</v>
      </c>
      <c r="M2909" s="4">
        <f>Table1[[#This Row],[Date ]]</f>
        <v>45319</v>
      </c>
      <c r="N2909" s="5">
        <f>Table1[[#This Row],[Ordered]]-Table1[[#This Row],[Date ]]</f>
        <v>8.3333333335758653E-2</v>
      </c>
      <c r="O2909">
        <f>Table1[[#This Row],[Company]]</f>
        <v>10</v>
      </c>
      <c r="P29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0" spans="1:16" x14ac:dyDescent="0.45">
      <c r="A2910" s="3">
        <v>45319.125</v>
      </c>
      <c r="B2910" t="s">
        <v>14</v>
      </c>
      <c r="C2910">
        <v>16</v>
      </c>
      <c r="D2910">
        <v>1002</v>
      </c>
      <c r="E2910" t="s">
        <v>15</v>
      </c>
      <c r="F2910">
        <v>13</v>
      </c>
      <c r="G2910">
        <v>6250</v>
      </c>
      <c r="H2910">
        <v>81250</v>
      </c>
      <c r="I2910" s="3">
        <v>45319.208333333336</v>
      </c>
      <c r="J2910">
        <v>72</v>
      </c>
      <c r="K2910" s="3">
        <v>45321.208333333336</v>
      </c>
      <c r="L2910" s="4">
        <f>ROUNDDOWN(Table1[[#This Row],[Ordered]],0)</f>
        <v>45319</v>
      </c>
      <c r="M2910" s="4">
        <f>Table1[[#This Row],[Date ]]</f>
        <v>45319</v>
      </c>
      <c r="N2910" s="5">
        <f>Table1[[#This Row],[Ordered]]-Table1[[#This Row],[Date ]]</f>
        <v>0.125</v>
      </c>
      <c r="O2910">
        <f>Table1[[#This Row],[Company]]</f>
        <v>16</v>
      </c>
      <c r="P29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1" spans="1:16" x14ac:dyDescent="0.45">
      <c r="A2911" s="3">
        <v>45319.125</v>
      </c>
      <c r="B2911" t="s">
        <v>14</v>
      </c>
      <c r="C2911">
        <v>15</v>
      </c>
      <c r="D2911">
        <v>1002</v>
      </c>
      <c r="E2911" t="s">
        <v>15</v>
      </c>
      <c r="F2911">
        <v>19</v>
      </c>
      <c r="G2911">
        <v>6500</v>
      </c>
      <c r="H2911">
        <v>123500</v>
      </c>
      <c r="I2911" s="3">
        <v>45319.166666666664</v>
      </c>
      <c r="J2911">
        <v>64</v>
      </c>
      <c r="K2911" s="3">
        <v>45321.166666666664</v>
      </c>
      <c r="L2911" s="4">
        <f>ROUNDDOWN(Table1[[#This Row],[Ordered]],0)</f>
        <v>45319</v>
      </c>
      <c r="M2911" s="4">
        <f>Table1[[#This Row],[Date ]]</f>
        <v>45319</v>
      </c>
      <c r="N2911" s="5">
        <f>Table1[[#This Row],[Ordered]]-Table1[[#This Row],[Date ]]</f>
        <v>0.125</v>
      </c>
      <c r="O2911">
        <f>Table1[[#This Row],[Company]]</f>
        <v>15</v>
      </c>
      <c r="P29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2" spans="1:16" hidden="1" x14ac:dyDescent="0.45">
      <c r="A2912" s="3">
        <v>45319.125</v>
      </c>
      <c r="B2912" t="s">
        <v>12</v>
      </c>
      <c r="C2912">
        <v>5</v>
      </c>
      <c r="D2912">
        <v>16</v>
      </c>
      <c r="E2912" t="s">
        <v>13</v>
      </c>
      <c r="F2912">
        <v>1700</v>
      </c>
      <c r="G2912">
        <v>120</v>
      </c>
      <c r="H2912">
        <v>204000</v>
      </c>
      <c r="I2912" s="3">
        <v>45319.166666666664</v>
      </c>
      <c r="J2912">
        <v>48</v>
      </c>
      <c r="K2912" s="3">
        <v>45321.166666666664</v>
      </c>
      <c r="L2912" s="4">
        <f>ROUNDDOWN(Table1[[#This Row],[Ordered]],0)</f>
        <v>45319</v>
      </c>
      <c r="M2912" s="4">
        <f>Table1[[#This Row],[Date ]]</f>
        <v>45319</v>
      </c>
      <c r="N2912" s="5">
        <f>Table1[[#This Row],[Ordered]]-Table1[[#This Row],[Date ]]</f>
        <v>0.125</v>
      </c>
      <c r="O2912">
        <f>Table1[[#This Row],[Company]]</f>
        <v>5</v>
      </c>
      <c r="P29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3" spans="1:16" x14ac:dyDescent="0.45">
      <c r="A2913" s="3">
        <v>45319.125</v>
      </c>
      <c r="B2913" t="s">
        <v>14</v>
      </c>
      <c r="C2913">
        <v>11</v>
      </c>
      <c r="D2913">
        <v>1002</v>
      </c>
      <c r="E2913" t="s">
        <v>15</v>
      </c>
      <c r="F2913">
        <v>10</v>
      </c>
      <c r="G2913">
        <v>6500</v>
      </c>
      <c r="H2913">
        <v>65000</v>
      </c>
      <c r="I2913" s="3">
        <v>45319.583333333336</v>
      </c>
      <c r="J2913">
        <v>60</v>
      </c>
      <c r="K2913" s="3">
        <v>45321.583333333336</v>
      </c>
      <c r="L2913" s="4">
        <f>ROUNDDOWN(Table1[[#This Row],[Ordered]],0)</f>
        <v>45319</v>
      </c>
      <c r="M2913" s="4">
        <f>Table1[[#This Row],[Date ]]</f>
        <v>45319</v>
      </c>
      <c r="N2913" s="5">
        <f>Table1[[#This Row],[Ordered]]-Table1[[#This Row],[Date ]]</f>
        <v>0.125</v>
      </c>
      <c r="O2913">
        <f>Table1[[#This Row],[Company]]</f>
        <v>11</v>
      </c>
      <c r="P29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4" spans="1:16" hidden="1" x14ac:dyDescent="0.45">
      <c r="A2914" s="3">
        <v>45319.166666666664</v>
      </c>
      <c r="B2914" t="s">
        <v>12</v>
      </c>
      <c r="C2914">
        <v>5</v>
      </c>
      <c r="D2914">
        <v>16</v>
      </c>
      <c r="E2914" t="s">
        <v>17</v>
      </c>
      <c r="F2914">
        <v>350</v>
      </c>
      <c r="G2914">
        <v>1450</v>
      </c>
      <c r="H2914">
        <v>507500</v>
      </c>
      <c r="I2914" s="3">
        <v>45319.166666666664</v>
      </c>
      <c r="J2914">
        <v>48</v>
      </c>
      <c r="K2914" s="3">
        <v>45321.166666666664</v>
      </c>
      <c r="L2914" s="4">
        <f>ROUNDDOWN(Table1[[#This Row],[Ordered]],0)</f>
        <v>45319</v>
      </c>
      <c r="M2914" s="4">
        <f>Table1[[#This Row],[Date ]]</f>
        <v>45319</v>
      </c>
      <c r="N2914" s="5">
        <f>Table1[[#This Row],[Ordered]]-Table1[[#This Row],[Date ]]</f>
        <v>0.16666666666424135</v>
      </c>
      <c r="O2914">
        <f>Table1[[#This Row],[Company]]</f>
        <v>5</v>
      </c>
      <c r="P29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5" spans="1:16" x14ac:dyDescent="0.45">
      <c r="A2915" s="3">
        <v>45319.25</v>
      </c>
      <c r="B2915" t="s">
        <v>0</v>
      </c>
      <c r="C2915">
        <v>15</v>
      </c>
      <c r="D2915">
        <v>2010</v>
      </c>
      <c r="E2915" t="s">
        <v>15</v>
      </c>
      <c r="F2915">
        <v>50</v>
      </c>
      <c r="G2915">
        <v>6500</v>
      </c>
      <c r="H2915">
        <v>325000</v>
      </c>
      <c r="I2915" s="3">
        <v>45319.291666666664</v>
      </c>
      <c r="J2915">
        <v>48</v>
      </c>
      <c r="K2915" s="3">
        <v>45320.791666666664</v>
      </c>
      <c r="L2915" s="4">
        <f>ROUNDDOWN(Table1[[#This Row],[Ordered]],0)</f>
        <v>45319</v>
      </c>
      <c r="M2915" s="4">
        <f>Table1[[#This Row],[Date ]]</f>
        <v>45319</v>
      </c>
      <c r="N2915" s="5">
        <f>Table1[[#This Row],[Ordered]]-Table1[[#This Row],[Date ]]</f>
        <v>0.25</v>
      </c>
      <c r="O2915">
        <f>Table1[[#This Row],[Company]]</f>
        <v>15</v>
      </c>
      <c r="P29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6" spans="1:16" x14ac:dyDescent="0.45">
      <c r="A2916" s="3">
        <v>45319.416666666664</v>
      </c>
      <c r="B2916" t="s">
        <v>14</v>
      </c>
      <c r="C2916">
        <v>10</v>
      </c>
      <c r="D2916">
        <v>1004</v>
      </c>
      <c r="E2916" t="s">
        <v>15</v>
      </c>
      <c r="F2916">
        <v>8</v>
      </c>
      <c r="G2916">
        <v>5600</v>
      </c>
      <c r="H2916">
        <v>44800</v>
      </c>
      <c r="I2916" s="3">
        <v>45319.416666666664</v>
      </c>
      <c r="J2916">
        <v>30</v>
      </c>
      <c r="K2916" s="3">
        <v>45320.416666666664</v>
      </c>
      <c r="L2916" s="4">
        <f>ROUNDDOWN(Table1[[#This Row],[Ordered]],0)</f>
        <v>45319</v>
      </c>
      <c r="M2916" s="4">
        <f>Table1[[#This Row],[Date ]]</f>
        <v>45319</v>
      </c>
      <c r="N2916" s="5">
        <f>Table1[[#This Row],[Ordered]]-Table1[[#This Row],[Date ]]</f>
        <v>0.41666666666424135</v>
      </c>
      <c r="O2916">
        <f>Table1[[#This Row],[Company]]</f>
        <v>10</v>
      </c>
      <c r="P29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7" spans="1:16" x14ac:dyDescent="0.45">
      <c r="A2917" s="3">
        <v>45319.416666666664</v>
      </c>
      <c r="B2917" t="s">
        <v>14</v>
      </c>
      <c r="C2917">
        <v>15</v>
      </c>
      <c r="D2917">
        <v>1004</v>
      </c>
      <c r="E2917" t="s">
        <v>15</v>
      </c>
      <c r="F2917">
        <v>24</v>
      </c>
      <c r="G2917">
        <v>6500</v>
      </c>
      <c r="H2917">
        <v>156000</v>
      </c>
      <c r="I2917" s="3">
        <v>45319.458333333336</v>
      </c>
      <c r="J2917">
        <v>64</v>
      </c>
      <c r="K2917" s="3">
        <v>45321.625</v>
      </c>
      <c r="L2917" s="4">
        <f>ROUNDDOWN(Table1[[#This Row],[Ordered]],0)</f>
        <v>45319</v>
      </c>
      <c r="M2917" s="4">
        <f>Table1[[#This Row],[Date ]]</f>
        <v>45319</v>
      </c>
      <c r="N2917" s="5">
        <f>Table1[[#This Row],[Ordered]]-Table1[[#This Row],[Date ]]</f>
        <v>0.41666666666424135</v>
      </c>
      <c r="O2917">
        <f>Table1[[#This Row],[Company]]</f>
        <v>15</v>
      </c>
      <c r="P29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8" spans="1:16" hidden="1" x14ac:dyDescent="0.45">
      <c r="A2918" s="3">
        <v>45319.5</v>
      </c>
      <c r="B2918" t="s">
        <v>12</v>
      </c>
      <c r="C2918">
        <v>1</v>
      </c>
      <c r="D2918">
        <v>14</v>
      </c>
      <c r="E2918" t="s">
        <v>13</v>
      </c>
      <c r="F2918">
        <v>500</v>
      </c>
      <c r="G2918">
        <v>125</v>
      </c>
      <c r="H2918">
        <v>62500</v>
      </c>
      <c r="I2918" s="3">
        <v>45319.541666666664</v>
      </c>
      <c r="J2918">
        <v>24</v>
      </c>
      <c r="K2918" s="3">
        <v>45320.541666666664</v>
      </c>
      <c r="L2918" s="4">
        <f>ROUNDDOWN(Table1[[#This Row],[Ordered]],0)</f>
        <v>45319</v>
      </c>
      <c r="M2918" s="4">
        <f>Table1[[#This Row],[Date ]]</f>
        <v>45319</v>
      </c>
      <c r="N2918" s="5">
        <f>Table1[[#This Row],[Ordered]]-Table1[[#This Row],[Date ]]</f>
        <v>0.5</v>
      </c>
      <c r="O2918">
        <f>Table1[[#This Row],[Company]]</f>
        <v>1</v>
      </c>
      <c r="P29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9" spans="1:16" x14ac:dyDescent="0.45">
      <c r="A2919" s="3">
        <v>45319.5</v>
      </c>
      <c r="B2919" t="s">
        <v>14</v>
      </c>
      <c r="C2919">
        <v>10</v>
      </c>
      <c r="D2919">
        <v>1008</v>
      </c>
      <c r="E2919" t="s">
        <v>16</v>
      </c>
      <c r="F2919">
        <v>26</v>
      </c>
      <c r="G2919">
        <v>3600</v>
      </c>
      <c r="H2919">
        <v>93600</v>
      </c>
      <c r="I2919" s="3">
        <v>45319.541666666664</v>
      </c>
      <c r="J2919">
        <v>36</v>
      </c>
      <c r="K2919" s="3">
        <v>45320.541666666664</v>
      </c>
      <c r="L2919" s="4">
        <f>ROUNDDOWN(Table1[[#This Row],[Ordered]],0)</f>
        <v>45319</v>
      </c>
      <c r="M2919" s="4">
        <f>Table1[[#This Row],[Date ]]</f>
        <v>45319</v>
      </c>
      <c r="N2919" s="5">
        <f>Table1[[#This Row],[Ordered]]-Table1[[#This Row],[Date ]]</f>
        <v>0.5</v>
      </c>
      <c r="O2919">
        <f>Table1[[#This Row],[Company]]</f>
        <v>10</v>
      </c>
      <c r="P29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0" spans="1:16" x14ac:dyDescent="0.45">
      <c r="A2920" s="3">
        <v>45319.541666666664</v>
      </c>
      <c r="B2920" t="s">
        <v>14</v>
      </c>
      <c r="C2920">
        <v>10</v>
      </c>
      <c r="D2920">
        <v>1001</v>
      </c>
      <c r="E2920" t="s">
        <v>16</v>
      </c>
      <c r="F2920">
        <v>58</v>
      </c>
      <c r="G2920">
        <v>3400</v>
      </c>
      <c r="H2920">
        <v>197200</v>
      </c>
      <c r="I2920" s="3">
        <v>45319.541666666664</v>
      </c>
      <c r="J2920">
        <v>36</v>
      </c>
      <c r="K2920" s="3">
        <v>45320.541666666664</v>
      </c>
      <c r="L2920" s="4">
        <f>ROUNDDOWN(Table1[[#This Row],[Ordered]],0)</f>
        <v>45319</v>
      </c>
      <c r="M2920" s="4">
        <f>Table1[[#This Row],[Date ]]</f>
        <v>45319</v>
      </c>
      <c r="N2920" s="5">
        <f>Table1[[#This Row],[Ordered]]-Table1[[#This Row],[Date ]]</f>
        <v>0.54166666666424135</v>
      </c>
      <c r="O2920">
        <f>Table1[[#This Row],[Company]]</f>
        <v>10</v>
      </c>
      <c r="P29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1" spans="1:16" x14ac:dyDescent="0.45">
      <c r="A2921" s="3">
        <v>45319.625</v>
      </c>
      <c r="B2921" t="s">
        <v>14</v>
      </c>
      <c r="C2921">
        <v>11</v>
      </c>
      <c r="D2921">
        <v>1010</v>
      </c>
      <c r="E2921" t="s">
        <v>15</v>
      </c>
      <c r="F2921">
        <v>10</v>
      </c>
      <c r="G2921">
        <v>6500</v>
      </c>
      <c r="H2921">
        <v>65000</v>
      </c>
      <c r="I2921" s="3">
        <v>45319.625</v>
      </c>
      <c r="J2921">
        <v>60</v>
      </c>
      <c r="K2921" s="3">
        <v>45321.791666666664</v>
      </c>
      <c r="L2921" s="4">
        <f>ROUNDDOWN(Table1[[#This Row],[Ordered]],0)</f>
        <v>45319</v>
      </c>
      <c r="M2921" s="4">
        <f>Table1[[#This Row],[Date ]]</f>
        <v>45319</v>
      </c>
      <c r="N2921" s="5">
        <f>Table1[[#This Row],[Ordered]]-Table1[[#This Row],[Date ]]</f>
        <v>0.625</v>
      </c>
      <c r="O2921">
        <f>Table1[[#This Row],[Company]]</f>
        <v>11</v>
      </c>
      <c r="P29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2" spans="1:16" x14ac:dyDescent="0.45">
      <c r="A2922" s="3">
        <v>45319.625</v>
      </c>
      <c r="B2922" t="s">
        <v>14</v>
      </c>
      <c r="C2922">
        <v>10</v>
      </c>
      <c r="D2922">
        <v>1010</v>
      </c>
      <c r="E2922" t="s">
        <v>15</v>
      </c>
      <c r="F2922">
        <v>16</v>
      </c>
      <c r="G2922">
        <v>5600</v>
      </c>
      <c r="H2922">
        <v>89600</v>
      </c>
      <c r="I2922" s="3">
        <v>45319.625</v>
      </c>
      <c r="J2922">
        <v>30</v>
      </c>
      <c r="K2922" s="3">
        <v>45320.625</v>
      </c>
      <c r="L2922" s="4">
        <f>ROUNDDOWN(Table1[[#This Row],[Ordered]],0)</f>
        <v>45319</v>
      </c>
      <c r="M2922" s="4">
        <f>Table1[[#This Row],[Date ]]</f>
        <v>45319</v>
      </c>
      <c r="N2922" s="5">
        <f>Table1[[#This Row],[Ordered]]-Table1[[#This Row],[Date ]]</f>
        <v>0.625</v>
      </c>
      <c r="O2922">
        <f>Table1[[#This Row],[Company]]</f>
        <v>10</v>
      </c>
      <c r="P29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3" spans="1:16" x14ac:dyDescent="0.45">
      <c r="A2923" s="3">
        <v>45319.625</v>
      </c>
      <c r="B2923" t="s">
        <v>14</v>
      </c>
      <c r="C2923">
        <v>15</v>
      </c>
      <c r="D2923">
        <v>1010</v>
      </c>
      <c r="E2923" t="s">
        <v>15</v>
      </c>
      <c r="F2923">
        <v>21</v>
      </c>
      <c r="G2923">
        <v>6450</v>
      </c>
      <c r="H2923">
        <v>135450</v>
      </c>
      <c r="I2923" s="3">
        <v>45319.75</v>
      </c>
      <c r="J2923">
        <v>64</v>
      </c>
      <c r="K2923" s="3">
        <v>45321.75</v>
      </c>
      <c r="L2923" s="4">
        <f>ROUNDDOWN(Table1[[#This Row],[Ordered]],0)</f>
        <v>45319</v>
      </c>
      <c r="M2923" s="4">
        <f>Table1[[#This Row],[Date ]]</f>
        <v>45319</v>
      </c>
      <c r="N2923" s="5">
        <f>Table1[[#This Row],[Ordered]]-Table1[[#This Row],[Date ]]</f>
        <v>0.625</v>
      </c>
      <c r="O2923">
        <f>Table1[[#This Row],[Company]]</f>
        <v>15</v>
      </c>
      <c r="P29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4" spans="1:16" x14ac:dyDescent="0.45">
      <c r="A2924" s="3">
        <v>45319.625</v>
      </c>
      <c r="B2924" t="s">
        <v>14</v>
      </c>
      <c r="C2924">
        <v>16</v>
      </c>
      <c r="D2924">
        <v>1010</v>
      </c>
      <c r="E2924" t="s">
        <v>15</v>
      </c>
      <c r="F2924">
        <v>14</v>
      </c>
      <c r="G2924">
        <v>6250</v>
      </c>
      <c r="H2924">
        <v>87500</v>
      </c>
      <c r="I2924" s="3">
        <v>45319.875</v>
      </c>
      <c r="J2924">
        <v>72</v>
      </c>
      <c r="K2924" s="3">
        <v>45321.875</v>
      </c>
      <c r="L2924" s="4">
        <f>ROUNDDOWN(Table1[[#This Row],[Ordered]],0)</f>
        <v>45319</v>
      </c>
      <c r="M2924" s="4">
        <f>Table1[[#This Row],[Date ]]</f>
        <v>45319</v>
      </c>
      <c r="N2924" s="5">
        <f>Table1[[#This Row],[Ordered]]-Table1[[#This Row],[Date ]]</f>
        <v>0.625</v>
      </c>
      <c r="O2924">
        <f>Table1[[#This Row],[Company]]</f>
        <v>16</v>
      </c>
      <c r="P29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5" spans="1:16" x14ac:dyDescent="0.45">
      <c r="A2925" s="3">
        <v>45319.666666666664</v>
      </c>
      <c r="B2925" t="s">
        <v>0</v>
      </c>
      <c r="C2925">
        <v>15</v>
      </c>
      <c r="D2925">
        <v>2011</v>
      </c>
      <c r="E2925" t="s">
        <v>15</v>
      </c>
      <c r="F2925">
        <v>50</v>
      </c>
      <c r="G2925">
        <v>6450</v>
      </c>
      <c r="H2925">
        <v>322500</v>
      </c>
      <c r="I2925" s="3">
        <v>45319.75</v>
      </c>
      <c r="J2925">
        <v>48</v>
      </c>
      <c r="K2925" s="3">
        <v>45321.25</v>
      </c>
      <c r="L2925" s="4">
        <f>ROUNDDOWN(Table1[[#This Row],[Ordered]],0)</f>
        <v>45319</v>
      </c>
      <c r="M2925" s="4">
        <f>Table1[[#This Row],[Date ]]</f>
        <v>45319</v>
      </c>
      <c r="N2925" s="5">
        <f>Table1[[#This Row],[Ordered]]-Table1[[#This Row],[Date ]]</f>
        <v>0.66666666666424135</v>
      </c>
      <c r="O2925">
        <f>Table1[[#This Row],[Company]]</f>
        <v>15</v>
      </c>
      <c r="P29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6" spans="1:16" x14ac:dyDescent="0.45">
      <c r="A2926" s="3">
        <v>45319.958333333336</v>
      </c>
      <c r="B2926" t="s">
        <v>14</v>
      </c>
      <c r="C2926">
        <v>10</v>
      </c>
      <c r="D2926">
        <v>1003</v>
      </c>
      <c r="E2926" t="s">
        <v>16</v>
      </c>
      <c r="F2926">
        <v>56</v>
      </c>
      <c r="G2926">
        <v>3500</v>
      </c>
      <c r="H2926">
        <v>196000</v>
      </c>
      <c r="I2926" s="3">
        <v>45319.958333333336</v>
      </c>
      <c r="J2926">
        <v>36</v>
      </c>
      <c r="K2926" s="3">
        <v>45320.958333333336</v>
      </c>
      <c r="L2926" s="4">
        <f>ROUNDDOWN(Table1[[#This Row],[Ordered]],0)</f>
        <v>45319</v>
      </c>
      <c r="M2926" s="4">
        <f>Table1[[#This Row],[Date ]]</f>
        <v>45319</v>
      </c>
      <c r="N2926" s="5">
        <f>Table1[[#This Row],[Ordered]]-Table1[[#This Row],[Date ]]</f>
        <v>0.95833333333575865</v>
      </c>
      <c r="O2926">
        <f>Table1[[#This Row],[Company]]</f>
        <v>10</v>
      </c>
      <c r="P29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7" spans="1:16" x14ac:dyDescent="0.45">
      <c r="A2927" s="3">
        <v>45320</v>
      </c>
      <c r="B2927" t="s">
        <v>14</v>
      </c>
      <c r="C2927">
        <v>10</v>
      </c>
      <c r="D2927">
        <v>1010</v>
      </c>
      <c r="E2927" t="s">
        <v>16</v>
      </c>
      <c r="F2927">
        <v>44</v>
      </c>
      <c r="G2927">
        <v>3600</v>
      </c>
      <c r="H2927">
        <v>158400</v>
      </c>
      <c r="I2927" s="3">
        <v>45320</v>
      </c>
      <c r="J2927">
        <v>30</v>
      </c>
      <c r="K2927" s="3">
        <v>45321</v>
      </c>
      <c r="L2927" s="4">
        <f>ROUNDDOWN(Table1[[#This Row],[Ordered]],0)</f>
        <v>45320</v>
      </c>
      <c r="M2927" s="4">
        <f>Table1[[#This Row],[Date ]]</f>
        <v>45320</v>
      </c>
      <c r="N2927" s="5">
        <f>Table1[[#This Row],[Ordered]]-Table1[[#This Row],[Date ]]</f>
        <v>0</v>
      </c>
      <c r="O2927">
        <f>Table1[[#This Row],[Company]]</f>
        <v>10</v>
      </c>
      <c r="P29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8" spans="1:16" x14ac:dyDescent="0.45">
      <c r="A2928" s="3">
        <v>45320.041666666664</v>
      </c>
      <c r="B2928" t="s">
        <v>14</v>
      </c>
      <c r="C2928">
        <v>10</v>
      </c>
      <c r="D2928">
        <v>1003</v>
      </c>
      <c r="E2928" t="s">
        <v>15</v>
      </c>
      <c r="F2928">
        <v>7</v>
      </c>
      <c r="G2928">
        <v>5400</v>
      </c>
      <c r="H2928">
        <v>37800</v>
      </c>
      <c r="I2928" s="3">
        <v>45320.083333333336</v>
      </c>
      <c r="J2928">
        <v>30</v>
      </c>
      <c r="K2928" s="3">
        <v>45321.083333333336</v>
      </c>
      <c r="L2928" s="4">
        <f>ROUNDDOWN(Table1[[#This Row],[Ordered]],0)</f>
        <v>45320</v>
      </c>
      <c r="M2928" s="4">
        <f>Table1[[#This Row],[Date ]]</f>
        <v>45320</v>
      </c>
      <c r="N2928" s="5">
        <f>Table1[[#This Row],[Ordered]]-Table1[[#This Row],[Date ]]</f>
        <v>4.1666666664241347E-2</v>
      </c>
      <c r="O2928">
        <f>Table1[[#This Row],[Company]]</f>
        <v>10</v>
      </c>
      <c r="P29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9" spans="1:16" x14ac:dyDescent="0.45">
      <c r="A2929" s="3">
        <v>45320.041666666664</v>
      </c>
      <c r="B2929" t="s">
        <v>14</v>
      </c>
      <c r="C2929">
        <v>10</v>
      </c>
      <c r="D2929">
        <v>1001</v>
      </c>
      <c r="E2929" t="s">
        <v>15</v>
      </c>
      <c r="F2929">
        <v>12</v>
      </c>
      <c r="G2929">
        <v>5400</v>
      </c>
      <c r="H2929">
        <v>64800</v>
      </c>
      <c r="I2929" s="3">
        <v>45320.083333333336</v>
      </c>
      <c r="J2929">
        <v>30</v>
      </c>
      <c r="K2929" s="3">
        <v>45321.083333333336</v>
      </c>
      <c r="L2929" s="4">
        <f>ROUNDDOWN(Table1[[#This Row],[Ordered]],0)</f>
        <v>45320</v>
      </c>
      <c r="M2929" s="4">
        <f>Table1[[#This Row],[Date ]]</f>
        <v>45320</v>
      </c>
      <c r="N2929" s="5">
        <f>Table1[[#This Row],[Ordered]]-Table1[[#This Row],[Date ]]</f>
        <v>4.1666666664241347E-2</v>
      </c>
      <c r="O2929">
        <f>Table1[[#This Row],[Company]]</f>
        <v>10</v>
      </c>
      <c r="P29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0" spans="1:16" x14ac:dyDescent="0.45">
      <c r="A2930" s="3">
        <v>45320.166666666664</v>
      </c>
      <c r="B2930" t="s">
        <v>14</v>
      </c>
      <c r="C2930">
        <v>10</v>
      </c>
      <c r="D2930">
        <v>1005</v>
      </c>
      <c r="E2930" t="s">
        <v>16</v>
      </c>
      <c r="F2930">
        <v>94</v>
      </c>
      <c r="G2930">
        <v>3500</v>
      </c>
      <c r="H2930">
        <v>329000</v>
      </c>
      <c r="I2930" s="3">
        <v>45320.166666666664</v>
      </c>
      <c r="J2930">
        <v>36</v>
      </c>
      <c r="K2930" s="3">
        <v>45321.166666666664</v>
      </c>
      <c r="L2930" s="4">
        <f>ROUNDDOWN(Table1[[#This Row],[Ordered]],0)</f>
        <v>45320</v>
      </c>
      <c r="M2930" s="4">
        <f>Table1[[#This Row],[Date ]]</f>
        <v>45320</v>
      </c>
      <c r="N2930" s="5">
        <f>Table1[[#This Row],[Ordered]]-Table1[[#This Row],[Date ]]</f>
        <v>0.16666666666424135</v>
      </c>
      <c r="O2930">
        <f>Table1[[#This Row],[Company]]</f>
        <v>10</v>
      </c>
      <c r="P29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1" spans="1:16" x14ac:dyDescent="0.45">
      <c r="A2931" s="3">
        <v>45320.166666666664</v>
      </c>
      <c r="B2931" t="s">
        <v>14</v>
      </c>
      <c r="C2931">
        <v>10</v>
      </c>
      <c r="D2931">
        <v>1009</v>
      </c>
      <c r="E2931" t="s">
        <v>15</v>
      </c>
      <c r="F2931">
        <v>12</v>
      </c>
      <c r="G2931">
        <v>5400</v>
      </c>
      <c r="H2931">
        <v>64800</v>
      </c>
      <c r="I2931" s="3">
        <v>45320.166666666664</v>
      </c>
      <c r="J2931">
        <v>30</v>
      </c>
      <c r="K2931" s="3">
        <v>45321.166666666664</v>
      </c>
      <c r="L2931" s="4">
        <f>ROUNDDOWN(Table1[[#This Row],[Ordered]],0)</f>
        <v>45320</v>
      </c>
      <c r="M2931" s="4">
        <f>Table1[[#This Row],[Date ]]</f>
        <v>45320</v>
      </c>
      <c r="N2931" s="5">
        <f>Table1[[#This Row],[Ordered]]-Table1[[#This Row],[Date ]]</f>
        <v>0.16666666666424135</v>
      </c>
      <c r="O2931">
        <f>Table1[[#This Row],[Company]]</f>
        <v>10</v>
      </c>
      <c r="P29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2" spans="1:16" x14ac:dyDescent="0.45">
      <c r="A2932" s="3">
        <v>45320.208333333336</v>
      </c>
      <c r="B2932" t="s">
        <v>14</v>
      </c>
      <c r="C2932">
        <v>10</v>
      </c>
      <c r="D2932">
        <v>1007</v>
      </c>
      <c r="E2932" t="s">
        <v>16</v>
      </c>
      <c r="F2932">
        <v>124</v>
      </c>
      <c r="G2932">
        <v>3500</v>
      </c>
      <c r="H2932">
        <v>434000</v>
      </c>
      <c r="I2932" s="3">
        <v>45320.458333333336</v>
      </c>
      <c r="J2932">
        <v>36</v>
      </c>
      <c r="K2932" s="3">
        <v>45321.458333333336</v>
      </c>
      <c r="L2932" s="4">
        <f>ROUNDDOWN(Table1[[#This Row],[Ordered]],0)</f>
        <v>45320</v>
      </c>
      <c r="M2932" s="4">
        <f>Table1[[#This Row],[Date ]]</f>
        <v>45320</v>
      </c>
      <c r="N2932" s="5">
        <f>Table1[[#This Row],[Ordered]]-Table1[[#This Row],[Date ]]</f>
        <v>0.20833333333575865</v>
      </c>
      <c r="O2932">
        <f>Table1[[#This Row],[Company]]</f>
        <v>10</v>
      </c>
      <c r="P29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3" spans="1:16" x14ac:dyDescent="0.45">
      <c r="A2933" s="3">
        <v>45320.333333333336</v>
      </c>
      <c r="B2933" t="s">
        <v>0</v>
      </c>
      <c r="C2933">
        <v>15</v>
      </c>
      <c r="D2933">
        <v>2001</v>
      </c>
      <c r="E2933" t="s">
        <v>15</v>
      </c>
      <c r="F2933">
        <v>50</v>
      </c>
      <c r="G2933">
        <v>6450</v>
      </c>
      <c r="H2933">
        <v>322500</v>
      </c>
      <c r="I2933" s="3">
        <v>45320.333333333336</v>
      </c>
      <c r="J2933">
        <v>48</v>
      </c>
      <c r="K2933" s="3">
        <v>45321.833333333336</v>
      </c>
      <c r="L2933" s="4">
        <f>ROUNDDOWN(Table1[[#This Row],[Ordered]],0)</f>
        <v>45320</v>
      </c>
      <c r="M2933" s="4">
        <f>Table1[[#This Row],[Date ]]</f>
        <v>45320</v>
      </c>
      <c r="N2933" s="5">
        <f>Table1[[#This Row],[Ordered]]-Table1[[#This Row],[Date ]]</f>
        <v>0.33333333333575865</v>
      </c>
      <c r="O2933">
        <f>Table1[[#This Row],[Company]]</f>
        <v>15</v>
      </c>
      <c r="P29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4" spans="1:16" hidden="1" x14ac:dyDescent="0.45">
      <c r="A2934" s="3">
        <v>45320.458333333336</v>
      </c>
      <c r="B2934" t="s">
        <v>12</v>
      </c>
      <c r="C2934">
        <v>1</v>
      </c>
      <c r="D2934">
        <v>14</v>
      </c>
      <c r="E2934" t="s">
        <v>17</v>
      </c>
      <c r="F2934">
        <v>400</v>
      </c>
      <c r="G2934">
        <v>1350</v>
      </c>
      <c r="H2934">
        <v>540000</v>
      </c>
      <c r="I2934" s="3">
        <v>45320.458333333336</v>
      </c>
      <c r="J2934">
        <v>24</v>
      </c>
      <c r="K2934" s="3">
        <v>45321.458333333336</v>
      </c>
      <c r="L2934" s="4">
        <f>ROUNDDOWN(Table1[[#This Row],[Ordered]],0)</f>
        <v>45320</v>
      </c>
      <c r="M2934" s="4">
        <f>Table1[[#This Row],[Date ]]</f>
        <v>45320</v>
      </c>
      <c r="N2934" s="5">
        <f>Table1[[#This Row],[Ordered]]-Table1[[#This Row],[Date ]]</f>
        <v>0.45833333333575865</v>
      </c>
      <c r="O2934">
        <f>Table1[[#This Row],[Company]]</f>
        <v>1</v>
      </c>
      <c r="P29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5" spans="1:16" x14ac:dyDescent="0.45">
      <c r="A2935" s="3">
        <v>45320.583333333336</v>
      </c>
      <c r="B2935" t="s">
        <v>14</v>
      </c>
      <c r="C2935">
        <v>10</v>
      </c>
      <c r="D2935">
        <v>1011</v>
      </c>
      <c r="E2935" t="s">
        <v>15</v>
      </c>
      <c r="F2935">
        <v>15</v>
      </c>
      <c r="G2935">
        <v>5400</v>
      </c>
      <c r="H2935">
        <v>81000</v>
      </c>
      <c r="I2935" s="3">
        <v>45320.583333333336</v>
      </c>
      <c r="J2935">
        <v>36</v>
      </c>
      <c r="K2935" s="3">
        <v>45321.583333333336</v>
      </c>
      <c r="L2935" s="4">
        <f>ROUNDDOWN(Table1[[#This Row],[Ordered]],0)</f>
        <v>45320</v>
      </c>
      <c r="M2935" s="4">
        <f>Table1[[#This Row],[Date ]]</f>
        <v>45320</v>
      </c>
      <c r="N2935" s="5">
        <f>Table1[[#This Row],[Ordered]]-Table1[[#This Row],[Date ]]</f>
        <v>0.58333333333575865</v>
      </c>
      <c r="O2935">
        <f>Table1[[#This Row],[Company]]</f>
        <v>10</v>
      </c>
      <c r="P29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6" spans="1:16" x14ac:dyDescent="0.45">
      <c r="A2936" s="3">
        <v>45320.625</v>
      </c>
      <c r="B2936" t="s">
        <v>14</v>
      </c>
      <c r="C2936">
        <v>10</v>
      </c>
      <c r="D2936">
        <v>1008</v>
      </c>
      <c r="E2936" t="s">
        <v>15</v>
      </c>
      <c r="F2936">
        <v>22</v>
      </c>
      <c r="G2936">
        <v>5400</v>
      </c>
      <c r="H2936">
        <v>118800</v>
      </c>
      <c r="I2936" s="3">
        <v>45320.666666666664</v>
      </c>
      <c r="J2936">
        <v>36</v>
      </c>
      <c r="K2936" s="3">
        <v>45321.666666666664</v>
      </c>
      <c r="L2936" s="4">
        <f>ROUNDDOWN(Table1[[#This Row],[Ordered]],0)</f>
        <v>45320</v>
      </c>
      <c r="M2936" s="4">
        <f>Table1[[#This Row],[Date ]]</f>
        <v>45320</v>
      </c>
      <c r="N2936" s="5">
        <f>Table1[[#This Row],[Ordered]]-Table1[[#This Row],[Date ]]</f>
        <v>0.625</v>
      </c>
      <c r="O2936">
        <f>Table1[[#This Row],[Company]]</f>
        <v>10</v>
      </c>
      <c r="P29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7" spans="1:16" x14ac:dyDescent="0.45">
      <c r="A2937" s="3">
        <v>45320.916666666664</v>
      </c>
      <c r="B2937" t="s">
        <v>14</v>
      </c>
      <c r="C2937">
        <v>10</v>
      </c>
      <c r="D2937">
        <v>1002</v>
      </c>
      <c r="E2937" t="s">
        <v>16</v>
      </c>
      <c r="F2937">
        <v>48</v>
      </c>
      <c r="G2937">
        <v>3650</v>
      </c>
      <c r="H2937">
        <v>175200</v>
      </c>
      <c r="I2937" s="3">
        <v>45320.916666666664</v>
      </c>
      <c r="J2937">
        <v>30</v>
      </c>
      <c r="K2937" s="3">
        <v>45321.916666666664</v>
      </c>
      <c r="L2937" s="4">
        <f>ROUNDDOWN(Table1[[#This Row],[Ordered]],0)</f>
        <v>45320</v>
      </c>
      <c r="M2937" s="4">
        <f>Table1[[#This Row],[Date ]]</f>
        <v>45320</v>
      </c>
      <c r="N2937" s="5">
        <f>Table1[[#This Row],[Ordered]]-Table1[[#This Row],[Date ]]</f>
        <v>0.91666666666424135</v>
      </c>
      <c r="O2937">
        <f>Table1[[#This Row],[Company]]</f>
        <v>10</v>
      </c>
      <c r="P2937">
        <f>IF(((Table1[[#This Row],[Arrived]]-Table1[[#This Row],[Delivery]])*24-Table1[[#This Row],[Promised]])&lt;0, 0, (Table1[[#This Row],[Arrived]]-Table1[[#This Row],[Delivery]])*24-Table1[[#This Row],[Promised]])</f>
        <v>0</v>
      </c>
    </row>
  </sheetData>
  <phoneticPr fontId="2" type="noConversion"/>
  <conditionalFormatting sqref="P3:P2937">
    <cfRule type="cellIs" dxfId="0" priority="1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Dashboard</vt:lpstr>
      <vt:lpstr>Pivots</vt:lpstr>
      <vt:lpstr>Raw data K1-2</vt:lpstr>
      <vt:lpstr>CompetitorColors</vt:lpstr>
      <vt:lpstr>CompKPIs</vt:lpstr>
      <vt:lpstr>CompSelector</vt:lpstr>
      <vt:lpstr>MarkSelector</vt:lpstr>
      <vt:lpstr>ProdSelector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Kankaanpää</dc:creator>
  <cp:lastModifiedBy>Mikael Kankaanpää</cp:lastModifiedBy>
  <dcterms:created xsi:type="dcterms:W3CDTF">2024-01-26T08:14:46Z</dcterms:created>
  <dcterms:modified xsi:type="dcterms:W3CDTF">2026-02-11T03:47:27Z</dcterms:modified>
</cp:coreProperties>
</file>